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VIN\Desktop\Details\"/>
    </mc:Choice>
  </mc:AlternateContent>
  <xr:revisionPtr revIDLastSave="0" documentId="8_{D9076D7A-7655-40B2-ABAB-8793586A7F17}" xr6:coauthVersionLast="47" xr6:coauthVersionMax="47" xr10:uidLastSave="{00000000-0000-0000-0000-000000000000}"/>
  <bookViews>
    <workbookView xWindow="-120" yWindow="-120" windowWidth="20730" windowHeight="11160" xr2:uid="{F3C839AC-3A59-46EF-830D-510B358CB382}"/>
  </bookViews>
  <sheets>
    <sheet name="Premier_league_summary" sheetId="8" r:id="rId1"/>
    <sheet name="premier_league_details" sheetId="14" r:id="rId2"/>
    <sheet name="prem_analysis" sheetId="5" r:id="rId3"/>
    <sheet name="Sheet5" sheetId="13" r:id="rId4"/>
    <sheet name="Data" sheetId="9" r:id="rId5"/>
    <sheet name="Years " sheetId="1" state="hidden" r:id="rId6"/>
  </sheets>
  <definedNames>
    <definedName name="_xlnm._FilterDatabase" localSheetId="2" hidden="1">prem_analysis!$B$1:$B$441</definedName>
    <definedName name="_xlchart.v1.0" hidden="1">Sheet5!$P$2:$P$8</definedName>
    <definedName name="_xlchart.v1.1" hidden="1">Sheet5!$O$2:$O$8</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O6" i="13" l="1"/>
  <c r="O5" i="13"/>
  <c r="O8" i="13" s="1"/>
  <c r="O4" i="13"/>
  <c r="O3" i="13"/>
  <c r="O2" i="13"/>
  <c r="A74" i="13"/>
  <c r="B74" i="13"/>
  <c r="C74" i="13"/>
  <c r="D74" i="13"/>
  <c r="E74" i="13"/>
  <c r="F74" i="13"/>
  <c r="G74" i="13"/>
  <c r="H74" i="13"/>
  <c r="I74" i="13"/>
  <c r="J74" i="13"/>
  <c r="K74" i="13"/>
  <c r="A75" i="13"/>
  <c r="B75" i="13"/>
  <c r="C75" i="13"/>
  <c r="D75" i="13"/>
  <c r="E75" i="13"/>
  <c r="F75" i="13"/>
  <c r="G75" i="13"/>
  <c r="H75" i="13"/>
  <c r="I75" i="13"/>
  <c r="J75" i="13"/>
  <c r="K75" i="13"/>
  <c r="A76" i="13"/>
  <c r="B76" i="13"/>
  <c r="C76" i="13"/>
  <c r="D76" i="13"/>
  <c r="E76" i="13"/>
  <c r="F76" i="13"/>
  <c r="G76" i="13"/>
  <c r="H76" i="13"/>
  <c r="I76" i="13"/>
  <c r="J76" i="13"/>
  <c r="K76" i="13"/>
  <c r="A77" i="13"/>
  <c r="B77" i="13"/>
  <c r="C77" i="13"/>
  <c r="D77" i="13"/>
  <c r="E77" i="13"/>
  <c r="F77" i="13"/>
  <c r="G77" i="13"/>
  <c r="H77" i="13"/>
  <c r="I77" i="13"/>
  <c r="J77" i="13"/>
  <c r="K77" i="13"/>
  <c r="A78" i="13"/>
  <c r="B78" i="13"/>
  <c r="C78" i="13"/>
  <c r="D78" i="13"/>
  <c r="E78" i="13"/>
  <c r="F78" i="13"/>
  <c r="G78" i="13"/>
  <c r="H78" i="13"/>
  <c r="I78" i="13"/>
  <c r="J78" i="13"/>
  <c r="K78" i="13"/>
  <c r="A79" i="13"/>
  <c r="B79" i="13"/>
  <c r="C79" i="13"/>
  <c r="D79" i="13"/>
  <c r="E79" i="13"/>
  <c r="F79" i="13"/>
  <c r="G79" i="13"/>
  <c r="H79" i="13"/>
  <c r="I79" i="13"/>
  <c r="J79" i="13"/>
  <c r="K79" i="13"/>
  <c r="A80" i="13"/>
  <c r="B80" i="13"/>
  <c r="C80" i="13"/>
  <c r="D80" i="13"/>
  <c r="E80" i="13"/>
  <c r="F80" i="13"/>
  <c r="G80" i="13"/>
  <c r="H80" i="13"/>
  <c r="I80" i="13"/>
  <c r="J80" i="13"/>
  <c r="K80" i="13"/>
  <c r="A81" i="13"/>
  <c r="B81" i="13"/>
  <c r="C81" i="13"/>
  <c r="D81" i="13"/>
  <c r="E81" i="13"/>
  <c r="F81" i="13"/>
  <c r="G81" i="13"/>
  <c r="H81" i="13"/>
  <c r="I81" i="13"/>
  <c r="J81" i="13"/>
  <c r="K81" i="13"/>
  <c r="A82" i="13"/>
  <c r="B82" i="13"/>
  <c r="C82" i="13"/>
  <c r="D82" i="13"/>
  <c r="E82" i="13"/>
  <c r="F82" i="13"/>
  <c r="G82" i="13"/>
  <c r="H82" i="13"/>
  <c r="I82" i="13"/>
  <c r="J82" i="13"/>
  <c r="K82" i="13"/>
  <c r="A83" i="13"/>
  <c r="B83" i="13"/>
  <c r="C83" i="13"/>
  <c r="D83" i="13"/>
  <c r="E83" i="13"/>
  <c r="F83" i="13"/>
  <c r="G83" i="13"/>
  <c r="H83" i="13"/>
  <c r="I83" i="13"/>
  <c r="J83" i="13"/>
  <c r="K83" i="13"/>
  <c r="A84" i="13"/>
  <c r="B84" i="13"/>
  <c r="C84" i="13"/>
  <c r="D84" i="13"/>
  <c r="E84" i="13"/>
  <c r="F84" i="13"/>
  <c r="G84" i="13"/>
  <c r="H84" i="13"/>
  <c r="I84" i="13"/>
  <c r="J84" i="13"/>
  <c r="K84" i="13"/>
  <c r="A85" i="13"/>
  <c r="B85" i="13"/>
  <c r="C85" i="13"/>
  <c r="D85" i="13"/>
  <c r="E85" i="13"/>
  <c r="F85" i="13"/>
  <c r="G85" i="13"/>
  <c r="H85" i="13"/>
  <c r="I85" i="13"/>
  <c r="J85" i="13"/>
  <c r="K85" i="13"/>
  <c r="A86" i="13"/>
  <c r="B86" i="13"/>
  <c r="C86" i="13"/>
  <c r="D86" i="13"/>
  <c r="E86" i="13"/>
  <c r="F86" i="13"/>
  <c r="G86" i="13"/>
  <c r="H86" i="13"/>
  <c r="I86" i="13"/>
  <c r="J86" i="13"/>
  <c r="K86" i="13"/>
  <c r="A87" i="13"/>
  <c r="B87" i="13"/>
  <c r="C87" i="13"/>
  <c r="D87" i="13"/>
  <c r="E87" i="13"/>
  <c r="F87" i="13"/>
  <c r="G87" i="13"/>
  <c r="H87" i="13"/>
  <c r="I87" i="13"/>
  <c r="J87" i="13"/>
  <c r="K87" i="13"/>
  <c r="A88" i="13"/>
  <c r="B88" i="13"/>
  <c r="C88" i="13"/>
  <c r="D88" i="13"/>
  <c r="E88" i="13"/>
  <c r="F88" i="13"/>
  <c r="G88" i="13"/>
  <c r="H88" i="13"/>
  <c r="I88" i="13"/>
  <c r="J88" i="13"/>
  <c r="K88" i="13"/>
  <c r="A89" i="13"/>
  <c r="B89" i="13"/>
  <c r="C89" i="13"/>
  <c r="D89" i="13"/>
  <c r="E89" i="13"/>
  <c r="F89" i="13"/>
  <c r="G89" i="13"/>
  <c r="H89" i="13"/>
  <c r="I89" i="13"/>
  <c r="J89" i="13"/>
  <c r="K89" i="13"/>
  <c r="A90" i="13"/>
  <c r="B90" i="13"/>
  <c r="C90" i="13"/>
  <c r="D90" i="13"/>
  <c r="E90" i="13"/>
  <c r="F90" i="13"/>
  <c r="G90" i="13"/>
  <c r="H90" i="13"/>
  <c r="I90" i="13"/>
  <c r="J90" i="13"/>
  <c r="K90" i="13"/>
  <c r="A91" i="13"/>
  <c r="B91" i="13"/>
  <c r="C91" i="13"/>
  <c r="D91" i="13"/>
  <c r="E91" i="13"/>
  <c r="F91" i="13"/>
  <c r="G91" i="13"/>
  <c r="H91" i="13"/>
  <c r="I91" i="13"/>
  <c r="J91" i="13"/>
  <c r="K91" i="13"/>
  <c r="A92" i="13"/>
  <c r="B92" i="13"/>
  <c r="C92" i="13"/>
  <c r="D92" i="13"/>
  <c r="E92" i="13"/>
  <c r="F92" i="13"/>
  <c r="G92" i="13"/>
  <c r="H92" i="13"/>
  <c r="I92" i="13"/>
  <c r="J92" i="13"/>
  <c r="K92" i="13"/>
  <c r="A93" i="13"/>
  <c r="B93" i="13"/>
  <c r="C93" i="13"/>
  <c r="D93" i="13"/>
  <c r="E93" i="13"/>
  <c r="F93" i="13"/>
  <c r="G93" i="13"/>
  <c r="H93" i="13"/>
  <c r="I93" i="13"/>
  <c r="J93" i="13"/>
  <c r="K93" i="13"/>
  <c r="A94" i="13"/>
  <c r="B94" i="13"/>
  <c r="C94" i="13"/>
  <c r="D94" i="13"/>
  <c r="E94" i="13"/>
  <c r="F94" i="13"/>
  <c r="G94" i="13"/>
  <c r="H94" i="13"/>
  <c r="I94" i="13"/>
  <c r="J94" i="13"/>
  <c r="K94" i="13"/>
  <c r="A95" i="13"/>
  <c r="B95" i="13"/>
  <c r="C95" i="13"/>
  <c r="D95" i="13"/>
  <c r="E95" i="13"/>
  <c r="F95" i="13"/>
  <c r="G95" i="13"/>
  <c r="H95" i="13"/>
  <c r="I95" i="13"/>
  <c r="J95" i="13"/>
  <c r="K95" i="13"/>
  <c r="B73" i="13"/>
  <c r="C73" i="13"/>
  <c r="D73" i="13"/>
  <c r="E73" i="13"/>
  <c r="F73" i="13"/>
  <c r="G73" i="13"/>
  <c r="H73" i="13"/>
  <c r="I73" i="13"/>
  <c r="J73" i="13"/>
  <c r="K73" i="13"/>
  <c r="L73" i="13"/>
  <c r="A73" i="13"/>
  <c r="F5" i="14"/>
  <c r="G5" i="14"/>
  <c r="H5" i="14"/>
  <c r="I5" i="14"/>
  <c r="J5" i="14"/>
  <c r="K5" i="14"/>
  <c r="L5" i="14"/>
  <c r="M5" i="14"/>
  <c r="N5" i="14"/>
  <c r="O5" i="14"/>
  <c r="P5" i="14"/>
  <c r="E5" i="14"/>
  <c r="S2" i="9"/>
  <c r="T2" i="9"/>
  <c r="U2" i="9"/>
  <c r="V2" i="9"/>
  <c r="H7" i="8" s="1"/>
  <c r="W2" i="9"/>
  <c r="X2" i="9"/>
  <c r="Y2" i="9"/>
  <c r="Z2" i="9"/>
  <c r="L7" i="8" s="1"/>
  <c r="AA2" i="9"/>
  <c r="AB2" i="9"/>
  <c r="AC2" i="9"/>
  <c r="S3" i="9"/>
  <c r="T3" i="9"/>
  <c r="U3" i="9"/>
  <c r="V3" i="9"/>
  <c r="W3" i="9"/>
  <c r="X3" i="9"/>
  <c r="Y3" i="9"/>
  <c r="Z3" i="9"/>
  <c r="AA3" i="9"/>
  <c r="AB3" i="9"/>
  <c r="S4" i="9"/>
  <c r="T4" i="9"/>
  <c r="U4" i="9"/>
  <c r="V4" i="9"/>
  <c r="H9" i="8" s="1"/>
  <c r="W4" i="9"/>
  <c r="X4" i="9"/>
  <c r="Y4" i="9"/>
  <c r="Z4" i="9"/>
  <c r="L9" i="8" s="1"/>
  <c r="AA4" i="9"/>
  <c r="AB4" i="9"/>
  <c r="S5" i="9"/>
  <c r="T5" i="9"/>
  <c r="F10" i="8" s="1"/>
  <c r="U5" i="9"/>
  <c r="V5" i="9"/>
  <c r="W5" i="9"/>
  <c r="X5" i="9"/>
  <c r="J10" i="8" s="1"/>
  <c r="Y5" i="9"/>
  <c r="Z5" i="9"/>
  <c r="AA5" i="9"/>
  <c r="AB5" i="9"/>
  <c r="N10" i="8" s="1"/>
  <c r="S6" i="9"/>
  <c r="T6" i="9"/>
  <c r="U6" i="9"/>
  <c r="V6" i="9"/>
  <c r="H11" i="8" s="1"/>
  <c r="W6" i="9"/>
  <c r="X6" i="9"/>
  <c r="Y6" i="9"/>
  <c r="Z6" i="9"/>
  <c r="L11" i="8" s="1"/>
  <c r="AA6" i="9"/>
  <c r="AB6" i="9"/>
  <c r="S7" i="9"/>
  <c r="T7" i="9"/>
  <c r="U7" i="9"/>
  <c r="V7" i="9"/>
  <c r="W7" i="9"/>
  <c r="X7" i="9"/>
  <c r="Y7" i="9"/>
  <c r="Z7" i="9"/>
  <c r="AA7" i="9"/>
  <c r="AB7" i="9"/>
  <c r="S8" i="9"/>
  <c r="T8" i="9"/>
  <c r="U8" i="9"/>
  <c r="V8" i="9"/>
  <c r="H13" i="8" s="1"/>
  <c r="W8" i="9"/>
  <c r="X8" i="9"/>
  <c r="Y8" i="9"/>
  <c r="Z8" i="9"/>
  <c r="L13" i="8" s="1"/>
  <c r="AA8" i="9"/>
  <c r="AB8" i="9"/>
  <c r="S9" i="9"/>
  <c r="T9" i="9"/>
  <c r="F14" i="8" s="1"/>
  <c r="U9" i="9"/>
  <c r="V9" i="9"/>
  <c r="W9" i="9"/>
  <c r="X9" i="9"/>
  <c r="J14" i="8" s="1"/>
  <c r="Y9" i="9"/>
  <c r="Z9" i="9"/>
  <c r="AA9" i="9"/>
  <c r="AB9" i="9"/>
  <c r="N14" i="8" s="1"/>
  <c r="S10" i="9"/>
  <c r="T10" i="9"/>
  <c r="U10" i="9"/>
  <c r="V10" i="9"/>
  <c r="H15" i="8" s="1"/>
  <c r="W10" i="9"/>
  <c r="X10" i="9"/>
  <c r="Y10" i="9"/>
  <c r="Z10" i="9"/>
  <c r="L15" i="8" s="1"/>
  <c r="AA10" i="9"/>
  <c r="AB10" i="9"/>
  <c r="S11" i="9"/>
  <c r="T11" i="9"/>
  <c r="U11" i="9"/>
  <c r="V11" i="9"/>
  <c r="W11" i="9"/>
  <c r="X11" i="9"/>
  <c r="Y11" i="9"/>
  <c r="Z11" i="9"/>
  <c r="AA11" i="9"/>
  <c r="AB11" i="9"/>
  <c r="S12" i="9"/>
  <c r="T12" i="9"/>
  <c r="U12" i="9"/>
  <c r="V12" i="9"/>
  <c r="H17" i="8" s="1"/>
  <c r="W12" i="9"/>
  <c r="X12" i="9"/>
  <c r="Y12" i="9"/>
  <c r="Z12" i="9"/>
  <c r="L17" i="8" s="1"/>
  <c r="AA12" i="9"/>
  <c r="AB12" i="9"/>
  <c r="S13" i="9"/>
  <c r="T13" i="9"/>
  <c r="F18" i="8" s="1"/>
  <c r="U13" i="9"/>
  <c r="V13" i="9"/>
  <c r="W13" i="9"/>
  <c r="X13" i="9"/>
  <c r="J18" i="8" s="1"/>
  <c r="Y13" i="9"/>
  <c r="Z13" i="9"/>
  <c r="AA13" i="9"/>
  <c r="AB13" i="9"/>
  <c r="N18" i="8" s="1"/>
  <c r="S14" i="9"/>
  <c r="T14" i="9"/>
  <c r="U14" i="9"/>
  <c r="V14" i="9"/>
  <c r="H19" i="8" s="1"/>
  <c r="W14" i="9"/>
  <c r="X14" i="9"/>
  <c r="Y14" i="9"/>
  <c r="Z14" i="9"/>
  <c r="L19" i="8" s="1"/>
  <c r="AA14" i="9"/>
  <c r="AB14" i="9"/>
  <c r="S15" i="9"/>
  <c r="T15" i="9"/>
  <c r="U15" i="9"/>
  <c r="V15" i="9"/>
  <c r="W15" i="9"/>
  <c r="X15" i="9"/>
  <c r="Y15" i="9"/>
  <c r="Z15" i="9"/>
  <c r="AA15" i="9"/>
  <c r="AB15" i="9"/>
  <c r="S16" i="9"/>
  <c r="T16" i="9"/>
  <c r="U16" i="9"/>
  <c r="V16" i="9"/>
  <c r="W16" i="9"/>
  <c r="X16" i="9"/>
  <c r="Y16" i="9"/>
  <c r="Z16" i="9"/>
  <c r="AA16" i="9"/>
  <c r="AB16" i="9"/>
  <c r="S17" i="9"/>
  <c r="T17" i="9"/>
  <c r="U17" i="9"/>
  <c r="V17" i="9"/>
  <c r="W17" i="9"/>
  <c r="X17" i="9"/>
  <c r="Y17" i="9"/>
  <c r="Z17" i="9"/>
  <c r="AA17" i="9"/>
  <c r="AB17" i="9"/>
  <c r="S18" i="9"/>
  <c r="T18" i="9"/>
  <c r="U18" i="9"/>
  <c r="V18" i="9"/>
  <c r="W18" i="9"/>
  <c r="X18" i="9"/>
  <c r="Y18" i="9"/>
  <c r="Z18" i="9"/>
  <c r="AA18" i="9"/>
  <c r="AB18" i="9"/>
  <c r="S19" i="9"/>
  <c r="T19" i="9"/>
  <c r="U19" i="9"/>
  <c r="V19" i="9"/>
  <c r="W19" i="9"/>
  <c r="X19" i="9"/>
  <c r="Y19" i="9"/>
  <c r="Z19" i="9"/>
  <c r="AA19" i="9"/>
  <c r="AB19" i="9"/>
  <c r="S20" i="9"/>
  <c r="T20" i="9"/>
  <c r="U20" i="9"/>
  <c r="V20" i="9"/>
  <c r="W20" i="9"/>
  <c r="X20" i="9"/>
  <c r="Y20" i="9"/>
  <c r="Z20" i="9"/>
  <c r="AA20" i="9"/>
  <c r="AB20" i="9"/>
  <c r="S21" i="9"/>
  <c r="T21" i="9"/>
  <c r="U21" i="9"/>
  <c r="V21" i="9"/>
  <c r="W21" i="9"/>
  <c r="X21" i="9"/>
  <c r="Y21" i="9"/>
  <c r="Z21" i="9"/>
  <c r="AA21" i="9"/>
  <c r="AB21" i="9"/>
  <c r="S22" i="9"/>
  <c r="T22" i="9"/>
  <c r="U22" i="9"/>
  <c r="V22" i="9"/>
  <c r="W22" i="9"/>
  <c r="X22" i="9"/>
  <c r="Y22" i="9"/>
  <c r="Z22" i="9"/>
  <c r="AA22" i="9"/>
  <c r="AB22" i="9"/>
  <c r="S23" i="9"/>
  <c r="T23" i="9"/>
  <c r="U23" i="9"/>
  <c r="V23" i="9"/>
  <c r="W23" i="9"/>
  <c r="X23" i="9"/>
  <c r="Y23" i="9"/>
  <c r="Z23" i="9"/>
  <c r="AA23" i="9"/>
  <c r="AB23" i="9"/>
  <c r="S24" i="9"/>
  <c r="T24" i="9"/>
  <c r="U24" i="9"/>
  <c r="V24" i="9"/>
  <c r="W24" i="9"/>
  <c r="X24" i="9"/>
  <c r="Y24" i="9"/>
  <c r="Z24" i="9"/>
  <c r="AA24" i="9"/>
  <c r="AB24" i="9"/>
  <c r="S25" i="9"/>
  <c r="T25" i="9"/>
  <c r="U25" i="9"/>
  <c r="V25" i="9"/>
  <c r="W25" i="9"/>
  <c r="X25" i="9"/>
  <c r="Y25" i="9"/>
  <c r="Z25" i="9"/>
  <c r="AA25" i="9"/>
  <c r="AB25" i="9"/>
  <c r="AC25" i="9"/>
  <c r="S26" i="9"/>
  <c r="T26" i="9"/>
  <c r="U26" i="9"/>
  <c r="V26" i="9"/>
  <c r="W26" i="9"/>
  <c r="X26" i="9"/>
  <c r="Y26" i="9"/>
  <c r="Z26" i="9"/>
  <c r="AA26" i="9"/>
  <c r="AB26" i="9"/>
  <c r="AC26" i="9"/>
  <c r="S27" i="9"/>
  <c r="E19" i="8" s="1"/>
  <c r="T27" i="9"/>
  <c r="F19" i="8" s="1"/>
  <c r="U27" i="9"/>
  <c r="G19" i="8" s="1"/>
  <c r="V27" i="9"/>
  <c r="W27" i="9"/>
  <c r="I19" i="8" s="1"/>
  <c r="X27" i="9"/>
  <c r="J19" i="8" s="1"/>
  <c r="Y27" i="9"/>
  <c r="K19" i="8" s="1"/>
  <c r="Z27" i="9"/>
  <c r="AA27" i="9"/>
  <c r="M19" i="8" s="1"/>
  <c r="AB27" i="9"/>
  <c r="N19" i="8" s="1"/>
  <c r="AC27" i="9"/>
  <c r="S28" i="9"/>
  <c r="T28" i="9"/>
  <c r="U28" i="9"/>
  <c r="V28" i="9"/>
  <c r="W28" i="9"/>
  <c r="X28" i="9"/>
  <c r="Y28" i="9"/>
  <c r="Z28" i="9"/>
  <c r="AA28" i="9"/>
  <c r="AB28" i="9"/>
  <c r="AC28" i="9"/>
  <c r="S29" i="9"/>
  <c r="T29" i="9"/>
  <c r="U29" i="9"/>
  <c r="V29" i="9"/>
  <c r="W29" i="9"/>
  <c r="X29" i="9"/>
  <c r="Y29" i="9"/>
  <c r="Z29" i="9"/>
  <c r="AA29" i="9"/>
  <c r="AB29" i="9"/>
  <c r="AC29" i="9"/>
  <c r="S30" i="9"/>
  <c r="T30" i="9"/>
  <c r="U30" i="9"/>
  <c r="V30" i="9"/>
  <c r="W30" i="9"/>
  <c r="X30" i="9"/>
  <c r="Y30" i="9"/>
  <c r="Z30" i="9"/>
  <c r="AA30" i="9"/>
  <c r="AB30" i="9"/>
  <c r="AC30" i="9"/>
  <c r="S31" i="9"/>
  <c r="E23" i="8" s="1"/>
  <c r="T31" i="9"/>
  <c r="F23" i="8" s="1"/>
  <c r="U31" i="9"/>
  <c r="G23" i="8" s="1"/>
  <c r="V31" i="9"/>
  <c r="W31" i="9"/>
  <c r="I23" i="8" s="1"/>
  <c r="X31" i="9"/>
  <c r="J23" i="8" s="1"/>
  <c r="Y31" i="9"/>
  <c r="K23" i="8" s="1"/>
  <c r="Z31" i="9"/>
  <c r="AA31" i="9"/>
  <c r="M23" i="8" s="1"/>
  <c r="AB31" i="9"/>
  <c r="N23" i="8" s="1"/>
  <c r="AC31" i="9"/>
  <c r="S32" i="9"/>
  <c r="T32" i="9"/>
  <c r="U32" i="9"/>
  <c r="V32" i="9"/>
  <c r="W32" i="9"/>
  <c r="X32" i="9"/>
  <c r="Y32" i="9"/>
  <c r="Z32" i="9"/>
  <c r="AA32" i="9"/>
  <c r="AB32" i="9"/>
  <c r="AC32" i="9"/>
  <c r="S33" i="9"/>
  <c r="T33" i="9"/>
  <c r="U33" i="9"/>
  <c r="V33" i="9"/>
  <c r="W33" i="9"/>
  <c r="X33" i="9"/>
  <c r="Y33" i="9"/>
  <c r="Z33" i="9"/>
  <c r="AA33" i="9"/>
  <c r="AB33" i="9"/>
  <c r="AC33" i="9"/>
  <c r="S34" i="9"/>
  <c r="T34" i="9"/>
  <c r="U34" i="9"/>
  <c r="V34" i="9"/>
  <c r="W34" i="9"/>
  <c r="X34" i="9"/>
  <c r="Y34" i="9"/>
  <c r="Z34" i="9"/>
  <c r="AA34" i="9"/>
  <c r="AB34" i="9"/>
  <c r="AC34" i="9"/>
  <c r="S35" i="9"/>
  <c r="T35" i="9"/>
  <c r="U35" i="9"/>
  <c r="V35" i="9"/>
  <c r="W35" i="9"/>
  <c r="X35" i="9"/>
  <c r="Y35" i="9"/>
  <c r="Z35" i="9"/>
  <c r="AA35" i="9"/>
  <c r="AB35" i="9"/>
  <c r="AC35" i="9"/>
  <c r="S36" i="9"/>
  <c r="T36" i="9"/>
  <c r="U36" i="9"/>
  <c r="V36" i="9"/>
  <c r="W36" i="9"/>
  <c r="X36" i="9"/>
  <c r="Y36" i="9"/>
  <c r="Z36" i="9"/>
  <c r="AA36" i="9"/>
  <c r="AB36" i="9"/>
  <c r="AC36" i="9"/>
  <c r="S37" i="9"/>
  <c r="T37" i="9"/>
  <c r="U37" i="9"/>
  <c r="V37" i="9"/>
  <c r="W37" i="9"/>
  <c r="X37" i="9"/>
  <c r="Y37" i="9"/>
  <c r="Z37" i="9"/>
  <c r="AA37" i="9"/>
  <c r="AB37" i="9"/>
  <c r="AC37" i="9"/>
  <c r="S38" i="9"/>
  <c r="T38" i="9"/>
  <c r="U38" i="9"/>
  <c r="V38" i="9"/>
  <c r="W38" i="9"/>
  <c r="X38" i="9"/>
  <c r="Y38" i="9"/>
  <c r="Z38" i="9"/>
  <c r="AA38" i="9"/>
  <c r="AB38" i="9"/>
  <c r="AC38" i="9"/>
  <c r="S39" i="9"/>
  <c r="T39" i="9"/>
  <c r="U39" i="9"/>
  <c r="V39" i="9"/>
  <c r="W39" i="9"/>
  <c r="X39" i="9"/>
  <c r="Y39" i="9"/>
  <c r="Z39" i="9"/>
  <c r="AA39" i="9"/>
  <c r="AB39" i="9"/>
  <c r="AC39" i="9"/>
  <c r="S40" i="9"/>
  <c r="T40" i="9"/>
  <c r="U40" i="9"/>
  <c r="V40" i="9"/>
  <c r="W40" i="9"/>
  <c r="X40" i="9"/>
  <c r="Y40" i="9"/>
  <c r="Z40" i="9"/>
  <c r="AA40" i="9"/>
  <c r="AB40" i="9"/>
  <c r="AC40" i="9"/>
  <c r="S41" i="9"/>
  <c r="T41" i="9"/>
  <c r="U41" i="9"/>
  <c r="V41" i="9"/>
  <c r="W41" i="9"/>
  <c r="X41" i="9"/>
  <c r="Y41" i="9"/>
  <c r="Z41" i="9"/>
  <c r="AA41" i="9"/>
  <c r="AB41" i="9"/>
  <c r="AC41" i="9"/>
  <c r="S42" i="9"/>
  <c r="T42" i="9"/>
  <c r="U42" i="9"/>
  <c r="V42" i="9"/>
  <c r="W42" i="9"/>
  <c r="X42" i="9"/>
  <c r="Y42" i="9"/>
  <c r="Z42" i="9"/>
  <c r="AA42" i="9"/>
  <c r="AB42" i="9"/>
  <c r="AC42" i="9"/>
  <c r="S43" i="9"/>
  <c r="T43" i="9"/>
  <c r="U43" i="9"/>
  <c r="V43" i="9"/>
  <c r="W43" i="9"/>
  <c r="X43" i="9"/>
  <c r="Y43" i="9"/>
  <c r="Z43" i="9"/>
  <c r="AA43" i="9"/>
  <c r="AB43" i="9"/>
  <c r="AC43" i="9"/>
  <c r="S44" i="9"/>
  <c r="T44" i="9"/>
  <c r="U44" i="9"/>
  <c r="V44" i="9"/>
  <c r="W44" i="9"/>
  <c r="X44" i="9"/>
  <c r="Y44" i="9"/>
  <c r="Z44" i="9"/>
  <c r="AA44" i="9"/>
  <c r="AB44" i="9"/>
  <c r="AC44" i="9"/>
  <c r="S45" i="9"/>
  <c r="T45" i="9"/>
  <c r="U45" i="9"/>
  <c r="V45" i="9"/>
  <c r="W45" i="9"/>
  <c r="X45" i="9"/>
  <c r="Y45" i="9"/>
  <c r="Z45" i="9"/>
  <c r="AA45" i="9"/>
  <c r="AB45" i="9"/>
  <c r="AC45" i="9"/>
  <c r="S46" i="9"/>
  <c r="T46" i="9"/>
  <c r="U46" i="9"/>
  <c r="V46" i="9"/>
  <c r="W46" i="9"/>
  <c r="X46" i="9"/>
  <c r="Y46" i="9"/>
  <c r="Z46" i="9"/>
  <c r="AA46" i="9"/>
  <c r="AB46" i="9"/>
  <c r="AC46" i="9"/>
  <c r="S47" i="9"/>
  <c r="T47" i="9"/>
  <c r="U47" i="9"/>
  <c r="V47" i="9"/>
  <c r="W47" i="9"/>
  <c r="X47" i="9"/>
  <c r="Y47" i="9"/>
  <c r="Z47" i="9"/>
  <c r="AA47" i="9"/>
  <c r="AB47" i="9"/>
  <c r="AC47" i="9"/>
  <c r="S48" i="9"/>
  <c r="T48" i="9"/>
  <c r="U48" i="9"/>
  <c r="V48" i="9"/>
  <c r="W48" i="9"/>
  <c r="X48" i="9"/>
  <c r="Y48" i="9"/>
  <c r="Z48" i="9"/>
  <c r="AA48" i="9"/>
  <c r="AB48" i="9"/>
  <c r="AC48" i="9"/>
  <c r="S49" i="9"/>
  <c r="T49" i="9"/>
  <c r="U49" i="9"/>
  <c r="V49" i="9"/>
  <c r="W49" i="9"/>
  <c r="X49" i="9"/>
  <c r="Y49" i="9"/>
  <c r="Z49" i="9"/>
  <c r="AA49" i="9"/>
  <c r="AB49" i="9"/>
  <c r="AC49" i="9"/>
  <c r="S50" i="9"/>
  <c r="T50" i="9"/>
  <c r="U50" i="9"/>
  <c r="V50" i="9"/>
  <c r="W50" i="9"/>
  <c r="X50" i="9"/>
  <c r="Y50" i="9"/>
  <c r="Z50" i="9"/>
  <c r="AA50" i="9"/>
  <c r="AB50" i="9"/>
  <c r="AC50" i="9"/>
  <c r="S51" i="9"/>
  <c r="T51" i="9"/>
  <c r="U51" i="9"/>
  <c r="V51" i="9"/>
  <c r="W51" i="9"/>
  <c r="X51" i="9"/>
  <c r="Y51" i="9"/>
  <c r="Z51" i="9"/>
  <c r="AA51" i="9"/>
  <c r="AB51" i="9"/>
  <c r="AC51" i="9"/>
  <c r="S52" i="9"/>
  <c r="T52" i="9"/>
  <c r="U52" i="9"/>
  <c r="V52" i="9"/>
  <c r="W52" i="9"/>
  <c r="X52" i="9"/>
  <c r="Y52" i="9"/>
  <c r="Z52" i="9"/>
  <c r="AA52" i="9"/>
  <c r="AB52" i="9"/>
  <c r="AC52" i="9"/>
  <c r="S53" i="9"/>
  <c r="T53" i="9"/>
  <c r="U53" i="9"/>
  <c r="V53" i="9"/>
  <c r="W53" i="9"/>
  <c r="X53" i="9"/>
  <c r="Y53" i="9"/>
  <c r="Z53" i="9"/>
  <c r="AA53" i="9"/>
  <c r="AB53" i="9"/>
  <c r="AC53" i="9"/>
  <c r="S54" i="9"/>
  <c r="T54" i="9"/>
  <c r="U54" i="9"/>
  <c r="V54" i="9"/>
  <c r="W54" i="9"/>
  <c r="X54" i="9"/>
  <c r="Y54" i="9"/>
  <c r="Z54" i="9"/>
  <c r="AA54" i="9"/>
  <c r="AB54" i="9"/>
  <c r="AC54" i="9"/>
  <c r="S55" i="9"/>
  <c r="T55" i="9"/>
  <c r="U55" i="9"/>
  <c r="V55" i="9"/>
  <c r="W55" i="9"/>
  <c r="X55" i="9"/>
  <c r="Y55" i="9"/>
  <c r="Z55" i="9"/>
  <c r="AA55" i="9"/>
  <c r="AB55" i="9"/>
  <c r="AC55" i="9"/>
  <c r="S56" i="9"/>
  <c r="T56" i="9"/>
  <c r="U56" i="9"/>
  <c r="V56" i="9"/>
  <c r="W56" i="9"/>
  <c r="X56" i="9"/>
  <c r="Y56" i="9"/>
  <c r="Z56" i="9"/>
  <c r="AA56" i="9"/>
  <c r="AB56" i="9"/>
  <c r="AC56" i="9"/>
  <c r="S57" i="9"/>
  <c r="T57" i="9"/>
  <c r="U57" i="9"/>
  <c r="V57" i="9"/>
  <c r="W57" i="9"/>
  <c r="X57" i="9"/>
  <c r="Y57" i="9"/>
  <c r="Z57" i="9"/>
  <c r="AA57" i="9"/>
  <c r="AB57" i="9"/>
  <c r="AC57" i="9"/>
  <c r="S58" i="9"/>
  <c r="T58" i="9"/>
  <c r="U58" i="9"/>
  <c r="V58" i="9"/>
  <c r="W58" i="9"/>
  <c r="X58" i="9"/>
  <c r="Y58" i="9"/>
  <c r="Z58" i="9"/>
  <c r="AA58" i="9"/>
  <c r="AB58" i="9"/>
  <c r="AC58" i="9"/>
  <c r="S59" i="9"/>
  <c r="T59" i="9"/>
  <c r="U59" i="9"/>
  <c r="V59" i="9"/>
  <c r="W59" i="9"/>
  <c r="X59" i="9"/>
  <c r="Y59" i="9"/>
  <c r="Z59" i="9"/>
  <c r="AA59" i="9"/>
  <c r="AB59" i="9"/>
  <c r="AC59" i="9"/>
  <c r="S60" i="9"/>
  <c r="T60" i="9"/>
  <c r="U60" i="9"/>
  <c r="V60" i="9"/>
  <c r="W60" i="9"/>
  <c r="X60" i="9"/>
  <c r="Y60" i="9"/>
  <c r="Z60" i="9"/>
  <c r="AA60" i="9"/>
  <c r="AB60" i="9"/>
  <c r="AC60" i="9"/>
  <c r="S61" i="9"/>
  <c r="T61" i="9"/>
  <c r="U61" i="9"/>
  <c r="V61" i="9"/>
  <c r="W61" i="9"/>
  <c r="X61" i="9"/>
  <c r="Y61" i="9"/>
  <c r="Z61" i="9"/>
  <c r="AA61" i="9"/>
  <c r="AB61" i="9"/>
  <c r="AC61" i="9"/>
  <c r="S62" i="9"/>
  <c r="T62" i="9"/>
  <c r="U62" i="9"/>
  <c r="V62" i="9"/>
  <c r="W62" i="9"/>
  <c r="X62" i="9"/>
  <c r="Y62" i="9"/>
  <c r="Z62" i="9"/>
  <c r="AA62" i="9"/>
  <c r="AB62" i="9"/>
  <c r="AC62" i="9"/>
  <c r="S63" i="9"/>
  <c r="T63" i="9"/>
  <c r="U63" i="9"/>
  <c r="V63" i="9"/>
  <c r="W63" i="9"/>
  <c r="X63" i="9"/>
  <c r="Y63" i="9"/>
  <c r="Z63" i="9"/>
  <c r="AA63" i="9"/>
  <c r="AB63" i="9"/>
  <c r="AC63" i="9"/>
  <c r="S64" i="9"/>
  <c r="T64" i="9"/>
  <c r="U64" i="9"/>
  <c r="V64" i="9"/>
  <c r="W64" i="9"/>
  <c r="X64" i="9"/>
  <c r="Y64" i="9"/>
  <c r="Z64" i="9"/>
  <c r="AA64" i="9"/>
  <c r="AB64" i="9"/>
  <c r="AC64" i="9"/>
  <c r="S65" i="9"/>
  <c r="T65" i="9"/>
  <c r="U65" i="9"/>
  <c r="V65" i="9"/>
  <c r="W65" i="9"/>
  <c r="X65" i="9"/>
  <c r="Y65" i="9"/>
  <c r="Z65" i="9"/>
  <c r="AA65" i="9"/>
  <c r="AB65" i="9"/>
  <c r="AC65" i="9"/>
  <c r="S66" i="9"/>
  <c r="T66" i="9"/>
  <c r="U66" i="9"/>
  <c r="V66" i="9"/>
  <c r="W66" i="9"/>
  <c r="X66" i="9"/>
  <c r="Y66" i="9"/>
  <c r="Z66" i="9"/>
  <c r="AA66" i="9"/>
  <c r="AB66" i="9"/>
  <c r="AC66" i="9"/>
  <c r="S67" i="9"/>
  <c r="T67" i="9"/>
  <c r="U67" i="9"/>
  <c r="V67" i="9"/>
  <c r="W67" i="9"/>
  <c r="X67" i="9"/>
  <c r="Y67" i="9"/>
  <c r="Z67" i="9"/>
  <c r="AA67" i="9"/>
  <c r="AB67" i="9"/>
  <c r="AC67" i="9"/>
  <c r="S68" i="9"/>
  <c r="T68" i="9"/>
  <c r="U68" i="9"/>
  <c r="V68" i="9"/>
  <c r="W68" i="9"/>
  <c r="X68" i="9"/>
  <c r="Y68" i="9"/>
  <c r="Z68" i="9"/>
  <c r="AA68" i="9"/>
  <c r="AB68" i="9"/>
  <c r="AC68" i="9"/>
  <c r="S69" i="9"/>
  <c r="T69" i="9"/>
  <c r="U69" i="9"/>
  <c r="V69" i="9"/>
  <c r="W69" i="9"/>
  <c r="X69" i="9"/>
  <c r="Y69" i="9"/>
  <c r="Z69" i="9"/>
  <c r="AA69" i="9"/>
  <c r="AB69" i="9"/>
  <c r="AC69" i="9"/>
  <c r="S70" i="9"/>
  <c r="T70" i="9"/>
  <c r="U70" i="9"/>
  <c r="V70" i="9"/>
  <c r="W70" i="9"/>
  <c r="X70" i="9"/>
  <c r="Y70" i="9"/>
  <c r="Z70" i="9"/>
  <c r="AA70" i="9"/>
  <c r="AB70" i="9"/>
  <c r="AC70" i="9"/>
  <c r="S71" i="9"/>
  <c r="T71" i="9"/>
  <c r="U71" i="9"/>
  <c r="V71" i="9"/>
  <c r="W71" i="9"/>
  <c r="X71" i="9"/>
  <c r="Y71" i="9"/>
  <c r="Z71" i="9"/>
  <c r="AA71" i="9"/>
  <c r="AB71" i="9"/>
  <c r="AC71" i="9"/>
  <c r="S72" i="9"/>
  <c r="T72" i="9"/>
  <c r="U72" i="9"/>
  <c r="V72" i="9"/>
  <c r="W72" i="9"/>
  <c r="X72" i="9"/>
  <c r="Y72" i="9"/>
  <c r="Z72" i="9"/>
  <c r="AA72" i="9"/>
  <c r="AB72" i="9"/>
  <c r="AC72" i="9"/>
  <c r="S73" i="9"/>
  <c r="T73" i="9"/>
  <c r="U73" i="9"/>
  <c r="V73" i="9"/>
  <c r="W73" i="9"/>
  <c r="X73" i="9"/>
  <c r="Y73" i="9"/>
  <c r="Z73" i="9"/>
  <c r="AA73" i="9"/>
  <c r="AB73" i="9"/>
  <c r="AC73" i="9"/>
  <c r="S74" i="9"/>
  <c r="T74" i="9"/>
  <c r="U74" i="9"/>
  <c r="V74" i="9"/>
  <c r="W74" i="9"/>
  <c r="X74" i="9"/>
  <c r="Y74" i="9"/>
  <c r="Z74" i="9"/>
  <c r="AA74" i="9"/>
  <c r="AB74" i="9"/>
  <c r="AC74" i="9"/>
  <c r="S75" i="9"/>
  <c r="T75" i="9"/>
  <c r="U75" i="9"/>
  <c r="V75" i="9"/>
  <c r="W75" i="9"/>
  <c r="X75" i="9"/>
  <c r="Y75" i="9"/>
  <c r="Z75" i="9"/>
  <c r="AA75" i="9"/>
  <c r="AB75" i="9"/>
  <c r="AC75" i="9"/>
  <c r="S76" i="9"/>
  <c r="T76" i="9"/>
  <c r="U76" i="9"/>
  <c r="V76" i="9"/>
  <c r="W76" i="9"/>
  <c r="X76" i="9"/>
  <c r="Y76" i="9"/>
  <c r="Z76" i="9"/>
  <c r="AA76" i="9"/>
  <c r="AB76" i="9"/>
  <c r="AC76" i="9"/>
  <c r="S77" i="9"/>
  <c r="T77" i="9"/>
  <c r="U77" i="9"/>
  <c r="V77" i="9"/>
  <c r="W77" i="9"/>
  <c r="X77" i="9"/>
  <c r="Y77" i="9"/>
  <c r="Z77" i="9"/>
  <c r="AA77" i="9"/>
  <c r="AB77" i="9"/>
  <c r="AC77" i="9"/>
  <c r="S78" i="9"/>
  <c r="T78" i="9"/>
  <c r="U78" i="9"/>
  <c r="V78" i="9"/>
  <c r="W78" i="9"/>
  <c r="X78" i="9"/>
  <c r="Y78" i="9"/>
  <c r="Z78" i="9"/>
  <c r="AA78" i="9"/>
  <c r="AB78" i="9"/>
  <c r="AC78" i="9"/>
  <c r="S79" i="9"/>
  <c r="T79" i="9"/>
  <c r="U79" i="9"/>
  <c r="V79" i="9"/>
  <c r="W79" i="9"/>
  <c r="X79" i="9"/>
  <c r="Y79" i="9"/>
  <c r="Z79" i="9"/>
  <c r="AA79" i="9"/>
  <c r="AB79" i="9"/>
  <c r="AC79" i="9"/>
  <c r="S80" i="9"/>
  <c r="T80" i="9"/>
  <c r="U80" i="9"/>
  <c r="V80" i="9"/>
  <c r="W80" i="9"/>
  <c r="X80" i="9"/>
  <c r="Y80" i="9"/>
  <c r="Z80" i="9"/>
  <c r="AA80" i="9"/>
  <c r="AB80" i="9"/>
  <c r="AC80" i="9"/>
  <c r="S81" i="9"/>
  <c r="T81" i="9"/>
  <c r="U81" i="9"/>
  <c r="V81" i="9"/>
  <c r="W81" i="9"/>
  <c r="X81" i="9"/>
  <c r="Y81" i="9"/>
  <c r="Z81" i="9"/>
  <c r="AA81" i="9"/>
  <c r="AB81" i="9"/>
  <c r="AC81" i="9"/>
  <c r="S82" i="9"/>
  <c r="T82" i="9"/>
  <c r="U82" i="9"/>
  <c r="V82" i="9"/>
  <c r="W82" i="9"/>
  <c r="X82" i="9"/>
  <c r="Y82" i="9"/>
  <c r="Z82" i="9"/>
  <c r="AA82" i="9"/>
  <c r="AB82" i="9"/>
  <c r="AC82" i="9"/>
  <c r="S83" i="9"/>
  <c r="T83" i="9"/>
  <c r="U83" i="9"/>
  <c r="V83" i="9"/>
  <c r="W83" i="9"/>
  <c r="X83" i="9"/>
  <c r="Y83" i="9"/>
  <c r="Z83" i="9"/>
  <c r="AA83" i="9"/>
  <c r="AB83" i="9"/>
  <c r="AC83" i="9"/>
  <c r="S84" i="9"/>
  <c r="T84" i="9"/>
  <c r="U84" i="9"/>
  <c r="V84" i="9"/>
  <c r="W84" i="9"/>
  <c r="X84" i="9"/>
  <c r="Y84" i="9"/>
  <c r="Z84" i="9"/>
  <c r="AA84" i="9"/>
  <c r="AB84" i="9"/>
  <c r="AC84" i="9"/>
  <c r="S85" i="9"/>
  <c r="T85" i="9"/>
  <c r="U85" i="9"/>
  <c r="V85" i="9"/>
  <c r="W85" i="9"/>
  <c r="X85" i="9"/>
  <c r="Y85" i="9"/>
  <c r="Z85" i="9"/>
  <c r="AA85" i="9"/>
  <c r="AB85" i="9"/>
  <c r="AC85" i="9"/>
  <c r="S86" i="9"/>
  <c r="T86" i="9"/>
  <c r="U86" i="9"/>
  <c r="V86" i="9"/>
  <c r="W86" i="9"/>
  <c r="X86" i="9"/>
  <c r="Y86" i="9"/>
  <c r="Z86" i="9"/>
  <c r="AA86" i="9"/>
  <c r="AB86" i="9"/>
  <c r="AC86" i="9"/>
  <c r="S87" i="9"/>
  <c r="T87" i="9"/>
  <c r="U87" i="9"/>
  <c r="V87" i="9"/>
  <c r="W87" i="9"/>
  <c r="X87" i="9"/>
  <c r="Y87" i="9"/>
  <c r="Z87" i="9"/>
  <c r="AA87" i="9"/>
  <c r="AB87" i="9"/>
  <c r="AC87" i="9"/>
  <c r="S88" i="9"/>
  <c r="T88" i="9"/>
  <c r="U88" i="9"/>
  <c r="V88" i="9"/>
  <c r="W88" i="9"/>
  <c r="X88" i="9"/>
  <c r="Y88" i="9"/>
  <c r="Z88" i="9"/>
  <c r="AA88" i="9"/>
  <c r="AB88" i="9"/>
  <c r="AC88" i="9"/>
  <c r="S89" i="9"/>
  <c r="T89" i="9"/>
  <c r="U89" i="9"/>
  <c r="V89" i="9"/>
  <c r="W89" i="9"/>
  <c r="X89" i="9"/>
  <c r="Y89" i="9"/>
  <c r="Z89" i="9"/>
  <c r="AA89" i="9"/>
  <c r="AB89" i="9"/>
  <c r="AC89" i="9"/>
  <c r="S90" i="9"/>
  <c r="T90" i="9"/>
  <c r="U90" i="9"/>
  <c r="V90" i="9"/>
  <c r="W90" i="9"/>
  <c r="X90" i="9"/>
  <c r="Y90" i="9"/>
  <c r="Z90" i="9"/>
  <c r="AA90" i="9"/>
  <c r="AB90" i="9"/>
  <c r="AC90" i="9"/>
  <c r="S91" i="9"/>
  <c r="T91" i="9"/>
  <c r="U91" i="9"/>
  <c r="V91" i="9"/>
  <c r="W91" i="9"/>
  <c r="X91" i="9"/>
  <c r="Y91" i="9"/>
  <c r="Z91" i="9"/>
  <c r="AA91" i="9"/>
  <c r="AB91" i="9"/>
  <c r="AC91" i="9"/>
  <c r="S92" i="9"/>
  <c r="T92" i="9"/>
  <c r="U92" i="9"/>
  <c r="V92" i="9"/>
  <c r="W92" i="9"/>
  <c r="X92" i="9"/>
  <c r="Y92" i="9"/>
  <c r="Z92" i="9"/>
  <c r="AA92" i="9"/>
  <c r="AB92" i="9"/>
  <c r="AC92" i="9"/>
  <c r="S93" i="9"/>
  <c r="T93" i="9"/>
  <c r="U93" i="9"/>
  <c r="V93" i="9"/>
  <c r="W93" i="9"/>
  <c r="X93" i="9"/>
  <c r="Y93" i="9"/>
  <c r="Z93" i="9"/>
  <c r="AA93" i="9"/>
  <c r="AB93" i="9"/>
  <c r="AC93" i="9"/>
  <c r="S94" i="9"/>
  <c r="T94" i="9"/>
  <c r="U94" i="9"/>
  <c r="V94" i="9"/>
  <c r="W94" i="9"/>
  <c r="X94" i="9"/>
  <c r="Y94" i="9"/>
  <c r="Z94" i="9"/>
  <c r="AA94" i="9"/>
  <c r="AB94" i="9"/>
  <c r="AC94" i="9"/>
  <c r="S95" i="9"/>
  <c r="T95" i="9"/>
  <c r="U95" i="9"/>
  <c r="V95" i="9"/>
  <c r="W95" i="9"/>
  <c r="X95" i="9"/>
  <c r="Y95" i="9"/>
  <c r="Z95" i="9"/>
  <c r="AA95" i="9"/>
  <c r="AB95" i="9"/>
  <c r="AC95" i="9"/>
  <c r="S96" i="9"/>
  <c r="T96" i="9"/>
  <c r="U96" i="9"/>
  <c r="V96" i="9"/>
  <c r="W96" i="9"/>
  <c r="X96" i="9"/>
  <c r="Y96" i="9"/>
  <c r="Z96" i="9"/>
  <c r="AA96" i="9"/>
  <c r="AB96" i="9"/>
  <c r="AC96" i="9"/>
  <c r="S97" i="9"/>
  <c r="T97" i="9"/>
  <c r="U97" i="9"/>
  <c r="V97" i="9"/>
  <c r="W97" i="9"/>
  <c r="X97" i="9"/>
  <c r="Y97" i="9"/>
  <c r="Z97" i="9"/>
  <c r="AA97" i="9"/>
  <c r="AB97" i="9"/>
  <c r="AC97" i="9"/>
  <c r="S98" i="9"/>
  <c r="T98" i="9"/>
  <c r="U98" i="9"/>
  <c r="V98" i="9"/>
  <c r="W98" i="9"/>
  <c r="X98" i="9"/>
  <c r="Y98" i="9"/>
  <c r="Z98" i="9"/>
  <c r="AA98" i="9"/>
  <c r="AB98" i="9"/>
  <c r="AC98" i="9"/>
  <c r="S99" i="9"/>
  <c r="T99" i="9"/>
  <c r="U99" i="9"/>
  <c r="V99" i="9"/>
  <c r="W99" i="9"/>
  <c r="X99" i="9"/>
  <c r="Y99" i="9"/>
  <c r="Z99" i="9"/>
  <c r="AA99" i="9"/>
  <c r="AB99" i="9"/>
  <c r="AC99" i="9"/>
  <c r="S100" i="9"/>
  <c r="T100" i="9"/>
  <c r="U100" i="9"/>
  <c r="V100" i="9"/>
  <c r="W100" i="9"/>
  <c r="X100" i="9"/>
  <c r="Y100" i="9"/>
  <c r="Z100" i="9"/>
  <c r="AA100" i="9"/>
  <c r="AB100" i="9"/>
  <c r="AC100" i="9"/>
  <c r="S101" i="9"/>
  <c r="T101" i="9"/>
  <c r="U101" i="9"/>
  <c r="V101" i="9"/>
  <c r="W101" i="9"/>
  <c r="X101" i="9"/>
  <c r="Y101" i="9"/>
  <c r="Z101" i="9"/>
  <c r="AA101" i="9"/>
  <c r="AB101" i="9"/>
  <c r="AC101" i="9"/>
  <c r="S102" i="9"/>
  <c r="T102" i="9"/>
  <c r="U102" i="9"/>
  <c r="V102" i="9"/>
  <c r="W102" i="9"/>
  <c r="X102" i="9"/>
  <c r="Y102" i="9"/>
  <c r="Z102" i="9"/>
  <c r="AA102" i="9"/>
  <c r="AB102" i="9"/>
  <c r="AC102" i="9"/>
  <c r="S103" i="9"/>
  <c r="T103" i="9"/>
  <c r="U103" i="9"/>
  <c r="V103" i="9"/>
  <c r="W103" i="9"/>
  <c r="X103" i="9"/>
  <c r="Y103" i="9"/>
  <c r="Z103" i="9"/>
  <c r="AA103" i="9"/>
  <c r="AB103" i="9"/>
  <c r="AC103" i="9"/>
  <c r="S104" i="9"/>
  <c r="T104" i="9"/>
  <c r="U104" i="9"/>
  <c r="V104" i="9"/>
  <c r="W104" i="9"/>
  <c r="X104" i="9"/>
  <c r="Y104" i="9"/>
  <c r="Z104" i="9"/>
  <c r="AA104" i="9"/>
  <c r="AB104" i="9"/>
  <c r="AC104" i="9"/>
  <c r="S105" i="9"/>
  <c r="T105" i="9"/>
  <c r="U105" i="9"/>
  <c r="V105" i="9"/>
  <c r="W105" i="9"/>
  <c r="X105" i="9"/>
  <c r="Y105" i="9"/>
  <c r="Z105" i="9"/>
  <c r="AA105" i="9"/>
  <c r="AB105" i="9"/>
  <c r="AC105" i="9"/>
  <c r="S106" i="9"/>
  <c r="T106" i="9"/>
  <c r="U106" i="9"/>
  <c r="V106" i="9"/>
  <c r="W106" i="9"/>
  <c r="X106" i="9"/>
  <c r="Y106" i="9"/>
  <c r="Z106" i="9"/>
  <c r="AA106" i="9"/>
  <c r="AB106" i="9"/>
  <c r="AC106" i="9"/>
  <c r="S107" i="9"/>
  <c r="T107" i="9"/>
  <c r="U107" i="9"/>
  <c r="V107" i="9"/>
  <c r="W107" i="9"/>
  <c r="X107" i="9"/>
  <c r="Y107" i="9"/>
  <c r="Z107" i="9"/>
  <c r="AA107" i="9"/>
  <c r="AB107" i="9"/>
  <c r="AC107" i="9"/>
  <c r="S108" i="9"/>
  <c r="T108" i="9"/>
  <c r="U108" i="9"/>
  <c r="V108" i="9"/>
  <c r="W108" i="9"/>
  <c r="X108" i="9"/>
  <c r="Y108" i="9"/>
  <c r="Z108" i="9"/>
  <c r="AA108" i="9"/>
  <c r="AB108" i="9"/>
  <c r="AC108" i="9"/>
  <c r="S109" i="9"/>
  <c r="T109" i="9"/>
  <c r="U109" i="9"/>
  <c r="V109" i="9"/>
  <c r="W109" i="9"/>
  <c r="X109" i="9"/>
  <c r="Y109" i="9"/>
  <c r="Z109" i="9"/>
  <c r="AA109" i="9"/>
  <c r="AB109" i="9"/>
  <c r="AC109" i="9"/>
  <c r="S110" i="9"/>
  <c r="T110" i="9"/>
  <c r="U110" i="9"/>
  <c r="V110" i="9"/>
  <c r="W110" i="9"/>
  <c r="X110" i="9"/>
  <c r="Y110" i="9"/>
  <c r="Z110" i="9"/>
  <c r="AA110" i="9"/>
  <c r="AB110" i="9"/>
  <c r="AC110" i="9"/>
  <c r="S111" i="9"/>
  <c r="T111" i="9"/>
  <c r="U111" i="9"/>
  <c r="V111" i="9"/>
  <c r="W111" i="9"/>
  <c r="X111" i="9"/>
  <c r="Y111" i="9"/>
  <c r="Z111" i="9"/>
  <c r="AA111" i="9"/>
  <c r="AB111" i="9"/>
  <c r="AC111" i="9"/>
  <c r="S112" i="9"/>
  <c r="T112" i="9"/>
  <c r="U112" i="9"/>
  <c r="V112" i="9"/>
  <c r="W112" i="9"/>
  <c r="X112" i="9"/>
  <c r="Y112" i="9"/>
  <c r="Z112" i="9"/>
  <c r="AA112" i="9"/>
  <c r="AB112" i="9"/>
  <c r="AC112" i="9"/>
  <c r="S113" i="9"/>
  <c r="T113" i="9"/>
  <c r="U113" i="9"/>
  <c r="V113" i="9"/>
  <c r="W113" i="9"/>
  <c r="X113" i="9"/>
  <c r="Y113" i="9"/>
  <c r="Z113" i="9"/>
  <c r="AA113" i="9"/>
  <c r="AB113" i="9"/>
  <c r="AC113" i="9"/>
  <c r="S114" i="9"/>
  <c r="T114" i="9"/>
  <c r="U114" i="9"/>
  <c r="V114" i="9"/>
  <c r="W114" i="9"/>
  <c r="X114" i="9"/>
  <c r="Y114" i="9"/>
  <c r="Z114" i="9"/>
  <c r="AA114" i="9"/>
  <c r="AB114" i="9"/>
  <c r="AC114" i="9"/>
  <c r="S115" i="9"/>
  <c r="T115" i="9"/>
  <c r="U115" i="9"/>
  <c r="V115" i="9"/>
  <c r="W115" i="9"/>
  <c r="X115" i="9"/>
  <c r="Y115" i="9"/>
  <c r="Z115" i="9"/>
  <c r="AA115" i="9"/>
  <c r="AB115" i="9"/>
  <c r="AC115" i="9"/>
  <c r="S116" i="9"/>
  <c r="T116" i="9"/>
  <c r="U116" i="9"/>
  <c r="V116" i="9"/>
  <c r="W116" i="9"/>
  <c r="X116" i="9"/>
  <c r="Y116" i="9"/>
  <c r="Z116" i="9"/>
  <c r="AA116" i="9"/>
  <c r="AB116" i="9"/>
  <c r="AC116" i="9"/>
  <c r="S117" i="9"/>
  <c r="T117" i="9"/>
  <c r="U117" i="9"/>
  <c r="V117" i="9"/>
  <c r="W117" i="9"/>
  <c r="X117" i="9"/>
  <c r="Y117" i="9"/>
  <c r="Z117" i="9"/>
  <c r="AA117" i="9"/>
  <c r="AB117" i="9"/>
  <c r="AC117" i="9"/>
  <c r="S118" i="9"/>
  <c r="T118" i="9"/>
  <c r="U118" i="9"/>
  <c r="V118" i="9"/>
  <c r="W118" i="9"/>
  <c r="X118" i="9"/>
  <c r="Y118" i="9"/>
  <c r="Z118" i="9"/>
  <c r="AA118" i="9"/>
  <c r="AB118" i="9"/>
  <c r="AC118" i="9"/>
  <c r="S119" i="9"/>
  <c r="T119" i="9"/>
  <c r="U119" i="9"/>
  <c r="V119" i="9"/>
  <c r="W119" i="9"/>
  <c r="X119" i="9"/>
  <c r="Y119" i="9"/>
  <c r="Z119" i="9"/>
  <c r="AA119" i="9"/>
  <c r="AB119" i="9"/>
  <c r="AC119" i="9"/>
  <c r="S120" i="9"/>
  <c r="T120" i="9"/>
  <c r="U120" i="9"/>
  <c r="V120" i="9"/>
  <c r="W120" i="9"/>
  <c r="X120" i="9"/>
  <c r="Y120" i="9"/>
  <c r="Z120" i="9"/>
  <c r="AA120" i="9"/>
  <c r="AB120" i="9"/>
  <c r="AC120" i="9"/>
  <c r="S121" i="9"/>
  <c r="T121" i="9"/>
  <c r="U121" i="9"/>
  <c r="V121" i="9"/>
  <c r="W121" i="9"/>
  <c r="X121" i="9"/>
  <c r="Y121" i="9"/>
  <c r="Z121" i="9"/>
  <c r="AA121" i="9"/>
  <c r="AB121" i="9"/>
  <c r="AC121" i="9"/>
  <c r="S122" i="9"/>
  <c r="T122" i="9"/>
  <c r="U122" i="9"/>
  <c r="V122" i="9"/>
  <c r="W122" i="9"/>
  <c r="X122" i="9"/>
  <c r="Y122" i="9"/>
  <c r="Z122" i="9"/>
  <c r="AA122" i="9"/>
  <c r="AB122" i="9"/>
  <c r="AC122" i="9"/>
  <c r="S123" i="9"/>
  <c r="T123" i="9"/>
  <c r="U123" i="9"/>
  <c r="V123" i="9"/>
  <c r="W123" i="9"/>
  <c r="X123" i="9"/>
  <c r="Y123" i="9"/>
  <c r="Z123" i="9"/>
  <c r="AA123" i="9"/>
  <c r="AB123" i="9"/>
  <c r="AC123" i="9"/>
  <c r="S124" i="9"/>
  <c r="T124" i="9"/>
  <c r="U124" i="9"/>
  <c r="V124" i="9"/>
  <c r="W124" i="9"/>
  <c r="X124" i="9"/>
  <c r="Y124" i="9"/>
  <c r="Z124" i="9"/>
  <c r="AA124" i="9"/>
  <c r="AB124" i="9"/>
  <c r="AC124" i="9"/>
  <c r="S125" i="9"/>
  <c r="T125" i="9"/>
  <c r="U125" i="9"/>
  <c r="V125" i="9"/>
  <c r="W125" i="9"/>
  <c r="X125" i="9"/>
  <c r="Y125" i="9"/>
  <c r="Z125" i="9"/>
  <c r="AA125" i="9"/>
  <c r="AB125" i="9"/>
  <c r="AC125" i="9"/>
  <c r="S126" i="9"/>
  <c r="T126" i="9"/>
  <c r="U126" i="9"/>
  <c r="V126" i="9"/>
  <c r="W126" i="9"/>
  <c r="X126" i="9"/>
  <c r="Y126" i="9"/>
  <c r="Z126" i="9"/>
  <c r="AA126" i="9"/>
  <c r="AB126" i="9"/>
  <c r="AC126" i="9"/>
  <c r="S127" i="9"/>
  <c r="T127" i="9"/>
  <c r="U127" i="9"/>
  <c r="V127" i="9"/>
  <c r="W127" i="9"/>
  <c r="X127" i="9"/>
  <c r="Y127" i="9"/>
  <c r="Z127" i="9"/>
  <c r="AA127" i="9"/>
  <c r="AB127" i="9"/>
  <c r="AC127" i="9"/>
  <c r="S128" i="9"/>
  <c r="T128" i="9"/>
  <c r="U128" i="9"/>
  <c r="V128" i="9"/>
  <c r="W128" i="9"/>
  <c r="X128" i="9"/>
  <c r="Y128" i="9"/>
  <c r="Z128" i="9"/>
  <c r="AA128" i="9"/>
  <c r="AB128" i="9"/>
  <c r="AC128" i="9"/>
  <c r="S129" i="9"/>
  <c r="T129" i="9"/>
  <c r="U129" i="9"/>
  <c r="V129" i="9"/>
  <c r="W129" i="9"/>
  <c r="X129" i="9"/>
  <c r="Y129" i="9"/>
  <c r="Z129" i="9"/>
  <c r="AA129" i="9"/>
  <c r="AB129" i="9"/>
  <c r="AC129" i="9"/>
  <c r="S130" i="9"/>
  <c r="T130" i="9"/>
  <c r="U130" i="9"/>
  <c r="V130" i="9"/>
  <c r="W130" i="9"/>
  <c r="X130" i="9"/>
  <c r="Y130" i="9"/>
  <c r="Z130" i="9"/>
  <c r="AA130" i="9"/>
  <c r="AB130" i="9"/>
  <c r="AC130" i="9"/>
  <c r="S131" i="9"/>
  <c r="T131" i="9"/>
  <c r="U131" i="9"/>
  <c r="V131" i="9"/>
  <c r="W131" i="9"/>
  <c r="X131" i="9"/>
  <c r="Y131" i="9"/>
  <c r="Z131" i="9"/>
  <c r="AA131" i="9"/>
  <c r="AB131" i="9"/>
  <c r="AC131" i="9"/>
  <c r="S132" i="9"/>
  <c r="T132" i="9"/>
  <c r="U132" i="9"/>
  <c r="V132" i="9"/>
  <c r="W132" i="9"/>
  <c r="X132" i="9"/>
  <c r="Y132" i="9"/>
  <c r="Z132" i="9"/>
  <c r="AA132" i="9"/>
  <c r="AB132" i="9"/>
  <c r="AC132" i="9"/>
  <c r="S133" i="9"/>
  <c r="T133" i="9"/>
  <c r="U133" i="9"/>
  <c r="V133" i="9"/>
  <c r="W133" i="9"/>
  <c r="X133" i="9"/>
  <c r="Y133" i="9"/>
  <c r="Z133" i="9"/>
  <c r="AA133" i="9"/>
  <c r="AB133" i="9"/>
  <c r="AC133" i="9"/>
  <c r="S134" i="9"/>
  <c r="T134" i="9"/>
  <c r="U134" i="9"/>
  <c r="V134" i="9"/>
  <c r="W134" i="9"/>
  <c r="X134" i="9"/>
  <c r="Y134" i="9"/>
  <c r="Z134" i="9"/>
  <c r="AA134" i="9"/>
  <c r="AB134" i="9"/>
  <c r="AC134" i="9"/>
  <c r="S135" i="9"/>
  <c r="T135" i="9"/>
  <c r="U135" i="9"/>
  <c r="V135" i="9"/>
  <c r="W135" i="9"/>
  <c r="X135" i="9"/>
  <c r="Y135" i="9"/>
  <c r="Z135" i="9"/>
  <c r="AA135" i="9"/>
  <c r="AB135" i="9"/>
  <c r="AC135" i="9"/>
  <c r="S136" i="9"/>
  <c r="T136" i="9"/>
  <c r="U136" i="9"/>
  <c r="V136" i="9"/>
  <c r="W136" i="9"/>
  <c r="X136" i="9"/>
  <c r="Y136" i="9"/>
  <c r="Z136" i="9"/>
  <c r="AA136" i="9"/>
  <c r="AB136" i="9"/>
  <c r="AC136" i="9"/>
  <c r="S137" i="9"/>
  <c r="T137" i="9"/>
  <c r="U137" i="9"/>
  <c r="V137" i="9"/>
  <c r="W137" i="9"/>
  <c r="X137" i="9"/>
  <c r="Y137" i="9"/>
  <c r="Z137" i="9"/>
  <c r="AA137" i="9"/>
  <c r="AB137" i="9"/>
  <c r="AC137" i="9"/>
  <c r="S138" i="9"/>
  <c r="T138" i="9"/>
  <c r="U138" i="9"/>
  <c r="V138" i="9"/>
  <c r="W138" i="9"/>
  <c r="X138" i="9"/>
  <c r="Y138" i="9"/>
  <c r="Z138" i="9"/>
  <c r="AA138" i="9"/>
  <c r="AB138" i="9"/>
  <c r="AC138" i="9"/>
  <c r="S139" i="9"/>
  <c r="T139" i="9"/>
  <c r="U139" i="9"/>
  <c r="V139" i="9"/>
  <c r="W139" i="9"/>
  <c r="X139" i="9"/>
  <c r="Y139" i="9"/>
  <c r="Z139" i="9"/>
  <c r="AA139" i="9"/>
  <c r="AB139" i="9"/>
  <c r="AC139" i="9"/>
  <c r="S140" i="9"/>
  <c r="T140" i="9"/>
  <c r="U140" i="9"/>
  <c r="V140" i="9"/>
  <c r="W140" i="9"/>
  <c r="X140" i="9"/>
  <c r="Y140" i="9"/>
  <c r="Z140" i="9"/>
  <c r="AA140" i="9"/>
  <c r="AB140" i="9"/>
  <c r="AC140" i="9"/>
  <c r="S141" i="9"/>
  <c r="T141" i="9"/>
  <c r="U141" i="9"/>
  <c r="V141" i="9"/>
  <c r="W141" i="9"/>
  <c r="X141" i="9"/>
  <c r="Y141" i="9"/>
  <c r="Z141" i="9"/>
  <c r="AA141" i="9"/>
  <c r="AB141" i="9"/>
  <c r="AC141" i="9"/>
  <c r="S142" i="9"/>
  <c r="T142" i="9"/>
  <c r="U142" i="9"/>
  <c r="V142" i="9"/>
  <c r="W142" i="9"/>
  <c r="X142" i="9"/>
  <c r="Y142" i="9"/>
  <c r="Z142" i="9"/>
  <c r="AA142" i="9"/>
  <c r="AB142" i="9"/>
  <c r="AC142" i="9"/>
  <c r="S143" i="9"/>
  <c r="T143" i="9"/>
  <c r="U143" i="9"/>
  <c r="V143" i="9"/>
  <c r="W143" i="9"/>
  <c r="X143" i="9"/>
  <c r="Y143" i="9"/>
  <c r="Z143" i="9"/>
  <c r="AA143" i="9"/>
  <c r="AB143" i="9"/>
  <c r="AC143" i="9"/>
  <c r="S144" i="9"/>
  <c r="T144" i="9"/>
  <c r="U144" i="9"/>
  <c r="V144" i="9"/>
  <c r="W144" i="9"/>
  <c r="X144" i="9"/>
  <c r="Y144" i="9"/>
  <c r="Z144" i="9"/>
  <c r="AA144" i="9"/>
  <c r="AB144" i="9"/>
  <c r="AC144" i="9"/>
  <c r="S145" i="9"/>
  <c r="T145" i="9"/>
  <c r="U145" i="9"/>
  <c r="V145" i="9"/>
  <c r="W145" i="9"/>
  <c r="X145" i="9"/>
  <c r="Y145" i="9"/>
  <c r="Z145" i="9"/>
  <c r="AA145" i="9"/>
  <c r="AB145" i="9"/>
  <c r="AC145" i="9"/>
  <c r="S146" i="9"/>
  <c r="T146" i="9"/>
  <c r="U146" i="9"/>
  <c r="V146" i="9"/>
  <c r="W146" i="9"/>
  <c r="X146" i="9"/>
  <c r="Y146" i="9"/>
  <c r="Z146" i="9"/>
  <c r="AA146" i="9"/>
  <c r="AB146" i="9"/>
  <c r="AC146" i="9"/>
  <c r="S147" i="9"/>
  <c r="T147" i="9"/>
  <c r="U147" i="9"/>
  <c r="V147" i="9"/>
  <c r="W147" i="9"/>
  <c r="X147" i="9"/>
  <c r="Y147" i="9"/>
  <c r="Z147" i="9"/>
  <c r="AA147" i="9"/>
  <c r="AB147" i="9"/>
  <c r="AC147" i="9"/>
  <c r="S148" i="9"/>
  <c r="T148" i="9"/>
  <c r="U148" i="9"/>
  <c r="V148" i="9"/>
  <c r="W148" i="9"/>
  <c r="X148" i="9"/>
  <c r="Y148" i="9"/>
  <c r="Z148" i="9"/>
  <c r="AA148" i="9"/>
  <c r="AB148" i="9"/>
  <c r="AC148" i="9"/>
  <c r="S149" i="9"/>
  <c r="T149" i="9"/>
  <c r="U149" i="9"/>
  <c r="V149" i="9"/>
  <c r="W149" i="9"/>
  <c r="X149" i="9"/>
  <c r="Y149" i="9"/>
  <c r="Z149" i="9"/>
  <c r="AA149" i="9"/>
  <c r="AB149" i="9"/>
  <c r="AC149" i="9"/>
  <c r="S150" i="9"/>
  <c r="T150" i="9"/>
  <c r="U150" i="9"/>
  <c r="V150" i="9"/>
  <c r="W150" i="9"/>
  <c r="X150" i="9"/>
  <c r="Y150" i="9"/>
  <c r="Z150" i="9"/>
  <c r="AA150" i="9"/>
  <c r="AB150" i="9"/>
  <c r="AC150" i="9"/>
  <c r="S151" i="9"/>
  <c r="T151" i="9"/>
  <c r="U151" i="9"/>
  <c r="V151" i="9"/>
  <c r="W151" i="9"/>
  <c r="X151" i="9"/>
  <c r="Y151" i="9"/>
  <c r="Z151" i="9"/>
  <c r="AA151" i="9"/>
  <c r="AB151" i="9"/>
  <c r="AC151" i="9"/>
  <c r="S152" i="9"/>
  <c r="T152" i="9"/>
  <c r="U152" i="9"/>
  <c r="V152" i="9"/>
  <c r="W152" i="9"/>
  <c r="X152" i="9"/>
  <c r="Y152" i="9"/>
  <c r="Z152" i="9"/>
  <c r="AA152" i="9"/>
  <c r="AB152" i="9"/>
  <c r="AC152" i="9"/>
  <c r="S153" i="9"/>
  <c r="T153" i="9"/>
  <c r="U153" i="9"/>
  <c r="V153" i="9"/>
  <c r="W153" i="9"/>
  <c r="X153" i="9"/>
  <c r="Y153" i="9"/>
  <c r="Z153" i="9"/>
  <c r="AA153" i="9"/>
  <c r="AB153" i="9"/>
  <c r="AC153" i="9"/>
  <c r="S154" i="9"/>
  <c r="T154" i="9"/>
  <c r="U154" i="9"/>
  <c r="V154" i="9"/>
  <c r="W154" i="9"/>
  <c r="X154" i="9"/>
  <c r="Y154" i="9"/>
  <c r="Z154" i="9"/>
  <c r="AA154" i="9"/>
  <c r="AB154" i="9"/>
  <c r="AC154" i="9"/>
  <c r="S155" i="9"/>
  <c r="T155" i="9"/>
  <c r="U155" i="9"/>
  <c r="V155" i="9"/>
  <c r="W155" i="9"/>
  <c r="X155" i="9"/>
  <c r="Y155" i="9"/>
  <c r="Z155" i="9"/>
  <c r="AA155" i="9"/>
  <c r="AB155" i="9"/>
  <c r="AC155" i="9"/>
  <c r="S156" i="9"/>
  <c r="T156" i="9"/>
  <c r="U156" i="9"/>
  <c r="V156" i="9"/>
  <c r="W156" i="9"/>
  <c r="X156" i="9"/>
  <c r="Y156" i="9"/>
  <c r="Z156" i="9"/>
  <c r="AA156" i="9"/>
  <c r="AB156" i="9"/>
  <c r="AC156" i="9"/>
  <c r="S157" i="9"/>
  <c r="T157" i="9"/>
  <c r="U157" i="9"/>
  <c r="V157" i="9"/>
  <c r="W157" i="9"/>
  <c r="X157" i="9"/>
  <c r="Y157" i="9"/>
  <c r="Z157" i="9"/>
  <c r="AA157" i="9"/>
  <c r="AB157" i="9"/>
  <c r="AC157" i="9"/>
  <c r="S158" i="9"/>
  <c r="T158" i="9"/>
  <c r="U158" i="9"/>
  <c r="V158" i="9"/>
  <c r="W158" i="9"/>
  <c r="X158" i="9"/>
  <c r="Y158" i="9"/>
  <c r="Z158" i="9"/>
  <c r="AA158" i="9"/>
  <c r="AB158" i="9"/>
  <c r="AC158" i="9"/>
  <c r="S159" i="9"/>
  <c r="T159" i="9"/>
  <c r="U159" i="9"/>
  <c r="V159" i="9"/>
  <c r="W159" i="9"/>
  <c r="X159" i="9"/>
  <c r="Y159" i="9"/>
  <c r="Z159" i="9"/>
  <c r="AA159" i="9"/>
  <c r="AB159" i="9"/>
  <c r="AC159" i="9"/>
  <c r="S160" i="9"/>
  <c r="T160" i="9"/>
  <c r="U160" i="9"/>
  <c r="V160" i="9"/>
  <c r="W160" i="9"/>
  <c r="X160" i="9"/>
  <c r="Y160" i="9"/>
  <c r="Z160" i="9"/>
  <c r="AA160" i="9"/>
  <c r="AB160" i="9"/>
  <c r="AC160" i="9"/>
  <c r="S161" i="9"/>
  <c r="T161" i="9"/>
  <c r="U161" i="9"/>
  <c r="V161" i="9"/>
  <c r="W161" i="9"/>
  <c r="X161" i="9"/>
  <c r="Y161" i="9"/>
  <c r="Z161" i="9"/>
  <c r="AA161" i="9"/>
  <c r="AB161" i="9"/>
  <c r="AC161" i="9"/>
  <c r="S162" i="9"/>
  <c r="T162" i="9"/>
  <c r="U162" i="9"/>
  <c r="V162" i="9"/>
  <c r="W162" i="9"/>
  <c r="X162" i="9"/>
  <c r="Y162" i="9"/>
  <c r="Z162" i="9"/>
  <c r="AA162" i="9"/>
  <c r="AB162" i="9"/>
  <c r="AC162" i="9"/>
  <c r="S163" i="9"/>
  <c r="T163" i="9"/>
  <c r="U163" i="9"/>
  <c r="V163" i="9"/>
  <c r="W163" i="9"/>
  <c r="X163" i="9"/>
  <c r="Y163" i="9"/>
  <c r="Z163" i="9"/>
  <c r="AA163" i="9"/>
  <c r="AB163" i="9"/>
  <c r="AC163" i="9"/>
  <c r="S164" i="9"/>
  <c r="T164" i="9"/>
  <c r="U164" i="9"/>
  <c r="V164" i="9"/>
  <c r="W164" i="9"/>
  <c r="X164" i="9"/>
  <c r="Y164" i="9"/>
  <c r="Z164" i="9"/>
  <c r="AA164" i="9"/>
  <c r="AB164" i="9"/>
  <c r="AC164" i="9"/>
  <c r="S165" i="9"/>
  <c r="T165" i="9"/>
  <c r="U165" i="9"/>
  <c r="V165" i="9"/>
  <c r="W165" i="9"/>
  <c r="X165" i="9"/>
  <c r="Y165" i="9"/>
  <c r="Z165" i="9"/>
  <c r="AA165" i="9"/>
  <c r="AB165" i="9"/>
  <c r="AC165" i="9"/>
  <c r="S166" i="9"/>
  <c r="T166" i="9"/>
  <c r="U166" i="9"/>
  <c r="V166" i="9"/>
  <c r="W166" i="9"/>
  <c r="X166" i="9"/>
  <c r="Y166" i="9"/>
  <c r="Z166" i="9"/>
  <c r="AA166" i="9"/>
  <c r="AB166" i="9"/>
  <c r="AC166" i="9"/>
  <c r="S167" i="9"/>
  <c r="T167" i="9"/>
  <c r="U167" i="9"/>
  <c r="V167" i="9"/>
  <c r="W167" i="9"/>
  <c r="X167" i="9"/>
  <c r="Y167" i="9"/>
  <c r="Z167" i="9"/>
  <c r="AA167" i="9"/>
  <c r="AB167" i="9"/>
  <c r="AC167" i="9"/>
  <c r="S168" i="9"/>
  <c r="T168" i="9"/>
  <c r="U168" i="9"/>
  <c r="V168" i="9"/>
  <c r="W168" i="9"/>
  <c r="X168" i="9"/>
  <c r="Y168" i="9"/>
  <c r="Z168" i="9"/>
  <c r="AA168" i="9"/>
  <c r="AB168" i="9"/>
  <c r="AC168" i="9"/>
  <c r="S169" i="9"/>
  <c r="T169" i="9"/>
  <c r="U169" i="9"/>
  <c r="V169" i="9"/>
  <c r="W169" i="9"/>
  <c r="X169" i="9"/>
  <c r="Y169" i="9"/>
  <c r="Z169" i="9"/>
  <c r="AA169" i="9"/>
  <c r="AB169" i="9"/>
  <c r="AC169" i="9"/>
  <c r="S170" i="9"/>
  <c r="T170" i="9"/>
  <c r="U170" i="9"/>
  <c r="V170" i="9"/>
  <c r="W170" i="9"/>
  <c r="X170" i="9"/>
  <c r="Y170" i="9"/>
  <c r="Z170" i="9"/>
  <c r="AA170" i="9"/>
  <c r="AB170" i="9"/>
  <c r="AC170" i="9"/>
  <c r="S171" i="9"/>
  <c r="T171" i="9"/>
  <c r="U171" i="9"/>
  <c r="V171" i="9"/>
  <c r="W171" i="9"/>
  <c r="X171" i="9"/>
  <c r="Y171" i="9"/>
  <c r="Z171" i="9"/>
  <c r="AA171" i="9"/>
  <c r="AB171" i="9"/>
  <c r="AC171" i="9"/>
  <c r="S172" i="9"/>
  <c r="T172" i="9"/>
  <c r="U172" i="9"/>
  <c r="V172" i="9"/>
  <c r="W172" i="9"/>
  <c r="X172" i="9"/>
  <c r="Y172" i="9"/>
  <c r="Z172" i="9"/>
  <c r="AA172" i="9"/>
  <c r="AB172" i="9"/>
  <c r="AC172" i="9"/>
  <c r="S173" i="9"/>
  <c r="T173" i="9"/>
  <c r="U173" i="9"/>
  <c r="V173" i="9"/>
  <c r="W173" i="9"/>
  <c r="X173" i="9"/>
  <c r="Y173" i="9"/>
  <c r="Z173" i="9"/>
  <c r="AA173" i="9"/>
  <c r="AB173" i="9"/>
  <c r="AC173" i="9"/>
  <c r="S174" i="9"/>
  <c r="T174" i="9"/>
  <c r="U174" i="9"/>
  <c r="V174" i="9"/>
  <c r="W174" i="9"/>
  <c r="X174" i="9"/>
  <c r="Y174" i="9"/>
  <c r="Z174" i="9"/>
  <c r="AA174" i="9"/>
  <c r="AB174" i="9"/>
  <c r="AC174" i="9"/>
  <c r="S175" i="9"/>
  <c r="T175" i="9"/>
  <c r="U175" i="9"/>
  <c r="V175" i="9"/>
  <c r="W175" i="9"/>
  <c r="X175" i="9"/>
  <c r="Y175" i="9"/>
  <c r="Z175" i="9"/>
  <c r="AA175" i="9"/>
  <c r="AB175" i="9"/>
  <c r="AC175" i="9"/>
  <c r="S176" i="9"/>
  <c r="T176" i="9"/>
  <c r="U176" i="9"/>
  <c r="V176" i="9"/>
  <c r="W176" i="9"/>
  <c r="X176" i="9"/>
  <c r="Y176" i="9"/>
  <c r="Z176" i="9"/>
  <c r="AA176" i="9"/>
  <c r="AB176" i="9"/>
  <c r="AC176" i="9"/>
  <c r="S177" i="9"/>
  <c r="T177" i="9"/>
  <c r="U177" i="9"/>
  <c r="V177" i="9"/>
  <c r="W177" i="9"/>
  <c r="X177" i="9"/>
  <c r="Y177" i="9"/>
  <c r="Z177" i="9"/>
  <c r="AA177" i="9"/>
  <c r="AB177" i="9"/>
  <c r="AC177" i="9"/>
  <c r="S178" i="9"/>
  <c r="T178" i="9"/>
  <c r="U178" i="9"/>
  <c r="V178" i="9"/>
  <c r="W178" i="9"/>
  <c r="X178" i="9"/>
  <c r="Y178" i="9"/>
  <c r="Z178" i="9"/>
  <c r="AA178" i="9"/>
  <c r="AB178" i="9"/>
  <c r="AC178" i="9"/>
  <c r="S179" i="9"/>
  <c r="T179" i="9"/>
  <c r="U179" i="9"/>
  <c r="V179" i="9"/>
  <c r="W179" i="9"/>
  <c r="X179" i="9"/>
  <c r="Y179" i="9"/>
  <c r="Z179" i="9"/>
  <c r="AA179" i="9"/>
  <c r="AB179" i="9"/>
  <c r="AC179" i="9"/>
  <c r="S180" i="9"/>
  <c r="T180" i="9"/>
  <c r="U180" i="9"/>
  <c r="V180" i="9"/>
  <c r="W180" i="9"/>
  <c r="X180" i="9"/>
  <c r="Y180" i="9"/>
  <c r="Z180" i="9"/>
  <c r="AA180" i="9"/>
  <c r="AB180" i="9"/>
  <c r="AC180" i="9"/>
  <c r="S181" i="9"/>
  <c r="T181" i="9"/>
  <c r="U181" i="9"/>
  <c r="V181" i="9"/>
  <c r="W181" i="9"/>
  <c r="X181" i="9"/>
  <c r="Y181" i="9"/>
  <c r="Z181" i="9"/>
  <c r="AA181" i="9"/>
  <c r="AB181" i="9"/>
  <c r="AC181" i="9"/>
  <c r="S182" i="9"/>
  <c r="T182" i="9"/>
  <c r="U182" i="9"/>
  <c r="V182" i="9"/>
  <c r="W182" i="9"/>
  <c r="X182" i="9"/>
  <c r="Y182" i="9"/>
  <c r="Z182" i="9"/>
  <c r="AA182" i="9"/>
  <c r="AB182" i="9"/>
  <c r="AC182" i="9"/>
  <c r="S183" i="9"/>
  <c r="T183" i="9"/>
  <c r="U183" i="9"/>
  <c r="V183" i="9"/>
  <c r="W183" i="9"/>
  <c r="X183" i="9"/>
  <c r="Y183" i="9"/>
  <c r="Z183" i="9"/>
  <c r="AA183" i="9"/>
  <c r="AB183" i="9"/>
  <c r="AC183" i="9"/>
  <c r="S184" i="9"/>
  <c r="T184" i="9"/>
  <c r="U184" i="9"/>
  <c r="V184" i="9"/>
  <c r="W184" i="9"/>
  <c r="X184" i="9"/>
  <c r="Y184" i="9"/>
  <c r="Z184" i="9"/>
  <c r="AA184" i="9"/>
  <c r="AB184" i="9"/>
  <c r="AC184" i="9"/>
  <c r="S185" i="9"/>
  <c r="T185" i="9"/>
  <c r="U185" i="9"/>
  <c r="V185" i="9"/>
  <c r="W185" i="9"/>
  <c r="X185" i="9"/>
  <c r="Y185" i="9"/>
  <c r="Z185" i="9"/>
  <c r="AA185" i="9"/>
  <c r="AB185" i="9"/>
  <c r="AC185" i="9"/>
  <c r="S186" i="9"/>
  <c r="T186" i="9"/>
  <c r="U186" i="9"/>
  <c r="V186" i="9"/>
  <c r="W186" i="9"/>
  <c r="X186" i="9"/>
  <c r="Y186" i="9"/>
  <c r="Z186" i="9"/>
  <c r="AA186" i="9"/>
  <c r="AB186" i="9"/>
  <c r="AC186" i="9"/>
  <c r="S187" i="9"/>
  <c r="T187" i="9"/>
  <c r="U187" i="9"/>
  <c r="V187" i="9"/>
  <c r="W187" i="9"/>
  <c r="X187" i="9"/>
  <c r="Y187" i="9"/>
  <c r="Z187" i="9"/>
  <c r="AA187" i="9"/>
  <c r="AB187" i="9"/>
  <c r="AC187" i="9"/>
  <c r="S188" i="9"/>
  <c r="T188" i="9"/>
  <c r="U188" i="9"/>
  <c r="V188" i="9"/>
  <c r="W188" i="9"/>
  <c r="X188" i="9"/>
  <c r="Y188" i="9"/>
  <c r="Z188" i="9"/>
  <c r="AA188" i="9"/>
  <c r="AB188" i="9"/>
  <c r="AC188" i="9"/>
  <c r="S189" i="9"/>
  <c r="T189" i="9"/>
  <c r="U189" i="9"/>
  <c r="V189" i="9"/>
  <c r="W189" i="9"/>
  <c r="X189" i="9"/>
  <c r="Y189" i="9"/>
  <c r="Z189" i="9"/>
  <c r="AA189" i="9"/>
  <c r="AB189" i="9"/>
  <c r="AC189" i="9"/>
  <c r="S190" i="9"/>
  <c r="T190" i="9"/>
  <c r="U190" i="9"/>
  <c r="V190" i="9"/>
  <c r="W190" i="9"/>
  <c r="X190" i="9"/>
  <c r="Y190" i="9"/>
  <c r="Z190" i="9"/>
  <c r="AA190" i="9"/>
  <c r="AB190" i="9"/>
  <c r="AC190" i="9"/>
  <c r="S191" i="9"/>
  <c r="T191" i="9"/>
  <c r="U191" i="9"/>
  <c r="V191" i="9"/>
  <c r="W191" i="9"/>
  <c r="X191" i="9"/>
  <c r="Y191" i="9"/>
  <c r="Z191" i="9"/>
  <c r="AA191" i="9"/>
  <c r="AB191" i="9"/>
  <c r="AC191" i="9"/>
  <c r="S192" i="9"/>
  <c r="T192" i="9"/>
  <c r="U192" i="9"/>
  <c r="V192" i="9"/>
  <c r="W192" i="9"/>
  <c r="X192" i="9"/>
  <c r="Y192" i="9"/>
  <c r="Z192" i="9"/>
  <c r="AA192" i="9"/>
  <c r="AB192" i="9"/>
  <c r="AC192" i="9"/>
  <c r="S193" i="9"/>
  <c r="T193" i="9"/>
  <c r="U193" i="9"/>
  <c r="V193" i="9"/>
  <c r="W193" i="9"/>
  <c r="X193" i="9"/>
  <c r="Y193" i="9"/>
  <c r="Z193" i="9"/>
  <c r="AA193" i="9"/>
  <c r="AB193" i="9"/>
  <c r="AC193" i="9"/>
  <c r="S194" i="9"/>
  <c r="T194" i="9"/>
  <c r="U194" i="9"/>
  <c r="V194" i="9"/>
  <c r="W194" i="9"/>
  <c r="X194" i="9"/>
  <c r="Y194" i="9"/>
  <c r="Z194" i="9"/>
  <c r="AA194" i="9"/>
  <c r="AB194" i="9"/>
  <c r="AC194" i="9"/>
  <c r="S195" i="9"/>
  <c r="T195" i="9"/>
  <c r="U195" i="9"/>
  <c r="V195" i="9"/>
  <c r="W195" i="9"/>
  <c r="X195" i="9"/>
  <c r="Y195" i="9"/>
  <c r="Z195" i="9"/>
  <c r="AA195" i="9"/>
  <c r="AB195" i="9"/>
  <c r="AC195" i="9"/>
  <c r="S196" i="9"/>
  <c r="T196" i="9"/>
  <c r="U196" i="9"/>
  <c r="V196" i="9"/>
  <c r="W196" i="9"/>
  <c r="X196" i="9"/>
  <c r="Y196" i="9"/>
  <c r="Z196" i="9"/>
  <c r="AA196" i="9"/>
  <c r="AB196" i="9"/>
  <c r="AC196" i="9"/>
  <c r="S197" i="9"/>
  <c r="T197" i="9"/>
  <c r="U197" i="9"/>
  <c r="V197" i="9"/>
  <c r="W197" i="9"/>
  <c r="X197" i="9"/>
  <c r="Y197" i="9"/>
  <c r="Z197" i="9"/>
  <c r="AA197" i="9"/>
  <c r="AB197" i="9"/>
  <c r="AC197" i="9"/>
  <c r="S198" i="9"/>
  <c r="T198" i="9"/>
  <c r="U198" i="9"/>
  <c r="V198" i="9"/>
  <c r="W198" i="9"/>
  <c r="X198" i="9"/>
  <c r="Y198" i="9"/>
  <c r="Z198" i="9"/>
  <c r="AA198" i="9"/>
  <c r="AB198" i="9"/>
  <c r="AC198" i="9"/>
  <c r="S199" i="9"/>
  <c r="T199" i="9"/>
  <c r="U199" i="9"/>
  <c r="V199" i="9"/>
  <c r="W199" i="9"/>
  <c r="X199" i="9"/>
  <c r="Y199" i="9"/>
  <c r="Z199" i="9"/>
  <c r="AA199" i="9"/>
  <c r="AB199" i="9"/>
  <c r="AC199" i="9"/>
  <c r="S200" i="9"/>
  <c r="T200" i="9"/>
  <c r="U200" i="9"/>
  <c r="V200" i="9"/>
  <c r="W200" i="9"/>
  <c r="X200" i="9"/>
  <c r="Y200" i="9"/>
  <c r="Z200" i="9"/>
  <c r="AA200" i="9"/>
  <c r="AB200" i="9"/>
  <c r="AC200" i="9"/>
  <c r="S201" i="9"/>
  <c r="T201" i="9"/>
  <c r="U201" i="9"/>
  <c r="V201" i="9"/>
  <c r="W201" i="9"/>
  <c r="X201" i="9"/>
  <c r="Y201" i="9"/>
  <c r="Z201" i="9"/>
  <c r="AA201" i="9"/>
  <c r="AB201" i="9"/>
  <c r="AC201" i="9"/>
  <c r="S202" i="9"/>
  <c r="T202" i="9"/>
  <c r="U202" i="9"/>
  <c r="V202" i="9"/>
  <c r="W202" i="9"/>
  <c r="X202" i="9"/>
  <c r="Y202" i="9"/>
  <c r="Z202" i="9"/>
  <c r="AA202" i="9"/>
  <c r="AB202" i="9"/>
  <c r="AC202" i="9"/>
  <c r="S203" i="9"/>
  <c r="T203" i="9"/>
  <c r="U203" i="9"/>
  <c r="V203" i="9"/>
  <c r="W203" i="9"/>
  <c r="X203" i="9"/>
  <c r="Y203" i="9"/>
  <c r="Z203" i="9"/>
  <c r="AA203" i="9"/>
  <c r="AB203" i="9"/>
  <c r="AC203" i="9"/>
  <c r="S204" i="9"/>
  <c r="T204" i="9"/>
  <c r="U204" i="9"/>
  <c r="V204" i="9"/>
  <c r="W204" i="9"/>
  <c r="X204" i="9"/>
  <c r="Y204" i="9"/>
  <c r="Z204" i="9"/>
  <c r="AA204" i="9"/>
  <c r="AB204" i="9"/>
  <c r="AC204" i="9"/>
  <c r="S205" i="9"/>
  <c r="T205" i="9"/>
  <c r="U205" i="9"/>
  <c r="V205" i="9"/>
  <c r="W205" i="9"/>
  <c r="X205" i="9"/>
  <c r="Y205" i="9"/>
  <c r="Z205" i="9"/>
  <c r="AA205" i="9"/>
  <c r="AB205" i="9"/>
  <c r="AC205" i="9"/>
  <c r="S206" i="9"/>
  <c r="T206" i="9"/>
  <c r="U206" i="9"/>
  <c r="V206" i="9"/>
  <c r="W206" i="9"/>
  <c r="X206" i="9"/>
  <c r="Y206" i="9"/>
  <c r="Z206" i="9"/>
  <c r="AA206" i="9"/>
  <c r="AB206" i="9"/>
  <c r="AC206" i="9"/>
  <c r="S207" i="9"/>
  <c r="T207" i="9"/>
  <c r="U207" i="9"/>
  <c r="V207" i="9"/>
  <c r="W207" i="9"/>
  <c r="X207" i="9"/>
  <c r="Y207" i="9"/>
  <c r="Z207" i="9"/>
  <c r="AA207" i="9"/>
  <c r="AB207" i="9"/>
  <c r="AC207" i="9"/>
  <c r="S208" i="9"/>
  <c r="T208" i="9"/>
  <c r="U208" i="9"/>
  <c r="V208" i="9"/>
  <c r="W208" i="9"/>
  <c r="X208" i="9"/>
  <c r="Y208" i="9"/>
  <c r="Z208" i="9"/>
  <c r="AA208" i="9"/>
  <c r="AB208" i="9"/>
  <c r="AC208" i="9"/>
  <c r="S209" i="9"/>
  <c r="T209" i="9"/>
  <c r="U209" i="9"/>
  <c r="V209" i="9"/>
  <c r="W209" i="9"/>
  <c r="X209" i="9"/>
  <c r="Y209" i="9"/>
  <c r="Z209" i="9"/>
  <c r="AA209" i="9"/>
  <c r="AB209" i="9"/>
  <c r="AC209" i="9"/>
  <c r="S210" i="9"/>
  <c r="T210" i="9"/>
  <c r="U210" i="9"/>
  <c r="V210" i="9"/>
  <c r="W210" i="9"/>
  <c r="X210" i="9"/>
  <c r="Y210" i="9"/>
  <c r="Z210" i="9"/>
  <c r="AA210" i="9"/>
  <c r="AB210" i="9"/>
  <c r="AC210" i="9"/>
  <c r="S211" i="9"/>
  <c r="T211" i="9"/>
  <c r="U211" i="9"/>
  <c r="V211" i="9"/>
  <c r="W211" i="9"/>
  <c r="X211" i="9"/>
  <c r="Y211" i="9"/>
  <c r="Z211" i="9"/>
  <c r="AA211" i="9"/>
  <c r="AB211" i="9"/>
  <c r="AC211" i="9"/>
  <c r="S212" i="9"/>
  <c r="T212" i="9"/>
  <c r="U212" i="9"/>
  <c r="V212" i="9"/>
  <c r="W212" i="9"/>
  <c r="X212" i="9"/>
  <c r="Y212" i="9"/>
  <c r="Z212" i="9"/>
  <c r="AA212" i="9"/>
  <c r="AB212" i="9"/>
  <c r="AC212" i="9"/>
  <c r="S213" i="9"/>
  <c r="T213" i="9"/>
  <c r="U213" i="9"/>
  <c r="V213" i="9"/>
  <c r="W213" i="9"/>
  <c r="X213" i="9"/>
  <c r="Y213" i="9"/>
  <c r="Z213" i="9"/>
  <c r="AA213" i="9"/>
  <c r="AB213" i="9"/>
  <c r="AC213" i="9"/>
  <c r="S214" i="9"/>
  <c r="T214" i="9"/>
  <c r="U214" i="9"/>
  <c r="V214" i="9"/>
  <c r="W214" i="9"/>
  <c r="X214" i="9"/>
  <c r="Y214" i="9"/>
  <c r="Z214" i="9"/>
  <c r="AA214" i="9"/>
  <c r="AB214" i="9"/>
  <c r="AC214" i="9"/>
  <c r="S215" i="9"/>
  <c r="T215" i="9"/>
  <c r="U215" i="9"/>
  <c r="V215" i="9"/>
  <c r="W215" i="9"/>
  <c r="X215" i="9"/>
  <c r="Y215" i="9"/>
  <c r="Z215" i="9"/>
  <c r="AA215" i="9"/>
  <c r="AB215" i="9"/>
  <c r="AC215" i="9"/>
  <c r="S216" i="9"/>
  <c r="T216" i="9"/>
  <c r="U216" i="9"/>
  <c r="V216" i="9"/>
  <c r="W216" i="9"/>
  <c r="X216" i="9"/>
  <c r="Y216" i="9"/>
  <c r="Z216" i="9"/>
  <c r="AA216" i="9"/>
  <c r="AB216" i="9"/>
  <c r="AC216" i="9"/>
  <c r="S217" i="9"/>
  <c r="T217" i="9"/>
  <c r="U217" i="9"/>
  <c r="V217" i="9"/>
  <c r="W217" i="9"/>
  <c r="X217" i="9"/>
  <c r="Y217" i="9"/>
  <c r="Z217" i="9"/>
  <c r="AA217" i="9"/>
  <c r="AB217" i="9"/>
  <c r="AC217" i="9"/>
  <c r="S218" i="9"/>
  <c r="T218" i="9"/>
  <c r="U218" i="9"/>
  <c r="V218" i="9"/>
  <c r="W218" i="9"/>
  <c r="X218" i="9"/>
  <c r="Y218" i="9"/>
  <c r="Z218" i="9"/>
  <c r="AA218" i="9"/>
  <c r="AB218" i="9"/>
  <c r="AC218" i="9"/>
  <c r="S219" i="9"/>
  <c r="T219" i="9"/>
  <c r="U219" i="9"/>
  <c r="V219" i="9"/>
  <c r="W219" i="9"/>
  <c r="X219" i="9"/>
  <c r="Y219" i="9"/>
  <c r="Z219" i="9"/>
  <c r="AA219" i="9"/>
  <c r="AB219" i="9"/>
  <c r="AC219" i="9"/>
  <c r="S220" i="9"/>
  <c r="T220" i="9"/>
  <c r="U220" i="9"/>
  <c r="V220" i="9"/>
  <c r="W220" i="9"/>
  <c r="X220" i="9"/>
  <c r="Y220" i="9"/>
  <c r="Z220" i="9"/>
  <c r="AA220" i="9"/>
  <c r="AB220" i="9"/>
  <c r="AC220" i="9"/>
  <c r="S221" i="9"/>
  <c r="T221" i="9"/>
  <c r="U221" i="9"/>
  <c r="V221" i="9"/>
  <c r="W221" i="9"/>
  <c r="X221" i="9"/>
  <c r="Y221" i="9"/>
  <c r="Z221" i="9"/>
  <c r="AA221" i="9"/>
  <c r="AB221" i="9"/>
  <c r="AC221" i="9"/>
  <c r="S222" i="9"/>
  <c r="T222" i="9"/>
  <c r="U222" i="9"/>
  <c r="V222" i="9"/>
  <c r="W222" i="9"/>
  <c r="X222" i="9"/>
  <c r="Y222" i="9"/>
  <c r="Z222" i="9"/>
  <c r="AA222" i="9"/>
  <c r="AB222" i="9"/>
  <c r="AC222" i="9"/>
  <c r="S223" i="9"/>
  <c r="T223" i="9"/>
  <c r="U223" i="9"/>
  <c r="V223" i="9"/>
  <c r="W223" i="9"/>
  <c r="X223" i="9"/>
  <c r="Y223" i="9"/>
  <c r="Z223" i="9"/>
  <c r="AA223" i="9"/>
  <c r="AB223" i="9"/>
  <c r="AC223" i="9"/>
  <c r="S224" i="9"/>
  <c r="T224" i="9"/>
  <c r="U224" i="9"/>
  <c r="V224" i="9"/>
  <c r="W224" i="9"/>
  <c r="X224" i="9"/>
  <c r="Y224" i="9"/>
  <c r="Z224" i="9"/>
  <c r="AA224" i="9"/>
  <c r="AB224" i="9"/>
  <c r="AC224" i="9"/>
  <c r="S225" i="9"/>
  <c r="T225" i="9"/>
  <c r="U225" i="9"/>
  <c r="V225" i="9"/>
  <c r="W225" i="9"/>
  <c r="X225" i="9"/>
  <c r="Y225" i="9"/>
  <c r="Z225" i="9"/>
  <c r="AA225" i="9"/>
  <c r="AB225" i="9"/>
  <c r="AC225" i="9"/>
  <c r="S226" i="9"/>
  <c r="T226" i="9"/>
  <c r="U226" i="9"/>
  <c r="V226" i="9"/>
  <c r="W226" i="9"/>
  <c r="X226" i="9"/>
  <c r="Y226" i="9"/>
  <c r="Z226" i="9"/>
  <c r="AA226" i="9"/>
  <c r="AB226" i="9"/>
  <c r="AC226" i="9"/>
  <c r="S227" i="9"/>
  <c r="T227" i="9"/>
  <c r="U227" i="9"/>
  <c r="V227" i="9"/>
  <c r="W227" i="9"/>
  <c r="X227" i="9"/>
  <c r="Y227" i="9"/>
  <c r="Z227" i="9"/>
  <c r="AA227" i="9"/>
  <c r="AB227" i="9"/>
  <c r="AC227" i="9"/>
  <c r="S228" i="9"/>
  <c r="T228" i="9"/>
  <c r="U228" i="9"/>
  <c r="V228" i="9"/>
  <c r="W228" i="9"/>
  <c r="X228" i="9"/>
  <c r="Y228" i="9"/>
  <c r="Z228" i="9"/>
  <c r="AA228" i="9"/>
  <c r="AB228" i="9"/>
  <c r="AC228" i="9"/>
  <c r="S229" i="9"/>
  <c r="T229" i="9"/>
  <c r="U229" i="9"/>
  <c r="V229" i="9"/>
  <c r="W229" i="9"/>
  <c r="X229" i="9"/>
  <c r="Y229" i="9"/>
  <c r="Z229" i="9"/>
  <c r="AA229" i="9"/>
  <c r="AB229" i="9"/>
  <c r="AC229" i="9"/>
  <c r="S230" i="9"/>
  <c r="T230" i="9"/>
  <c r="U230" i="9"/>
  <c r="V230" i="9"/>
  <c r="W230" i="9"/>
  <c r="X230" i="9"/>
  <c r="Y230" i="9"/>
  <c r="Z230" i="9"/>
  <c r="AA230" i="9"/>
  <c r="AB230" i="9"/>
  <c r="AC230" i="9"/>
  <c r="S231" i="9"/>
  <c r="T231" i="9"/>
  <c r="U231" i="9"/>
  <c r="V231" i="9"/>
  <c r="W231" i="9"/>
  <c r="X231" i="9"/>
  <c r="Y231" i="9"/>
  <c r="Z231" i="9"/>
  <c r="AA231" i="9"/>
  <c r="AB231" i="9"/>
  <c r="AC231" i="9"/>
  <c r="S232" i="9"/>
  <c r="T232" i="9"/>
  <c r="U232" i="9"/>
  <c r="V232" i="9"/>
  <c r="W232" i="9"/>
  <c r="X232" i="9"/>
  <c r="Y232" i="9"/>
  <c r="Z232" i="9"/>
  <c r="AA232" i="9"/>
  <c r="AB232" i="9"/>
  <c r="AC232" i="9"/>
  <c r="S233" i="9"/>
  <c r="T233" i="9"/>
  <c r="U233" i="9"/>
  <c r="V233" i="9"/>
  <c r="W233" i="9"/>
  <c r="X233" i="9"/>
  <c r="Y233" i="9"/>
  <c r="Z233" i="9"/>
  <c r="AA233" i="9"/>
  <c r="AB233" i="9"/>
  <c r="AC233" i="9"/>
  <c r="S234" i="9"/>
  <c r="T234" i="9"/>
  <c r="U234" i="9"/>
  <c r="V234" i="9"/>
  <c r="W234" i="9"/>
  <c r="X234" i="9"/>
  <c r="Y234" i="9"/>
  <c r="Z234" i="9"/>
  <c r="AA234" i="9"/>
  <c r="AB234" i="9"/>
  <c r="AC234" i="9"/>
  <c r="S235" i="9"/>
  <c r="T235" i="9"/>
  <c r="U235" i="9"/>
  <c r="V235" i="9"/>
  <c r="W235" i="9"/>
  <c r="X235" i="9"/>
  <c r="Y235" i="9"/>
  <c r="Z235" i="9"/>
  <c r="AA235" i="9"/>
  <c r="AB235" i="9"/>
  <c r="AC235" i="9"/>
  <c r="S236" i="9"/>
  <c r="T236" i="9"/>
  <c r="U236" i="9"/>
  <c r="V236" i="9"/>
  <c r="W236" i="9"/>
  <c r="X236" i="9"/>
  <c r="Y236" i="9"/>
  <c r="Z236" i="9"/>
  <c r="AA236" i="9"/>
  <c r="AB236" i="9"/>
  <c r="AC236" i="9"/>
  <c r="S237" i="9"/>
  <c r="T237" i="9"/>
  <c r="U237" i="9"/>
  <c r="V237" i="9"/>
  <c r="W237" i="9"/>
  <c r="X237" i="9"/>
  <c r="Y237" i="9"/>
  <c r="Z237" i="9"/>
  <c r="AA237" i="9"/>
  <c r="AB237" i="9"/>
  <c r="AC237" i="9"/>
  <c r="S238" i="9"/>
  <c r="T238" i="9"/>
  <c r="U238" i="9"/>
  <c r="V238" i="9"/>
  <c r="W238" i="9"/>
  <c r="X238" i="9"/>
  <c r="Y238" i="9"/>
  <c r="Z238" i="9"/>
  <c r="AA238" i="9"/>
  <c r="AB238" i="9"/>
  <c r="AC238" i="9"/>
  <c r="S239" i="9"/>
  <c r="T239" i="9"/>
  <c r="U239" i="9"/>
  <c r="V239" i="9"/>
  <c r="W239" i="9"/>
  <c r="X239" i="9"/>
  <c r="Y239" i="9"/>
  <c r="Z239" i="9"/>
  <c r="AA239" i="9"/>
  <c r="AB239" i="9"/>
  <c r="AC239" i="9"/>
  <c r="S240" i="9"/>
  <c r="T240" i="9"/>
  <c r="U240" i="9"/>
  <c r="V240" i="9"/>
  <c r="W240" i="9"/>
  <c r="X240" i="9"/>
  <c r="Y240" i="9"/>
  <c r="Z240" i="9"/>
  <c r="AA240" i="9"/>
  <c r="AB240" i="9"/>
  <c r="AC240" i="9"/>
  <c r="S241" i="9"/>
  <c r="T241" i="9"/>
  <c r="U241" i="9"/>
  <c r="V241" i="9"/>
  <c r="W241" i="9"/>
  <c r="X241" i="9"/>
  <c r="Y241" i="9"/>
  <c r="Z241" i="9"/>
  <c r="AA241" i="9"/>
  <c r="AB241" i="9"/>
  <c r="AC241" i="9"/>
  <c r="S242" i="9"/>
  <c r="T242" i="9"/>
  <c r="U242" i="9"/>
  <c r="V242" i="9"/>
  <c r="W242" i="9"/>
  <c r="X242" i="9"/>
  <c r="Y242" i="9"/>
  <c r="Z242" i="9"/>
  <c r="AA242" i="9"/>
  <c r="AB242" i="9"/>
  <c r="AC242" i="9"/>
  <c r="S243" i="9"/>
  <c r="T243" i="9"/>
  <c r="U243" i="9"/>
  <c r="V243" i="9"/>
  <c r="W243" i="9"/>
  <c r="X243" i="9"/>
  <c r="Y243" i="9"/>
  <c r="Z243" i="9"/>
  <c r="AA243" i="9"/>
  <c r="AB243" i="9"/>
  <c r="AC243" i="9"/>
  <c r="S244" i="9"/>
  <c r="T244" i="9"/>
  <c r="U244" i="9"/>
  <c r="V244" i="9"/>
  <c r="W244" i="9"/>
  <c r="X244" i="9"/>
  <c r="Y244" i="9"/>
  <c r="Z244" i="9"/>
  <c r="AA244" i="9"/>
  <c r="AB244" i="9"/>
  <c r="AC244" i="9"/>
  <c r="S245" i="9"/>
  <c r="T245" i="9"/>
  <c r="U245" i="9"/>
  <c r="V245" i="9"/>
  <c r="W245" i="9"/>
  <c r="X245" i="9"/>
  <c r="Y245" i="9"/>
  <c r="Z245" i="9"/>
  <c r="AA245" i="9"/>
  <c r="AB245" i="9"/>
  <c r="AC245" i="9"/>
  <c r="S246" i="9"/>
  <c r="T246" i="9"/>
  <c r="U246" i="9"/>
  <c r="V246" i="9"/>
  <c r="W246" i="9"/>
  <c r="X246" i="9"/>
  <c r="Y246" i="9"/>
  <c r="Z246" i="9"/>
  <c r="AA246" i="9"/>
  <c r="AB246" i="9"/>
  <c r="AC246" i="9"/>
  <c r="S247" i="9"/>
  <c r="T247" i="9"/>
  <c r="U247" i="9"/>
  <c r="V247" i="9"/>
  <c r="W247" i="9"/>
  <c r="X247" i="9"/>
  <c r="Y247" i="9"/>
  <c r="Z247" i="9"/>
  <c r="AA247" i="9"/>
  <c r="AB247" i="9"/>
  <c r="AC247" i="9"/>
  <c r="S248" i="9"/>
  <c r="T248" i="9"/>
  <c r="U248" i="9"/>
  <c r="V248" i="9"/>
  <c r="W248" i="9"/>
  <c r="X248" i="9"/>
  <c r="Y248" i="9"/>
  <c r="Z248" i="9"/>
  <c r="AA248" i="9"/>
  <c r="AB248" i="9"/>
  <c r="AC248" i="9"/>
  <c r="S249" i="9"/>
  <c r="T249" i="9"/>
  <c r="U249" i="9"/>
  <c r="V249" i="9"/>
  <c r="W249" i="9"/>
  <c r="X249" i="9"/>
  <c r="Y249" i="9"/>
  <c r="Z249" i="9"/>
  <c r="AA249" i="9"/>
  <c r="AB249" i="9"/>
  <c r="AC249" i="9"/>
  <c r="S250" i="9"/>
  <c r="T250" i="9"/>
  <c r="U250" i="9"/>
  <c r="V250" i="9"/>
  <c r="W250" i="9"/>
  <c r="X250" i="9"/>
  <c r="Y250" i="9"/>
  <c r="Z250" i="9"/>
  <c r="AA250" i="9"/>
  <c r="AB250" i="9"/>
  <c r="AC250" i="9"/>
  <c r="S251" i="9"/>
  <c r="T251" i="9"/>
  <c r="U251" i="9"/>
  <c r="V251" i="9"/>
  <c r="W251" i="9"/>
  <c r="X251" i="9"/>
  <c r="Y251" i="9"/>
  <c r="Z251" i="9"/>
  <c r="AA251" i="9"/>
  <c r="AB251" i="9"/>
  <c r="AC251" i="9"/>
  <c r="S252" i="9"/>
  <c r="T252" i="9"/>
  <c r="U252" i="9"/>
  <c r="V252" i="9"/>
  <c r="W252" i="9"/>
  <c r="X252" i="9"/>
  <c r="Y252" i="9"/>
  <c r="Z252" i="9"/>
  <c r="AA252" i="9"/>
  <c r="AB252" i="9"/>
  <c r="AC252" i="9"/>
  <c r="S253" i="9"/>
  <c r="T253" i="9"/>
  <c r="U253" i="9"/>
  <c r="V253" i="9"/>
  <c r="W253" i="9"/>
  <c r="X253" i="9"/>
  <c r="Y253" i="9"/>
  <c r="Z253" i="9"/>
  <c r="AA253" i="9"/>
  <c r="AB253" i="9"/>
  <c r="AC253" i="9"/>
  <c r="S254" i="9"/>
  <c r="T254" i="9"/>
  <c r="U254" i="9"/>
  <c r="V254" i="9"/>
  <c r="W254" i="9"/>
  <c r="X254" i="9"/>
  <c r="Y254" i="9"/>
  <c r="Z254" i="9"/>
  <c r="AA254" i="9"/>
  <c r="AB254" i="9"/>
  <c r="AC254" i="9"/>
  <c r="S255" i="9"/>
  <c r="T255" i="9"/>
  <c r="U255" i="9"/>
  <c r="V255" i="9"/>
  <c r="W255" i="9"/>
  <c r="X255" i="9"/>
  <c r="Y255" i="9"/>
  <c r="Z255" i="9"/>
  <c r="AA255" i="9"/>
  <c r="AB255" i="9"/>
  <c r="AC255" i="9"/>
  <c r="S256" i="9"/>
  <c r="T256" i="9"/>
  <c r="U256" i="9"/>
  <c r="V256" i="9"/>
  <c r="W256" i="9"/>
  <c r="X256" i="9"/>
  <c r="Y256" i="9"/>
  <c r="Z256" i="9"/>
  <c r="AA256" i="9"/>
  <c r="AB256" i="9"/>
  <c r="AC256" i="9"/>
  <c r="S257" i="9"/>
  <c r="T257" i="9"/>
  <c r="U257" i="9"/>
  <c r="V257" i="9"/>
  <c r="W257" i="9"/>
  <c r="X257" i="9"/>
  <c r="Y257" i="9"/>
  <c r="Z257" i="9"/>
  <c r="AA257" i="9"/>
  <c r="AB257" i="9"/>
  <c r="AC257" i="9"/>
  <c r="S258" i="9"/>
  <c r="T258" i="9"/>
  <c r="U258" i="9"/>
  <c r="V258" i="9"/>
  <c r="W258" i="9"/>
  <c r="X258" i="9"/>
  <c r="Y258" i="9"/>
  <c r="Z258" i="9"/>
  <c r="AA258" i="9"/>
  <c r="AB258" i="9"/>
  <c r="AC258" i="9"/>
  <c r="S259" i="9"/>
  <c r="T259" i="9"/>
  <c r="U259" i="9"/>
  <c r="V259" i="9"/>
  <c r="W259" i="9"/>
  <c r="X259" i="9"/>
  <c r="Y259" i="9"/>
  <c r="Z259" i="9"/>
  <c r="AA259" i="9"/>
  <c r="AB259" i="9"/>
  <c r="AC259" i="9"/>
  <c r="S260" i="9"/>
  <c r="T260" i="9"/>
  <c r="U260" i="9"/>
  <c r="V260" i="9"/>
  <c r="W260" i="9"/>
  <c r="X260" i="9"/>
  <c r="Y260" i="9"/>
  <c r="Z260" i="9"/>
  <c r="AA260" i="9"/>
  <c r="AB260" i="9"/>
  <c r="AC260" i="9"/>
  <c r="S261" i="9"/>
  <c r="T261" i="9"/>
  <c r="U261" i="9"/>
  <c r="V261" i="9"/>
  <c r="W261" i="9"/>
  <c r="X261" i="9"/>
  <c r="Y261" i="9"/>
  <c r="Z261" i="9"/>
  <c r="AA261" i="9"/>
  <c r="AB261" i="9"/>
  <c r="AC261" i="9"/>
  <c r="S262" i="9"/>
  <c r="T262" i="9"/>
  <c r="U262" i="9"/>
  <c r="V262" i="9"/>
  <c r="W262" i="9"/>
  <c r="X262" i="9"/>
  <c r="Y262" i="9"/>
  <c r="Z262" i="9"/>
  <c r="AA262" i="9"/>
  <c r="AB262" i="9"/>
  <c r="AC262" i="9"/>
  <c r="S263" i="9"/>
  <c r="T263" i="9"/>
  <c r="U263" i="9"/>
  <c r="V263" i="9"/>
  <c r="W263" i="9"/>
  <c r="X263" i="9"/>
  <c r="Y263" i="9"/>
  <c r="Z263" i="9"/>
  <c r="AA263" i="9"/>
  <c r="AB263" i="9"/>
  <c r="AC263" i="9"/>
  <c r="S264" i="9"/>
  <c r="T264" i="9"/>
  <c r="U264" i="9"/>
  <c r="V264" i="9"/>
  <c r="W264" i="9"/>
  <c r="X264" i="9"/>
  <c r="Y264" i="9"/>
  <c r="Z264" i="9"/>
  <c r="AA264" i="9"/>
  <c r="AB264" i="9"/>
  <c r="AC264" i="9"/>
  <c r="S265" i="9"/>
  <c r="T265" i="9"/>
  <c r="U265" i="9"/>
  <c r="V265" i="9"/>
  <c r="W265" i="9"/>
  <c r="X265" i="9"/>
  <c r="Y265" i="9"/>
  <c r="Z265" i="9"/>
  <c r="AA265" i="9"/>
  <c r="AB265" i="9"/>
  <c r="AC265" i="9"/>
  <c r="S266" i="9"/>
  <c r="T266" i="9"/>
  <c r="U266" i="9"/>
  <c r="V266" i="9"/>
  <c r="W266" i="9"/>
  <c r="X266" i="9"/>
  <c r="Y266" i="9"/>
  <c r="Z266" i="9"/>
  <c r="AA266" i="9"/>
  <c r="AB266" i="9"/>
  <c r="AC266" i="9"/>
  <c r="S267" i="9"/>
  <c r="T267" i="9"/>
  <c r="U267" i="9"/>
  <c r="V267" i="9"/>
  <c r="W267" i="9"/>
  <c r="X267" i="9"/>
  <c r="Y267" i="9"/>
  <c r="Z267" i="9"/>
  <c r="AA267" i="9"/>
  <c r="AB267" i="9"/>
  <c r="AC267" i="9"/>
  <c r="S268" i="9"/>
  <c r="T268" i="9"/>
  <c r="U268" i="9"/>
  <c r="V268" i="9"/>
  <c r="W268" i="9"/>
  <c r="X268" i="9"/>
  <c r="Y268" i="9"/>
  <c r="Z268" i="9"/>
  <c r="AA268" i="9"/>
  <c r="AB268" i="9"/>
  <c r="AC268" i="9"/>
  <c r="S269" i="9"/>
  <c r="T269" i="9"/>
  <c r="U269" i="9"/>
  <c r="V269" i="9"/>
  <c r="W269" i="9"/>
  <c r="X269" i="9"/>
  <c r="Y269" i="9"/>
  <c r="Z269" i="9"/>
  <c r="AA269" i="9"/>
  <c r="AB269" i="9"/>
  <c r="AC269" i="9"/>
  <c r="S270" i="9"/>
  <c r="T270" i="9"/>
  <c r="U270" i="9"/>
  <c r="V270" i="9"/>
  <c r="W270" i="9"/>
  <c r="X270" i="9"/>
  <c r="Y270" i="9"/>
  <c r="Z270" i="9"/>
  <c r="AA270" i="9"/>
  <c r="AB270" i="9"/>
  <c r="AC270" i="9"/>
  <c r="S271" i="9"/>
  <c r="T271" i="9"/>
  <c r="U271" i="9"/>
  <c r="V271" i="9"/>
  <c r="W271" i="9"/>
  <c r="X271" i="9"/>
  <c r="Y271" i="9"/>
  <c r="Z271" i="9"/>
  <c r="AA271" i="9"/>
  <c r="AB271" i="9"/>
  <c r="AC271" i="9"/>
  <c r="S272" i="9"/>
  <c r="T272" i="9"/>
  <c r="U272" i="9"/>
  <c r="V272" i="9"/>
  <c r="W272" i="9"/>
  <c r="X272" i="9"/>
  <c r="Y272" i="9"/>
  <c r="Z272" i="9"/>
  <c r="AA272" i="9"/>
  <c r="AB272" i="9"/>
  <c r="AC272" i="9"/>
  <c r="S273" i="9"/>
  <c r="T273" i="9"/>
  <c r="U273" i="9"/>
  <c r="V273" i="9"/>
  <c r="W273" i="9"/>
  <c r="X273" i="9"/>
  <c r="Y273" i="9"/>
  <c r="Z273" i="9"/>
  <c r="AA273" i="9"/>
  <c r="AB273" i="9"/>
  <c r="AC273" i="9"/>
  <c r="S274" i="9"/>
  <c r="T274" i="9"/>
  <c r="U274" i="9"/>
  <c r="V274" i="9"/>
  <c r="W274" i="9"/>
  <c r="X274" i="9"/>
  <c r="Y274" i="9"/>
  <c r="Z274" i="9"/>
  <c r="AA274" i="9"/>
  <c r="AB274" i="9"/>
  <c r="AC274" i="9"/>
  <c r="S275" i="9"/>
  <c r="T275" i="9"/>
  <c r="U275" i="9"/>
  <c r="V275" i="9"/>
  <c r="W275" i="9"/>
  <c r="X275" i="9"/>
  <c r="Y275" i="9"/>
  <c r="Z275" i="9"/>
  <c r="AA275" i="9"/>
  <c r="AB275" i="9"/>
  <c r="AC275" i="9"/>
  <c r="S276" i="9"/>
  <c r="T276" i="9"/>
  <c r="U276" i="9"/>
  <c r="V276" i="9"/>
  <c r="W276" i="9"/>
  <c r="X276" i="9"/>
  <c r="Y276" i="9"/>
  <c r="Z276" i="9"/>
  <c r="AA276" i="9"/>
  <c r="AB276" i="9"/>
  <c r="AC276" i="9"/>
  <c r="S277" i="9"/>
  <c r="T277" i="9"/>
  <c r="U277" i="9"/>
  <c r="V277" i="9"/>
  <c r="W277" i="9"/>
  <c r="X277" i="9"/>
  <c r="Y277" i="9"/>
  <c r="Z277" i="9"/>
  <c r="AA277" i="9"/>
  <c r="AB277" i="9"/>
  <c r="AC277" i="9"/>
  <c r="S278" i="9"/>
  <c r="T278" i="9"/>
  <c r="U278" i="9"/>
  <c r="V278" i="9"/>
  <c r="W278" i="9"/>
  <c r="X278" i="9"/>
  <c r="Y278" i="9"/>
  <c r="Z278" i="9"/>
  <c r="AA278" i="9"/>
  <c r="AB278" i="9"/>
  <c r="AC278" i="9"/>
  <c r="S279" i="9"/>
  <c r="T279" i="9"/>
  <c r="U279" i="9"/>
  <c r="V279" i="9"/>
  <c r="W279" i="9"/>
  <c r="X279" i="9"/>
  <c r="Y279" i="9"/>
  <c r="Z279" i="9"/>
  <c r="AA279" i="9"/>
  <c r="AB279" i="9"/>
  <c r="AC279" i="9"/>
  <c r="S280" i="9"/>
  <c r="T280" i="9"/>
  <c r="U280" i="9"/>
  <c r="V280" i="9"/>
  <c r="W280" i="9"/>
  <c r="X280" i="9"/>
  <c r="Y280" i="9"/>
  <c r="Z280" i="9"/>
  <c r="AA280" i="9"/>
  <c r="AB280" i="9"/>
  <c r="AC280" i="9"/>
  <c r="S281" i="9"/>
  <c r="T281" i="9"/>
  <c r="U281" i="9"/>
  <c r="V281" i="9"/>
  <c r="W281" i="9"/>
  <c r="X281" i="9"/>
  <c r="Y281" i="9"/>
  <c r="Z281" i="9"/>
  <c r="AA281" i="9"/>
  <c r="AB281" i="9"/>
  <c r="AC281" i="9"/>
  <c r="S282" i="9"/>
  <c r="T282" i="9"/>
  <c r="U282" i="9"/>
  <c r="V282" i="9"/>
  <c r="W282" i="9"/>
  <c r="X282" i="9"/>
  <c r="Y282" i="9"/>
  <c r="Z282" i="9"/>
  <c r="AA282" i="9"/>
  <c r="AB282" i="9"/>
  <c r="AC282" i="9"/>
  <c r="S283" i="9"/>
  <c r="T283" i="9"/>
  <c r="U283" i="9"/>
  <c r="V283" i="9"/>
  <c r="W283" i="9"/>
  <c r="X283" i="9"/>
  <c r="Y283" i="9"/>
  <c r="Z283" i="9"/>
  <c r="AA283" i="9"/>
  <c r="AB283" i="9"/>
  <c r="AC283" i="9"/>
  <c r="S284" i="9"/>
  <c r="T284" i="9"/>
  <c r="U284" i="9"/>
  <c r="V284" i="9"/>
  <c r="W284" i="9"/>
  <c r="X284" i="9"/>
  <c r="Y284" i="9"/>
  <c r="Z284" i="9"/>
  <c r="AA284" i="9"/>
  <c r="AB284" i="9"/>
  <c r="AC284" i="9"/>
  <c r="S285" i="9"/>
  <c r="T285" i="9"/>
  <c r="U285" i="9"/>
  <c r="V285" i="9"/>
  <c r="W285" i="9"/>
  <c r="X285" i="9"/>
  <c r="Y285" i="9"/>
  <c r="Z285" i="9"/>
  <c r="AA285" i="9"/>
  <c r="AB285" i="9"/>
  <c r="AC285" i="9"/>
  <c r="S286" i="9"/>
  <c r="T286" i="9"/>
  <c r="U286" i="9"/>
  <c r="V286" i="9"/>
  <c r="W286" i="9"/>
  <c r="X286" i="9"/>
  <c r="Y286" i="9"/>
  <c r="Z286" i="9"/>
  <c r="AA286" i="9"/>
  <c r="AB286" i="9"/>
  <c r="AC286" i="9"/>
  <c r="S287" i="9"/>
  <c r="T287" i="9"/>
  <c r="U287" i="9"/>
  <c r="V287" i="9"/>
  <c r="W287" i="9"/>
  <c r="X287" i="9"/>
  <c r="Y287" i="9"/>
  <c r="Z287" i="9"/>
  <c r="AA287" i="9"/>
  <c r="AB287" i="9"/>
  <c r="AC287" i="9"/>
  <c r="S288" i="9"/>
  <c r="T288" i="9"/>
  <c r="U288" i="9"/>
  <c r="V288" i="9"/>
  <c r="W288" i="9"/>
  <c r="X288" i="9"/>
  <c r="Y288" i="9"/>
  <c r="Z288" i="9"/>
  <c r="AA288" i="9"/>
  <c r="AB288" i="9"/>
  <c r="AC288" i="9"/>
  <c r="S289" i="9"/>
  <c r="T289" i="9"/>
  <c r="U289" i="9"/>
  <c r="V289" i="9"/>
  <c r="W289" i="9"/>
  <c r="X289" i="9"/>
  <c r="Y289" i="9"/>
  <c r="Z289" i="9"/>
  <c r="AA289" i="9"/>
  <c r="AB289" i="9"/>
  <c r="AC289" i="9"/>
  <c r="S290" i="9"/>
  <c r="T290" i="9"/>
  <c r="U290" i="9"/>
  <c r="V290" i="9"/>
  <c r="W290" i="9"/>
  <c r="X290" i="9"/>
  <c r="Y290" i="9"/>
  <c r="Z290" i="9"/>
  <c r="AA290" i="9"/>
  <c r="AB290" i="9"/>
  <c r="AC290" i="9"/>
  <c r="S291" i="9"/>
  <c r="T291" i="9"/>
  <c r="U291" i="9"/>
  <c r="V291" i="9"/>
  <c r="W291" i="9"/>
  <c r="X291" i="9"/>
  <c r="Y291" i="9"/>
  <c r="Z291" i="9"/>
  <c r="AA291" i="9"/>
  <c r="AB291" i="9"/>
  <c r="AC291" i="9"/>
  <c r="S292" i="9"/>
  <c r="T292" i="9"/>
  <c r="U292" i="9"/>
  <c r="V292" i="9"/>
  <c r="W292" i="9"/>
  <c r="X292" i="9"/>
  <c r="Y292" i="9"/>
  <c r="Z292" i="9"/>
  <c r="AA292" i="9"/>
  <c r="AB292" i="9"/>
  <c r="AC292" i="9"/>
  <c r="S293" i="9"/>
  <c r="T293" i="9"/>
  <c r="U293" i="9"/>
  <c r="V293" i="9"/>
  <c r="W293" i="9"/>
  <c r="X293" i="9"/>
  <c r="Y293" i="9"/>
  <c r="Z293" i="9"/>
  <c r="AA293" i="9"/>
  <c r="AB293" i="9"/>
  <c r="AC293" i="9"/>
  <c r="S294" i="9"/>
  <c r="T294" i="9"/>
  <c r="U294" i="9"/>
  <c r="V294" i="9"/>
  <c r="W294" i="9"/>
  <c r="X294" i="9"/>
  <c r="Y294" i="9"/>
  <c r="Z294" i="9"/>
  <c r="AA294" i="9"/>
  <c r="AB294" i="9"/>
  <c r="AC294" i="9"/>
  <c r="S295" i="9"/>
  <c r="T295" i="9"/>
  <c r="U295" i="9"/>
  <c r="V295" i="9"/>
  <c r="W295" i="9"/>
  <c r="X295" i="9"/>
  <c r="Y295" i="9"/>
  <c r="Z295" i="9"/>
  <c r="AA295" i="9"/>
  <c r="AB295" i="9"/>
  <c r="AC295" i="9"/>
  <c r="S296" i="9"/>
  <c r="T296" i="9"/>
  <c r="U296" i="9"/>
  <c r="V296" i="9"/>
  <c r="W296" i="9"/>
  <c r="X296" i="9"/>
  <c r="Y296" i="9"/>
  <c r="Z296" i="9"/>
  <c r="AA296" i="9"/>
  <c r="AB296" i="9"/>
  <c r="AC296" i="9"/>
  <c r="S297" i="9"/>
  <c r="T297" i="9"/>
  <c r="U297" i="9"/>
  <c r="V297" i="9"/>
  <c r="W297" i="9"/>
  <c r="X297" i="9"/>
  <c r="Y297" i="9"/>
  <c r="Z297" i="9"/>
  <c r="AA297" i="9"/>
  <c r="AB297" i="9"/>
  <c r="AC297" i="9"/>
  <c r="S298" i="9"/>
  <c r="T298" i="9"/>
  <c r="U298" i="9"/>
  <c r="V298" i="9"/>
  <c r="W298" i="9"/>
  <c r="X298" i="9"/>
  <c r="Y298" i="9"/>
  <c r="Z298" i="9"/>
  <c r="AA298" i="9"/>
  <c r="AB298" i="9"/>
  <c r="AC298" i="9"/>
  <c r="S299" i="9"/>
  <c r="T299" i="9"/>
  <c r="U299" i="9"/>
  <c r="V299" i="9"/>
  <c r="W299" i="9"/>
  <c r="X299" i="9"/>
  <c r="Y299" i="9"/>
  <c r="Z299" i="9"/>
  <c r="AA299" i="9"/>
  <c r="AB299" i="9"/>
  <c r="AC299" i="9"/>
  <c r="S300" i="9"/>
  <c r="T300" i="9"/>
  <c r="U300" i="9"/>
  <c r="V300" i="9"/>
  <c r="W300" i="9"/>
  <c r="X300" i="9"/>
  <c r="Y300" i="9"/>
  <c r="Z300" i="9"/>
  <c r="AA300" i="9"/>
  <c r="AB300" i="9"/>
  <c r="AC300" i="9"/>
  <c r="S301" i="9"/>
  <c r="T301" i="9"/>
  <c r="U301" i="9"/>
  <c r="V301" i="9"/>
  <c r="W301" i="9"/>
  <c r="X301" i="9"/>
  <c r="Y301" i="9"/>
  <c r="Z301" i="9"/>
  <c r="AA301" i="9"/>
  <c r="AB301" i="9"/>
  <c r="AC301" i="9"/>
  <c r="S302" i="9"/>
  <c r="T302" i="9"/>
  <c r="U302" i="9"/>
  <c r="V302" i="9"/>
  <c r="W302" i="9"/>
  <c r="X302" i="9"/>
  <c r="Y302" i="9"/>
  <c r="Z302" i="9"/>
  <c r="AA302" i="9"/>
  <c r="AB302" i="9"/>
  <c r="AC302" i="9"/>
  <c r="S303" i="9"/>
  <c r="T303" i="9"/>
  <c r="U303" i="9"/>
  <c r="V303" i="9"/>
  <c r="W303" i="9"/>
  <c r="X303" i="9"/>
  <c r="Y303" i="9"/>
  <c r="Z303" i="9"/>
  <c r="AA303" i="9"/>
  <c r="AB303" i="9"/>
  <c r="AC303" i="9"/>
  <c r="S304" i="9"/>
  <c r="T304" i="9"/>
  <c r="U304" i="9"/>
  <c r="V304" i="9"/>
  <c r="W304" i="9"/>
  <c r="X304" i="9"/>
  <c r="Y304" i="9"/>
  <c r="Z304" i="9"/>
  <c r="AA304" i="9"/>
  <c r="AB304" i="9"/>
  <c r="AC304" i="9"/>
  <c r="S305" i="9"/>
  <c r="T305" i="9"/>
  <c r="U305" i="9"/>
  <c r="V305" i="9"/>
  <c r="W305" i="9"/>
  <c r="X305" i="9"/>
  <c r="Y305" i="9"/>
  <c r="Z305" i="9"/>
  <c r="AA305" i="9"/>
  <c r="AB305" i="9"/>
  <c r="AC305" i="9"/>
  <c r="S306" i="9"/>
  <c r="T306" i="9"/>
  <c r="U306" i="9"/>
  <c r="V306" i="9"/>
  <c r="W306" i="9"/>
  <c r="X306" i="9"/>
  <c r="Y306" i="9"/>
  <c r="Z306" i="9"/>
  <c r="AA306" i="9"/>
  <c r="AB306" i="9"/>
  <c r="AC306" i="9"/>
  <c r="S307" i="9"/>
  <c r="T307" i="9"/>
  <c r="U307" i="9"/>
  <c r="V307" i="9"/>
  <c r="W307" i="9"/>
  <c r="X307" i="9"/>
  <c r="Y307" i="9"/>
  <c r="Z307" i="9"/>
  <c r="AA307" i="9"/>
  <c r="AB307" i="9"/>
  <c r="AC307" i="9"/>
  <c r="S308" i="9"/>
  <c r="T308" i="9"/>
  <c r="U308" i="9"/>
  <c r="V308" i="9"/>
  <c r="W308" i="9"/>
  <c r="X308" i="9"/>
  <c r="Y308" i="9"/>
  <c r="Z308" i="9"/>
  <c r="AA308" i="9"/>
  <c r="AB308" i="9"/>
  <c r="AC308" i="9"/>
  <c r="S309" i="9"/>
  <c r="T309" i="9"/>
  <c r="U309" i="9"/>
  <c r="V309" i="9"/>
  <c r="W309" i="9"/>
  <c r="X309" i="9"/>
  <c r="Y309" i="9"/>
  <c r="Z309" i="9"/>
  <c r="AA309" i="9"/>
  <c r="AB309" i="9"/>
  <c r="AC309" i="9"/>
  <c r="S310" i="9"/>
  <c r="T310" i="9"/>
  <c r="U310" i="9"/>
  <c r="V310" i="9"/>
  <c r="W310" i="9"/>
  <c r="X310" i="9"/>
  <c r="Y310" i="9"/>
  <c r="Z310" i="9"/>
  <c r="AA310" i="9"/>
  <c r="AB310" i="9"/>
  <c r="AC310" i="9"/>
  <c r="S311" i="9"/>
  <c r="T311" i="9"/>
  <c r="U311" i="9"/>
  <c r="V311" i="9"/>
  <c r="W311" i="9"/>
  <c r="X311" i="9"/>
  <c r="Y311" i="9"/>
  <c r="Z311" i="9"/>
  <c r="AA311" i="9"/>
  <c r="AB311" i="9"/>
  <c r="AC311" i="9"/>
  <c r="S312" i="9"/>
  <c r="T312" i="9"/>
  <c r="U312" i="9"/>
  <c r="V312" i="9"/>
  <c r="W312" i="9"/>
  <c r="X312" i="9"/>
  <c r="Y312" i="9"/>
  <c r="Z312" i="9"/>
  <c r="AA312" i="9"/>
  <c r="AB312" i="9"/>
  <c r="AC312" i="9"/>
  <c r="S313" i="9"/>
  <c r="T313" i="9"/>
  <c r="U313" i="9"/>
  <c r="V313" i="9"/>
  <c r="W313" i="9"/>
  <c r="X313" i="9"/>
  <c r="Y313" i="9"/>
  <c r="Z313" i="9"/>
  <c r="AA313" i="9"/>
  <c r="AB313" i="9"/>
  <c r="AC313" i="9"/>
  <c r="S314" i="9"/>
  <c r="T314" i="9"/>
  <c r="U314" i="9"/>
  <c r="V314" i="9"/>
  <c r="W314" i="9"/>
  <c r="X314" i="9"/>
  <c r="Y314" i="9"/>
  <c r="Z314" i="9"/>
  <c r="AA314" i="9"/>
  <c r="AB314" i="9"/>
  <c r="AC314" i="9"/>
  <c r="S315" i="9"/>
  <c r="T315" i="9"/>
  <c r="U315" i="9"/>
  <c r="V315" i="9"/>
  <c r="W315" i="9"/>
  <c r="X315" i="9"/>
  <c r="Y315" i="9"/>
  <c r="Z315" i="9"/>
  <c r="AA315" i="9"/>
  <c r="AB315" i="9"/>
  <c r="AC315" i="9"/>
  <c r="S316" i="9"/>
  <c r="T316" i="9"/>
  <c r="U316" i="9"/>
  <c r="V316" i="9"/>
  <c r="W316" i="9"/>
  <c r="X316" i="9"/>
  <c r="Y316" i="9"/>
  <c r="Z316" i="9"/>
  <c r="AA316" i="9"/>
  <c r="AB316" i="9"/>
  <c r="AC316" i="9"/>
  <c r="S317" i="9"/>
  <c r="T317" i="9"/>
  <c r="U317" i="9"/>
  <c r="V317" i="9"/>
  <c r="W317" i="9"/>
  <c r="X317" i="9"/>
  <c r="Y317" i="9"/>
  <c r="Z317" i="9"/>
  <c r="AA317" i="9"/>
  <c r="AB317" i="9"/>
  <c r="AC317" i="9"/>
  <c r="S318" i="9"/>
  <c r="T318" i="9"/>
  <c r="U318" i="9"/>
  <c r="V318" i="9"/>
  <c r="W318" i="9"/>
  <c r="X318" i="9"/>
  <c r="Y318" i="9"/>
  <c r="Z318" i="9"/>
  <c r="AA318" i="9"/>
  <c r="AB318" i="9"/>
  <c r="AC318" i="9"/>
  <c r="S319" i="9"/>
  <c r="T319" i="9"/>
  <c r="U319" i="9"/>
  <c r="V319" i="9"/>
  <c r="W319" i="9"/>
  <c r="X319" i="9"/>
  <c r="Y319" i="9"/>
  <c r="Z319" i="9"/>
  <c r="AA319" i="9"/>
  <c r="AB319" i="9"/>
  <c r="AC319" i="9"/>
  <c r="S320" i="9"/>
  <c r="T320" i="9"/>
  <c r="U320" i="9"/>
  <c r="V320" i="9"/>
  <c r="W320" i="9"/>
  <c r="X320" i="9"/>
  <c r="Y320" i="9"/>
  <c r="Z320" i="9"/>
  <c r="AA320" i="9"/>
  <c r="AB320" i="9"/>
  <c r="AC320" i="9"/>
  <c r="S321" i="9"/>
  <c r="T321" i="9"/>
  <c r="U321" i="9"/>
  <c r="V321" i="9"/>
  <c r="W321" i="9"/>
  <c r="X321" i="9"/>
  <c r="Y321" i="9"/>
  <c r="Z321" i="9"/>
  <c r="AA321" i="9"/>
  <c r="AB321" i="9"/>
  <c r="AC321" i="9"/>
  <c r="S322" i="9"/>
  <c r="T322" i="9"/>
  <c r="U322" i="9"/>
  <c r="V322" i="9"/>
  <c r="W322" i="9"/>
  <c r="X322" i="9"/>
  <c r="Y322" i="9"/>
  <c r="Z322" i="9"/>
  <c r="AA322" i="9"/>
  <c r="AB322" i="9"/>
  <c r="AC322" i="9"/>
  <c r="S323" i="9"/>
  <c r="T323" i="9"/>
  <c r="U323" i="9"/>
  <c r="V323" i="9"/>
  <c r="W323" i="9"/>
  <c r="X323" i="9"/>
  <c r="Y323" i="9"/>
  <c r="Z323" i="9"/>
  <c r="AA323" i="9"/>
  <c r="AB323" i="9"/>
  <c r="AC323" i="9"/>
  <c r="S324" i="9"/>
  <c r="T324" i="9"/>
  <c r="U324" i="9"/>
  <c r="V324" i="9"/>
  <c r="W324" i="9"/>
  <c r="X324" i="9"/>
  <c r="Y324" i="9"/>
  <c r="Z324" i="9"/>
  <c r="AA324" i="9"/>
  <c r="AB324" i="9"/>
  <c r="AC324" i="9"/>
  <c r="S325" i="9"/>
  <c r="T325" i="9"/>
  <c r="U325" i="9"/>
  <c r="V325" i="9"/>
  <c r="W325" i="9"/>
  <c r="X325" i="9"/>
  <c r="Y325" i="9"/>
  <c r="Z325" i="9"/>
  <c r="AA325" i="9"/>
  <c r="AB325" i="9"/>
  <c r="AC325" i="9"/>
  <c r="S326" i="9"/>
  <c r="T326" i="9"/>
  <c r="U326" i="9"/>
  <c r="V326" i="9"/>
  <c r="W326" i="9"/>
  <c r="X326" i="9"/>
  <c r="Y326" i="9"/>
  <c r="Z326" i="9"/>
  <c r="AA326" i="9"/>
  <c r="AB326" i="9"/>
  <c r="AC326" i="9"/>
  <c r="S327" i="9"/>
  <c r="T327" i="9"/>
  <c r="U327" i="9"/>
  <c r="V327" i="9"/>
  <c r="W327" i="9"/>
  <c r="X327" i="9"/>
  <c r="Y327" i="9"/>
  <c r="Z327" i="9"/>
  <c r="AA327" i="9"/>
  <c r="AB327" i="9"/>
  <c r="AC327" i="9"/>
  <c r="S328" i="9"/>
  <c r="T328" i="9"/>
  <c r="U328" i="9"/>
  <c r="V328" i="9"/>
  <c r="W328" i="9"/>
  <c r="X328" i="9"/>
  <c r="Y328" i="9"/>
  <c r="Z328" i="9"/>
  <c r="AA328" i="9"/>
  <c r="AB328" i="9"/>
  <c r="AC328" i="9"/>
  <c r="S329" i="9"/>
  <c r="T329" i="9"/>
  <c r="U329" i="9"/>
  <c r="V329" i="9"/>
  <c r="W329" i="9"/>
  <c r="X329" i="9"/>
  <c r="Y329" i="9"/>
  <c r="Z329" i="9"/>
  <c r="AA329" i="9"/>
  <c r="AB329" i="9"/>
  <c r="AC329" i="9"/>
  <c r="S330" i="9"/>
  <c r="T330" i="9"/>
  <c r="U330" i="9"/>
  <c r="V330" i="9"/>
  <c r="W330" i="9"/>
  <c r="X330" i="9"/>
  <c r="Y330" i="9"/>
  <c r="Z330" i="9"/>
  <c r="AA330" i="9"/>
  <c r="AB330" i="9"/>
  <c r="AC330" i="9"/>
  <c r="S331" i="9"/>
  <c r="T331" i="9"/>
  <c r="U331" i="9"/>
  <c r="V331" i="9"/>
  <c r="W331" i="9"/>
  <c r="X331" i="9"/>
  <c r="Y331" i="9"/>
  <c r="Z331" i="9"/>
  <c r="AA331" i="9"/>
  <c r="AB331" i="9"/>
  <c r="AC331" i="9"/>
  <c r="S332" i="9"/>
  <c r="T332" i="9"/>
  <c r="U332" i="9"/>
  <c r="V332" i="9"/>
  <c r="W332" i="9"/>
  <c r="X332" i="9"/>
  <c r="Y332" i="9"/>
  <c r="Z332" i="9"/>
  <c r="AA332" i="9"/>
  <c r="AB332" i="9"/>
  <c r="AC332" i="9"/>
  <c r="S333" i="9"/>
  <c r="T333" i="9"/>
  <c r="U333" i="9"/>
  <c r="V333" i="9"/>
  <c r="W333" i="9"/>
  <c r="X333" i="9"/>
  <c r="Y333" i="9"/>
  <c r="Z333" i="9"/>
  <c r="AA333" i="9"/>
  <c r="AB333" i="9"/>
  <c r="AC333" i="9"/>
  <c r="S334" i="9"/>
  <c r="T334" i="9"/>
  <c r="U334" i="9"/>
  <c r="V334" i="9"/>
  <c r="W334" i="9"/>
  <c r="X334" i="9"/>
  <c r="Y334" i="9"/>
  <c r="Z334" i="9"/>
  <c r="AA334" i="9"/>
  <c r="AB334" i="9"/>
  <c r="AC334" i="9"/>
  <c r="S335" i="9"/>
  <c r="T335" i="9"/>
  <c r="U335" i="9"/>
  <c r="V335" i="9"/>
  <c r="W335" i="9"/>
  <c r="X335" i="9"/>
  <c r="Y335" i="9"/>
  <c r="Z335" i="9"/>
  <c r="AA335" i="9"/>
  <c r="AB335" i="9"/>
  <c r="AC335" i="9"/>
  <c r="S336" i="9"/>
  <c r="T336" i="9"/>
  <c r="U336" i="9"/>
  <c r="V336" i="9"/>
  <c r="W336" i="9"/>
  <c r="X336" i="9"/>
  <c r="Y336" i="9"/>
  <c r="Z336" i="9"/>
  <c r="AA336" i="9"/>
  <c r="AB336" i="9"/>
  <c r="AC336" i="9"/>
  <c r="S337" i="9"/>
  <c r="T337" i="9"/>
  <c r="U337" i="9"/>
  <c r="V337" i="9"/>
  <c r="W337" i="9"/>
  <c r="X337" i="9"/>
  <c r="Y337" i="9"/>
  <c r="Z337" i="9"/>
  <c r="AA337" i="9"/>
  <c r="AB337" i="9"/>
  <c r="AC337" i="9"/>
  <c r="S338" i="9"/>
  <c r="T338" i="9"/>
  <c r="U338" i="9"/>
  <c r="V338" i="9"/>
  <c r="W338" i="9"/>
  <c r="X338" i="9"/>
  <c r="Y338" i="9"/>
  <c r="Z338" i="9"/>
  <c r="AA338" i="9"/>
  <c r="AB338" i="9"/>
  <c r="AC338" i="9"/>
  <c r="S339" i="9"/>
  <c r="T339" i="9"/>
  <c r="U339" i="9"/>
  <c r="V339" i="9"/>
  <c r="W339" i="9"/>
  <c r="X339" i="9"/>
  <c r="Y339" i="9"/>
  <c r="Z339" i="9"/>
  <c r="AA339" i="9"/>
  <c r="AB339" i="9"/>
  <c r="AC339" i="9"/>
  <c r="S340" i="9"/>
  <c r="T340" i="9"/>
  <c r="U340" i="9"/>
  <c r="V340" i="9"/>
  <c r="W340" i="9"/>
  <c r="X340" i="9"/>
  <c r="Y340" i="9"/>
  <c r="Z340" i="9"/>
  <c r="AA340" i="9"/>
  <c r="AB340" i="9"/>
  <c r="AC340" i="9"/>
  <c r="S341" i="9"/>
  <c r="T341" i="9"/>
  <c r="U341" i="9"/>
  <c r="V341" i="9"/>
  <c r="W341" i="9"/>
  <c r="X341" i="9"/>
  <c r="Y341" i="9"/>
  <c r="Z341" i="9"/>
  <c r="AA341" i="9"/>
  <c r="AB341" i="9"/>
  <c r="AC341" i="9"/>
  <c r="S342" i="9"/>
  <c r="T342" i="9"/>
  <c r="U342" i="9"/>
  <c r="V342" i="9"/>
  <c r="W342" i="9"/>
  <c r="X342" i="9"/>
  <c r="Y342" i="9"/>
  <c r="Z342" i="9"/>
  <c r="AA342" i="9"/>
  <c r="AB342" i="9"/>
  <c r="AC342" i="9"/>
  <c r="S343" i="9"/>
  <c r="T343" i="9"/>
  <c r="U343" i="9"/>
  <c r="V343" i="9"/>
  <c r="W343" i="9"/>
  <c r="X343" i="9"/>
  <c r="Y343" i="9"/>
  <c r="Z343" i="9"/>
  <c r="AA343" i="9"/>
  <c r="AB343" i="9"/>
  <c r="AC343" i="9"/>
  <c r="S344" i="9"/>
  <c r="T344" i="9"/>
  <c r="U344" i="9"/>
  <c r="V344" i="9"/>
  <c r="W344" i="9"/>
  <c r="X344" i="9"/>
  <c r="Y344" i="9"/>
  <c r="Z344" i="9"/>
  <c r="AA344" i="9"/>
  <c r="AB344" i="9"/>
  <c r="AC344" i="9"/>
  <c r="S345" i="9"/>
  <c r="T345" i="9"/>
  <c r="U345" i="9"/>
  <c r="V345" i="9"/>
  <c r="W345" i="9"/>
  <c r="X345" i="9"/>
  <c r="Y345" i="9"/>
  <c r="Z345" i="9"/>
  <c r="AA345" i="9"/>
  <c r="AB345" i="9"/>
  <c r="AC345" i="9"/>
  <c r="S346" i="9"/>
  <c r="T346" i="9"/>
  <c r="U346" i="9"/>
  <c r="V346" i="9"/>
  <c r="W346" i="9"/>
  <c r="X346" i="9"/>
  <c r="Y346" i="9"/>
  <c r="Z346" i="9"/>
  <c r="AA346" i="9"/>
  <c r="AB346" i="9"/>
  <c r="AC346" i="9"/>
  <c r="S347" i="9"/>
  <c r="T347" i="9"/>
  <c r="U347" i="9"/>
  <c r="V347" i="9"/>
  <c r="W347" i="9"/>
  <c r="X347" i="9"/>
  <c r="Y347" i="9"/>
  <c r="Z347" i="9"/>
  <c r="AA347" i="9"/>
  <c r="AB347" i="9"/>
  <c r="AC347" i="9"/>
  <c r="S348" i="9"/>
  <c r="T348" i="9"/>
  <c r="U348" i="9"/>
  <c r="V348" i="9"/>
  <c r="W348" i="9"/>
  <c r="X348" i="9"/>
  <c r="Y348" i="9"/>
  <c r="Z348" i="9"/>
  <c r="AA348" i="9"/>
  <c r="AB348" i="9"/>
  <c r="AC348" i="9"/>
  <c r="S349" i="9"/>
  <c r="T349" i="9"/>
  <c r="U349" i="9"/>
  <c r="V349" i="9"/>
  <c r="W349" i="9"/>
  <c r="X349" i="9"/>
  <c r="Y349" i="9"/>
  <c r="Z349" i="9"/>
  <c r="AA349" i="9"/>
  <c r="AB349" i="9"/>
  <c r="AC349" i="9"/>
  <c r="S350" i="9"/>
  <c r="T350" i="9"/>
  <c r="U350" i="9"/>
  <c r="V350" i="9"/>
  <c r="W350" i="9"/>
  <c r="X350" i="9"/>
  <c r="Y350" i="9"/>
  <c r="Z350" i="9"/>
  <c r="AA350" i="9"/>
  <c r="AB350" i="9"/>
  <c r="AC350" i="9"/>
  <c r="S351" i="9"/>
  <c r="T351" i="9"/>
  <c r="U351" i="9"/>
  <c r="V351" i="9"/>
  <c r="W351" i="9"/>
  <c r="X351" i="9"/>
  <c r="Y351" i="9"/>
  <c r="Z351" i="9"/>
  <c r="AA351" i="9"/>
  <c r="AB351" i="9"/>
  <c r="AC351" i="9"/>
  <c r="S352" i="9"/>
  <c r="T352" i="9"/>
  <c r="U352" i="9"/>
  <c r="V352" i="9"/>
  <c r="W352" i="9"/>
  <c r="X352" i="9"/>
  <c r="Y352" i="9"/>
  <c r="Z352" i="9"/>
  <c r="AA352" i="9"/>
  <c r="AB352" i="9"/>
  <c r="AC352" i="9"/>
  <c r="S353" i="9"/>
  <c r="T353" i="9"/>
  <c r="U353" i="9"/>
  <c r="V353" i="9"/>
  <c r="W353" i="9"/>
  <c r="X353" i="9"/>
  <c r="Y353" i="9"/>
  <c r="Z353" i="9"/>
  <c r="AA353" i="9"/>
  <c r="AB353" i="9"/>
  <c r="AC353" i="9"/>
  <c r="S354" i="9"/>
  <c r="T354" i="9"/>
  <c r="U354" i="9"/>
  <c r="V354" i="9"/>
  <c r="W354" i="9"/>
  <c r="X354" i="9"/>
  <c r="Y354" i="9"/>
  <c r="Z354" i="9"/>
  <c r="AA354" i="9"/>
  <c r="AB354" i="9"/>
  <c r="AC354" i="9"/>
  <c r="S355" i="9"/>
  <c r="T355" i="9"/>
  <c r="U355" i="9"/>
  <c r="V355" i="9"/>
  <c r="W355" i="9"/>
  <c r="X355" i="9"/>
  <c r="Y355" i="9"/>
  <c r="Z355" i="9"/>
  <c r="AA355" i="9"/>
  <c r="AB355" i="9"/>
  <c r="AC355" i="9"/>
  <c r="S356" i="9"/>
  <c r="T356" i="9"/>
  <c r="U356" i="9"/>
  <c r="V356" i="9"/>
  <c r="W356" i="9"/>
  <c r="X356" i="9"/>
  <c r="Y356" i="9"/>
  <c r="Z356" i="9"/>
  <c r="AA356" i="9"/>
  <c r="AB356" i="9"/>
  <c r="AC356" i="9"/>
  <c r="S357" i="9"/>
  <c r="T357" i="9"/>
  <c r="U357" i="9"/>
  <c r="V357" i="9"/>
  <c r="W357" i="9"/>
  <c r="X357" i="9"/>
  <c r="Y357" i="9"/>
  <c r="Z357" i="9"/>
  <c r="AA357" i="9"/>
  <c r="AB357" i="9"/>
  <c r="AC357" i="9"/>
  <c r="S358" i="9"/>
  <c r="T358" i="9"/>
  <c r="U358" i="9"/>
  <c r="V358" i="9"/>
  <c r="W358" i="9"/>
  <c r="X358" i="9"/>
  <c r="Y358" i="9"/>
  <c r="Z358" i="9"/>
  <c r="AA358" i="9"/>
  <c r="AB358" i="9"/>
  <c r="AC358" i="9"/>
  <c r="S359" i="9"/>
  <c r="T359" i="9"/>
  <c r="U359" i="9"/>
  <c r="V359" i="9"/>
  <c r="W359" i="9"/>
  <c r="X359" i="9"/>
  <c r="Y359" i="9"/>
  <c r="Z359" i="9"/>
  <c r="AA359" i="9"/>
  <c r="AB359" i="9"/>
  <c r="AC359" i="9"/>
  <c r="S360" i="9"/>
  <c r="T360" i="9"/>
  <c r="U360" i="9"/>
  <c r="V360" i="9"/>
  <c r="W360" i="9"/>
  <c r="X360" i="9"/>
  <c r="Y360" i="9"/>
  <c r="Z360" i="9"/>
  <c r="AA360" i="9"/>
  <c r="AB360" i="9"/>
  <c r="AC360" i="9"/>
  <c r="S361" i="9"/>
  <c r="T361" i="9"/>
  <c r="U361" i="9"/>
  <c r="V361" i="9"/>
  <c r="W361" i="9"/>
  <c r="X361" i="9"/>
  <c r="Y361" i="9"/>
  <c r="Z361" i="9"/>
  <c r="AA361" i="9"/>
  <c r="AB361" i="9"/>
  <c r="AC361" i="9"/>
  <c r="S362" i="9"/>
  <c r="T362" i="9"/>
  <c r="U362" i="9"/>
  <c r="V362" i="9"/>
  <c r="W362" i="9"/>
  <c r="X362" i="9"/>
  <c r="Y362" i="9"/>
  <c r="Z362" i="9"/>
  <c r="AA362" i="9"/>
  <c r="AB362" i="9"/>
  <c r="AC362" i="9"/>
  <c r="S363" i="9"/>
  <c r="T363" i="9"/>
  <c r="U363" i="9"/>
  <c r="V363" i="9"/>
  <c r="W363" i="9"/>
  <c r="X363" i="9"/>
  <c r="Y363" i="9"/>
  <c r="Z363" i="9"/>
  <c r="AA363" i="9"/>
  <c r="AB363" i="9"/>
  <c r="AC363" i="9"/>
  <c r="S364" i="9"/>
  <c r="T364" i="9"/>
  <c r="U364" i="9"/>
  <c r="V364" i="9"/>
  <c r="W364" i="9"/>
  <c r="X364" i="9"/>
  <c r="Y364" i="9"/>
  <c r="Z364" i="9"/>
  <c r="AA364" i="9"/>
  <c r="AB364" i="9"/>
  <c r="AC364" i="9"/>
  <c r="S365" i="9"/>
  <c r="T365" i="9"/>
  <c r="U365" i="9"/>
  <c r="V365" i="9"/>
  <c r="W365" i="9"/>
  <c r="X365" i="9"/>
  <c r="Y365" i="9"/>
  <c r="Z365" i="9"/>
  <c r="AA365" i="9"/>
  <c r="AB365" i="9"/>
  <c r="AC365" i="9"/>
  <c r="S366" i="9"/>
  <c r="T366" i="9"/>
  <c r="U366" i="9"/>
  <c r="V366" i="9"/>
  <c r="W366" i="9"/>
  <c r="X366" i="9"/>
  <c r="Y366" i="9"/>
  <c r="Z366" i="9"/>
  <c r="AA366" i="9"/>
  <c r="AB366" i="9"/>
  <c r="AC366" i="9"/>
  <c r="S367" i="9"/>
  <c r="T367" i="9"/>
  <c r="U367" i="9"/>
  <c r="V367" i="9"/>
  <c r="W367" i="9"/>
  <c r="X367" i="9"/>
  <c r="Y367" i="9"/>
  <c r="Z367" i="9"/>
  <c r="AA367" i="9"/>
  <c r="AB367" i="9"/>
  <c r="AC367" i="9"/>
  <c r="S368" i="9"/>
  <c r="T368" i="9"/>
  <c r="U368" i="9"/>
  <c r="V368" i="9"/>
  <c r="W368" i="9"/>
  <c r="X368" i="9"/>
  <c r="Y368" i="9"/>
  <c r="Z368" i="9"/>
  <c r="AA368" i="9"/>
  <c r="AB368" i="9"/>
  <c r="AC368" i="9"/>
  <c r="S369" i="9"/>
  <c r="T369" i="9"/>
  <c r="U369" i="9"/>
  <c r="V369" i="9"/>
  <c r="W369" i="9"/>
  <c r="X369" i="9"/>
  <c r="Y369" i="9"/>
  <c r="Z369" i="9"/>
  <c r="AA369" i="9"/>
  <c r="AB369" i="9"/>
  <c r="AC369" i="9"/>
  <c r="S370" i="9"/>
  <c r="T370" i="9"/>
  <c r="U370" i="9"/>
  <c r="V370" i="9"/>
  <c r="W370" i="9"/>
  <c r="X370" i="9"/>
  <c r="Y370" i="9"/>
  <c r="Z370" i="9"/>
  <c r="AA370" i="9"/>
  <c r="AB370" i="9"/>
  <c r="AC370" i="9"/>
  <c r="S371" i="9"/>
  <c r="T371" i="9"/>
  <c r="U371" i="9"/>
  <c r="V371" i="9"/>
  <c r="W371" i="9"/>
  <c r="X371" i="9"/>
  <c r="Y371" i="9"/>
  <c r="Z371" i="9"/>
  <c r="AA371" i="9"/>
  <c r="AB371" i="9"/>
  <c r="AC371" i="9"/>
  <c r="S372" i="9"/>
  <c r="T372" i="9"/>
  <c r="U372" i="9"/>
  <c r="V372" i="9"/>
  <c r="W372" i="9"/>
  <c r="X372" i="9"/>
  <c r="Y372" i="9"/>
  <c r="Z372" i="9"/>
  <c r="AA372" i="9"/>
  <c r="AB372" i="9"/>
  <c r="AC372" i="9"/>
  <c r="S373" i="9"/>
  <c r="T373" i="9"/>
  <c r="U373" i="9"/>
  <c r="V373" i="9"/>
  <c r="W373" i="9"/>
  <c r="X373" i="9"/>
  <c r="Y373" i="9"/>
  <c r="Z373" i="9"/>
  <c r="AA373" i="9"/>
  <c r="AB373" i="9"/>
  <c r="AC373" i="9"/>
  <c r="S374" i="9"/>
  <c r="T374" i="9"/>
  <c r="U374" i="9"/>
  <c r="V374" i="9"/>
  <c r="W374" i="9"/>
  <c r="X374" i="9"/>
  <c r="Y374" i="9"/>
  <c r="Z374" i="9"/>
  <c r="AA374" i="9"/>
  <c r="AB374" i="9"/>
  <c r="AC374" i="9"/>
  <c r="S375" i="9"/>
  <c r="T375" i="9"/>
  <c r="U375" i="9"/>
  <c r="V375" i="9"/>
  <c r="W375" i="9"/>
  <c r="X375" i="9"/>
  <c r="Y375" i="9"/>
  <c r="Z375" i="9"/>
  <c r="AA375" i="9"/>
  <c r="AB375" i="9"/>
  <c r="AC375" i="9"/>
  <c r="S376" i="9"/>
  <c r="T376" i="9"/>
  <c r="U376" i="9"/>
  <c r="V376" i="9"/>
  <c r="W376" i="9"/>
  <c r="X376" i="9"/>
  <c r="Y376" i="9"/>
  <c r="Z376" i="9"/>
  <c r="AA376" i="9"/>
  <c r="AB376" i="9"/>
  <c r="AC376" i="9"/>
  <c r="S377" i="9"/>
  <c r="T377" i="9"/>
  <c r="U377" i="9"/>
  <c r="V377" i="9"/>
  <c r="W377" i="9"/>
  <c r="X377" i="9"/>
  <c r="Y377" i="9"/>
  <c r="Z377" i="9"/>
  <c r="AA377" i="9"/>
  <c r="AB377" i="9"/>
  <c r="AC377" i="9"/>
  <c r="S378" i="9"/>
  <c r="T378" i="9"/>
  <c r="U378" i="9"/>
  <c r="V378" i="9"/>
  <c r="W378" i="9"/>
  <c r="X378" i="9"/>
  <c r="Y378" i="9"/>
  <c r="Z378" i="9"/>
  <c r="AA378" i="9"/>
  <c r="AB378" i="9"/>
  <c r="AC378" i="9"/>
  <c r="S379" i="9"/>
  <c r="T379" i="9"/>
  <c r="U379" i="9"/>
  <c r="V379" i="9"/>
  <c r="W379" i="9"/>
  <c r="X379" i="9"/>
  <c r="Y379" i="9"/>
  <c r="Z379" i="9"/>
  <c r="AA379" i="9"/>
  <c r="AB379" i="9"/>
  <c r="AC379" i="9"/>
  <c r="S380" i="9"/>
  <c r="T380" i="9"/>
  <c r="U380" i="9"/>
  <c r="V380" i="9"/>
  <c r="W380" i="9"/>
  <c r="X380" i="9"/>
  <c r="Y380" i="9"/>
  <c r="Z380" i="9"/>
  <c r="AA380" i="9"/>
  <c r="AB380" i="9"/>
  <c r="AC380" i="9"/>
  <c r="S381" i="9"/>
  <c r="T381" i="9"/>
  <c r="U381" i="9"/>
  <c r="V381" i="9"/>
  <c r="W381" i="9"/>
  <c r="X381" i="9"/>
  <c r="Y381" i="9"/>
  <c r="Z381" i="9"/>
  <c r="AA381" i="9"/>
  <c r="AB381" i="9"/>
  <c r="AC381" i="9"/>
  <c r="S382" i="9"/>
  <c r="T382" i="9"/>
  <c r="U382" i="9"/>
  <c r="V382" i="9"/>
  <c r="W382" i="9"/>
  <c r="X382" i="9"/>
  <c r="Y382" i="9"/>
  <c r="Z382" i="9"/>
  <c r="AA382" i="9"/>
  <c r="AB382" i="9"/>
  <c r="AC382" i="9"/>
  <c r="S383" i="9"/>
  <c r="T383" i="9"/>
  <c r="U383" i="9"/>
  <c r="V383" i="9"/>
  <c r="W383" i="9"/>
  <c r="X383" i="9"/>
  <c r="Y383" i="9"/>
  <c r="Z383" i="9"/>
  <c r="AA383" i="9"/>
  <c r="AB383" i="9"/>
  <c r="AC383" i="9"/>
  <c r="S384" i="9"/>
  <c r="T384" i="9"/>
  <c r="U384" i="9"/>
  <c r="V384" i="9"/>
  <c r="W384" i="9"/>
  <c r="X384" i="9"/>
  <c r="Y384" i="9"/>
  <c r="Z384" i="9"/>
  <c r="AA384" i="9"/>
  <c r="AB384" i="9"/>
  <c r="AC384" i="9"/>
  <c r="S385" i="9"/>
  <c r="T385" i="9"/>
  <c r="U385" i="9"/>
  <c r="V385" i="9"/>
  <c r="W385" i="9"/>
  <c r="X385" i="9"/>
  <c r="Y385" i="9"/>
  <c r="Z385" i="9"/>
  <c r="AA385" i="9"/>
  <c r="AB385" i="9"/>
  <c r="AC385" i="9"/>
  <c r="S386" i="9"/>
  <c r="T386" i="9"/>
  <c r="U386" i="9"/>
  <c r="V386" i="9"/>
  <c r="W386" i="9"/>
  <c r="X386" i="9"/>
  <c r="Y386" i="9"/>
  <c r="Z386" i="9"/>
  <c r="AA386" i="9"/>
  <c r="AB386" i="9"/>
  <c r="AC386" i="9"/>
  <c r="S387" i="9"/>
  <c r="T387" i="9"/>
  <c r="U387" i="9"/>
  <c r="V387" i="9"/>
  <c r="W387" i="9"/>
  <c r="X387" i="9"/>
  <c r="Y387" i="9"/>
  <c r="Z387" i="9"/>
  <c r="AA387" i="9"/>
  <c r="AB387" i="9"/>
  <c r="AC387" i="9"/>
  <c r="S388" i="9"/>
  <c r="T388" i="9"/>
  <c r="U388" i="9"/>
  <c r="V388" i="9"/>
  <c r="W388" i="9"/>
  <c r="X388" i="9"/>
  <c r="Y388" i="9"/>
  <c r="Z388" i="9"/>
  <c r="AA388" i="9"/>
  <c r="AB388" i="9"/>
  <c r="AC388" i="9"/>
  <c r="S389" i="9"/>
  <c r="T389" i="9"/>
  <c r="U389" i="9"/>
  <c r="V389" i="9"/>
  <c r="W389" i="9"/>
  <c r="X389" i="9"/>
  <c r="Y389" i="9"/>
  <c r="Z389" i="9"/>
  <c r="AA389" i="9"/>
  <c r="AB389" i="9"/>
  <c r="AC389" i="9"/>
  <c r="S390" i="9"/>
  <c r="T390" i="9"/>
  <c r="U390" i="9"/>
  <c r="V390" i="9"/>
  <c r="W390" i="9"/>
  <c r="X390" i="9"/>
  <c r="Y390" i="9"/>
  <c r="Z390" i="9"/>
  <c r="AA390" i="9"/>
  <c r="AB390" i="9"/>
  <c r="AC390" i="9"/>
  <c r="S391" i="9"/>
  <c r="T391" i="9"/>
  <c r="U391" i="9"/>
  <c r="V391" i="9"/>
  <c r="W391" i="9"/>
  <c r="X391" i="9"/>
  <c r="Y391" i="9"/>
  <c r="Z391" i="9"/>
  <c r="AA391" i="9"/>
  <c r="AB391" i="9"/>
  <c r="AC391" i="9"/>
  <c r="S392" i="9"/>
  <c r="T392" i="9"/>
  <c r="U392" i="9"/>
  <c r="V392" i="9"/>
  <c r="W392" i="9"/>
  <c r="X392" i="9"/>
  <c r="Y392" i="9"/>
  <c r="Z392" i="9"/>
  <c r="AA392" i="9"/>
  <c r="AB392" i="9"/>
  <c r="AC392" i="9"/>
  <c r="S393" i="9"/>
  <c r="T393" i="9"/>
  <c r="U393" i="9"/>
  <c r="V393" i="9"/>
  <c r="W393" i="9"/>
  <c r="X393" i="9"/>
  <c r="Y393" i="9"/>
  <c r="Z393" i="9"/>
  <c r="AA393" i="9"/>
  <c r="AB393" i="9"/>
  <c r="AC393" i="9"/>
  <c r="S394" i="9"/>
  <c r="T394" i="9"/>
  <c r="U394" i="9"/>
  <c r="V394" i="9"/>
  <c r="W394" i="9"/>
  <c r="X394" i="9"/>
  <c r="Y394" i="9"/>
  <c r="Z394" i="9"/>
  <c r="AA394" i="9"/>
  <c r="AB394" i="9"/>
  <c r="AC394" i="9"/>
  <c r="S395" i="9"/>
  <c r="T395" i="9"/>
  <c r="U395" i="9"/>
  <c r="V395" i="9"/>
  <c r="W395" i="9"/>
  <c r="X395" i="9"/>
  <c r="Y395" i="9"/>
  <c r="Z395" i="9"/>
  <c r="AA395" i="9"/>
  <c r="AB395" i="9"/>
  <c r="AC395" i="9"/>
  <c r="S396" i="9"/>
  <c r="T396" i="9"/>
  <c r="U396" i="9"/>
  <c r="V396" i="9"/>
  <c r="W396" i="9"/>
  <c r="X396" i="9"/>
  <c r="Y396" i="9"/>
  <c r="Z396" i="9"/>
  <c r="AA396" i="9"/>
  <c r="AB396" i="9"/>
  <c r="AC396" i="9"/>
  <c r="S397" i="9"/>
  <c r="T397" i="9"/>
  <c r="U397" i="9"/>
  <c r="V397" i="9"/>
  <c r="W397" i="9"/>
  <c r="X397" i="9"/>
  <c r="Y397" i="9"/>
  <c r="Z397" i="9"/>
  <c r="AA397" i="9"/>
  <c r="AB397" i="9"/>
  <c r="AC397" i="9"/>
  <c r="S398" i="9"/>
  <c r="T398" i="9"/>
  <c r="U398" i="9"/>
  <c r="V398" i="9"/>
  <c r="W398" i="9"/>
  <c r="X398" i="9"/>
  <c r="Y398" i="9"/>
  <c r="Z398" i="9"/>
  <c r="AA398" i="9"/>
  <c r="AB398" i="9"/>
  <c r="AC398" i="9"/>
  <c r="S399" i="9"/>
  <c r="T399" i="9"/>
  <c r="U399" i="9"/>
  <c r="V399" i="9"/>
  <c r="W399" i="9"/>
  <c r="X399" i="9"/>
  <c r="Y399" i="9"/>
  <c r="Z399" i="9"/>
  <c r="AA399" i="9"/>
  <c r="AB399" i="9"/>
  <c r="AC399" i="9"/>
  <c r="S400" i="9"/>
  <c r="T400" i="9"/>
  <c r="U400" i="9"/>
  <c r="V400" i="9"/>
  <c r="W400" i="9"/>
  <c r="X400" i="9"/>
  <c r="Y400" i="9"/>
  <c r="Z400" i="9"/>
  <c r="AA400" i="9"/>
  <c r="AB400" i="9"/>
  <c r="AC400" i="9"/>
  <c r="S401" i="9"/>
  <c r="T401" i="9"/>
  <c r="U401" i="9"/>
  <c r="V401" i="9"/>
  <c r="W401" i="9"/>
  <c r="X401" i="9"/>
  <c r="Y401" i="9"/>
  <c r="Z401" i="9"/>
  <c r="AA401" i="9"/>
  <c r="AB401" i="9"/>
  <c r="AC401" i="9"/>
  <c r="S402" i="9"/>
  <c r="T402" i="9"/>
  <c r="U402" i="9"/>
  <c r="V402" i="9"/>
  <c r="W402" i="9"/>
  <c r="X402" i="9"/>
  <c r="Y402" i="9"/>
  <c r="Z402" i="9"/>
  <c r="AA402" i="9"/>
  <c r="AB402" i="9"/>
  <c r="AC402" i="9"/>
  <c r="S403" i="9"/>
  <c r="T403" i="9"/>
  <c r="U403" i="9"/>
  <c r="V403" i="9"/>
  <c r="W403" i="9"/>
  <c r="X403" i="9"/>
  <c r="Y403" i="9"/>
  <c r="Z403" i="9"/>
  <c r="AA403" i="9"/>
  <c r="AB403" i="9"/>
  <c r="AC403" i="9"/>
  <c r="S404" i="9"/>
  <c r="T404" i="9"/>
  <c r="U404" i="9"/>
  <c r="V404" i="9"/>
  <c r="W404" i="9"/>
  <c r="X404" i="9"/>
  <c r="Y404" i="9"/>
  <c r="Z404" i="9"/>
  <c r="AA404" i="9"/>
  <c r="AB404" i="9"/>
  <c r="AC404" i="9"/>
  <c r="S405" i="9"/>
  <c r="T405" i="9"/>
  <c r="U405" i="9"/>
  <c r="V405" i="9"/>
  <c r="W405" i="9"/>
  <c r="X405" i="9"/>
  <c r="Y405" i="9"/>
  <c r="Z405" i="9"/>
  <c r="AA405" i="9"/>
  <c r="AB405" i="9"/>
  <c r="AC405" i="9"/>
  <c r="S406" i="9"/>
  <c r="T406" i="9"/>
  <c r="U406" i="9"/>
  <c r="V406" i="9"/>
  <c r="W406" i="9"/>
  <c r="X406" i="9"/>
  <c r="Y406" i="9"/>
  <c r="Z406" i="9"/>
  <c r="AA406" i="9"/>
  <c r="AB406" i="9"/>
  <c r="AC406" i="9"/>
  <c r="S407" i="9"/>
  <c r="T407" i="9"/>
  <c r="U407" i="9"/>
  <c r="V407" i="9"/>
  <c r="W407" i="9"/>
  <c r="X407" i="9"/>
  <c r="Y407" i="9"/>
  <c r="Z407" i="9"/>
  <c r="AA407" i="9"/>
  <c r="AB407" i="9"/>
  <c r="AC407" i="9"/>
  <c r="S408" i="9"/>
  <c r="T408" i="9"/>
  <c r="U408" i="9"/>
  <c r="V408" i="9"/>
  <c r="W408" i="9"/>
  <c r="X408" i="9"/>
  <c r="Y408" i="9"/>
  <c r="Z408" i="9"/>
  <c r="AA408" i="9"/>
  <c r="AB408" i="9"/>
  <c r="AC408" i="9"/>
  <c r="S409" i="9"/>
  <c r="T409" i="9"/>
  <c r="U409" i="9"/>
  <c r="V409" i="9"/>
  <c r="W409" i="9"/>
  <c r="X409" i="9"/>
  <c r="Y409" i="9"/>
  <c r="Z409" i="9"/>
  <c r="AA409" i="9"/>
  <c r="AB409" i="9"/>
  <c r="AC409" i="9"/>
  <c r="S410" i="9"/>
  <c r="T410" i="9"/>
  <c r="U410" i="9"/>
  <c r="V410" i="9"/>
  <c r="W410" i="9"/>
  <c r="X410" i="9"/>
  <c r="Y410" i="9"/>
  <c r="Z410" i="9"/>
  <c r="AA410" i="9"/>
  <c r="AB410" i="9"/>
  <c r="AC410" i="9"/>
  <c r="S411" i="9"/>
  <c r="T411" i="9"/>
  <c r="U411" i="9"/>
  <c r="V411" i="9"/>
  <c r="W411" i="9"/>
  <c r="X411" i="9"/>
  <c r="Y411" i="9"/>
  <c r="Z411" i="9"/>
  <c r="AA411" i="9"/>
  <c r="AB411" i="9"/>
  <c r="AC411" i="9"/>
  <c r="S412" i="9"/>
  <c r="T412" i="9"/>
  <c r="U412" i="9"/>
  <c r="V412" i="9"/>
  <c r="W412" i="9"/>
  <c r="X412" i="9"/>
  <c r="Y412" i="9"/>
  <c r="Z412" i="9"/>
  <c r="AA412" i="9"/>
  <c r="AB412" i="9"/>
  <c r="AC412" i="9"/>
  <c r="S413" i="9"/>
  <c r="T413" i="9"/>
  <c r="U413" i="9"/>
  <c r="V413" i="9"/>
  <c r="W413" i="9"/>
  <c r="X413" i="9"/>
  <c r="Y413" i="9"/>
  <c r="Z413" i="9"/>
  <c r="AA413" i="9"/>
  <c r="AB413" i="9"/>
  <c r="AC413" i="9"/>
  <c r="S414" i="9"/>
  <c r="T414" i="9"/>
  <c r="U414" i="9"/>
  <c r="V414" i="9"/>
  <c r="W414" i="9"/>
  <c r="X414" i="9"/>
  <c r="Y414" i="9"/>
  <c r="Z414" i="9"/>
  <c r="AA414" i="9"/>
  <c r="AB414" i="9"/>
  <c r="AC414" i="9"/>
  <c r="S415" i="9"/>
  <c r="T415" i="9"/>
  <c r="U415" i="9"/>
  <c r="V415" i="9"/>
  <c r="W415" i="9"/>
  <c r="X415" i="9"/>
  <c r="Y415" i="9"/>
  <c r="Z415" i="9"/>
  <c r="AA415" i="9"/>
  <c r="AB415" i="9"/>
  <c r="AC415" i="9"/>
  <c r="S416" i="9"/>
  <c r="T416" i="9"/>
  <c r="U416" i="9"/>
  <c r="V416" i="9"/>
  <c r="W416" i="9"/>
  <c r="X416" i="9"/>
  <c r="Y416" i="9"/>
  <c r="Z416" i="9"/>
  <c r="AA416" i="9"/>
  <c r="AB416" i="9"/>
  <c r="AC416" i="9"/>
  <c r="S417" i="9"/>
  <c r="T417" i="9"/>
  <c r="U417" i="9"/>
  <c r="V417" i="9"/>
  <c r="W417" i="9"/>
  <c r="X417" i="9"/>
  <c r="Y417" i="9"/>
  <c r="Z417" i="9"/>
  <c r="AA417" i="9"/>
  <c r="AB417" i="9"/>
  <c r="AC417" i="9"/>
  <c r="S418" i="9"/>
  <c r="T418" i="9"/>
  <c r="U418" i="9"/>
  <c r="V418" i="9"/>
  <c r="W418" i="9"/>
  <c r="X418" i="9"/>
  <c r="Y418" i="9"/>
  <c r="Z418" i="9"/>
  <c r="AA418" i="9"/>
  <c r="AB418" i="9"/>
  <c r="AC418" i="9"/>
  <c r="S419" i="9"/>
  <c r="T419" i="9"/>
  <c r="U419" i="9"/>
  <c r="V419" i="9"/>
  <c r="W419" i="9"/>
  <c r="X419" i="9"/>
  <c r="Y419" i="9"/>
  <c r="Z419" i="9"/>
  <c r="AA419" i="9"/>
  <c r="AB419" i="9"/>
  <c r="AC419" i="9"/>
  <c r="S420" i="9"/>
  <c r="T420" i="9"/>
  <c r="U420" i="9"/>
  <c r="V420" i="9"/>
  <c r="W420" i="9"/>
  <c r="X420" i="9"/>
  <c r="Y420" i="9"/>
  <c r="Z420" i="9"/>
  <c r="AA420" i="9"/>
  <c r="AB420" i="9"/>
  <c r="AC420" i="9"/>
  <c r="S421" i="9"/>
  <c r="T421" i="9"/>
  <c r="U421" i="9"/>
  <c r="V421" i="9"/>
  <c r="W421" i="9"/>
  <c r="X421" i="9"/>
  <c r="Y421" i="9"/>
  <c r="Z421" i="9"/>
  <c r="AA421" i="9"/>
  <c r="AB421" i="9"/>
  <c r="AC421" i="9"/>
  <c r="S422" i="9"/>
  <c r="T422" i="9"/>
  <c r="U422" i="9"/>
  <c r="V422" i="9"/>
  <c r="W422" i="9"/>
  <c r="X422" i="9"/>
  <c r="Y422" i="9"/>
  <c r="Z422" i="9"/>
  <c r="AA422" i="9"/>
  <c r="AB422" i="9"/>
  <c r="AC422" i="9"/>
  <c r="S423" i="9"/>
  <c r="T423" i="9"/>
  <c r="U423" i="9"/>
  <c r="V423" i="9"/>
  <c r="W423" i="9"/>
  <c r="X423" i="9"/>
  <c r="Y423" i="9"/>
  <c r="Z423" i="9"/>
  <c r="AA423" i="9"/>
  <c r="AB423" i="9"/>
  <c r="AC423" i="9"/>
  <c r="S424" i="9"/>
  <c r="T424" i="9"/>
  <c r="U424" i="9"/>
  <c r="V424" i="9"/>
  <c r="W424" i="9"/>
  <c r="X424" i="9"/>
  <c r="Y424" i="9"/>
  <c r="Z424" i="9"/>
  <c r="AA424" i="9"/>
  <c r="AB424" i="9"/>
  <c r="AC424" i="9"/>
  <c r="S425" i="9"/>
  <c r="T425" i="9"/>
  <c r="U425" i="9"/>
  <c r="V425" i="9"/>
  <c r="W425" i="9"/>
  <c r="X425" i="9"/>
  <c r="Y425" i="9"/>
  <c r="Z425" i="9"/>
  <c r="AA425" i="9"/>
  <c r="AB425" i="9"/>
  <c r="AC425" i="9"/>
  <c r="S426" i="9"/>
  <c r="T426" i="9"/>
  <c r="U426" i="9"/>
  <c r="V426" i="9"/>
  <c r="W426" i="9"/>
  <c r="X426" i="9"/>
  <c r="Y426" i="9"/>
  <c r="Z426" i="9"/>
  <c r="AA426" i="9"/>
  <c r="AB426" i="9"/>
  <c r="AC426" i="9"/>
  <c r="S427" i="9"/>
  <c r="T427" i="9"/>
  <c r="U427" i="9"/>
  <c r="V427" i="9"/>
  <c r="W427" i="9"/>
  <c r="X427" i="9"/>
  <c r="Y427" i="9"/>
  <c r="Z427" i="9"/>
  <c r="AA427" i="9"/>
  <c r="AB427" i="9"/>
  <c r="AC427" i="9"/>
  <c r="S428" i="9"/>
  <c r="T428" i="9"/>
  <c r="U428" i="9"/>
  <c r="V428" i="9"/>
  <c r="W428" i="9"/>
  <c r="X428" i="9"/>
  <c r="Y428" i="9"/>
  <c r="Z428" i="9"/>
  <c r="AA428" i="9"/>
  <c r="AB428" i="9"/>
  <c r="AC428" i="9"/>
  <c r="S429" i="9"/>
  <c r="T429" i="9"/>
  <c r="U429" i="9"/>
  <c r="V429" i="9"/>
  <c r="W429" i="9"/>
  <c r="X429" i="9"/>
  <c r="Y429" i="9"/>
  <c r="Z429" i="9"/>
  <c r="AA429" i="9"/>
  <c r="AB429" i="9"/>
  <c r="AC429" i="9"/>
  <c r="S430" i="9"/>
  <c r="T430" i="9"/>
  <c r="U430" i="9"/>
  <c r="V430" i="9"/>
  <c r="W430" i="9"/>
  <c r="X430" i="9"/>
  <c r="Y430" i="9"/>
  <c r="Z430" i="9"/>
  <c r="AA430" i="9"/>
  <c r="AB430" i="9"/>
  <c r="AC430" i="9"/>
  <c r="S431" i="9"/>
  <c r="T431" i="9"/>
  <c r="U431" i="9"/>
  <c r="V431" i="9"/>
  <c r="W431" i="9"/>
  <c r="X431" i="9"/>
  <c r="Y431" i="9"/>
  <c r="Z431" i="9"/>
  <c r="AA431" i="9"/>
  <c r="AB431" i="9"/>
  <c r="AC431" i="9"/>
  <c r="S432" i="9"/>
  <c r="T432" i="9"/>
  <c r="U432" i="9"/>
  <c r="V432" i="9"/>
  <c r="W432" i="9"/>
  <c r="X432" i="9"/>
  <c r="Y432" i="9"/>
  <c r="Z432" i="9"/>
  <c r="AA432" i="9"/>
  <c r="AB432" i="9"/>
  <c r="AC432" i="9"/>
  <c r="S433" i="9"/>
  <c r="T433" i="9"/>
  <c r="U433" i="9"/>
  <c r="V433" i="9"/>
  <c r="W433" i="9"/>
  <c r="X433" i="9"/>
  <c r="Y433" i="9"/>
  <c r="Z433" i="9"/>
  <c r="AA433" i="9"/>
  <c r="AB433" i="9"/>
  <c r="AC433" i="9"/>
  <c r="S434" i="9"/>
  <c r="T434" i="9"/>
  <c r="U434" i="9"/>
  <c r="V434" i="9"/>
  <c r="W434" i="9"/>
  <c r="X434" i="9"/>
  <c r="Y434" i="9"/>
  <c r="Z434" i="9"/>
  <c r="AA434" i="9"/>
  <c r="AB434" i="9"/>
  <c r="AC434" i="9"/>
  <c r="S435" i="9"/>
  <c r="T435" i="9"/>
  <c r="U435" i="9"/>
  <c r="V435" i="9"/>
  <c r="W435" i="9"/>
  <c r="X435" i="9"/>
  <c r="Y435" i="9"/>
  <c r="Z435" i="9"/>
  <c r="AA435" i="9"/>
  <c r="AB435" i="9"/>
  <c r="AC435" i="9"/>
  <c r="S436" i="9"/>
  <c r="T436" i="9"/>
  <c r="U436" i="9"/>
  <c r="V436" i="9"/>
  <c r="W436" i="9"/>
  <c r="X436" i="9"/>
  <c r="Y436" i="9"/>
  <c r="Z436" i="9"/>
  <c r="AA436" i="9"/>
  <c r="AB436" i="9"/>
  <c r="AC436" i="9"/>
  <c r="S437" i="9"/>
  <c r="T437" i="9"/>
  <c r="U437" i="9"/>
  <c r="V437" i="9"/>
  <c r="W437" i="9"/>
  <c r="X437" i="9"/>
  <c r="Y437" i="9"/>
  <c r="Z437" i="9"/>
  <c r="AA437" i="9"/>
  <c r="AB437" i="9"/>
  <c r="AC437" i="9"/>
  <c r="S438" i="9"/>
  <c r="T438" i="9"/>
  <c r="U438" i="9"/>
  <c r="V438" i="9"/>
  <c r="W438" i="9"/>
  <c r="X438" i="9"/>
  <c r="Y438" i="9"/>
  <c r="Z438" i="9"/>
  <c r="AA438" i="9"/>
  <c r="AB438" i="9"/>
  <c r="AC438" i="9"/>
  <c r="S439" i="9"/>
  <c r="T439" i="9"/>
  <c r="U439" i="9"/>
  <c r="V439" i="9"/>
  <c r="W439" i="9"/>
  <c r="X439" i="9"/>
  <c r="Y439" i="9"/>
  <c r="Z439" i="9"/>
  <c r="AA439" i="9"/>
  <c r="AB439" i="9"/>
  <c r="AC439" i="9"/>
  <c r="S440" i="9"/>
  <c r="T440" i="9"/>
  <c r="U440" i="9"/>
  <c r="V440" i="9"/>
  <c r="W440" i="9"/>
  <c r="X440" i="9"/>
  <c r="Y440" i="9"/>
  <c r="Z440" i="9"/>
  <c r="AA440" i="9"/>
  <c r="AB440" i="9"/>
  <c r="AC440" i="9"/>
  <c r="R3" i="9"/>
  <c r="R4" i="9"/>
  <c r="R5" i="9"/>
  <c r="R6" i="9"/>
  <c r="R7" i="9"/>
  <c r="R8" i="9"/>
  <c r="R9" i="9"/>
  <c r="R10" i="9"/>
  <c r="R11" i="9"/>
  <c r="R12" i="9"/>
  <c r="R13" i="9"/>
  <c r="R14" i="9"/>
  <c r="R15" i="9"/>
  <c r="R16" i="9"/>
  <c r="R17" i="9"/>
  <c r="R18" i="9"/>
  <c r="R19" i="9"/>
  <c r="R20" i="9"/>
  <c r="R21" i="9"/>
  <c r="R22" i="9"/>
  <c r="R23" i="9"/>
  <c r="R24" i="9"/>
  <c r="R25" i="9"/>
  <c r="R26" i="9"/>
  <c r="R27" i="9"/>
  <c r="R28" i="9"/>
  <c r="R29" i="9"/>
  <c r="R30" i="9"/>
  <c r="R31" i="9"/>
  <c r="R32" i="9"/>
  <c r="R33" i="9"/>
  <c r="R34" i="9"/>
  <c r="R35" i="9"/>
  <c r="R36" i="9"/>
  <c r="R37" i="9"/>
  <c r="R38" i="9"/>
  <c r="R39" i="9"/>
  <c r="R40" i="9"/>
  <c r="R41" i="9"/>
  <c r="R42" i="9"/>
  <c r="R43" i="9"/>
  <c r="R44" i="9"/>
  <c r="R45" i="9"/>
  <c r="R46" i="9"/>
  <c r="R47" i="9"/>
  <c r="R48" i="9"/>
  <c r="R49" i="9"/>
  <c r="R50" i="9"/>
  <c r="R51" i="9"/>
  <c r="R52" i="9"/>
  <c r="R53" i="9"/>
  <c r="R54" i="9"/>
  <c r="R55" i="9"/>
  <c r="R56" i="9"/>
  <c r="R57" i="9"/>
  <c r="R58" i="9"/>
  <c r="R59" i="9"/>
  <c r="R60" i="9"/>
  <c r="R61" i="9"/>
  <c r="R62" i="9"/>
  <c r="R63" i="9"/>
  <c r="R64" i="9"/>
  <c r="R65" i="9"/>
  <c r="R66" i="9"/>
  <c r="R67" i="9"/>
  <c r="R68" i="9"/>
  <c r="R69" i="9"/>
  <c r="R70" i="9"/>
  <c r="R71" i="9"/>
  <c r="R72" i="9"/>
  <c r="R73" i="9"/>
  <c r="R74" i="9"/>
  <c r="R75" i="9"/>
  <c r="R76" i="9"/>
  <c r="R77" i="9"/>
  <c r="R78" i="9"/>
  <c r="R79" i="9"/>
  <c r="R80" i="9"/>
  <c r="R81" i="9"/>
  <c r="R82" i="9"/>
  <c r="R83" i="9"/>
  <c r="R84" i="9"/>
  <c r="R85" i="9"/>
  <c r="R86" i="9"/>
  <c r="R87" i="9"/>
  <c r="R88" i="9"/>
  <c r="R89" i="9"/>
  <c r="R90" i="9"/>
  <c r="R91" i="9"/>
  <c r="R92" i="9"/>
  <c r="R93" i="9"/>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0" i="9"/>
  <c r="R131" i="9"/>
  <c r="R132" i="9"/>
  <c r="R133" i="9"/>
  <c r="R134" i="9"/>
  <c r="R135" i="9"/>
  <c r="R136" i="9"/>
  <c r="R137" i="9"/>
  <c r="R138" i="9"/>
  <c r="R139" i="9"/>
  <c r="R140" i="9"/>
  <c r="R141" i="9"/>
  <c r="R142" i="9"/>
  <c r="R143" i="9"/>
  <c r="R144" i="9"/>
  <c r="R145" i="9"/>
  <c r="R146" i="9"/>
  <c r="R147" i="9"/>
  <c r="R148" i="9"/>
  <c r="R149" i="9"/>
  <c r="R150" i="9"/>
  <c r="R151" i="9"/>
  <c r="R152" i="9"/>
  <c r="R153" i="9"/>
  <c r="R154" i="9"/>
  <c r="R155" i="9"/>
  <c r="R156" i="9"/>
  <c r="R157" i="9"/>
  <c r="R158" i="9"/>
  <c r="R159" i="9"/>
  <c r="R160" i="9"/>
  <c r="R161" i="9"/>
  <c r="R162" i="9"/>
  <c r="R163" i="9"/>
  <c r="R164" i="9"/>
  <c r="R165" i="9"/>
  <c r="R166" i="9"/>
  <c r="R167" i="9"/>
  <c r="R168" i="9"/>
  <c r="R169" i="9"/>
  <c r="R170" i="9"/>
  <c r="R171" i="9"/>
  <c r="R172" i="9"/>
  <c r="R173" i="9"/>
  <c r="R174" i="9"/>
  <c r="R175" i="9"/>
  <c r="R176" i="9"/>
  <c r="R177" i="9"/>
  <c r="R178" i="9"/>
  <c r="R179" i="9"/>
  <c r="R180" i="9"/>
  <c r="R181" i="9"/>
  <c r="R182" i="9"/>
  <c r="R183" i="9"/>
  <c r="R184" i="9"/>
  <c r="R185" i="9"/>
  <c r="R186" i="9"/>
  <c r="R187" i="9"/>
  <c r="R188" i="9"/>
  <c r="R189" i="9"/>
  <c r="R190" i="9"/>
  <c r="R191" i="9"/>
  <c r="R192" i="9"/>
  <c r="R193" i="9"/>
  <c r="R194" i="9"/>
  <c r="R195" i="9"/>
  <c r="R196" i="9"/>
  <c r="R197" i="9"/>
  <c r="R198" i="9"/>
  <c r="R199" i="9"/>
  <c r="R200" i="9"/>
  <c r="R201" i="9"/>
  <c r="R202" i="9"/>
  <c r="R203" i="9"/>
  <c r="R204" i="9"/>
  <c r="R205" i="9"/>
  <c r="R206" i="9"/>
  <c r="R207" i="9"/>
  <c r="R208" i="9"/>
  <c r="R209" i="9"/>
  <c r="R210" i="9"/>
  <c r="R211" i="9"/>
  <c r="R212" i="9"/>
  <c r="R213" i="9"/>
  <c r="R214" i="9"/>
  <c r="R215" i="9"/>
  <c r="R216" i="9"/>
  <c r="R217" i="9"/>
  <c r="R218" i="9"/>
  <c r="R219" i="9"/>
  <c r="R220" i="9"/>
  <c r="R221" i="9"/>
  <c r="R222" i="9"/>
  <c r="R223" i="9"/>
  <c r="R224" i="9"/>
  <c r="R225" i="9"/>
  <c r="R226" i="9"/>
  <c r="R227" i="9"/>
  <c r="R228" i="9"/>
  <c r="R229" i="9"/>
  <c r="R230" i="9"/>
  <c r="R231" i="9"/>
  <c r="R232" i="9"/>
  <c r="R233" i="9"/>
  <c r="R234" i="9"/>
  <c r="R235" i="9"/>
  <c r="R236" i="9"/>
  <c r="R237" i="9"/>
  <c r="R238" i="9"/>
  <c r="R239" i="9"/>
  <c r="R240" i="9"/>
  <c r="R241" i="9"/>
  <c r="R242" i="9"/>
  <c r="R243" i="9"/>
  <c r="R244" i="9"/>
  <c r="R245" i="9"/>
  <c r="R246" i="9"/>
  <c r="R247" i="9"/>
  <c r="R248" i="9"/>
  <c r="R249" i="9"/>
  <c r="R250" i="9"/>
  <c r="R251" i="9"/>
  <c r="R252" i="9"/>
  <c r="R253" i="9"/>
  <c r="R254" i="9"/>
  <c r="R255" i="9"/>
  <c r="R256" i="9"/>
  <c r="R257" i="9"/>
  <c r="R258" i="9"/>
  <c r="R259" i="9"/>
  <c r="R260" i="9"/>
  <c r="R261" i="9"/>
  <c r="R262" i="9"/>
  <c r="R263" i="9"/>
  <c r="R264" i="9"/>
  <c r="R265" i="9"/>
  <c r="R266" i="9"/>
  <c r="R267" i="9"/>
  <c r="R268" i="9"/>
  <c r="R269" i="9"/>
  <c r="R270" i="9"/>
  <c r="R271" i="9"/>
  <c r="R272" i="9"/>
  <c r="R273" i="9"/>
  <c r="R274" i="9"/>
  <c r="R275" i="9"/>
  <c r="R276" i="9"/>
  <c r="R277" i="9"/>
  <c r="R278" i="9"/>
  <c r="R279" i="9"/>
  <c r="R280" i="9"/>
  <c r="R281" i="9"/>
  <c r="R282" i="9"/>
  <c r="R283" i="9"/>
  <c r="R284" i="9"/>
  <c r="R285" i="9"/>
  <c r="R286" i="9"/>
  <c r="R287" i="9"/>
  <c r="R288" i="9"/>
  <c r="R289" i="9"/>
  <c r="R290" i="9"/>
  <c r="R291" i="9"/>
  <c r="R292" i="9"/>
  <c r="R293" i="9"/>
  <c r="R294" i="9"/>
  <c r="R295" i="9"/>
  <c r="R296" i="9"/>
  <c r="R297" i="9"/>
  <c r="R298" i="9"/>
  <c r="R299" i="9"/>
  <c r="R300" i="9"/>
  <c r="R301" i="9"/>
  <c r="R302" i="9"/>
  <c r="R303" i="9"/>
  <c r="R304" i="9"/>
  <c r="R305" i="9"/>
  <c r="R306" i="9"/>
  <c r="R307" i="9"/>
  <c r="R308" i="9"/>
  <c r="R309" i="9"/>
  <c r="R310" i="9"/>
  <c r="R311" i="9"/>
  <c r="R312" i="9"/>
  <c r="R313" i="9"/>
  <c r="R314" i="9"/>
  <c r="R315" i="9"/>
  <c r="R316" i="9"/>
  <c r="R317" i="9"/>
  <c r="R318" i="9"/>
  <c r="R319" i="9"/>
  <c r="R320" i="9"/>
  <c r="R321" i="9"/>
  <c r="R322" i="9"/>
  <c r="R323" i="9"/>
  <c r="R324" i="9"/>
  <c r="R325" i="9"/>
  <c r="R326" i="9"/>
  <c r="R327" i="9"/>
  <c r="R328" i="9"/>
  <c r="R329" i="9"/>
  <c r="R330" i="9"/>
  <c r="R331" i="9"/>
  <c r="R332" i="9"/>
  <c r="R333" i="9"/>
  <c r="R334" i="9"/>
  <c r="R335" i="9"/>
  <c r="R336" i="9"/>
  <c r="R337" i="9"/>
  <c r="R338" i="9"/>
  <c r="R339" i="9"/>
  <c r="R340" i="9"/>
  <c r="R341" i="9"/>
  <c r="R342" i="9"/>
  <c r="R343" i="9"/>
  <c r="R344" i="9"/>
  <c r="R345" i="9"/>
  <c r="R346" i="9"/>
  <c r="R347" i="9"/>
  <c r="R348" i="9"/>
  <c r="R349" i="9"/>
  <c r="R350" i="9"/>
  <c r="R351" i="9"/>
  <c r="R352" i="9"/>
  <c r="R353" i="9"/>
  <c r="R354" i="9"/>
  <c r="R355" i="9"/>
  <c r="R356" i="9"/>
  <c r="R357" i="9"/>
  <c r="R358" i="9"/>
  <c r="R359" i="9"/>
  <c r="R360" i="9"/>
  <c r="R361" i="9"/>
  <c r="R362" i="9"/>
  <c r="R363" i="9"/>
  <c r="R364" i="9"/>
  <c r="R365" i="9"/>
  <c r="R366" i="9"/>
  <c r="R367" i="9"/>
  <c r="R368" i="9"/>
  <c r="R369" i="9"/>
  <c r="R370" i="9"/>
  <c r="R371" i="9"/>
  <c r="R372" i="9"/>
  <c r="R373" i="9"/>
  <c r="R374" i="9"/>
  <c r="R375" i="9"/>
  <c r="R376" i="9"/>
  <c r="R377" i="9"/>
  <c r="R378" i="9"/>
  <c r="R379" i="9"/>
  <c r="R380" i="9"/>
  <c r="R381" i="9"/>
  <c r="R382" i="9"/>
  <c r="R383" i="9"/>
  <c r="R384" i="9"/>
  <c r="R385" i="9"/>
  <c r="R386" i="9"/>
  <c r="R387" i="9"/>
  <c r="R388" i="9"/>
  <c r="R389" i="9"/>
  <c r="R390" i="9"/>
  <c r="R391" i="9"/>
  <c r="R392" i="9"/>
  <c r="R393" i="9"/>
  <c r="R394" i="9"/>
  <c r="R395" i="9"/>
  <c r="R396" i="9"/>
  <c r="R397" i="9"/>
  <c r="R398" i="9"/>
  <c r="R399" i="9"/>
  <c r="R400" i="9"/>
  <c r="R401" i="9"/>
  <c r="R402" i="9"/>
  <c r="R403" i="9"/>
  <c r="R404" i="9"/>
  <c r="R405" i="9"/>
  <c r="R406" i="9"/>
  <c r="R407" i="9"/>
  <c r="R408" i="9"/>
  <c r="R409" i="9"/>
  <c r="R410" i="9"/>
  <c r="R411" i="9"/>
  <c r="R412" i="9"/>
  <c r="R413" i="9"/>
  <c r="R414" i="9"/>
  <c r="R415" i="9"/>
  <c r="R416" i="9"/>
  <c r="R417" i="9"/>
  <c r="R418" i="9"/>
  <c r="R419" i="9"/>
  <c r="R420" i="9"/>
  <c r="R421" i="9"/>
  <c r="R422" i="9"/>
  <c r="R423" i="9"/>
  <c r="R424" i="9"/>
  <c r="R425" i="9"/>
  <c r="R426" i="9"/>
  <c r="R427" i="9"/>
  <c r="R428" i="9"/>
  <c r="R429" i="9"/>
  <c r="R430" i="9"/>
  <c r="R431" i="9"/>
  <c r="R432" i="9"/>
  <c r="R433" i="9"/>
  <c r="R434" i="9"/>
  <c r="R435" i="9"/>
  <c r="R436" i="9"/>
  <c r="R437" i="9"/>
  <c r="R438" i="9"/>
  <c r="R439" i="9"/>
  <c r="R440" i="9"/>
  <c r="BT1" i="5"/>
  <c r="CG1" i="5"/>
  <c r="R2" i="9"/>
  <c r="D7" i="8" s="1"/>
  <c r="E442" i="5"/>
  <c r="E443" i="5" s="1"/>
  <c r="F442" i="5"/>
  <c r="F443" i="5" s="1"/>
  <c r="G442" i="5"/>
  <c r="G443" i="5" s="1"/>
  <c r="H442" i="5"/>
  <c r="H443" i="5" s="1"/>
  <c r="I442" i="5"/>
  <c r="I443" i="5" s="1"/>
  <c r="J442" i="5"/>
  <c r="J443" i="5" s="1"/>
  <c r="K442" i="5"/>
  <c r="K443" i="5" s="1"/>
  <c r="D442" i="5"/>
  <c r="D443" i="5" s="1"/>
  <c r="O2" i="5"/>
  <c r="CF67" i="5"/>
  <c r="CF66" i="5"/>
  <c r="CF65" i="5"/>
  <c r="CF64" i="5"/>
  <c r="CF63" i="5"/>
  <c r="CF62" i="5"/>
  <c r="CF61" i="5"/>
  <c r="CF60" i="5"/>
  <c r="CF59" i="5"/>
  <c r="CF58" i="5"/>
  <c r="CF57" i="5"/>
  <c r="CF56" i="5"/>
  <c r="CF55" i="5"/>
  <c r="CF54" i="5"/>
  <c r="CF53" i="5"/>
  <c r="CF52" i="5"/>
  <c r="CF51" i="5"/>
  <c r="CF50" i="5"/>
  <c r="CF49" i="5"/>
  <c r="CF48" i="5"/>
  <c r="CF47" i="5"/>
  <c r="CF46" i="5"/>
  <c r="CF45" i="5"/>
  <c r="CF44" i="5"/>
  <c r="CF43" i="5"/>
  <c r="CF42" i="5"/>
  <c r="CF41" i="5"/>
  <c r="CF40" i="5"/>
  <c r="CF39" i="5"/>
  <c r="CF38" i="5"/>
  <c r="CF37" i="5"/>
  <c r="CF36" i="5"/>
  <c r="CF35" i="5"/>
  <c r="CF34" i="5"/>
  <c r="CF33" i="5"/>
  <c r="CF32" i="5"/>
  <c r="CF31" i="5"/>
  <c r="CF30" i="5"/>
  <c r="CF29" i="5"/>
  <c r="CF28" i="5"/>
  <c r="CF27" i="5"/>
  <c r="CF26" i="5"/>
  <c r="CF25" i="5"/>
  <c r="CF24" i="5"/>
  <c r="CF23" i="5"/>
  <c r="CF22" i="5"/>
  <c r="CF21" i="5"/>
  <c r="CF20" i="5"/>
  <c r="CF19" i="5"/>
  <c r="CF18" i="5"/>
  <c r="CF17" i="5"/>
  <c r="CF16" i="5"/>
  <c r="CF15" i="5"/>
  <c r="CF14" i="5"/>
  <c r="CF13" i="5"/>
  <c r="CF12" i="5"/>
  <c r="CF11" i="5"/>
  <c r="CF10" i="5"/>
  <c r="CF9" i="5"/>
  <c r="CF8" i="5"/>
  <c r="CF7" i="5"/>
  <c r="CF6" i="5"/>
  <c r="CF5" i="5"/>
  <c r="CF4" i="5"/>
  <c r="CF3" i="5"/>
  <c r="CF2" i="5"/>
  <c r="L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2" i="13"/>
  <c r="P4" i="13" l="1"/>
  <c r="P3" i="13"/>
  <c r="P2" i="13"/>
  <c r="P5" i="13"/>
  <c r="P8" i="13" s="1"/>
  <c r="P6" i="13"/>
  <c r="O7" i="13"/>
  <c r="K22" i="8"/>
  <c r="G22" i="8"/>
  <c r="K18" i="8"/>
  <c r="G18" i="8"/>
  <c r="N7" i="8"/>
  <c r="J7" i="8"/>
  <c r="F7" i="8"/>
  <c r="M25" i="8"/>
  <c r="I25" i="8"/>
  <c r="E25" i="8"/>
  <c r="M21" i="8"/>
  <c r="I21" i="8"/>
  <c r="E21" i="8"/>
  <c r="M17" i="8"/>
  <c r="I17" i="8"/>
  <c r="E17" i="8"/>
  <c r="K16" i="8"/>
  <c r="G16" i="8"/>
  <c r="M15" i="8"/>
  <c r="I15" i="8"/>
  <c r="E15" i="8"/>
  <c r="K14" i="8"/>
  <c r="G14" i="8"/>
  <c r="M13" i="8"/>
  <c r="I13" i="8"/>
  <c r="E13" i="8"/>
  <c r="K12" i="8"/>
  <c r="G12" i="8"/>
  <c r="M11" i="8"/>
  <c r="I11" i="8"/>
  <c r="E11" i="8"/>
  <c r="K10" i="8"/>
  <c r="G10" i="8"/>
  <c r="M9" i="8"/>
  <c r="I9" i="8"/>
  <c r="E9" i="8"/>
  <c r="K8" i="8"/>
  <c r="G8" i="8"/>
  <c r="D22" i="8"/>
  <c r="D18" i="8"/>
  <c r="D14" i="8"/>
  <c r="D10" i="8"/>
  <c r="K24" i="8"/>
  <c r="G24" i="8"/>
  <c r="K20" i="8"/>
  <c r="G20" i="8"/>
  <c r="M22" i="8"/>
  <c r="I22" i="8"/>
  <c r="E22" i="8"/>
  <c r="M18" i="8"/>
  <c r="I18" i="8"/>
  <c r="E18" i="8"/>
  <c r="K25" i="8"/>
  <c r="G25" i="8"/>
  <c r="K21" i="8"/>
  <c r="G21" i="8"/>
  <c r="K17" i="8"/>
  <c r="G17" i="8"/>
  <c r="M16" i="8"/>
  <c r="I16" i="8"/>
  <c r="E16" i="8"/>
  <c r="K15" i="8"/>
  <c r="G15" i="8"/>
  <c r="M14" i="8"/>
  <c r="I14" i="8"/>
  <c r="E14" i="8"/>
  <c r="K13" i="8"/>
  <c r="G13" i="8"/>
  <c r="M12" i="8"/>
  <c r="I12" i="8"/>
  <c r="E12" i="8"/>
  <c r="K11" i="8"/>
  <c r="G11" i="8"/>
  <c r="M10" i="8"/>
  <c r="I10" i="8"/>
  <c r="E10" i="8"/>
  <c r="K9" i="8"/>
  <c r="G9" i="8"/>
  <c r="M8" i="8"/>
  <c r="I8" i="8"/>
  <c r="E8" i="8"/>
  <c r="D24" i="8"/>
  <c r="D20" i="8"/>
  <c r="D16" i="8"/>
  <c r="D12" i="8"/>
  <c r="D8" i="8"/>
  <c r="M24" i="8"/>
  <c r="I24" i="8"/>
  <c r="E24" i="8"/>
  <c r="M20" i="8"/>
  <c r="I20" i="8"/>
  <c r="E20" i="8"/>
  <c r="L22" i="8"/>
  <c r="H22" i="8"/>
  <c r="L18" i="8"/>
  <c r="H18" i="8"/>
  <c r="K7" i="8"/>
  <c r="G7" i="8"/>
  <c r="N25" i="8"/>
  <c r="J25" i="8"/>
  <c r="F25" i="8"/>
  <c r="N21" i="8"/>
  <c r="J21" i="8"/>
  <c r="F21" i="8"/>
  <c r="N17" i="8"/>
  <c r="J17" i="8"/>
  <c r="F17" i="8"/>
  <c r="L16" i="8"/>
  <c r="H16" i="8"/>
  <c r="N15" i="8"/>
  <c r="J15" i="8"/>
  <c r="F15" i="8"/>
  <c r="L14" i="8"/>
  <c r="H14" i="8"/>
  <c r="N13" i="8"/>
  <c r="J13" i="8"/>
  <c r="F13" i="8"/>
  <c r="L12" i="8"/>
  <c r="H12" i="8"/>
  <c r="N11" i="8"/>
  <c r="J11" i="8"/>
  <c r="F11" i="8"/>
  <c r="L10" i="8"/>
  <c r="H10" i="8"/>
  <c r="N9" i="8"/>
  <c r="J9" i="8"/>
  <c r="F9" i="8"/>
  <c r="L8" i="8"/>
  <c r="H8" i="8"/>
  <c r="L24" i="8"/>
  <c r="H24" i="8"/>
  <c r="L20" i="8"/>
  <c r="H20" i="8"/>
  <c r="H23" i="8"/>
  <c r="L21" i="8"/>
  <c r="D23" i="8"/>
  <c r="D19" i="8"/>
  <c r="D15" i="8"/>
  <c r="D11" i="8"/>
  <c r="M7" i="8"/>
  <c r="I7" i="8"/>
  <c r="E7" i="8"/>
  <c r="L25" i="8"/>
  <c r="N22" i="8"/>
  <c r="H21" i="8"/>
  <c r="N16" i="8"/>
  <c r="J16" i="8"/>
  <c r="F16" i="8"/>
  <c r="N12" i="8"/>
  <c r="J12" i="8"/>
  <c r="F12" i="8"/>
  <c r="N8" i="8"/>
  <c r="J8" i="8"/>
  <c r="F8" i="8"/>
  <c r="H25" i="8"/>
  <c r="J22" i="8"/>
  <c r="D25" i="8"/>
  <c r="D21" i="8"/>
  <c r="D17" i="8"/>
  <c r="D13" i="8"/>
  <c r="D9" i="8"/>
  <c r="N24" i="8"/>
  <c r="J24" i="8"/>
  <c r="F24" i="8"/>
  <c r="N20" i="8"/>
  <c r="J20" i="8"/>
  <c r="F20" i="8"/>
  <c r="L23" i="8"/>
  <c r="F22" i="8"/>
  <c r="BS3" i="5"/>
  <c r="BS4" i="5"/>
  <c r="BS5" i="5"/>
  <c r="BS6" i="5"/>
  <c r="BS7" i="5"/>
  <c r="BS8" i="5"/>
  <c r="BS9" i="5"/>
  <c r="BS10" i="5"/>
  <c r="BS11" i="5"/>
  <c r="BS12" i="5"/>
  <c r="BS13" i="5"/>
  <c r="BS14" i="5"/>
  <c r="BS15" i="5"/>
  <c r="BS16" i="5"/>
  <c r="BS17" i="5"/>
  <c r="BS18" i="5"/>
  <c r="BS19" i="5"/>
  <c r="BS20" i="5"/>
  <c r="BS21" i="5"/>
  <c r="BS22" i="5"/>
  <c r="BS23" i="5"/>
  <c r="BS2" i="5"/>
  <c r="AC24" i="9" l="1"/>
  <c r="L95" i="13"/>
  <c r="AC20" i="9"/>
  <c r="L91" i="13"/>
  <c r="AC16" i="9"/>
  <c r="L87" i="13"/>
  <c r="AC12" i="9"/>
  <c r="L83" i="13"/>
  <c r="AC8" i="9"/>
  <c r="L79" i="13"/>
  <c r="AC4" i="9"/>
  <c r="L75" i="13"/>
  <c r="AC21" i="9"/>
  <c r="L92" i="13"/>
  <c r="AC5" i="9"/>
  <c r="L76" i="13"/>
  <c r="AC3" i="9"/>
  <c r="L74" i="13"/>
  <c r="AC17" i="9"/>
  <c r="L88" i="13"/>
  <c r="AC13" i="9"/>
  <c r="L84" i="13"/>
  <c r="AC9" i="9"/>
  <c r="L80" i="13"/>
  <c r="AC23" i="9"/>
  <c r="L94" i="13"/>
  <c r="AC19" i="9"/>
  <c r="L90" i="13"/>
  <c r="AC15" i="9"/>
  <c r="L86" i="13"/>
  <c r="AC11" i="9"/>
  <c r="L82" i="13"/>
  <c r="AC7" i="9"/>
  <c r="L78" i="13"/>
  <c r="AC22" i="9"/>
  <c r="L93" i="13"/>
  <c r="AC18" i="9"/>
  <c r="L89" i="13"/>
  <c r="AC14" i="9"/>
  <c r="L85" i="13"/>
  <c r="AC10" i="9"/>
  <c r="L81" i="13"/>
  <c r="AC6" i="9"/>
  <c r="L77" i="13"/>
  <c r="P7" i="13"/>
  <c r="L441" i="9" l="1"/>
  <c r="M441" i="9" s="1"/>
  <c r="L440" i="9"/>
  <c r="M440" i="9" s="1"/>
  <c r="L439" i="9"/>
  <c r="M439" i="9" s="1"/>
  <c r="L438" i="9"/>
  <c r="M438" i="9" s="1"/>
  <c r="L437" i="9"/>
  <c r="M437" i="9" s="1"/>
  <c r="L436" i="9"/>
  <c r="M436" i="9" s="1"/>
  <c r="L435" i="9"/>
  <c r="M435" i="9" s="1"/>
  <c r="L434" i="9"/>
  <c r="M434" i="9" s="1"/>
  <c r="L433" i="9"/>
  <c r="M433" i="9" s="1"/>
  <c r="L432" i="9"/>
  <c r="M432" i="9" s="1"/>
  <c r="L431" i="9"/>
  <c r="M431" i="9" s="1"/>
  <c r="L430" i="9"/>
  <c r="M430" i="9" s="1"/>
  <c r="L429" i="9"/>
  <c r="M429" i="9" s="1"/>
  <c r="L428" i="9"/>
  <c r="M428" i="9" s="1"/>
  <c r="L427" i="9"/>
  <c r="M427" i="9" s="1"/>
  <c r="L426" i="9"/>
  <c r="M426" i="9" s="1"/>
  <c r="L425" i="9"/>
  <c r="M425" i="9" s="1"/>
  <c r="L424" i="9"/>
  <c r="M424" i="9" s="1"/>
  <c r="L423" i="9"/>
  <c r="M423" i="9" s="1"/>
  <c r="L422" i="9"/>
  <c r="M422" i="9" s="1"/>
  <c r="L421" i="9"/>
  <c r="M421" i="9" s="1"/>
  <c r="L420" i="9"/>
  <c r="M420" i="9" s="1"/>
  <c r="L419" i="9"/>
  <c r="M419" i="9" s="1"/>
  <c r="L418" i="9"/>
  <c r="M418" i="9" s="1"/>
  <c r="L417" i="9"/>
  <c r="M417" i="9" s="1"/>
  <c r="L416" i="9"/>
  <c r="M416" i="9" s="1"/>
  <c r="L415" i="9"/>
  <c r="M415" i="9" s="1"/>
  <c r="L414" i="9"/>
  <c r="M414" i="9" s="1"/>
  <c r="L413" i="9"/>
  <c r="M413" i="9" s="1"/>
  <c r="L412" i="9"/>
  <c r="M412" i="9" s="1"/>
  <c r="L411" i="9"/>
  <c r="M411" i="9" s="1"/>
  <c r="L410" i="9"/>
  <c r="M410" i="9" s="1"/>
  <c r="L409" i="9"/>
  <c r="M409" i="9" s="1"/>
  <c r="L408" i="9"/>
  <c r="M408" i="9" s="1"/>
  <c r="L407" i="9"/>
  <c r="M407" i="9" s="1"/>
  <c r="L406" i="9"/>
  <c r="M406" i="9" s="1"/>
  <c r="L405" i="9"/>
  <c r="M405" i="9" s="1"/>
  <c r="L404" i="9"/>
  <c r="M404" i="9" s="1"/>
  <c r="L403" i="9"/>
  <c r="M403" i="9" s="1"/>
  <c r="L402" i="9"/>
  <c r="M402" i="9" s="1"/>
  <c r="L401" i="9"/>
  <c r="M401" i="9" s="1"/>
  <c r="L400" i="9"/>
  <c r="M400" i="9" s="1"/>
  <c r="L399" i="9"/>
  <c r="M399" i="9" s="1"/>
  <c r="L398" i="9"/>
  <c r="M398" i="9" s="1"/>
  <c r="L397" i="9"/>
  <c r="M397" i="9" s="1"/>
  <c r="L396" i="9"/>
  <c r="M396" i="9" s="1"/>
  <c r="L395" i="9"/>
  <c r="M395" i="9" s="1"/>
  <c r="L394" i="9"/>
  <c r="M394" i="9" s="1"/>
  <c r="L393" i="9"/>
  <c r="M393" i="9" s="1"/>
  <c r="L392" i="9"/>
  <c r="M392" i="9" s="1"/>
  <c r="L391" i="9"/>
  <c r="M391" i="9" s="1"/>
  <c r="L390" i="9"/>
  <c r="M390" i="9" s="1"/>
  <c r="L389" i="9"/>
  <c r="M389" i="9" s="1"/>
  <c r="L388" i="9"/>
  <c r="M388" i="9" s="1"/>
  <c r="L387" i="9"/>
  <c r="M387" i="9" s="1"/>
  <c r="L386" i="9"/>
  <c r="M386" i="9" s="1"/>
  <c r="L385" i="9"/>
  <c r="M385" i="9" s="1"/>
  <c r="L384" i="9"/>
  <c r="M384" i="9" s="1"/>
  <c r="L383" i="9"/>
  <c r="M383" i="9" s="1"/>
  <c r="L382" i="9"/>
  <c r="M382" i="9" s="1"/>
  <c r="L381" i="9"/>
  <c r="M381" i="9" s="1"/>
  <c r="L380" i="9"/>
  <c r="M380" i="9" s="1"/>
  <c r="L379" i="9"/>
  <c r="M379" i="9" s="1"/>
  <c r="L378" i="9"/>
  <c r="M378" i="9" s="1"/>
  <c r="L377" i="9"/>
  <c r="M377" i="9" s="1"/>
  <c r="L376" i="9"/>
  <c r="M376" i="9" s="1"/>
  <c r="L375" i="9"/>
  <c r="M375" i="9" s="1"/>
  <c r="L374" i="9"/>
  <c r="M374" i="9" s="1"/>
  <c r="L373" i="9"/>
  <c r="M373" i="9" s="1"/>
  <c r="L372" i="9"/>
  <c r="M372" i="9" s="1"/>
  <c r="L371" i="9"/>
  <c r="M371" i="9" s="1"/>
  <c r="L370" i="9"/>
  <c r="M370" i="9" s="1"/>
  <c r="L369" i="9"/>
  <c r="M369" i="9" s="1"/>
  <c r="L368" i="9"/>
  <c r="M368" i="9" s="1"/>
  <c r="L367" i="9"/>
  <c r="M367" i="9" s="1"/>
  <c r="L366" i="9"/>
  <c r="M366" i="9" s="1"/>
  <c r="L365" i="9"/>
  <c r="M365" i="9" s="1"/>
  <c r="L364" i="9"/>
  <c r="M364" i="9" s="1"/>
  <c r="L363" i="9"/>
  <c r="M363" i="9" s="1"/>
  <c r="L362" i="9"/>
  <c r="M362" i="9" s="1"/>
  <c r="L361" i="9"/>
  <c r="M361" i="9" s="1"/>
  <c r="L360" i="9"/>
  <c r="M360" i="9" s="1"/>
  <c r="L359" i="9"/>
  <c r="M359" i="9" s="1"/>
  <c r="L358" i="9"/>
  <c r="M358" i="9" s="1"/>
  <c r="L357" i="9"/>
  <c r="M357" i="9" s="1"/>
  <c r="L356" i="9"/>
  <c r="M356" i="9" s="1"/>
  <c r="L355" i="9"/>
  <c r="M355" i="9" s="1"/>
  <c r="L354" i="9"/>
  <c r="M354" i="9" s="1"/>
  <c r="L353" i="9"/>
  <c r="M353" i="9" s="1"/>
  <c r="L352" i="9"/>
  <c r="M352" i="9" s="1"/>
  <c r="L351" i="9"/>
  <c r="M351" i="9" s="1"/>
  <c r="L350" i="9"/>
  <c r="M350" i="9" s="1"/>
  <c r="L349" i="9"/>
  <c r="M349" i="9" s="1"/>
  <c r="L348" i="9"/>
  <c r="M348" i="9" s="1"/>
  <c r="L347" i="9"/>
  <c r="M347" i="9" s="1"/>
  <c r="L346" i="9"/>
  <c r="M346" i="9" s="1"/>
  <c r="L345" i="9"/>
  <c r="M345" i="9" s="1"/>
  <c r="L344" i="9"/>
  <c r="M344" i="9" s="1"/>
  <c r="L343" i="9"/>
  <c r="M343" i="9" s="1"/>
  <c r="L342" i="9"/>
  <c r="M342" i="9" s="1"/>
  <c r="L341" i="9"/>
  <c r="M341" i="9" s="1"/>
  <c r="L340" i="9"/>
  <c r="M340" i="9" s="1"/>
  <c r="L339" i="9"/>
  <c r="M339" i="9" s="1"/>
  <c r="L338" i="9"/>
  <c r="M338" i="9" s="1"/>
  <c r="L337" i="9"/>
  <c r="M337" i="9" s="1"/>
  <c r="L336" i="9"/>
  <c r="M336" i="9" s="1"/>
  <c r="L335" i="9"/>
  <c r="M335" i="9" s="1"/>
  <c r="L334" i="9"/>
  <c r="M334" i="9" s="1"/>
  <c r="L333" i="9"/>
  <c r="M333" i="9" s="1"/>
  <c r="L332" i="9"/>
  <c r="M332" i="9" s="1"/>
  <c r="L331" i="9"/>
  <c r="M331" i="9" s="1"/>
  <c r="L330" i="9"/>
  <c r="M330" i="9" s="1"/>
  <c r="L329" i="9"/>
  <c r="M329" i="9" s="1"/>
  <c r="L328" i="9"/>
  <c r="M328" i="9" s="1"/>
  <c r="L327" i="9"/>
  <c r="M327" i="9" s="1"/>
  <c r="L326" i="9"/>
  <c r="M326" i="9" s="1"/>
  <c r="L325" i="9"/>
  <c r="M325" i="9" s="1"/>
  <c r="L324" i="9"/>
  <c r="M324" i="9" s="1"/>
  <c r="L323" i="9"/>
  <c r="M323" i="9" s="1"/>
  <c r="L322" i="9"/>
  <c r="M322" i="9" s="1"/>
  <c r="L321" i="9"/>
  <c r="M321" i="9" s="1"/>
  <c r="L320" i="9"/>
  <c r="M320" i="9" s="1"/>
  <c r="L319" i="9"/>
  <c r="M319" i="9" s="1"/>
  <c r="L318" i="9"/>
  <c r="M318" i="9" s="1"/>
  <c r="L317" i="9"/>
  <c r="M317" i="9" s="1"/>
  <c r="L316" i="9"/>
  <c r="M316" i="9" s="1"/>
  <c r="L315" i="9"/>
  <c r="M315" i="9" s="1"/>
  <c r="L314" i="9"/>
  <c r="M314" i="9" s="1"/>
  <c r="L313" i="9"/>
  <c r="M313" i="9" s="1"/>
  <c r="L312" i="9"/>
  <c r="M312" i="9" s="1"/>
  <c r="L311" i="9"/>
  <c r="M311" i="9" s="1"/>
  <c r="L310" i="9"/>
  <c r="M310" i="9" s="1"/>
  <c r="L309" i="9"/>
  <c r="M309" i="9" s="1"/>
  <c r="L308" i="9"/>
  <c r="M308" i="9" s="1"/>
  <c r="L307" i="9"/>
  <c r="M307" i="9" s="1"/>
  <c r="L306" i="9"/>
  <c r="M306" i="9" s="1"/>
  <c r="L305" i="9"/>
  <c r="M305" i="9" s="1"/>
  <c r="L304" i="9"/>
  <c r="M304" i="9" s="1"/>
  <c r="L303" i="9"/>
  <c r="M303" i="9" s="1"/>
  <c r="L302" i="9"/>
  <c r="M302" i="9" s="1"/>
  <c r="L301" i="9"/>
  <c r="M301" i="9" s="1"/>
  <c r="L300" i="9"/>
  <c r="M300" i="9" s="1"/>
  <c r="L299" i="9"/>
  <c r="M299" i="9" s="1"/>
  <c r="L298" i="9"/>
  <c r="M298" i="9" s="1"/>
  <c r="L297" i="9"/>
  <c r="M297" i="9" s="1"/>
  <c r="L296" i="9"/>
  <c r="M296" i="9" s="1"/>
  <c r="L295" i="9"/>
  <c r="M295" i="9" s="1"/>
  <c r="L294" i="9"/>
  <c r="M294" i="9" s="1"/>
  <c r="L293" i="9"/>
  <c r="M293" i="9" s="1"/>
  <c r="L292" i="9"/>
  <c r="M292" i="9" s="1"/>
  <c r="L291" i="9"/>
  <c r="M291" i="9" s="1"/>
  <c r="L290" i="9"/>
  <c r="M290" i="9" s="1"/>
  <c r="L289" i="9"/>
  <c r="M289" i="9" s="1"/>
  <c r="L288" i="9"/>
  <c r="M288" i="9" s="1"/>
  <c r="L287" i="9"/>
  <c r="M287" i="9" s="1"/>
  <c r="L286" i="9"/>
  <c r="M286" i="9" s="1"/>
  <c r="L285" i="9"/>
  <c r="M285" i="9" s="1"/>
  <c r="L284" i="9"/>
  <c r="M284" i="9" s="1"/>
  <c r="L283" i="9"/>
  <c r="M283" i="9" s="1"/>
  <c r="L282" i="9"/>
  <c r="M282" i="9" s="1"/>
  <c r="L281" i="9"/>
  <c r="M281" i="9" s="1"/>
  <c r="L280" i="9"/>
  <c r="M280" i="9" s="1"/>
  <c r="L279" i="9"/>
  <c r="M279" i="9" s="1"/>
  <c r="L278" i="9"/>
  <c r="M278" i="9" s="1"/>
  <c r="L277" i="9"/>
  <c r="M277" i="9" s="1"/>
  <c r="L276" i="9"/>
  <c r="M276" i="9" s="1"/>
  <c r="L275" i="9"/>
  <c r="M275" i="9" s="1"/>
  <c r="L274" i="9"/>
  <c r="M274" i="9" s="1"/>
  <c r="L273" i="9"/>
  <c r="M273" i="9" s="1"/>
  <c r="L272" i="9"/>
  <c r="M272" i="9" s="1"/>
  <c r="L271" i="9"/>
  <c r="M271" i="9" s="1"/>
  <c r="L270" i="9"/>
  <c r="M270" i="9" s="1"/>
  <c r="L269" i="9"/>
  <c r="M269" i="9" s="1"/>
  <c r="L268" i="9"/>
  <c r="M268" i="9" s="1"/>
  <c r="L267" i="9"/>
  <c r="M267" i="9" s="1"/>
  <c r="L266" i="9"/>
  <c r="M266" i="9" s="1"/>
  <c r="L265" i="9"/>
  <c r="M265" i="9" s="1"/>
  <c r="L264" i="9"/>
  <c r="M264" i="9" s="1"/>
  <c r="L263" i="9"/>
  <c r="M263" i="9" s="1"/>
  <c r="L262" i="9"/>
  <c r="M262" i="9" s="1"/>
  <c r="L261" i="9"/>
  <c r="M261" i="9" s="1"/>
  <c r="L260" i="9"/>
  <c r="M260" i="9" s="1"/>
  <c r="L259" i="9"/>
  <c r="M259" i="9" s="1"/>
  <c r="L258" i="9"/>
  <c r="M258" i="9" s="1"/>
  <c r="L257" i="9"/>
  <c r="M257" i="9" s="1"/>
  <c r="L256" i="9"/>
  <c r="M256" i="9" s="1"/>
  <c r="L255" i="9"/>
  <c r="M255" i="9" s="1"/>
  <c r="L254" i="9"/>
  <c r="M254" i="9" s="1"/>
  <c r="L253" i="9"/>
  <c r="M253" i="9" s="1"/>
  <c r="L252" i="9"/>
  <c r="M252" i="9" s="1"/>
  <c r="L251" i="9"/>
  <c r="M251" i="9" s="1"/>
  <c r="L250" i="9"/>
  <c r="M250" i="9" s="1"/>
  <c r="L249" i="9"/>
  <c r="M249" i="9" s="1"/>
  <c r="L248" i="9"/>
  <c r="M248" i="9" s="1"/>
  <c r="L247" i="9"/>
  <c r="M247" i="9" s="1"/>
  <c r="L246" i="9"/>
  <c r="M246" i="9" s="1"/>
  <c r="L245" i="9"/>
  <c r="M245" i="9" s="1"/>
  <c r="L244" i="9"/>
  <c r="M244" i="9" s="1"/>
  <c r="L243" i="9"/>
  <c r="M243" i="9" s="1"/>
  <c r="L242" i="9"/>
  <c r="M242" i="9" s="1"/>
  <c r="L241" i="9"/>
  <c r="M241" i="9" s="1"/>
  <c r="L240" i="9"/>
  <c r="M240" i="9" s="1"/>
  <c r="L239" i="9"/>
  <c r="M239" i="9" s="1"/>
  <c r="L238" i="9"/>
  <c r="M238" i="9" s="1"/>
  <c r="L237" i="9"/>
  <c r="M237" i="9" s="1"/>
  <c r="L236" i="9"/>
  <c r="M236" i="9" s="1"/>
  <c r="L235" i="9"/>
  <c r="M235" i="9" s="1"/>
  <c r="L234" i="9"/>
  <c r="M234" i="9" s="1"/>
  <c r="L233" i="9"/>
  <c r="M233" i="9" s="1"/>
  <c r="L232" i="9"/>
  <c r="M232" i="9" s="1"/>
  <c r="L231" i="9"/>
  <c r="M231" i="9" s="1"/>
  <c r="L230" i="9"/>
  <c r="M230" i="9" s="1"/>
  <c r="L229" i="9"/>
  <c r="M229" i="9" s="1"/>
  <c r="L228" i="9"/>
  <c r="M228" i="9" s="1"/>
  <c r="L227" i="9"/>
  <c r="M227" i="9" s="1"/>
  <c r="L226" i="9"/>
  <c r="M226" i="9" s="1"/>
  <c r="L225" i="9"/>
  <c r="M225" i="9" s="1"/>
  <c r="L224" i="9"/>
  <c r="M224" i="9" s="1"/>
  <c r="L223" i="9"/>
  <c r="M223" i="9" s="1"/>
  <c r="L222" i="9"/>
  <c r="M222" i="9" s="1"/>
  <c r="L221" i="9"/>
  <c r="M221" i="9" s="1"/>
  <c r="L220" i="9"/>
  <c r="M220" i="9" s="1"/>
  <c r="L219" i="9"/>
  <c r="M219" i="9" s="1"/>
  <c r="L218" i="9"/>
  <c r="M218" i="9" s="1"/>
  <c r="L217" i="9"/>
  <c r="M217" i="9" s="1"/>
  <c r="L216" i="9"/>
  <c r="M216" i="9" s="1"/>
  <c r="L215" i="9"/>
  <c r="M215" i="9" s="1"/>
  <c r="L214" i="9"/>
  <c r="M214" i="9" s="1"/>
  <c r="L213" i="9"/>
  <c r="M213" i="9" s="1"/>
  <c r="L212" i="9"/>
  <c r="M212" i="9" s="1"/>
  <c r="L211" i="9"/>
  <c r="M211" i="9" s="1"/>
  <c r="L210" i="9"/>
  <c r="M210" i="9" s="1"/>
  <c r="L209" i="9"/>
  <c r="M209" i="9" s="1"/>
  <c r="L208" i="9"/>
  <c r="M208" i="9" s="1"/>
  <c r="L207" i="9"/>
  <c r="M207" i="9" s="1"/>
  <c r="L206" i="9"/>
  <c r="M206" i="9" s="1"/>
  <c r="L205" i="9"/>
  <c r="M205" i="9" s="1"/>
  <c r="L204" i="9"/>
  <c r="M204" i="9" s="1"/>
  <c r="L203" i="9"/>
  <c r="M203" i="9" s="1"/>
  <c r="L202" i="9"/>
  <c r="M202" i="9" s="1"/>
  <c r="L201" i="9"/>
  <c r="M201" i="9" s="1"/>
  <c r="L200" i="9"/>
  <c r="M200" i="9" s="1"/>
  <c r="L199" i="9"/>
  <c r="M199" i="9" s="1"/>
  <c r="L198" i="9"/>
  <c r="M198" i="9" s="1"/>
  <c r="L197" i="9"/>
  <c r="M197" i="9" s="1"/>
  <c r="L196" i="9"/>
  <c r="M196" i="9" s="1"/>
  <c r="L195" i="9"/>
  <c r="M195" i="9" s="1"/>
  <c r="L194" i="9"/>
  <c r="M194" i="9" s="1"/>
  <c r="L193" i="9"/>
  <c r="M193" i="9" s="1"/>
  <c r="L192" i="9"/>
  <c r="M192" i="9" s="1"/>
  <c r="L191" i="9"/>
  <c r="M191" i="9" s="1"/>
  <c r="L190" i="9"/>
  <c r="M190" i="9" s="1"/>
  <c r="L189" i="9"/>
  <c r="M189" i="9" s="1"/>
  <c r="L188" i="9"/>
  <c r="M188" i="9" s="1"/>
  <c r="L187" i="9"/>
  <c r="M187" i="9" s="1"/>
  <c r="L186" i="9"/>
  <c r="M186" i="9" s="1"/>
  <c r="L185" i="9"/>
  <c r="M185" i="9" s="1"/>
  <c r="L184" i="9"/>
  <c r="M184" i="9" s="1"/>
  <c r="L183" i="9"/>
  <c r="M183" i="9" s="1"/>
  <c r="L182" i="9"/>
  <c r="M182" i="9" s="1"/>
  <c r="L181" i="9"/>
  <c r="M181" i="9" s="1"/>
  <c r="L180" i="9"/>
  <c r="M180" i="9" s="1"/>
  <c r="L179" i="9"/>
  <c r="M179" i="9" s="1"/>
  <c r="L178" i="9"/>
  <c r="M178" i="9" s="1"/>
  <c r="L177" i="9"/>
  <c r="M177" i="9" s="1"/>
  <c r="L176" i="9"/>
  <c r="M176" i="9" s="1"/>
  <c r="L175" i="9"/>
  <c r="M175" i="9" s="1"/>
  <c r="L174" i="9"/>
  <c r="M174" i="9" s="1"/>
  <c r="L173" i="9"/>
  <c r="M173" i="9" s="1"/>
  <c r="L172" i="9"/>
  <c r="M172" i="9" s="1"/>
  <c r="L171" i="9"/>
  <c r="M171" i="9" s="1"/>
  <c r="L170" i="9"/>
  <c r="M170" i="9" s="1"/>
  <c r="L169" i="9"/>
  <c r="M169" i="9" s="1"/>
  <c r="L168" i="9"/>
  <c r="M168" i="9" s="1"/>
  <c r="L167" i="9"/>
  <c r="M167" i="9" s="1"/>
  <c r="L166" i="9"/>
  <c r="M166" i="9" s="1"/>
  <c r="L165" i="9"/>
  <c r="M165" i="9" s="1"/>
  <c r="L164" i="9"/>
  <c r="M164" i="9" s="1"/>
  <c r="L163" i="9"/>
  <c r="M163" i="9" s="1"/>
  <c r="L162" i="9"/>
  <c r="M162" i="9" s="1"/>
  <c r="L161" i="9"/>
  <c r="M161" i="9" s="1"/>
  <c r="L160" i="9"/>
  <c r="M160" i="9" s="1"/>
  <c r="L159" i="9"/>
  <c r="M159" i="9" s="1"/>
  <c r="L158" i="9"/>
  <c r="M158" i="9" s="1"/>
  <c r="L157" i="9"/>
  <c r="M157" i="9" s="1"/>
  <c r="L156" i="9"/>
  <c r="M156" i="9" s="1"/>
  <c r="L155" i="9"/>
  <c r="M155" i="9" s="1"/>
  <c r="L154" i="9"/>
  <c r="M154" i="9" s="1"/>
  <c r="L153" i="9"/>
  <c r="M153" i="9" s="1"/>
  <c r="L152" i="9"/>
  <c r="M152" i="9" s="1"/>
  <c r="L151" i="9"/>
  <c r="M151" i="9" s="1"/>
  <c r="L150" i="9"/>
  <c r="M150" i="9" s="1"/>
  <c r="L149" i="9"/>
  <c r="M149" i="9" s="1"/>
  <c r="L148" i="9"/>
  <c r="M148" i="9" s="1"/>
  <c r="L147" i="9"/>
  <c r="M147" i="9" s="1"/>
  <c r="L146" i="9"/>
  <c r="M146" i="9" s="1"/>
  <c r="L145" i="9"/>
  <c r="M145" i="9" s="1"/>
  <c r="L144" i="9"/>
  <c r="M144" i="9" s="1"/>
  <c r="L143" i="9"/>
  <c r="M143" i="9" s="1"/>
  <c r="L142" i="9"/>
  <c r="M142" i="9" s="1"/>
  <c r="L141" i="9"/>
  <c r="M141" i="9" s="1"/>
  <c r="L140" i="9"/>
  <c r="M140" i="9" s="1"/>
  <c r="L139" i="9"/>
  <c r="M139" i="9" s="1"/>
  <c r="L138" i="9"/>
  <c r="M138" i="9" s="1"/>
  <c r="L137" i="9"/>
  <c r="M137" i="9" s="1"/>
  <c r="L136" i="9"/>
  <c r="M136" i="9" s="1"/>
  <c r="L135" i="9"/>
  <c r="M135" i="9" s="1"/>
  <c r="L134" i="9"/>
  <c r="M134" i="9" s="1"/>
  <c r="L133" i="9"/>
  <c r="M133" i="9" s="1"/>
  <c r="L132" i="9"/>
  <c r="M132" i="9" s="1"/>
  <c r="L131" i="9"/>
  <c r="M131" i="9" s="1"/>
  <c r="L130" i="9"/>
  <c r="M130" i="9" s="1"/>
  <c r="L129" i="9"/>
  <c r="M129" i="9" s="1"/>
  <c r="L128" i="9"/>
  <c r="M128" i="9" s="1"/>
  <c r="L127" i="9"/>
  <c r="M127" i="9" s="1"/>
  <c r="L126" i="9"/>
  <c r="M126" i="9" s="1"/>
  <c r="L125" i="9"/>
  <c r="M125" i="9" s="1"/>
  <c r="L124" i="9"/>
  <c r="M124" i="9" s="1"/>
  <c r="L123" i="9"/>
  <c r="M123" i="9" s="1"/>
  <c r="L122" i="9"/>
  <c r="M122" i="9" s="1"/>
  <c r="L121" i="9"/>
  <c r="M121" i="9" s="1"/>
  <c r="L120" i="9"/>
  <c r="M120" i="9" s="1"/>
  <c r="L119" i="9"/>
  <c r="M119" i="9" s="1"/>
  <c r="L118" i="9"/>
  <c r="M118" i="9" s="1"/>
  <c r="L117" i="9"/>
  <c r="M117" i="9" s="1"/>
  <c r="L116" i="9"/>
  <c r="M116" i="9" s="1"/>
  <c r="L115" i="9"/>
  <c r="M115" i="9" s="1"/>
  <c r="L114" i="9"/>
  <c r="M114" i="9" s="1"/>
  <c r="L113" i="9"/>
  <c r="M113" i="9" s="1"/>
  <c r="L112" i="9"/>
  <c r="M112" i="9" s="1"/>
  <c r="L111" i="9"/>
  <c r="M111" i="9" s="1"/>
  <c r="L110" i="9"/>
  <c r="M110" i="9" s="1"/>
  <c r="L109" i="9"/>
  <c r="M109" i="9" s="1"/>
  <c r="L108" i="9"/>
  <c r="M108" i="9" s="1"/>
  <c r="L107" i="9"/>
  <c r="M107" i="9" s="1"/>
  <c r="L106" i="9"/>
  <c r="M106" i="9" s="1"/>
  <c r="L105" i="9"/>
  <c r="M105" i="9" s="1"/>
  <c r="L104" i="9"/>
  <c r="M104" i="9" s="1"/>
  <c r="L103" i="9"/>
  <c r="M103" i="9" s="1"/>
  <c r="L102" i="9"/>
  <c r="M102" i="9" s="1"/>
  <c r="L101" i="9"/>
  <c r="M101" i="9" s="1"/>
  <c r="L100" i="9"/>
  <c r="M100" i="9" s="1"/>
  <c r="L99" i="9"/>
  <c r="M99" i="9" s="1"/>
  <c r="L98" i="9"/>
  <c r="M98" i="9" s="1"/>
  <c r="L97" i="9"/>
  <c r="M97" i="9" s="1"/>
  <c r="L96" i="9"/>
  <c r="M96" i="9" s="1"/>
  <c r="L95" i="9"/>
  <c r="M95" i="9" s="1"/>
  <c r="L94" i="9"/>
  <c r="M94" i="9" s="1"/>
  <c r="L93" i="9"/>
  <c r="M93" i="9" s="1"/>
  <c r="L92" i="9"/>
  <c r="M92" i="9" s="1"/>
  <c r="L91" i="9"/>
  <c r="M91" i="9" s="1"/>
  <c r="L90" i="9"/>
  <c r="M90" i="9" s="1"/>
  <c r="L89" i="9"/>
  <c r="M89" i="9" s="1"/>
  <c r="L88" i="9"/>
  <c r="M88" i="9" s="1"/>
  <c r="L87" i="9"/>
  <c r="M87" i="9" s="1"/>
  <c r="L86" i="9"/>
  <c r="M86" i="9" s="1"/>
  <c r="L85" i="9"/>
  <c r="M85" i="9" s="1"/>
  <c r="L84" i="9"/>
  <c r="M84" i="9" s="1"/>
  <c r="L83" i="9"/>
  <c r="M83" i="9" s="1"/>
  <c r="L82" i="9"/>
  <c r="M82" i="9" s="1"/>
  <c r="L81" i="9"/>
  <c r="M81" i="9" s="1"/>
  <c r="L80" i="9"/>
  <c r="M80" i="9" s="1"/>
  <c r="L79" i="9"/>
  <c r="M79" i="9" s="1"/>
  <c r="L78" i="9"/>
  <c r="M78" i="9" s="1"/>
  <c r="L77" i="9"/>
  <c r="M77" i="9" s="1"/>
  <c r="L76" i="9"/>
  <c r="M76" i="9" s="1"/>
  <c r="L75" i="9"/>
  <c r="M75" i="9" s="1"/>
  <c r="L74" i="9"/>
  <c r="M74" i="9" s="1"/>
  <c r="L73" i="9"/>
  <c r="M73" i="9" s="1"/>
  <c r="L72" i="9"/>
  <c r="M72" i="9" s="1"/>
  <c r="L71" i="9"/>
  <c r="M71" i="9" s="1"/>
  <c r="L70" i="9"/>
  <c r="M70" i="9" s="1"/>
  <c r="L69" i="9"/>
  <c r="M69" i="9" s="1"/>
  <c r="L68" i="9"/>
  <c r="M68" i="9" s="1"/>
  <c r="L67" i="9"/>
  <c r="M67" i="9" s="1"/>
  <c r="L66" i="9"/>
  <c r="M66" i="9" s="1"/>
  <c r="L65" i="9"/>
  <c r="M65" i="9" s="1"/>
  <c r="L64" i="9"/>
  <c r="M64" i="9" s="1"/>
  <c r="L63" i="9"/>
  <c r="M63" i="9" s="1"/>
  <c r="L62" i="9"/>
  <c r="M62" i="9" s="1"/>
  <c r="L61" i="9"/>
  <c r="M61" i="9" s="1"/>
  <c r="L60" i="9"/>
  <c r="M60" i="9" s="1"/>
  <c r="L59" i="9"/>
  <c r="M59" i="9" s="1"/>
  <c r="L58" i="9"/>
  <c r="M58" i="9" s="1"/>
  <c r="L57" i="9"/>
  <c r="M57" i="9" s="1"/>
  <c r="L56" i="9"/>
  <c r="M56" i="9" s="1"/>
  <c r="L55" i="9"/>
  <c r="M55" i="9" s="1"/>
  <c r="L54" i="9"/>
  <c r="M54" i="9" s="1"/>
  <c r="L53" i="9"/>
  <c r="M53" i="9" s="1"/>
  <c r="L52" i="9"/>
  <c r="M52" i="9" s="1"/>
  <c r="L51" i="9"/>
  <c r="M51" i="9" s="1"/>
  <c r="L50" i="9"/>
  <c r="M50" i="9" s="1"/>
  <c r="L49" i="9"/>
  <c r="M49" i="9" s="1"/>
  <c r="L48" i="9"/>
  <c r="M48" i="9" s="1"/>
  <c r="L47" i="9"/>
  <c r="M47" i="9" s="1"/>
  <c r="L46" i="9"/>
  <c r="M46" i="9" s="1"/>
  <c r="L45" i="9"/>
  <c r="M45" i="9" s="1"/>
  <c r="L44" i="9"/>
  <c r="M44" i="9" s="1"/>
  <c r="L43" i="9"/>
  <c r="M43" i="9" s="1"/>
  <c r="L42" i="9"/>
  <c r="M42" i="9" s="1"/>
  <c r="L41" i="9"/>
  <c r="M41" i="9" s="1"/>
  <c r="L40" i="9"/>
  <c r="M40" i="9" s="1"/>
  <c r="L39" i="9"/>
  <c r="M39" i="9" s="1"/>
  <c r="L38" i="9"/>
  <c r="M38" i="9" s="1"/>
  <c r="L37" i="9"/>
  <c r="M37" i="9" s="1"/>
  <c r="L36" i="9"/>
  <c r="M36" i="9" s="1"/>
  <c r="L35" i="9"/>
  <c r="M35" i="9" s="1"/>
  <c r="L34" i="9"/>
  <c r="M34" i="9" s="1"/>
  <c r="L33" i="9"/>
  <c r="M33" i="9" s="1"/>
  <c r="L32" i="9"/>
  <c r="M32" i="9" s="1"/>
  <c r="L31" i="9"/>
  <c r="M31" i="9" s="1"/>
  <c r="L30" i="9"/>
  <c r="M30" i="9" s="1"/>
  <c r="L29" i="9"/>
  <c r="M29" i="9" s="1"/>
  <c r="L28" i="9"/>
  <c r="M28" i="9" s="1"/>
  <c r="L27" i="9"/>
  <c r="M27" i="9" s="1"/>
  <c r="L26" i="9"/>
  <c r="M26" i="9" s="1"/>
  <c r="L25" i="9"/>
  <c r="M25" i="9" s="1"/>
  <c r="L24" i="9"/>
  <c r="M24" i="9" s="1"/>
  <c r="L23" i="9"/>
  <c r="M23" i="9" s="1"/>
  <c r="L22" i="9"/>
  <c r="M22" i="9" s="1"/>
  <c r="L21" i="9"/>
  <c r="M21" i="9" s="1"/>
  <c r="L20" i="9"/>
  <c r="M20" i="9" s="1"/>
  <c r="L19" i="9"/>
  <c r="M19" i="9" s="1"/>
  <c r="L18" i="9"/>
  <c r="M18" i="9" s="1"/>
  <c r="L17" i="9"/>
  <c r="M17" i="9" s="1"/>
  <c r="L16" i="9"/>
  <c r="M16" i="9" s="1"/>
  <c r="L15" i="9"/>
  <c r="M15" i="9" s="1"/>
  <c r="L14" i="9"/>
  <c r="M14" i="9" s="1"/>
  <c r="L13" i="9"/>
  <c r="M13" i="9" s="1"/>
  <c r="L12" i="9"/>
  <c r="M12" i="9" s="1"/>
  <c r="L11" i="9"/>
  <c r="M11" i="9" s="1"/>
  <c r="L10" i="9"/>
  <c r="M10" i="9" s="1"/>
  <c r="L9" i="9"/>
  <c r="M9" i="9" s="1"/>
  <c r="L8" i="9"/>
  <c r="M8" i="9" s="1"/>
  <c r="L7" i="9"/>
  <c r="M7" i="9" s="1"/>
  <c r="L6" i="9"/>
  <c r="M6" i="9" s="1"/>
  <c r="L5" i="9"/>
  <c r="M5" i="9" s="1"/>
  <c r="L4" i="9"/>
  <c r="M4" i="9" s="1"/>
  <c r="L3" i="9"/>
  <c r="M3" i="9" s="1"/>
  <c r="L2" i="9"/>
  <c r="M2" i="9" s="1"/>
  <c r="L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AP194" i="5" s="1"/>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AP270" i="5" s="1"/>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AP350" i="5" s="1"/>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AP434" i="5" s="1"/>
  <c r="L435" i="5"/>
  <c r="L436" i="5"/>
  <c r="L437" i="5"/>
  <c r="L438" i="5"/>
  <c r="L439" i="5"/>
  <c r="L440" i="5"/>
  <c r="L441" i="5"/>
  <c r="AP6" i="5"/>
  <c r="AP7" i="5"/>
  <c r="AP38" i="5"/>
  <c r="AP46" i="5"/>
  <c r="AP70" i="5"/>
  <c r="AP74" i="5"/>
  <c r="AP90" i="5"/>
  <c r="AP94" i="5"/>
  <c r="AP122" i="5"/>
  <c r="AP138" i="5"/>
  <c r="AP214" i="5"/>
  <c r="AP250" i="5"/>
  <c r="AP354" i="5"/>
  <c r="AP1" i="5"/>
  <c r="AF1" i="5"/>
  <c r="AG1" i="5"/>
  <c r="AH1" i="5"/>
  <c r="AI1" i="5"/>
  <c r="AJ1" i="5"/>
  <c r="AK1" i="5"/>
  <c r="AL1" i="5"/>
  <c r="AM1" i="5"/>
  <c r="AN1" i="5"/>
  <c r="AO1" i="5"/>
  <c r="AE3" i="5"/>
  <c r="AF3" i="5"/>
  <c r="AG3" i="5"/>
  <c r="AR3" i="5" s="1"/>
  <c r="AS3" i="5" s="1"/>
  <c r="AH3" i="5"/>
  <c r="AI3" i="5"/>
  <c r="AJ3" i="5"/>
  <c r="AK3" i="5"/>
  <c r="AL3" i="5"/>
  <c r="AM3" i="5"/>
  <c r="AN3" i="5"/>
  <c r="AO3" i="5"/>
  <c r="AE4" i="5"/>
  <c r="AF4" i="5"/>
  <c r="AG4" i="5"/>
  <c r="AR4" i="5" s="1"/>
  <c r="AS4" i="5" s="1"/>
  <c r="AH4" i="5"/>
  <c r="AI4" i="5"/>
  <c r="AJ4" i="5"/>
  <c r="AK4" i="5"/>
  <c r="AL4" i="5"/>
  <c r="AM4" i="5"/>
  <c r="AN4" i="5"/>
  <c r="AO4" i="5"/>
  <c r="AE5" i="5"/>
  <c r="AF5" i="5"/>
  <c r="AG5" i="5"/>
  <c r="AR5" i="5" s="1"/>
  <c r="AS5" i="5" s="1"/>
  <c r="AH5" i="5"/>
  <c r="AI5" i="5"/>
  <c r="AJ5" i="5"/>
  <c r="AK5" i="5"/>
  <c r="AL5" i="5"/>
  <c r="AM5" i="5"/>
  <c r="AN5" i="5"/>
  <c r="AO5" i="5"/>
  <c r="AE6" i="5"/>
  <c r="AF6" i="5"/>
  <c r="AG6" i="5"/>
  <c r="AR6" i="5" s="1"/>
  <c r="AS6" i="5" s="1"/>
  <c r="AH6" i="5"/>
  <c r="AI6" i="5"/>
  <c r="AJ6" i="5"/>
  <c r="AK6" i="5"/>
  <c r="AL6" i="5"/>
  <c r="AM6" i="5"/>
  <c r="AN6" i="5"/>
  <c r="AO6" i="5"/>
  <c r="AE7" i="5"/>
  <c r="AF7" i="5"/>
  <c r="AG7" i="5"/>
  <c r="AR7" i="5" s="1"/>
  <c r="AS7" i="5" s="1"/>
  <c r="AH7" i="5"/>
  <c r="AI7" i="5"/>
  <c r="AJ7" i="5"/>
  <c r="AK7" i="5"/>
  <c r="AL7" i="5"/>
  <c r="AM7" i="5"/>
  <c r="AN7" i="5"/>
  <c r="AO7" i="5"/>
  <c r="AE8" i="5"/>
  <c r="AF8" i="5"/>
  <c r="AG8" i="5"/>
  <c r="AR8" i="5" s="1"/>
  <c r="AS8" i="5" s="1"/>
  <c r="AH8" i="5"/>
  <c r="AI8" i="5"/>
  <c r="AJ8" i="5"/>
  <c r="AK8" i="5"/>
  <c r="AL8" i="5"/>
  <c r="AM8" i="5"/>
  <c r="AN8" i="5"/>
  <c r="AO8" i="5"/>
  <c r="AE9" i="5"/>
  <c r="AF9" i="5"/>
  <c r="AG9" i="5"/>
  <c r="AR9" i="5" s="1"/>
  <c r="AS9" i="5" s="1"/>
  <c r="AH9" i="5"/>
  <c r="AI9" i="5"/>
  <c r="AJ9" i="5"/>
  <c r="AK9" i="5"/>
  <c r="AL9" i="5"/>
  <c r="AM9" i="5"/>
  <c r="AN9" i="5"/>
  <c r="AO9" i="5"/>
  <c r="AE10" i="5"/>
  <c r="AF10" i="5"/>
  <c r="AG10" i="5"/>
  <c r="AR10" i="5" s="1"/>
  <c r="AS10" i="5" s="1"/>
  <c r="AH10" i="5"/>
  <c r="AI10" i="5"/>
  <c r="AJ10" i="5"/>
  <c r="AK10" i="5"/>
  <c r="AL10" i="5"/>
  <c r="AM10" i="5"/>
  <c r="AN10" i="5"/>
  <c r="AO10" i="5"/>
  <c r="AE11" i="5"/>
  <c r="AF11" i="5"/>
  <c r="AG11" i="5"/>
  <c r="AR11" i="5" s="1"/>
  <c r="AS11" i="5" s="1"/>
  <c r="AH11" i="5"/>
  <c r="AI11" i="5"/>
  <c r="AJ11" i="5"/>
  <c r="AK11" i="5"/>
  <c r="AL11" i="5"/>
  <c r="AM11" i="5"/>
  <c r="AN11" i="5"/>
  <c r="AO11" i="5"/>
  <c r="AE12" i="5"/>
  <c r="AF12" i="5"/>
  <c r="AG12" i="5"/>
  <c r="AR12" i="5" s="1"/>
  <c r="AS12" i="5" s="1"/>
  <c r="AH12" i="5"/>
  <c r="AI12" i="5"/>
  <c r="AJ12" i="5"/>
  <c r="AK12" i="5"/>
  <c r="AL12" i="5"/>
  <c r="AM12" i="5"/>
  <c r="AN12" i="5"/>
  <c r="AO12" i="5"/>
  <c r="AE13" i="5"/>
  <c r="AF13" i="5"/>
  <c r="AG13" i="5"/>
  <c r="AR13" i="5" s="1"/>
  <c r="AS13" i="5" s="1"/>
  <c r="AH13" i="5"/>
  <c r="AI13" i="5"/>
  <c r="AJ13" i="5"/>
  <c r="AK13" i="5"/>
  <c r="AL13" i="5"/>
  <c r="AM13" i="5"/>
  <c r="AN13" i="5"/>
  <c r="AO13" i="5"/>
  <c r="AE14" i="5"/>
  <c r="AF14" i="5"/>
  <c r="AG14" i="5"/>
  <c r="AR14" i="5" s="1"/>
  <c r="AS14" i="5" s="1"/>
  <c r="AH14" i="5"/>
  <c r="AI14" i="5"/>
  <c r="AJ14" i="5"/>
  <c r="AK14" i="5"/>
  <c r="AL14" i="5"/>
  <c r="AM14" i="5"/>
  <c r="AN14" i="5"/>
  <c r="AO14" i="5"/>
  <c r="AE15" i="5"/>
  <c r="AF15" i="5"/>
  <c r="AG15" i="5"/>
  <c r="AR15" i="5" s="1"/>
  <c r="AS15" i="5" s="1"/>
  <c r="AH15" i="5"/>
  <c r="AI15" i="5"/>
  <c r="AJ15" i="5"/>
  <c r="AK15" i="5"/>
  <c r="AL15" i="5"/>
  <c r="AM15" i="5"/>
  <c r="AN15" i="5"/>
  <c r="AO15" i="5"/>
  <c r="AE16" i="5"/>
  <c r="AF16" i="5"/>
  <c r="AG16" i="5"/>
  <c r="AR16" i="5" s="1"/>
  <c r="AS16" i="5" s="1"/>
  <c r="AH16" i="5"/>
  <c r="AI16" i="5"/>
  <c r="AJ16" i="5"/>
  <c r="AK16" i="5"/>
  <c r="AL16" i="5"/>
  <c r="AM16" i="5"/>
  <c r="AN16" i="5"/>
  <c r="AO16" i="5"/>
  <c r="AE17" i="5"/>
  <c r="AF17" i="5"/>
  <c r="AG17" i="5"/>
  <c r="AR17" i="5" s="1"/>
  <c r="AS17" i="5" s="1"/>
  <c r="AH17" i="5"/>
  <c r="AI17" i="5"/>
  <c r="AJ17" i="5"/>
  <c r="AK17" i="5"/>
  <c r="AL17" i="5"/>
  <c r="AM17" i="5"/>
  <c r="AN17" i="5"/>
  <c r="AO17" i="5"/>
  <c r="AE18" i="5"/>
  <c r="AF18" i="5"/>
  <c r="AG18" i="5"/>
  <c r="AR18" i="5" s="1"/>
  <c r="AS18" i="5" s="1"/>
  <c r="AH18" i="5"/>
  <c r="AI18" i="5"/>
  <c r="AJ18" i="5"/>
  <c r="AK18" i="5"/>
  <c r="AL18" i="5"/>
  <c r="AM18" i="5"/>
  <c r="AN18" i="5"/>
  <c r="AO18" i="5"/>
  <c r="AE19" i="5"/>
  <c r="AF19" i="5"/>
  <c r="AG19" i="5"/>
  <c r="AR19" i="5" s="1"/>
  <c r="AS19" i="5" s="1"/>
  <c r="AH19" i="5"/>
  <c r="AI19" i="5"/>
  <c r="AJ19" i="5"/>
  <c r="AK19" i="5"/>
  <c r="AL19" i="5"/>
  <c r="AM19" i="5"/>
  <c r="AN19" i="5"/>
  <c r="AO19" i="5"/>
  <c r="AE20" i="5"/>
  <c r="AF20" i="5"/>
  <c r="AG20" i="5"/>
  <c r="AR20" i="5" s="1"/>
  <c r="AS20" i="5" s="1"/>
  <c r="AH20" i="5"/>
  <c r="AI20" i="5"/>
  <c r="AJ20" i="5"/>
  <c r="AK20" i="5"/>
  <c r="AL20" i="5"/>
  <c r="AM20" i="5"/>
  <c r="AN20" i="5"/>
  <c r="AO20" i="5"/>
  <c r="AE21" i="5"/>
  <c r="AF21" i="5"/>
  <c r="AG21" i="5"/>
  <c r="AR21" i="5" s="1"/>
  <c r="AS21" i="5" s="1"/>
  <c r="AH21" i="5"/>
  <c r="AI21" i="5"/>
  <c r="AJ21" i="5"/>
  <c r="AK21" i="5"/>
  <c r="AL21" i="5"/>
  <c r="AM21" i="5"/>
  <c r="AN21" i="5"/>
  <c r="AO21" i="5"/>
  <c r="AE22" i="5"/>
  <c r="AF22" i="5"/>
  <c r="AG22" i="5"/>
  <c r="AR22" i="5" s="1"/>
  <c r="AS22" i="5" s="1"/>
  <c r="AH22" i="5"/>
  <c r="AI22" i="5"/>
  <c r="AJ22" i="5"/>
  <c r="AK22" i="5"/>
  <c r="AL22" i="5"/>
  <c r="AM22" i="5"/>
  <c r="AN22" i="5"/>
  <c r="AO22" i="5"/>
  <c r="AE23" i="5"/>
  <c r="AF23" i="5"/>
  <c r="AG23" i="5"/>
  <c r="AR23" i="5" s="1"/>
  <c r="AS23" i="5" s="1"/>
  <c r="AH23" i="5"/>
  <c r="AI23" i="5"/>
  <c r="AJ23" i="5"/>
  <c r="AK23" i="5"/>
  <c r="AL23" i="5"/>
  <c r="AM23" i="5"/>
  <c r="AN23" i="5"/>
  <c r="AO23" i="5"/>
  <c r="AE24" i="5"/>
  <c r="AF24" i="5"/>
  <c r="AG24" i="5"/>
  <c r="AR24" i="5" s="1"/>
  <c r="AS24" i="5" s="1"/>
  <c r="AH24" i="5"/>
  <c r="AI24" i="5"/>
  <c r="AJ24" i="5"/>
  <c r="AK24" i="5"/>
  <c r="AL24" i="5"/>
  <c r="AM24" i="5"/>
  <c r="AN24" i="5"/>
  <c r="AO24" i="5"/>
  <c r="AE25" i="5"/>
  <c r="AF25" i="5"/>
  <c r="AG25" i="5"/>
  <c r="AR25" i="5" s="1"/>
  <c r="AS25" i="5" s="1"/>
  <c r="AH25" i="5"/>
  <c r="AI25" i="5"/>
  <c r="AJ25" i="5"/>
  <c r="AK25" i="5"/>
  <c r="AL25" i="5"/>
  <c r="AM25" i="5"/>
  <c r="AN25" i="5"/>
  <c r="AO25" i="5"/>
  <c r="AE26" i="5"/>
  <c r="AF26" i="5"/>
  <c r="AG26" i="5"/>
  <c r="AR26" i="5" s="1"/>
  <c r="AS26" i="5" s="1"/>
  <c r="AH26" i="5"/>
  <c r="AI26" i="5"/>
  <c r="AJ26" i="5"/>
  <c r="AK26" i="5"/>
  <c r="AL26" i="5"/>
  <c r="AM26" i="5"/>
  <c r="AN26" i="5"/>
  <c r="AO26" i="5"/>
  <c r="AE27" i="5"/>
  <c r="AF27" i="5"/>
  <c r="AG27" i="5"/>
  <c r="AR27" i="5" s="1"/>
  <c r="AS27" i="5" s="1"/>
  <c r="AH27" i="5"/>
  <c r="AI27" i="5"/>
  <c r="AJ27" i="5"/>
  <c r="AK27" i="5"/>
  <c r="AL27" i="5"/>
  <c r="AM27" i="5"/>
  <c r="AN27" i="5"/>
  <c r="AO27" i="5"/>
  <c r="AE28" i="5"/>
  <c r="AF28" i="5"/>
  <c r="AG28" i="5"/>
  <c r="AR28" i="5" s="1"/>
  <c r="AS28" i="5" s="1"/>
  <c r="AH28" i="5"/>
  <c r="AI28" i="5"/>
  <c r="AJ28" i="5"/>
  <c r="AK28" i="5"/>
  <c r="AL28" i="5"/>
  <c r="AM28" i="5"/>
  <c r="AN28" i="5"/>
  <c r="AO28" i="5"/>
  <c r="AE29" i="5"/>
  <c r="AF29" i="5"/>
  <c r="AG29" i="5"/>
  <c r="AR29" i="5" s="1"/>
  <c r="AS29" i="5" s="1"/>
  <c r="AH29" i="5"/>
  <c r="AI29" i="5"/>
  <c r="AJ29" i="5"/>
  <c r="AK29" i="5"/>
  <c r="AL29" i="5"/>
  <c r="AM29" i="5"/>
  <c r="AN29" i="5"/>
  <c r="AO29" i="5"/>
  <c r="AE30" i="5"/>
  <c r="AF30" i="5"/>
  <c r="AG30" i="5"/>
  <c r="AR30" i="5" s="1"/>
  <c r="AS30" i="5" s="1"/>
  <c r="AH30" i="5"/>
  <c r="AI30" i="5"/>
  <c r="AJ30" i="5"/>
  <c r="AK30" i="5"/>
  <c r="AL30" i="5"/>
  <c r="AM30" i="5"/>
  <c r="AN30" i="5"/>
  <c r="AO30" i="5"/>
  <c r="AE31" i="5"/>
  <c r="AF31" i="5"/>
  <c r="AG31" i="5"/>
  <c r="AR31" i="5" s="1"/>
  <c r="AS31" i="5" s="1"/>
  <c r="AH31" i="5"/>
  <c r="AI31" i="5"/>
  <c r="AJ31" i="5"/>
  <c r="AK31" i="5"/>
  <c r="AL31" i="5"/>
  <c r="AM31" i="5"/>
  <c r="AN31" i="5"/>
  <c r="AO31" i="5"/>
  <c r="AE32" i="5"/>
  <c r="AF32" i="5"/>
  <c r="AG32" i="5"/>
  <c r="AR32" i="5" s="1"/>
  <c r="AS32" i="5" s="1"/>
  <c r="AH32" i="5"/>
  <c r="AI32" i="5"/>
  <c r="AJ32" i="5"/>
  <c r="AK32" i="5"/>
  <c r="AL32" i="5"/>
  <c r="AM32" i="5"/>
  <c r="AN32" i="5"/>
  <c r="AO32" i="5"/>
  <c r="AE33" i="5"/>
  <c r="AF33" i="5"/>
  <c r="AG33" i="5"/>
  <c r="AR33" i="5" s="1"/>
  <c r="AS33" i="5" s="1"/>
  <c r="AH33" i="5"/>
  <c r="AI33" i="5"/>
  <c r="AJ33" i="5"/>
  <c r="AK33" i="5"/>
  <c r="AL33" i="5"/>
  <c r="AM33" i="5"/>
  <c r="AN33" i="5"/>
  <c r="AO33" i="5"/>
  <c r="AE34" i="5"/>
  <c r="AF34" i="5"/>
  <c r="AG34" i="5"/>
  <c r="AR34" i="5" s="1"/>
  <c r="AS34" i="5" s="1"/>
  <c r="AH34" i="5"/>
  <c r="AI34" i="5"/>
  <c r="AJ34" i="5"/>
  <c r="AK34" i="5"/>
  <c r="AL34" i="5"/>
  <c r="AM34" i="5"/>
  <c r="AN34" i="5"/>
  <c r="AO34" i="5"/>
  <c r="AE35" i="5"/>
  <c r="AF35" i="5"/>
  <c r="AG35" i="5"/>
  <c r="AR35" i="5" s="1"/>
  <c r="AS35" i="5" s="1"/>
  <c r="AH35" i="5"/>
  <c r="AI35" i="5"/>
  <c r="AJ35" i="5"/>
  <c r="AK35" i="5"/>
  <c r="AL35" i="5"/>
  <c r="AM35" i="5"/>
  <c r="AN35" i="5"/>
  <c r="AO35" i="5"/>
  <c r="AE36" i="5"/>
  <c r="AF36" i="5"/>
  <c r="AG36" i="5"/>
  <c r="AR36" i="5" s="1"/>
  <c r="AS36" i="5" s="1"/>
  <c r="AH36" i="5"/>
  <c r="AI36" i="5"/>
  <c r="AJ36" i="5"/>
  <c r="AK36" i="5"/>
  <c r="AL36" i="5"/>
  <c r="AM36" i="5"/>
  <c r="AN36" i="5"/>
  <c r="AO36" i="5"/>
  <c r="AE37" i="5"/>
  <c r="AF37" i="5"/>
  <c r="AG37" i="5"/>
  <c r="AR37" i="5" s="1"/>
  <c r="AS37" i="5" s="1"/>
  <c r="AH37" i="5"/>
  <c r="AI37" i="5"/>
  <c r="AJ37" i="5"/>
  <c r="AK37" i="5"/>
  <c r="AL37" i="5"/>
  <c r="AM37" i="5"/>
  <c r="AN37" i="5"/>
  <c r="AO37" i="5"/>
  <c r="AE38" i="5"/>
  <c r="AF38" i="5"/>
  <c r="AG38" i="5"/>
  <c r="AR38" i="5" s="1"/>
  <c r="AS38" i="5" s="1"/>
  <c r="AH38" i="5"/>
  <c r="AI38" i="5"/>
  <c r="AJ38" i="5"/>
  <c r="AK38" i="5"/>
  <c r="AL38" i="5"/>
  <c r="AM38" i="5"/>
  <c r="AN38" i="5"/>
  <c r="AO38" i="5"/>
  <c r="AE39" i="5"/>
  <c r="AF39" i="5"/>
  <c r="AG39" i="5"/>
  <c r="AR39" i="5" s="1"/>
  <c r="AS39" i="5" s="1"/>
  <c r="AH39" i="5"/>
  <c r="AI39" i="5"/>
  <c r="AJ39" i="5"/>
  <c r="AK39" i="5"/>
  <c r="AL39" i="5"/>
  <c r="AM39" i="5"/>
  <c r="AN39" i="5"/>
  <c r="AO39" i="5"/>
  <c r="AE40" i="5"/>
  <c r="AF40" i="5"/>
  <c r="AG40" i="5"/>
  <c r="AR40" i="5" s="1"/>
  <c r="AS40" i="5" s="1"/>
  <c r="AH40" i="5"/>
  <c r="AI40" i="5"/>
  <c r="AJ40" i="5"/>
  <c r="AK40" i="5"/>
  <c r="AL40" i="5"/>
  <c r="AM40" i="5"/>
  <c r="AN40" i="5"/>
  <c r="AO40" i="5"/>
  <c r="AE41" i="5"/>
  <c r="AF41" i="5"/>
  <c r="AG41" i="5"/>
  <c r="AR41" i="5" s="1"/>
  <c r="AS41" i="5" s="1"/>
  <c r="AH41" i="5"/>
  <c r="AI41" i="5"/>
  <c r="AJ41" i="5"/>
  <c r="AK41" i="5"/>
  <c r="AL41" i="5"/>
  <c r="AM41" i="5"/>
  <c r="AN41" i="5"/>
  <c r="AO41" i="5"/>
  <c r="AE42" i="5"/>
  <c r="AF42" i="5"/>
  <c r="AG42" i="5"/>
  <c r="AR42" i="5" s="1"/>
  <c r="AS42" i="5" s="1"/>
  <c r="AH42" i="5"/>
  <c r="AI42" i="5"/>
  <c r="AJ42" i="5"/>
  <c r="AK42" i="5"/>
  <c r="AL42" i="5"/>
  <c r="AM42" i="5"/>
  <c r="AN42" i="5"/>
  <c r="AO42" i="5"/>
  <c r="AE43" i="5"/>
  <c r="AF43" i="5"/>
  <c r="AG43" i="5"/>
  <c r="AR43" i="5" s="1"/>
  <c r="AS43" i="5" s="1"/>
  <c r="AH43" i="5"/>
  <c r="AI43" i="5"/>
  <c r="AJ43" i="5"/>
  <c r="AK43" i="5"/>
  <c r="AL43" i="5"/>
  <c r="AM43" i="5"/>
  <c r="AN43" i="5"/>
  <c r="AO43" i="5"/>
  <c r="AE44" i="5"/>
  <c r="AF44" i="5"/>
  <c r="AG44" i="5"/>
  <c r="AR44" i="5" s="1"/>
  <c r="AS44" i="5" s="1"/>
  <c r="AH44" i="5"/>
  <c r="AI44" i="5"/>
  <c r="AJ44" i="5"/>
  <c r="AK44" i="5"/>
  <c r="AL44" i="5"/>
  <c r="AM44" i="5"/>
  <c r="AN44" i="5"/>
  <c r="AO44" i="5"/>
  <c r="AE45" i="5"/>
  <c r="AF45" i="5"/>
  <c r="AG45" i="5"/>
  <c r="AR45" i="5" s="1"/>
  <c r="AS45" i="5" s="1"/>
  <c r="AH45" i="5"/>
  <c r="AI45" i="5"/>
  <c r="AJ45" i="5"/>
  <c r="AK45" i="5"/>
  <c r="AL45" i="5"/>
  <c r="AM45" i="5"/>
  <c r="AN45" i="5"/>
  <c r="AO45" i="5"/>
  <c r="AE46" i="5"/>
  <c r="AF46" i="5"/>
  <c r="AG46" i="5"/>
  <c r="AR46" i="5" s="1"/>
  <c r="AS46" i="5" s="1"/>
  <c r="AH46" i="5"/>
  <c r="AI46" i="5"/>
  <c r="AJ46" i="5"/>
  <c r="AK46" i="5"/>
  <c r="AL46" i="5"/>
  <c r="AM46" i="5"/>
  <c r="AN46" i="5"/>
  <c r="AO46" i="5"/>
  <c r="AE47" i="5"/>
  <c r="AF47" i="5"/>
  <c r="AG47" i="5"/>
  <c r="AR47" i="5" s="1"/>
  <c r="AS47" i="5" s="1"/>
  <c r="AH47" i="5"/>
  <c r="AI47" i="5"/>
  <c r="AJ47" i="5"/>
  <c r="AK47" i="5"/>
  <c r="AL47" i="5"/>
  <c r="AM47" i="5"/>
  <c r="AN47" i="5"/>
  <c r="AO47" i="5"/>
  <c r="AE48" i="5"/>
  <c r="AF48" i="5"/>
  <c r="AG48" i="5"/>
  <c r="AR48" i="5" s="1"/>
  <c r="AS48" i="5" s="1"/>
  <c r="AH48" i="5"/>
  <c r="AI48" i="5"/>
  <c r="AJ48" i="5"/>
  <c r="AK48" i="5"/>
  <c r="AL48" i="5"/>
  <c r="AM48" i="5"/>
  <c r="AN48" i="5"/>
  <c r="AO48" i="5"/>
  <c r="AE49" i="5"/>
  <c r="AF49" i="5"/>
  <c r="AG49" i="5"/>
  <c r="AR49" i="5" s="1"/>
  <c r="AS49" i="5" s="1"/>
  <c r="AH49" i="5"/>
  <c r="AI49" i="5"/>
  <c r="AJ49" i="5"/>
  <c r="AK49" i="5"/>
  <c r="AL49" i="5"/>
  <c r="AM49" i="5"/>
  <c r="AN49" i="5"/>
  <c r="AO49" i="5"/>
  <c r="AE50" i="5"/>
  <c r="AF50" i="5"/>
  <c r="AG50" i="5"/>
  <c r="AR50" i="5" s="1"/>
  <c r="AS50" i="5" s="1"/>
  <c r="AH50" i="5"/>
  <c r="AI50" i="5"/>
  <c r="AJ50" i="5"/>
  <c r="AK50" i="5"/>
  <c r="AL50" i="5"/>
  <c r="AM50" i="5"/>
  <c r="AN50" i="5"/>
  <c r="AO50" i="5"/>
  <c r="AE51" i="5"/>
  <c r="AF51" i="5"/>
  <c r="AG51" i="5"/>
  <c r="AR51" i="5" s="1"/>
  <c r="AS51" i="5" s="1"/>
  <c r="AH51" i="5"/>
  <c r="AI51" i="5"/>
  <c r="AJ51" i="5"/>
  <c r="AK51" i="5"/>
  <c r="AL51" i="5"/>
  <c r="AM51" i="5"/>
  <c r="AN51" i="5"/>
  <c r="AO51" i="5"/>
  <c r="AE52" i="5"/>
  <c r="AF52" i="5"/>
  <c r="AG52" i="5"/>
  <c r="AR52" i="5" s="1"/>
  <c r="AS52" i="5" s="1"/>
  <c r="AH52" i="5"/>
  <c r="AI52" i="5"/>
  <c r="AJ52" i="5"/>
  <c r="AK52" i="5"/>
  <c r="AL52" i="5"/>
  <c r="AM52" i="5"/>
  <c r="AN52" i="5"/>
  <c r="AO52" i="5"/>
  <c r="AE53" i="5"/>
  <c r="AF53" i="5"/>
  <c r="AG53" i="5"/>
  <c r="AR53" i="5" s="1"/>
  <c r="AS53" i="5" s="1"/>
  <c r="AH53" i="5"/>
  <c r="AI53" i="5"/>
  <c r="AJ53" i="5"/>
  <c r="AK53" i="5"/>
  <c r="AL53" i="5"/>
  <c r="AM53" i="5"/>
  <c r="AN53" i="5"/>
  <c r="AO53" i="5"/>
  <c r="AE54" i="5"/>
  <c r="AF54" i="5"/>
  <c r="AG54" i="5"/>
  <c r="AR54" i="5" s="1"/>
  <c r="AS54" i="5" s="1"/>
  <c r="AH54" i="5"/>
  <c r="AI54" i="5"/>
  <c r="AJ54" i="5"/>
  <c r="AK54" i="5"/>
  <c r="AL54" i="5"/>
  <c r="AM54" i="5"/>
  <c r="AN54" i="5"/>
  <c r="AO54" i="5"/>
  <c r="AE55" i="5"/>
  <c r="AF55" i="5"/>
  <c r="AG55" i="5"/>
  <c r="AR55" i="5" s="1"/>
  <c r="AS55" i="5" s="1"/>
  <c r="AH55" i="5"/>
  <c r="AI55" i="5"/>
  <c r="AJ55" i="5"/>
  <c r="AK55" i="5"/>
  <c r="AL55" i="5"/>
  <c r="AM55" i="5"/>
  <c r="AN55" i="5"/>
  <c r="AO55" i="5"/>
  <c r="AE56" i="5"/>
  <c r="AF56" i="5"/>
  <c r="AG56" i="5"/>
  <c r="AR56" i="5" s="1"/>
  <c r="AS56" i="5" s="1"/>
  <c r="AH56" i="5"/>
  <c r="AI56" i="5"/>
  <c r="AJ56" i="5"/>
  <c r="AK56" i="5"/>
  <c r="AL56" i="5"/>
  <c r="AM56" i="5"/>
  <c r="AN56" i="5"/>
  <c r="AO56" i="5"/>
  <c r="AE57" i="5"/>
  <c r="AF57" i="5"/>
  <c r="AG57" i="5"/>
  <c r="AR57" i="5" s="1"/>
  <c r="AS57" i="5" s="1"/>
  <c r="AH57" i="5"/>
  <c r="AI57" i="5"/>
  <c r="AJ57" i="5"/>
  <c r="AK57" i="5"/>
  <c r="AL57" i="5"/>
  <c r="AM57" i="5"/>
  <c r="AN57" i="5"/>
  <c r="AO57" i="5"/>
  <c r="AE58" i="5"/>
  <c r="AF58" i="5"/>
  <c r="AG58" i="5"/>
  <c r="AR58" i="5" s="1"/>
  <c r="AS58" i="5" s="1"/>
  <c r="AH58" i="5"/>
  <c r="AI58" i="5"/>
  <c r="AJ58" i="5"/>
  <c r="AK58" i="5"/>
  <c r="AL58" i="5"/>
  <c r="AM58" i="5"/>
  <c r="AN58" i="5"/>
  <c r="AO58" i="5"/>
  <c r="AE59" i="5"/>
  <c r="AF59" i="5"/>
  <c r="AG59" i="5"/>
  <c r="AR59" i="5" s="1"/>
  <c r="AS59" i="5" s="1"/>
  <c r="AH59" i="5"/>
  <c r="AI59" i="5"/>
  <c r="AJ59" i="5"/>
  <c r="AK59" i="5"/>
  <c r="AL59" i="5"/>
  <c r="AM59" i="5"/>
  <c r="AN59" i="5"/>
  <c r="AO59" i="5"/>
  <c r="AE60" i="5"/>
  <c r="AF60" i="5"/>
  <c r="AG60" i="5"/>
  <c r="AR60" i="5" s="1"/>
  <c r="AS60" i="5" s="1"/>
  <c r="AH60" i="5"/>
  <c r="AI60" i="5"/>
  <c r="AJ60" i="5"/>
  <c r="AK60" i="5"/>
  <c r="AL60" i="5"/>
  <c r="AM60" i="5"/>
  <c r="AN60" i="5"/>
  <c r="AO60" i="5"/>
  <c r="AE61" i="5"/>
  <c r="AF61" i="5"/>
  <c r="AG61" i="5"/>
  <c r="AR61" i="5" s="1"/>
  <c r="AS61" i="5" s="1"/>
  <c r="AH61" i="5"/>
  <c r="AI61" i="5"/>
  <c r="AJ61" i="5"/>
  <c r="AK61" i="5"/>
  <c r="AL61" i="5"/>
  <c r="AM61" i="5"/>
  <c r="AN61" i="5"/>
  <c r="AO61" i="5"/>
  <c r="AE62" i="5"/>
  <c r="AF62" i="5"/>
  <c r="AG62" i="5"/>
  <c r="AR62" i="5" s="1"/>
  <c r="AS62" i="5" s="1"/>
  <c r="AH62" i="5"/>
  <c r="AI62" i="5"/>
  <c r="AJ62" i="5"/>
  <c r="AK62" i="5"/>
  <c r="AL62" i="5"/>
  <c r="AM62" i="5"/>
  <c r="AN62" i="5"/>
  <c r="AO62" i="5"/>
  <c r="AE63" i="5"/>
  <c r="AF63" i="5"/>
  <c r="AG63" i="5"/>
  <c r="AR63" i="5" s="1"/>
  <c r="AS63" i="5" s="1"/>
  <c r="AH63" i="5"/>
  <c r="AI63" i="5"/>
  <c r="AJ63" i="5"/>
  <c r="AK63" i="5"/>
  <c r="AL63" i="5"/>
  <c r="AM63" i="5"/>
  <c r="AN63" i="5"/>
  <c r="AO63" i="5"/>
  <c r="AE64" i="5"/>
  <c r="AF64" i="5"/>
  <c r="AG64" i="5"/>
  <c r="AR64" i="5" s="1"/>
  <c r="AS64" i="5" s="1"/>
  <c r="AH64" i="5"/>
  <c r="AI64" i="5"/>
  <c r="AJ64" i="5"/>
  <c r="AK64" i="5"/>
  <c r="AL64" i="5"/>
  <c r="AM64" i="5"/>
  <c r="AN64" i="5"/>
  <c r="AO64" i="5"/>
  <c r="AE65" i="5"/>
  <c r="AF65" i="5"/>
  <c r="AG65" i="5"/>
  <c r="AR65" i="5" s="1"/>
  <c r="AS65" i="5" s="1"/>
  <c r="AH65" i="5"/>
  <c r="AI65" i="5"/>
  <c r="AJ65" i="5"/>
  <c r="AK65" i="5"/>
  <c r="AL65" i="5"/>
  <c r="AM65" i="5"/>
  <c r="AN65" i="5"/>
  <c r="AO65" i="5"/>
  <c r="AE66" i="5"/>
  <c r="AF66" i="5"/>
  <c r="AG66" i="5"/>
  <c r="AR66" i="5" s="1"/>
  <c r="AS66" i="5" s="1"/>
  <c r="AH66" i="5"/>
  <c r="AI66" i="5"/>
  <c r="AJ66" i="5"/>
  <c r="AK66" i="5"/>
  <c r="AL66" i="5"/>
  <c r="AM66" i="5"/>
  <c r="AN66" i="5"/>
  <c r="AO66" i="5"/>
  <c r="AE67" i="5"/>
  <c r="AF67" i="5"/>
  <c r="AG67" i="5"/>
  <c r="AR67" i="5" s="1"/>
  <c r="AS67" i="5" s="1"/>
  <c r="AH67" i="5"/>
  <c r="AI67" i="5"/>
  <c r="AJ67" i="5"/>
  <c r="AK67" i="5"/>
  <c r="AL67" i="5"/>
  <c r="AM67" i="5"/>
  <c r="AN67" i="5"/>
  <c r="AO67" i="5"/>
  <c r="AE68" i="5"/>
  <c r="AF68" i="5"/>
  <c r="AG68" i="5"/>
  <c r="AR68" i="5" s="1"/>
  <c r="AS68" i="5" s="1"/>
  <c r="AH68" i="5"/>
  <c r="AI68" i="5"/>
  <c r="AJ68" i="5"/>
  <c r="AK68" i="5"/>
  <c r="AL68" i="5"/>
  <c r="AM68" i="5"/>
  <c r="AN68" i="5"/>
  <c r="AO68" i="5"/>
  <c r="AE69" i="5"/>
  <c r="AF69" i="5"/>
  <c r="AG69" i="5"/>
  <c r="AR69" i="5" s="1"/>
  <c r="AS69" i="5" s="1"/>
  <c r="AH69" i="5"/>
  <c r="AI69" i="5"/>
  <c r="AJ69" i="5"/>
  <c r="AK69" i="5"/>
  <c r="AL69" i="5"/>
  <c r="AM69" i="5"/>
  <c r="AN69" i="5"/>
  <c r="AO69" i="5"/>
  <c r="AE70" i="5"/>
  <c r="AF70" i="5"/>
  <c r="AG70" i="5"/>
  <c r="AR70" i="5" s="1"/>
  <c r="AS70" i="5" s="1"/>
  <c r="AH70" i="5"/>
  <c r="AI70" i="5"/>
  <c r="AJ70" i="5"/>
  <c r="AK70" i="5"/>
  <c r="AL70" i="5"/>
  <c r="AM70" i="5"/>
  <c r="AN70" i="5"/>
  <c r="AO70" i="5"/>
  <c r="AE71" i="5"/>
  <c r="AF71" i="5"/>
  <c r="AG71" i="5"/>
  <c r="AR71" i="5" s="1"/>
  <c r="AS71" i="5" s="1"/>
  <c r="AH71" i="5"/>
  <c r="AI71" i="5"/>
  <c r="AJ71" i="5"/>
  <c r="AK71" i="5"/>
  <c r="AL71" i="5"/>
  <c r="AM71" i="5"/>
  <c r="AN71" i="5"/>
  <c r="AO71" i="5"/>
  <c r="AE72" i="5"/>
  <c r="AF72" i="5"/>
  <c r="AG72" i="5"/>
  <c r="AR72" i="5" s="1"/>
  <c r="AS72" i="5" s="1"/>
  <c r="AH72" i="5"/>
  <c r="AI72" i="5"/>
  <c r="AJ72" i="5"/>
  <c r="AK72" i="5"/>
  <c r="AL72" i="5"/>
  <c r="AM72" i="5"/>
  <c r="AN72" i="5"/>
  <c r="AO72" i="5"/>
  <c r="AE73" i="5"/>
  <c r="AF73" i="5"/>
  <c r="AG73" i="5"/>
  <c r="AR73" i="5" s="1"/>
  <c r="AS73" i="5" s="1"/>
  <c r="AH73" i="5"/>
  <c r="AI73" i="5"/>
  <c r="AJ73" i="5"/>
  <c r="AK73" i="5"/>
  <c r="AL73" i="5"/>
  <c r="AM73" i="5"/>
  <c r="AN73" i="5"/>
  <c r="AO73" i="5"/>
  <c r="AE74" i="5"/>
  <c r="AF74" i="5"/>
  <c r="AG74" i="5"/>
  <c r="AR74" i="5" s="1"/>
  <c r="AS74" i="5" s="1"/>
  <c r="AH74" i="5"/>
  <c r="AI74" i="5"/>
  <c r="AJ74" i="5"/>
  <c r="AK74" i="5"/>
  <c r="AL74" i="5"/>
  <c r="AM74" i="5"/>
  <c r="AN74" i="5"/>
  <c r="AO74" i="5"/>
  <c r="AE75" i="5"/>
  <c r="AF75" i="5"/>
  <c r="AG75" i="5"/>
  <c r="AR75" i="5" s="1"/>
  <c r="AS75" i="5" s="1"/>
  <c r="AH75" i="5"/>
  <c r="AI75" i="5"/>
  <c r="AJ75" i="5"/>
  <c r="AK75" i="5"/>
  <c r="AL75" i="5"/>
  <c r="AM75" i="5"/>
  <c r="AN75" i="5"/>
  <c r="AO75" i="5"/>
  <c r="AE76" i="5"/>
  <c r="AF76" i="5"/>
  <c r="AG76" i="5"/>
  <c r="AR76" i="5" s="1"/>
  <c r="AS76" i="5" s="1"/>
  <c r="AH76" i="5"/>
  <c r="AI76" i="5"/>
  <c r="AJ76" i="5"/>
  <c r="AK76" i="5"/>
  <c r="AL76" i="5"/>
  <c r="AM76" i="5"/>
  <c r="AN76" i="5"/>
  <c r="AO76" i="5"/>
  <c r="AE77" i="5"/>
  <c r="AF77" i="5"/>
  <c r="AG77" i="5"/>
  <c r="AR77" i="5" s="1"/>
  <c r="AS77" i="5" s="1"/>
  <c r="AH77" i="5"/>
  <c r="AI77" i="5"/>
  <c r="AJ77" i="5"/>
  <c r="AK77" i="5"/>
  <c r="AL77" i="5"/>
  <c r="AM77" i="5"/>
  <c r="AN77" i="5"/>
  <c r="AO77" i="5"/>
  <c r="AE78" i="5"/>
  <c r="AF78" i="5"/>
  <c r="AG78" i="5"/>
  <c r="AR78" i="5" s="1"/>
  <c r="AS78" i="5" s="1"/>
  <c r="AH78" i="5"/>
  <c r="AI78" i="5"/>
  <c r="AJ78" i="5"/>
  <c r="AK78" i="5"/>
  <c r="AL78" i="5"/>
  <c r="AM78" i="5"/>
  <c r="AN78" i="5"/>
  <c r="AO78" i="5"/>
  <c r="AE79" i="5"/>
  <c r="AF79" i="5"/>
  <c r="AG79" i="5"/>
  <c r="AR79" i="5" s="1"/>
  <c r="AS79" i="5" s="1"/>
  <c r="AH79" i="5"/>
  <c r="AI79" i="5"/>
  <c r="AJ79" i="5"/>
  <c r="AK79" i="5"/>
  <c r="AL79" i="5"/>
  <c r="AM79" i="5"/>
  <c r="AN79" i="5"/>
  <c r="AO79" i="5"/>
  <c r="AE80" i="5"/>
  <c r="AF80" i="5"/>
  <c r="AG80" i="5"/>
  <c r="AR80" i="5" s="1"/>
  <c r="AS80" i="5" s="1"/>
  <c r="AH80" i="5"/>
  <c r="AI80" i="5"/>
  <c r="AJ80" i="5"/>
  <c r="AK80" i="5"/>
  <c r="AL80" i="5"/>
  <c r="AM80" i="5"/>
  <c r="AN80" i="5"/>
  <c r="AO80" i="5"/>
  <c r="AE81" i="5"/>
  <c r="AF81" i="5"/>
  <c r="AG81" i="5"/>
  <c r="AR81" i="5" s="1"/>
  <c r="AS81" i="5" s="1"/>
  <c r="AH81" i="5"/>
  <c r="AI81" i="5"/>
  <c r="AJ81" i="5"/>
  <c r="AK81" i="5"/>
  <c r="AL81" i="5"/>
  <c r="AM81" i="5"/>
  <c r="AN81" i="5"/>
  <c r="AO81" i="5"/>
  <c r="AE82" i="5"/>
  <c r="AF82" i="5"/>
  <c r="AG82" i="5"/>
  <c r="AR82" i="5" s="1"/>
  <c r="AS82" i="5" s="1"/>
  <c r="AH82" i="5"/>
  <c r="AI82" i="5"/>
  <c r="AJ82" i="5"/>
  <c r="AK82" i="5"/>
  <c r="AL82" i="5"/>
  <c r="AM82" i="5"/>
  <c r="AN82" i="5"/>
  <c r="AO82" i="5"/>
  <c r="AE83" i="5"/>
  <c r="AF83" i="5"/>
  <c r="AG83" i="5"/>
  <c r="AR83" i="5" s="1"/>
  <c r="AS83" i="5" s="1"/>
  <c r="AH83" i="5"/>
  <c r="AI83" i="5"/>
  <c r="AJ83" i="5"/>
  <c r="AK83" i="5"/>
  <c r="AL83" i="5"/>
  <c r="AM83" i="5"/>
  <c r="AN83" i="5"/>
  <c r="AO83" i="5"/>
  <c r="AE84" i="5"/>
  <c r="AF84" i="5"/>
  <c r="AG84" i="5"/>
  <c r="AR84" i="5" s="1"/>
  <c r="AS84" i="5" s="1"/>
  <c r="AH84" i="5"/>
  <c r="AI84" i="5"/>
  <c r="AJ84" i="5"/>
  <c r="AK84" i="5"/>
  <c r="AL84" i="5"/>
  <c r="AM84" i="5"/>
  <c r="AN84" i="5"/>
  <c r="AO84" i="5"/>
  <c r="AE85" i="5"/>
  <c r="AF85" i="5"/>
  <c r="AG85" i="5"/>
  <c r="AR85" i="5" s="1"/>
  <c r="AS85" i="5" s="1"/>
  <c r="AH85" i="5"/>
  <c r="AI85" i="5"/>
  <c r="AJ85" i="5"/>
  <c r="AK85" i="5"/>
  <c r="AL85" i="5"/>
  <c r="AM85" i="5"/>
  <c r="AN85" i="5"/>
  <c r="AO85" i="5"/>
  <c r="AE86" i="5"/>
  <c r="AF86" i="5"/>
  <c r="AG86" i="5"/>
  <c r="AR86" i="5" s="1"/>
  <c r="AS86" i="5" s="1"/>
  <c r="AH86" i="5"/>
  <c r="AI86" i="5"/>
  <c r="AJ86" i="5"/>
  <c r="AK86" i="5"/>
  <c r="AL86" i="5"/>
  <c r="AM86" i="5"/>
  <c r="AN86" i="5"/>
  <c r="AO86" i="5"/>
  <c r="AE87" i="5"/>
  <c r="AF87" i="5"/>
  <c r="AG87" i="5"/>
  <c r="AR87" i="5" s="1"/>
  <c r="AS87" i="5" s="1"/>
  <c r="AH87" i="5"/>
  <c r="AI87" i="5"/>
  <c r="AJ87" i="5"/>
  <c r="AK87" i="5"/>
  <c r="AL87" i="5"/>
  <c r="AM87" i="5"/>
  <c r="AN87" i="5"/>
  <c r="AO87" i="5"/>
  <c r="AE88" i="5"/>
  <c r="AF88" i="5"/>
  <c r="AG88" i="5"/>
  <c r="AR88" i="5" s="1"/>
  <c r="AS88" i="5" s="1"/>
  <c r="AH88" i="5"/>
  <c r="AI88" i="5"/>
  <c r="AJ88" i="5"/>
  <c r="AK88" i="5"/>
  <c r="AL88" i="5"/>
  <c r="AM88" i="5"/>
  <c r="AN88" i="5"/>
  <c r="AO88" i="5"/>
  <c r="AE89" i="5"/>
  <c r="AF89" i="5"/>
  <c r="AG89" i="5"/>
  <c r="AR89" i="5" s="1"/>
  <c r="AS89" i="5" s="1"/>
  <c r="AH89" i="5"/>
  <c r="AI89" i="5"/>
  <c r="AJ89" i="5"/>
  <c r="AK89" i="5"/>
  <c r="AL89" i="5"/>
  <c r="AM89" i="5"/>
  <c r="AN89" i="5"/>
  <c r="AO89" i="5"/>
  <c r="AE90" i="5"/>
  <c r="AF90" i="5"/>
  <c r="AG90" i="5"/>
  <c r="AR90" i="5" s="1"/>
  <c r="AS90" i="5" s="1"/>
  <c r="AH90" i="5"/>
  <c r="AI90" i="5"/>
  <c r="AJ90" i="5"/>
  <c r="AK90" i="5"/>
  <c r="AL90" i="5"/>
  <c r="AM90" i="5"/>
  <c r="AN90" i="5"/>
  <c r="AO90" i="5"/>
  <c r="AE91" i="5"/>
  <c r="AF91" i="5"/>
  <c r="AG91" i="5"/>
  <c r="AR91" i="5" s="1"/>
  <c r="AS91" i="5" s="1"/>
  <c r="AH91" i="5"/>
  <c r="AI91" i="5"/>
  <c r="AJ91" i="5"/>
  <c r="AK91" i="5"/>
  <c r="AL91" i="5"/>
  <c r="AM91" i="5"/>
  <c r="AN91" i="5"/>
  <c r="AO91" i="5"/>
  <c r="AE92" i="5"/>
  <c r="AF92" i="5"/>
  <c r="AG92" i="5"/>
  <c r="AR92" i="5" s="1"/>
  <c r="AS92" i="5" s="1"/>
  <c r="AH92" i="5"/>
  <c r="AI92" i="5"/>
  <c r="AJ92" i="5"/>
  <c r="AK92" i="5"/>
  <c r="AL92" i="5"/>
  <c r="AM92" i="5"/>
  <c r="AN92" i="5"/>
  <c r="AO92" i="5"/>
  <c r="AE93" i="5"/>
  <c r="AF93" i="5"/>
  <c r="AG93" i="5"/>
  <c r="AR93" i="5" s="1"/>
  <c r="AS93" i="5" s="1"/>
  <c r="AH93" i="5"/>
  <c r="AI93" i="5"/>
  <c r="AJ93" i="5"/>
  <c r="AK93" i="5"/>
  <c r="AL93" i="5"/>
  <c r="AM93" i="5"/>
  <c r="AN93" i="5"/>
  <c r="AO93" i="5"/>
  <c r="AE94" i="5"/>
  <c r="AF94" i="5"/>
  <c r="AG94" i="5"/>
  <c r="AR94" i="5" s="1"/>
  <c r="AS94" i="5" s="1"/>
  <c r="AH94" i="5"/>
  <c r="AI94" i="5"/>
  <c r="AJ94" i="5"/>
  <c r="AK94" i="5"/>
  <c r="AL94" i="5"/>
  <c r="AM94" i="5"/>
  <c r="AN94" i="5"/>
  <c r="AO94" i="5"/>
  <c r="AE95" i="5"/>
  <c r="AF95" i="5"/>
  <c r="AG95" i="5"/>
  <c r="AR95" i="5" s="1"/>
  <c r="AS95" i="5" s="1"/>
  <c r="AH95" i="5"/>
  <c r="AI95" i="5"/>
  <c r="AJ95" i="5"/>
  <c r="AK95" i="5"/>
  <c r="AL95" i="5"/>
  <c r="AM95" i="5"/>
  <c r="AN95" i="5"/>
  <c r="AO95" i="5"/>
  <c r="AE96" i="5"/>
  <c r="AF96" i="5"/>
  <c r="AG96" i="5"/>
  <c r="AR96" i="5" s="1"/>
  <c r="AS96" i="5" s="1"/>
  <c r="AH96" i="5"/>
  <c r="AI96" i="5"/>
  <c r="AJ96" i="5"/>
  <c r="AK96" i="5"/>
  <c r="AL96" i="5"/>
  <c r="AM96" i="5"/>
  <c r="AN96" i="5"/>
  <c r="AO96" i="5"/>
  <c r="AE97" i="5"/>
  <c r="AF97" i="5"/>
  <c r="AG97" i="5"/>
  <c r="AR97" i="5" s="1"/>
  <c r="AS97" i="5" s="1"/>
  <c r="AH97" i="5"/>
  <c r="AI97" i="5"/>
  <c r="AJ97" i="5"/>
  <c r="AK97" i="5"/>
  <c r="AL97" i="5"/>
  <c r="AM97" i="5"/>
  <c r="AN97" i="5"/>
  <c r="AO97" i="5"/>
  <c r="AE98" i="5"/>
  <c r="AF98" i="5"/>
  <c r="AG98" i="5"/>
  <c r="AR98" i="5" s="1"/>
  <c r="AS98" i="5" s="1"/>
  <c r="AH98" i="5"/>
  <c r="AI98" i="5"/>
  <c r="AJ98" i="5"/>
  <c r="AK98" i="5"/>
  <c r="AL98" i="5"/>
  <c r="AM98" i="5"/>
  <c r="AN98" i="5"/>
  <c r="AO98" i="5"/>
  <c r="AE99" i="5"/>
  <c r="AF99" i="5"/>
  <c r="AG99" i="5"/>
  <c r="AR99" i="5" s="1"/>
  <c r="AS99" i="5" s="1"/>
  <c r="AH99" i="5"/>
  <c r="AI99" i="5"/>
  <c r="AJ99" i="5"/>
  <c r="AK99" i="5"/>
  <c r="AL99" i="5"/>
  <c r="AM99" i="5"/>
  <c r="AN99" i="5"/>
  <c r="AO99" i="5"/>
  <c r="AE100" i="5"/>
  <c r="AF100" i="5"/>
  <c r="AG100" i="5"/>
  <c r="AR100" i="5" s="1"/>
  <c r="AS100" i="5" s="1"/>
  <c r="AH100" i="5"/>
  <c r="AI100" i="5"/>
  <c r="AJ100" i="5"/>
  <c r="AK100" i="5"/>
  <c r="AL100" i="5"/>
  <c r="AM100" i="5"/>
  <c r="AN100" i="5"/>
  <c r="AO100" i="5"/>
  <c r="AE101" i="5"/>
  <c r="AF101" i="5"/>
  <c r="AG101" i="5"/>
  <c r="AR101" i="5" s="1"/>
  <c r="AS101" i="5" s="1"/>
  <c r="AH101" i="5"/>
  <c r="AI101" i="5"/>
  <c r="AJ101" i="5"/>
  <c r="AK101" i="5"/>
  <c r="AL101" i="5"/>
  <c r="AM101" i="5"/>
  <c r="AN101" i="5"/>
  <c r="AO101" i="5"/>
  <c r="AE102" i="5"/>
  <c r="AF102" i="5"/>
  <c r="AG102" i="5"/>
  <c r="AR102" i="5" s="1"/>
  <c r="AS102" i="5" s="1"/>
  <c r="AH102" i="5"/>
  <c r="AI102" i="5"/>
  <c r="AJ102" i="5"/>
  <c r="AK102" i="5"/>
  <c r="AL102" i="5"/>
  <c r="AM102" i="5"/>
  <c r="AN102" i="5"/>
  <c r="AO102" i="5"/>
  <c r="AE103" i="5"/>
  <c r="AF103" i="5"/>
  <c r="AG103" i="5"/>
  <c r="AR103" i="5" s="1"/>
  <c r="AS103" i="5" s="1"/>
  <c r="AH103" i="5"/>
  <c r="AI103" i="5"/>
  <c r="AJ103" i="5"/>
  <c r="AK103" i="5"/>
  <c r="AL103" i="5"/>
  <c r="AM103" i="5"/>
  <c r="AN103" i="5"/>
  <c r="AO103" i="5"/>
  <c r="AE104" i="5"/>
  <c r="AF104" i="5"/>
  <c r="AG104" i="5"/>
  <c r="AR104" i="5" s="1"/>
  <c r="AS104" i="5" s="1"/>
  <c r="AH104" i="5"/>
  <c r="AI104" i="5"/>
  <c r="AJ104" i="5"/>
  <c r="AK104" i="5"/>
  <c r="AL104" i="5"/>
  <c r="AM104" i="5"/>
  <c r="AN104" i="5"/>
  <c r="AO104" i="5"/>
  <c r="AE105" i="5"/>
  <c r="AF105" i="5"/>
  <c r="AG105" i="5"/>
  <c r="AR105" i="5" s="1"/>
  <c r="AS105" i="5" s="1"/>
  <c r="AH105" i="5"/>
  <c r="AI105" i="5"/>
  <c r="AJ105" i="5"/>
  <c r="AK105" i="5"/>
  <c r="AL105" i="5"/>
  <c r="AM105" i="5"/>
  <c r="AN105" i="5"/>
  <c r="AO105" i="5"/>
  <c r="AE106" i="5"/>
  <c r="AF106" i="5"/>
  <c r="AG106" i="5"/>
  <c r="AR106" i="5" s="1"/>
  <c r="AS106" i="5" s="1"/>
  <c r="AH106" i="5"/>
  <c r="AI106" i="5"/>
  <c r="AJ106" i="5"/>
  <c r="AK106" i="5"/>
  <c r="AL106" i="5"/>
  <c r="AM106" i="5"/>
  <c r="AN106" i="5"/>
  <c r="AO106" i="5"/>
  <c r="AE107" i="5"/>
  <c r="AF107" i="5"/>
  <c r="AG107" i="5"/>
  <c r="AR107" i="5" s="1"/>
  <c r="AS107" i="5" s="1"/>
  <c r="AH107" i="5"/>
  <c r="AI107" i="5"/>
  <c r="AJ107" i="5"/>
  <c r="AK107" i="5"/>
  <c r="AL107" i="5"/>
  <c r="AM107" i="5"/>
  <c r="AN107" i="5"/>
  <c r="AO107" i="5"/>
  <c r="AE108" i="5"/>
  <c r="AF108" i="5"/>
  <c r="AG108" i="5"/>
  <c r="AR108" i="5" s="1"/>
  <c r="AS108" i="5" s="1"/>
  <c r="AH108" i="5"/>
  <c r="AI108" i="5"/>
  <c r="AJ108" i="5"/>
  <c r="AK108" i="5"/>
  <c r="AL108" i="5"/>
  <c r="AM108" i="5"/>
  <c r="AN108" i="5"/>
  <c r="AO108" i="5"/>
  <c r="AE109" i="5"/>
  <c r="AF109" i="5"/>
  <c r="AG109" i="5"/>
  <c r="AR109" i="5" s="1"/>
  <c r="AS109" i="5" s="1"/>
  <c r="AH109" i="5"/>
  <c r="AI109" i="5"/>
  <c r="AJ109" i="5"/>
  <c r="AK109" i="5"/>
  <c r="AL109" i="5"/>
  <c r="AM109" i="5"/>
  <c r="AN109" i="5"/>
  <c r="AO109" i="5"/>
  <c r="AE110" i="5"/>
  <c r="AF110" i="5"/>
  <c r="AG110" i="5"/>
  <c r="AR110" i="5" s="1"/>
  <c r="AS110" i="5" s="1"/>
  <c r="AH110" i="5"/>
  <c r="AI110" i="5"/>
  <c r="AJ110" i="5"/>
  <c r="AK110" i="5"/>
  <c r="AL110" i="5"/>
  <c r="AM110" i="5"/>
  <c r="AN110" i="5"/>
  <c r="AO110" i="5"/>
  <c r="AE111" i="5"/>
  <c r="AF111" i="5"/>
  <c r="AG111" i="5"/>
  <c r="AR111" i="5" s="1"/>
  <c r="AS111" i="5" s="1"/>
  <c r="AH111" i="5"/>
  <c r="AI111" i="5"/>
  <c r="AJ111" i="5"/>
  <c r="AK111" i="5"/>
  <c r="AL111" i="5"/>
  <c r="AM111" i="5"/>
  <c r="AN111" i="5"/>
  <c r="AO111" i="5"/>
  <c r="AE112" i="5"/>
  <c r="AF112" i="5"/>
  <c r="AG112" i="5"/>
  <c r="AR112" i="5" s="1"/>
  <c r="AS112" i="5" s="1"/>
  <c r="AH112" i="5"/>
  <c r="AI112" i="5"/>
  <c r="AJ112" i="5"/>
  <c r="AK112" i="5"/>
  <c r="AL112" i="5"/>
  <c r="AM112" i="5"/>
  <c r="AN112" i="5"/>
  <c r="AO112" i="5"/>
  <c r="AE113" i="5"/>
  <c r="AF113" i="5"/>
  <c r="AG113" i="5"/>
  <c r="AR113" i="5" s="1"/>
  <c r="AS113" i="5" s="1"/>
  <c r="AH113" i="5"/>
  <c r="AI113" i="5"/>
  <c r="AJ113" i="5"/>
  <c r="AK113" i="5"/>
  <c r="AL113" i="5"/>
  <c r="AM113" i="5"/>
  <c r="AN113" i="5"/>
  <c r="AO113" i="5"/>
  <c r="AE114" i="5"/>
  <c r="AF114" i="5"/>
  <c r="AG114" i="5"/>
  <c r="AR114" i="5" s="1"/>
  <c r="AS114" i="5" s="1"/>
  <c r="AH114" i="5"/>
  <c r="AI114" i="5"/>
  <c r="AJ114" i="5"/>
  <c r="AK114" i="5"/>
  <c r="AL114" i="5"/>
  <c r="AM114" i="5"/>
  <c r="AN114" i="5"/>
  <c r="AO114" i="5"/>
  <c r="AE115" i="5"/>
  <c r="AF115" i="5"/>
  <c r="AG115" i="5"/>
  <c r="AR115" i="5" s="1"/>
  <c r="AS115" i="5" s="1"/>
  <c r="AH115" i="5"/>
  <c r="AI115" i="5"/>
  <c r="AJ115" i="5"/>
  <c r="AK115" i="5"/>
  <c r="AL115" i="5"/>
  <c r="AM115" i="5"/>
  <c r="AN115" i="5"/>
  <c r="AO115" i="5"/>
  <c r="AE116" i="5"/>
  <c r="AF116" i="5"/>
  <c r="AG116" i="5"/>
  <c r="AR116" i="5" s="1"/>
  <c r="AS116" i="5" s="1"/>
  <c r="AH116" i="5"/>
  <c r="AI116" i="5"/>
  <c r="AJ116" i="5"/>
  <c r="AK116" i="5"/>
  <c r="AL116" i="5"/>
  <c r="AM116" i="5"/>
  <c r="AN116" i="5"/>
  <c r="AO116" i="5"/>
  <c r="AE117" i="5"/>
  <c r="AF117" i="5"/>
  <c r="AG117" i="5"/>
  <c r="AR117" i="5" s="1"/>
  <c r="AS117" i="5" s="1"/>
  <c r="AH117" i="5"/>
  <c r="AI117" i="5"/>
  <c r="AJ117" i="5"/>
  <c r="AK117" i="5"/>
  <c r="AL117" i="5"/>
  <c r="AM117" i="5"/>
  <c r="AN117" i="5"/>
  <c r="AO117" i="5"/>
  <c r="AE118" i="5"/>
  <c r="AF118" i="5"/>
  <c r="AG118" i="5"/>
  <c r="AR118" i="5" s="1"/>
  <c r="AS118" i="5" s="1"/>
  <c r="AH118" i="5"/>
  <c r="AI118" i="5"/>
  <c r="AJ118" i="5"/>
  <c r="AK118" i="5"/>
  <c r="AL118" i="5"/>
  <c r="AM118" i="5"/>
  <c r="AN118" i="5"/>
  <c r="AO118" i="5"/>
  <c r="AE119" i="5"/>
  <c r="AF119" i="5"/>
  <c r="AG119" i="5"/>
  <c r="AR119" i="5" s="1"/>
  <c r="AS119" i="5" s="1"/>
  <c r="AH119" i="5"/>
  <c r="AI119" i="5"/>
  <c r="AJ119" i="5"/>
  <c r="AK119" i="5"/>
  <c r="AL119" i="5"/>
  <c r="AM119" i="5"/>
  <c r="AN119" i="5"/>
  <c r="AO119" i="5"/>
  <c r="AE120" i="5"/>
  <c r="AF120" i="5"/>
  <c r="AG120" i="5"/>
  <c r="AR120" i="5" s="1"/>
  <c r="AS120" i="5" s="1"/>
  <c r="AH120" i="5"/>
  <c r="AI120" i="5"/>
  <c r="AJ120" i="5"/>
  <c r="AK120" i="5"/>
  <c r="AL120" i="5"/>
  <c r="AM120" i="5"/>
  <c r="AN120" i="5"/>
  <c r="AO120" i="5"/>
  <c r="AE121" i="5"/>
  <c r="AF121" i="5"/>
  <c r="AG121" i="5"/>
  <c r="AR121" i="5" s="1"/>
  <c r="AS121" i="5" s="1"/>
  <c r="AH121" i="5"/>
  <c r="AI121" i="5"/>
  <c r="AJ121" i="5"/>
  <c r="AK121" i="5"/>
  <c r="AL121" i="5"/>
  <c r="AM121" i="5"/>
  <c r="AN121" i="5"/>
  <c r="AO121" i="5"/>
  <c r="AE122" i="5"/>
  <c r="AF122" i="5"/>
  <c r="AG122" i="5"/>
  <c r="AR122" i="5" s="1"/>
  <c r="AS122" i="5" s="1"/>
  <c r="AH122" i="5"/>
  <c r="AI122" i="5"/>
  <c r="AJ122" i="5"/>
  <c r="AK122" i="5"/>
  <c r="AL122" i="5"/>
  <c r="AM122" i="5"/>
  <c r="AN122" i="5"/>
  <c r="AO122" i="5"/>
  <c r="AE123" i="5"/>
  <c r="AF123" i="5"/>
  <c r="AG123" i="5"/>
  <c r="AR123" i="5" s="1"/>
  <c r="AS123" i="5" s="1"/>
  <c r="AH123" i="5"/>
  <c r="AI123" i="5"/>
  <c r="AJ123" i="5"/>
  <c r="AK123" i="5"/>
  <c r="AL123" i="5"/>
  <c r="AM123" i="5"/>
  <c r="AN123" i="5"/>
  <c r="AO123" i="5"/>
  <c r="AE124" i="5"/>
  <c r="AF124" i="5"/>
  <c r="AG124" i="5"/>
  <c r="AR124" i="5" s="1"/>
  <c r="AS124" i="5" s="1"/>
  <c r="AH124" i="5"/>
  <c r="AI124" i="5"/>
  <c r="AJ124" i="5"/>
  <c r="AK124" i="5"/>
  <c r="AL124" i="5"/>
  <c r="AM124" i="5"/>
  <c r="AN124" i="5"/>
  <c r="AO124" i="5"/>
  <c r="AE125" i="5"/>
  <c r="AF125" i="5"/>
  <c r="AG125" i="5"/>
  <c r="AR125" i="5" s="1"/>
  <c r="AS125" i="5" s="1"/>
  <c r="AH125" i="5"/>
  <c r="AI125" i="5"/>
  <c r="AJ125" i="5"/>
  <c r="AK125" i="5"/>
  <c r="AL125" i="5"/>
  <c r="AM125" i="5"/>
  <c r="AN125" i="5"/>
  <c r="AO125" i="5"/>
  <c r="AE126" i="5"/>
  <c r="AF126" i="5"/>
  <c r="AG126" i="5"/>
  <c r="AR126" i="5" s="1"/>
  <c r="AS126" i="5" s="1"/>
  <c r="AH126" i="5"/>
  <c r="AI126" i="5"/>
  <c r="AJ126" i="5"/>
  <c r="AK126" i="5"/>
  <c r="AL126" i="5"/>
  <c r="AM126" i="5"/>
  <c r="AN126" i="5"/>
  <c r="AO126" i="5"/>
  <c r="AE127" i="5"/>
  <c r="AF127" i="5"/>
  <c r="AG127" i="5"/>
  <c r="AR127" i="5" s="1"/>
  <c r="AS127" i="5" s="1"/>
  <c r="AH127" i="5"/>
  <c r="AI127" i="5"/>
  <c r="AJ127" i="5"/>
  <c r="AK127" i="5"/>
  <c r="AL127" i="5"/>
  <c r="AM127" i="5"/>
  <c r="AN127" i="5"/>
  <c r="AO127" i="5"/>
  <c r="AE128" i="5"/>
  <c r="AF128" i="5"/>
  <c r="AG128" i="5"/>
  <c r="AR128" i="5" s="1"/>
  <c r="AS128" i="5" s="1"/>
  <c r="AH128" i="5"/>
  <c r="AI128" i="5"/>
  <c r="AJ128" i="5"/>
  <c r="AK128" i="5"/>
  <c r="AL128" i="5"/>
  <c r="AM128" i="5"/>
  <c r="AN128" i="5"/>
  <c r="AO128" i="5"/>
  <c r="AE129" i="5"/>
  <c r="AF129" i="5"/>
  <c r="AG129" i="5"/>
  <c r="AR129" i="5" s="1"/>
  <c r="AS129" i="5" s="1"/>
  <c r="AH129" i="5"/>
  <c r="AI129" i="5"/>
  <c r="AJ129" i="5"/>
  <c r="AK129" i="5"/>
  <c r="AL129" i="5"/>
  <c r="AM129" i="5"/>
  <c r="AN129" i="5"/>
  <c r="AO129" i="5"/>
  <c r="AE130" i="5"/>
  <c r="AF130" i="5"/>
  <c r="AG130" i="5"/>
  <c r="AR130" i="5" s="1"/>
  <c r="AS130" i="5" s="1"/>
  <c r="AH130" i="5"/>
  <c r="AI130" i="5"/>
  <c r="AJ130" i="5"/>
  <c r="AK130" i="5"/>
  <c r="AL130" i="5"/>
  <c r="AM130" i="5"/>
  <c r="AN130" i="5"/>
  <c r="AO130" i="5"/>
  <c r="AE131" i="5"/>
  <c r="AF131" i="5"/>
  <c r="AG131" i="5"/>
  <c r="AR131" i="5" s="1"/>
  <c r="AS131" i="5" s="1"/>
  <c r="AH131" i="5"/>
  <c r="AI131" i="5"/>
  <c r="AJ131" i="5"/>
  <c r="AK131" i="5"/>
  <c r="AL131" i="5"/>
  <c r="AM131" i="5"/>
  <c r="AN131" i="5"/>
  <c r="AO131" i="5"/>
  <c r="AE132" i="5"/>
  <c r="AF132" i="5"/>
  <c r="AG132" i="5"/>
  <c r="AR132" i="5" s="1"/>
  <c r="AS132" i="5" s="1"/>
  <c r="AH132" i="5"/>
  <c r="AI132" i="5"/>
  <c r="AJ132" i="5"/>
  <c r="AK132" i="5"/>
  <c r="AL132" i="5"/>
  <c r="AM132" i="5"/>
  <c r="AN132" i="5"/>
  <c r="AO132" i="5"/>
  <c r="AE133" i="5"/>
  <c r="AF133" i="5"/>
  <c r="AG133" i="5"/>
  <c r="AR133" i="5" s="1"/>
  <c r="AS133" i="5" s="1"/>
  <c r="AH133" i="5"/>
  <c r="AI133" i="5"/>
  <c r="AJ133" i="5"/>
  <c r="AK133" i="5"/>
  <c r="AL133" i="5"/>
  <c r="AM133" i="5"/>
  <c r="AN133" i="5"/>
  <c r="AO133" i="5"/>
  <c r="AE134" i="5"/>
  <c r="AF134" i="5"/>
  <c r="AG134" i="5"/>
  <c r="AR134" i="5" s="1"/>
  <c r="AS134" i="5" s="1"/>
  <c r="AH134" i="5"/>
  <c r="AI134" i="5"/>
  <c r="AJ134" i="5"/>
  <c r="AK134" i="5"/>
  <c r="AL134" i="5"/>
  <c r="AM134" i="5"/>
  <c r="AN134" i="5"/>
  <c r="AO134" i="5"/>
  <c r="AE135" i="5"/>
  <c r="AF135" i="5"/>
  <c r="AG135" i="5"/>
  <c r="AR135" i="5" s="1"/>
  <c r="AS135" i="5" s="1"/>
  <c r="AH135" i="5"/>
  <c r="AI135" i="5"/>
  <c r="AJ135" i="5"/>
  <c r="AK135" i="5"/>
  <c r="AL135" i="5"/>
  <c r="AM135" i="5"/>
  <c r="AN135" i="5"/>
  <c r="AO135" i="5"/>
  <c r="AE136" i="5"/>
  <c r="AF136" i="5"/>
  <c r="AG136" i="5"/>
  <c r="AR136" i="5" s="1"/>
  <c r="AS136" i="5" s="1"/>
  <c r="AH136" i="5"/>
  <c r="AI136" i="5"/>
  <c r="AJ136" i="5"/>
  <c r="AK136" i="5"/>
  <c r="AL136" i="5"/>
  <c r="AM136" i="5"/>
  <c r="AN136" i="5"/>
  <c r="AO136" i="5"/>
  <c r="AE137" i="5"/>
  <c r="AF137" i="5"/>
  <c r="AG137" i="5"/>
  <c r="AR137" i="5" s="1"/>
  <c r="AS137" i="5" s="1"/>
  <c r="AH137" i="5"/>
  <c r="AI137" i="5"/>
  <c r="AJ137" i="5"/>
  <c r="AK137" i="5"/>
  <c r="AL137" i="5"/>
  <c r="AM137" i="5"/>
  <c r="AN137" i="5"/>
  <c r="AO137" i="5"/>
  <c r="AE138" i="5"/>
  <c r="AF138" i="5"/>
  <c r="AG138" i="5"/>
  <c r="AR138" i="5" s="1"/>
  <c r="AS138" i="5" s="1"/>
  <c r="AH138" i="5"/>
  <c r="AI138" i="5"/>
  <c r="AJ138" i="5"/>
  <c r="AK138" i="5"/>
  <c r="AL138" i="5"/>
  <c r="AM138" i="5"/>
  <c r="AN138" i="5"/>
  <c r="AO138" i="5"/>
  <c r="AE139" i="5"/>
  <c r="AF139" i="5"/>
  <c r="AG139" i="5"/>
  <c r="AR139" i="5" s="1"/>
  <c r="AS139" i="5" s="1"/>
  <c r="AH139" i="5"/>
  <c r="AI139" i="5"/>
  <c r="AJ139" i="5"/>
  <c r="AK139" i="5"/>
  <c r="AL139" i="5"/>
  <c r="AM139" i="5"/>
  <c r="AN139" i="5"/>
  <c r="AO139" i="5"/>
  <c r="AE140" i="5"/>
  <c r="AF140" i="5"/>
  <c r="AG140" i="5"/>
  <c r="AR140" i="5" s="1"/>
  <c r="AS140" i="5" s="1"/>
  <c r="AH140" i="5"/>
  <c r="AI140" i="5"/>
  <c r="AJ140" i="5"/>
  <c r="AK140" i="5"/>
  <c r="AL140" i="5"/>
  <c r="AM140" i="5"/>
  <c r="AN140" i="5"/>
  <c r="AO140" i="5"/>
  <c r="AE141" i="5"/>
  <c r="AF141" i="5"/>
  <c r="AG141" i="5"/>
  <c r="AR141" i="5" s="1"/>
  <c r="AS141" i="5" s="1"/>
  <c r="AH141" i="5"/>
  <c r="AI141" i="5"/>
  <c r="AJ141" i="5"/>
  <c r="AK141" i="5"/>
  <c r="AL141" i="5"/>
  <c r="AM141" i="5"/>
  <c r="AN141" i="5"/>
  <c r="AO141" i="5"/>
  <c r="AE142" i="5"/>
  <c r="AF142" i="5"/>
  <c r="AG142" i="5"/>
  <c r="AR142" i="5" s="1"/>
  <c r="AS142" i="5" s="1"/>
  <c r="AH142" i="5"/>
  <c r="AI142" i="5"/>
  <c r="AJ142" i="5"/>
  <c r="AK142" i="5"/>
  <c r="AL142" i="5"/>
  <c r="AM142" i="5"/>
  <c r="AN142" i="5"/>
  <c r="AO142" i="5"/>
  <c r="AE143" i="5"/>
  <c r="AF143" i="5"/>
  <c r="AG143" i="5"/>
  <c r="AR143" i="5" s="1"/>
  <c r="AS143" i="5" s="1"/>
  <c r="AH143" i="5"/>
  <c r="AI143" i="5"/>
  <c r="AJ143" i="5"/>
  <c r="AK143" i="5"/>
  <c r="AL143" i="5"/>
  <c r="AM143" i="5"/>
  <c r="AN143" i="5"/>
  <c r="AO143" i="5"/>
  <c r="AE144" i="5"/>
  <c r="AF144" i="5"/>
  <c r="AG144" i="5"/>
  <c r="AR144" i="5" s="1"/>
  <c r="AS144" i="5" s="1"/>
  <c r="AH144" i="5"/>
  <c r="AI144" i="5"/>
  <c r="AJ144" i="5"/>
  <c r="AK144" i="5"/>
  <c r="AL144" i="5"/>
  <c r="AM144" i="5"/>
  <c r="AN144" i="5"/>
  <c r="AO144" i="5"/>
  <c r="AE145" i="5"/>
  <c r="AF145" i="5"/>
  <c r="AG145" i="5"/>
  <c r="AR145" i="5" s="1"/>
  <c r="AS145" i="5" s="1"/>
  <c r="AH145" i="5"/>
  <c r="AI145" i="5"/>
  <c r="AJ145" i="5"/>
  <c r="AK145" i="5"/>
  <c r="AL145" i="5"/>
  <c r="AM145" i="5"/>
  <c r="AN145" i="5"/>
  <c r="AO145" i="5"/>
  <c r="AE146" i="5"/>
  <c r="AF146" i="5"/>
  <c r="AG146" i="5"/>
  <c r="AR146" i="5" s="1"/>
  <c r="AS146" i="5" s="1"/>
  <c r="AH146" i="5"/>
  <c r="AI146" i="5"/>
  <c r="AJ146" i="5"/>
  <c r="AK146" i="5"/>
  <c r="AL146" i="5"/>
  <c r="AM146" i="5"/>
  <c r="AN146" i="5"/>
  <c r="AO146" i="5"/>
  <c r="AE147" i="5"/>
  <c r="AF147" i="5"/>
  <c r="AG147" i="5"/>
  <c r="AR147" i="5" s="1"/>
  <c r="AS147" i="5" s="1"/>
  <c r="AH147" i="5"/>
  <c r="AI147" i="5"/>
  <c r="AJ147" i="5"/>
  <c r="AK147" i="5"/>
  <c r="AL147" i="5"/>
  <c r="AM147" i="5"/>
  <c r="AN147" i="5"/>
  <c r="AO147" i="5"/>
  <c r="AE148" i="5"/>
  <c r="AF148" i="5"/>
  <c r="AG148" i="5"/>
  <c r="AR148" i="5" s="1"/>
  <c r="AS148" i="5" s="1"/>
  <c r="AH148" i="5"/>
  <c r="AI148" i="5"/>
  <c r="AJ148" i="5"/>
  <c r="AK148" i="5"/>
  <c r="AL148" i="5"/>
  <c r="AM148" i="5"/>
  <c r="AN148" i="5"/>
  <c r="AO148" i="5"/>
  <c r="AE149" i="5"/>
  <c r="AF149" i="5"/>
  <c r="AG149" i="5"/>
  <c r="AR149" i="5" s="1"/>
  <c r="AS149" i="5" s="1"/>
  <c r="AH149" i="5"/>
  <c r="AI149" i="5"/>
  <c r="AJ149" i="5"/>
  <c r="AK149" i="5"/>
  <c r="AL149" i="5"/>
  <c r="AM149" i="5"/>
  <c r="AN149" i="5"/>
  <c r="AO149" i="5"/>
  <c r="AE150" i="5"/>
  <c r="AF150" i="5"/>
  <c r="AG150" i="5"/>
  <c r="AR150" i="5" s="1"/>
  <c r="AS150" i="5" s="1"/>
  <c r="AH150" i="5"/>
  <c r="AI150" i="5"/>
  <c r="AJ150" i="5"/>
  <c r="AK150" i="5"/>
  <c r="AL150" i="5"/>
  <c r="AM150" i="5"/>
  <c r="AN150" i="5"/>
  <c r="AO150" i="5"/>
  <c r="AE151" i="5"/>
  <c r="AF151" i="5"/>
  <c r="AG151" i="5"/>
  <c r="AR151" i="5" s="1"/>
  <c r="AS151" i="5" s="1"/>
  <c r="AH151" i="5"/>
  <c r="AI151" i="5"/>
  <c r="AJ151" i="5"/>
  <c r="AK151" i="5"/>
  <c r="AL151" i="5"/>
  <c r="AM151" i="5"/>
  <c r="AN151" i="5"/>
  <c r="AO151" i="5"/>
  <c r="AE152" i="5"/>
  <c r="AF152" i="5"/>
  <c r="AG152" i="5"/>
  <c r="AR152" i="5" s="1"/>
  <c r="AS152" i="5" s="1"/>
  <c r="AH152" i="5"/>
  <c r="AI152" i="5"/>
  <c r="AJ152" i="5"/>
  <c r="AK152" i="5"/>
  <c r="AL152" i="5"/>
  <c r="AM152" i="5"/>
  <c r="AN152" i="5"/>
  <c r="AO152" i="5"/>
  <c r="AE153" i="5"/>
  <c r="AF153" i="5"/>
  <c r="AG153" i="5"/>
  <c r="AR153" i="5" s="1"/>
  <c r="AS153" i="5" s="1"/>
  <c r="AH153" i="5"/>
  <c r="AI153" i="5"/>
  <c r="AJ153" i="5"/>
  <c r="AK153" i="5"/>
  <c r="AL153" i="5"/>
  <c r="AM153" i="5"/>
  <c r="AN153" i="5"/>
  <c r="AO153" i="5"/>
  <c r="AE154" i="5"/>
  <c r="AF154" i="5"/>
  <c r="AG154" i="5"/>
  <c r="AR154" i="5" s="1"/>
  <c r="AS154" i="5" s="1"/>
  <c r="AH154" i="5"/>
  <c r="AI154" i="5"/>
  <c r="AJ154" i="5"/>
  <c r="AK154" i="5"/>
  <c r="AL154" i="5"/>
  <c r="AM154" i="5"/>
  <c r="AN154" i="5"/>
  <c r="AO154" i="5"/>
  <c r="AE155" i="5"/>
  <c r="AF155" i="5"/>
  <c r="AG155" i="5"/>
  <c r="AR155" i="5" s="1"/>
  <c r="AS155" i="5" s="1"/>
  <c r="AH155" i="5"/>
  <c r="AI155" i="5"/>
  <c r="AJ155" i="5"/>
  <c r="AK155" i="5"/>
  <c r="AL155" i="5"/>
  <c r="AM155" i="5"/>
  <c r="AN155" i="5"/>
  <c r="AO155" i="5"/>
  <c r="AE156" i="5"/>
  <c r="AF156" i="5"/>
  <c r="AG156" i="5"/>
  <c r="AR156" i="5" s="1"/>
  <c r="AS156" i="5" s="1"/>
  <c r="AH156" i="5"/>
  <c r="AI156" i="5"/>
  <c r="AJ156" i="5"/>
  <c r="AK156" i="5"/>
  <c r="AL156" i="5"/>
  <c r="AM156" i="5"/>
  <c r="AN156" i="5"/>
  <c r="AO156" i="5"/>
  <c r="AE157" i="5"/>
  <c r="AF157" i="5"/>
  <c r="AG157" i="5"/>
  <c r="AR157" i="5" s="1"/>
  <c r="AS157" i="5" s="1"/>
  <c r="AH157" i="5"/>
  <c r="AI157" i="5"/>
  <c r="AJ157" i="5"/>
  <c r="AK157" i="5"/>
  <c r="AL157" i="5"/>
  <c r="AM157" i="5"/>
  <c r="AN157" i="5"/>
  <c r="AO157" i="5"/>
  <c r="AE158" i="5"/>
  <c r="AF158" i="5"/>
  <c r="AG158" i="5"/>
  <c r="AR158" i="5" s="1"/>
  <c r="AS158" i="5" s="1"/>
  <c r="AH158" i="5"/>
  <c r="AI158" i="5"/>
  <c r="AJ158" i="5"/>
  <c r="AK158" i="5"/>
  <c r="AL158" i="5"/>
  <c r="AM158" i="5"/>
  <c r="AN158" i="5"/>
  <c r="AO158" i="5"/>
  <c r="AE159" i="5"/>
  <c r="AF159" i="5"/>
  <c r="AG159" i="5"/>
  <c r="AR159" i="5" s="1"/>
  <c r="AS159" i="5" s="1"/>
  <c r="AH159" i="5"/>
  <c r="AI159" i="5"/>
  <c r="AJ159" i="5"/>
  <c r="AK159" i="5"/>
  <c r="AL159" i="5"/>
  <c r="AM159" i="5"/>
  <c r="AN159" i="5"/>
  <c r="AO159" i="5"/>
  <c r="AE160" i="5"/>
  <c r="AF160" i="5"/>
  <c r="AG160" i="5"/>
  <c r="AR160" i="5" s="1"/>
  <c r="AS160" i="5" s="1"/>
  <c r="AH160" i="5"/>
  <c r="AI160" i="5"/>
  <c r="AJ160" i="5"/>
  <c r="AK160" i="5"/>
  <c r="AL160" i="5"/>
  <c r="AM160" i="5"/>
  <c r="AN160" i="5"/>
  <c r="AO160" i="5"/>
  <c r="AE161" i="5"/>
  <c r="AF161" i="5"/>
  <c r="AG161" i="5"/>
  <c r="AR161" i="5" s="1"/>
  <c r="AS161" i="5" s="1"/>
  <c r="AH161" i="5"/>
  <c r="AI161" i="5"/>
  <c r="AJ161" i="5"/>
  <c r="AK161" i="5"/>
  <c r="AL161" i="5"/>
  <c r="AM161" i="5"/>
  <c r="AN161" i="5"/>
  <c r="AO161" i="5"/>
  <c r="AE162" i="5"/>
  <c r="AF162" i="5"/>
  <c r="AG162" i="5"/>
  <c r="AR162" i="5" s="1"/>
  <c r="AS162" i="5" s="1"/>
  <c r="AH162" i="5"/>
  <c r="AI162" i="5"/>
  <c r="AJ162" i="5"/>
  <c r="AK162" i="5"/>
  <c r="AL162" i="5"/>
  <c r="AM162" i="5"/>
  <c r="AN162" i="5"/>
  <c r="AO162" i="5"/>
  <c r="AE163" i="5"/>
  <c r="AF163" i="5"/>
  <c r="AG163" i="5"/>
  <c r="AR163" i="5" s="1"/>
  <c r="AS163" i="5" s="1"/>
  <c r="AH163" i="5"/>
  <c r="AI163" i="5"/>
  <c r="AJ163" i="5"/>
  <c r="AK163" i="5"/>
  <c r="AL163" i="5"/>
  <c r="AM163" i="5"/>
  <c r="AN163" i="5"/>
  <c r="AO163" i="5"/>
  <c r="AE164" i="5"/>
  <c r="AF164" i="5"/>
  <c r="AG164" i="5"/>
  <c r="AR164" i="5" s="1"/>
  <c r="AS164" i="5" s="1"/>
  <c r="AH164" i="5"/>
  <c r="AI164" i="5"/>
  <c r="AJ164" i="5"/>
  <c r="AK164" i="5"/>
  <c r="AL164" i="5"/>
  <c r="AM164" i="5"/>
  <c r="AN164" i="5"/>
  <c r="AO164" i="5"/>
  <c r="AE165" i="5"/>
  <c r="AF165" i="5"/>
  <c r="AG165" i="5"/>
  <c r="AR165" i="5" s="1"/>
  <c r="AS165" i="5" s="1"/>
  <c r="AH165" i="5"/>
  <c r="AI165" i="5"/>
  <c r="AJ165" i="5"/>
  <c r="AK165" i="5"/>
  <c r="AL165" i="5"/>
  <c r="AM165" i="5"/>
  <c r="AN165" i="5"/>
  <c r="AO165" i="5"/>
  <c r="AE166" i="5"/>
  <c r="AF166" i="5"/>
  <c r="AG166" i="5"/>
  <c r="AR166" i="5" s="1"/>
  <c r="AS166" i="5" s="1"/>
  <c r="AH166" i="5"/>
  <c r="AI166" i="5"/>
  <c r="AJ166" i="5"/>
  <c r="AK166" i="5"/>
  <c r="AL166" i="5"/>
  <c r="AM166" i="5"/>
  <c r="AN166" i="5"/>
  <c r="AO166" i="5"/>
  <c r="AE167" i="5"/>
  <c r="AF167" i="5"/>
  <c r="AG167" i="5"/>
  <c r="AR167" i="5" s="1"/>
  <c r="AS167" i="5" s="1"/>
  <c r="AH167" i="5"/>
  <c r="AI167" i="5"/>
  <c r="AJ167" i="5"/>
  <c r="AK167" i="5"/>
  <c r="AL167" i="5"/>
  <c r="AM167" i="5"/>
  <c r="AN167" i="5"/>
  <c r="AO167" i="5"/>
  <c r="AE168" i="5"/>
  <c r="AF168" i="5"/>
  <c r="AG168" i="5"/>
  <c r="AR168" i="5" s="1"/>
  <c r="AS168" i="5" s="1"/>
  <c r="AH168" i="5"/>
  <c r="AI168" i="5"/>
  <c r="AJ168" i="5"/>
  <c r="AK168" i="5"/>
  <c r="AL168" i="5"/>
  <c r="AM168" i="5"/>
  <c r="AN168" i="5"/>
  <c r="AO168" i="5"/>
  <c r="AE169" i="5"/>
  <c r="AF169" i="5"/>
  <c r="AG169" i="5"/>
  <c r="AR169" i="5" s="1"/>
  <c r="AS169" i="5" s="1"/>
  <c r="AH169" i="5"/>
  <c r="AI169" i="5"/>
  <c r="AJ169" i="5"/>
  <c r="AK169" i="5"/>
  <c r="AL169" i="5"/>
  <c r="AM169" i="5"/>
  <c r="AN169" i="5"/>
  <c r="AO169" i="5"/>
  <c r="AE170" i="5"/>
  <c r="AF170" i="5"/>
  <c r="AG170" i="5"/>
  <c r="AR170" i="5" s="1"/>
  <c r="AS170" i="5" s="1"/>
  <c r="AH170" i="5"/>
  <c r="AI170" i="5"/>
  <c r="AJ170" i="5"/>
  <c r="AK170" i="5"/>
  <c r="AL170" i="5"/>
  <c r="AM170" i="5"/>
  <c r="AN170" i="5"/>
  <c r="AO170" i="5"/>
  <c r="AE171" i="5"/>
  <c r="AF171" i="5"/>
  <c r="AG171" i="5"/>
  <c r="AR171" i="5" s="1"/>
  <c r="AS171" i="5" s="1"/>
  <c r="AH171" i="5"/>
  <c r="AI171" i="5"/>
  <c r="AJ171" i="5"/>
  <c r="AK171" i="5"/>
  <c r="AL171" i="5"/>
  <c r="AM171" i="5"/>
  <c r="AN171" i="5"/>
  <c r="AO171" i="5"/>
  <c r="AE172" i="5"/>
  <c r="AF172" i="5"/>
  <c r="AG172" i="5"/>
  <c r="AR172" i="5" s="1"/>
  <c r="AS172" i="5" s="1"/>
  <c r="AH172" i="5"/>
  <c r="AI172" i="5"/>
  <c r="AJ172" i="5"/>
  <c r="AK172" i="5"/>
  <c r="AL172" i="5"/>
  <c r="AM172" i="5"/>
  <c r="AN172" i="5"/>
  <c r="AO172" i="5"/>
  <c r="AE173" i="5"/>
  <c r="AF173" i="5"/>
  <c r="AG173" i="5"/>
  <c r="AR173" i="5" s="1"/>
  <c r="AS173" i="5" s="1"/>
  <c r="AH173" i="5"/>
  <c r="AI173" i="5"/>
  <c r="AJ173" i="5"/>
  <c r="AK173" i="5"/>
  <c r="AL173" i="5"/>
  <c r="AM173" i="5"/>
  <c r="AN173" i="5"/>
  <c r="AO173" i="5"/>
  <c r="AE174" i="5"/>
  <c r="AF174" i="5"/>
  <c r="AG174" i="5"/>
  <c r="AR174" i="5" s="1"/>
  <c r="AS174" i="5" s="1"/>
  <c r="AH174" i="5"/>
  <c r="AI174" i="5"/>
  <c r="AJ174" i="5"/>
  <c r="AK174" i="5"/>
  <c r="AL174" i="5"/>
  <c r="AM174" i="5"/>
  <c r="AN174" i="5"/>
  <c r="AO174" i="5"/>
  <c r="AE175" i="5"/>
  <c r="AF175" i="5"/>
  <c r="AG175" i="5"/>
  <c r="AR175" i="5" s="1"/>
  <c r="AS175" i="5" s="1"/>
  <c r="AH175" i="5"/>
  <c r="AI175" i="5"/>
  <c r="AJ175" i="5"/>
  <c r="AK175" i="5"/>
  <c r="AL175" i="5"/>
  <c r="AM175" i="5"/>
  <c r="AN175" i="5"/>
  <c r="AO175" i="5"/>
  <c r="AE176" i="5"/>
  <c r="AF176" i="5"/>
  <c r="AG176" i="5"/>
  <c r="AR176" i="5" s="1"/>
  <c r="AS176" i="5" s="1"/>
  <c r="AH176" i="5"/>
  <c r="AI176" i="5"/>
  <c r="AJ176" i="5"/>
  <c r="AK176" i="5"/>
  <c r="AL176" i="5"/>
  <c r="AM176" i="5"/>
  <c r="AN176" i="5"/>
  <c r="AO176" i="5"/>
  <c r="AE177" i="5"/>
  <c r="AF177" i="5"/>
  <c r="AG177" i="5"/>
  <c r="AR177" i="5" s="1"/>
  <c r="AS177" i="5" s="1"/>
  <c r="AH177" i="5"/>
  <c r="AI177" i="5"/>
  <c r="AJ177" i="5"/>
  <c r="AK177" i="5"/>
  <c r="AL177" i="5"/>
  <c r="AM177" i="5"/>
  <c r="AN177" i="5"/>
  <c r="AO177" i="5"/>
  <c r="AE178" i="5"/>
  <c r="AF178" i="5"/>
  <c r="AG178" i="5"/>
  <c r="AR178" i="5" s="1"/>
  <c r="AS178" i="5" s="1"/>
  <c r="AH178" i="5"/>
  <c r="AI178" i="5"/>
  <c r="AJ178" i="5"/>
  <c r="AK178" i="5"/>
  <c r="AL178" i="5"/>
  <c r="AM178" i="5"/>
  <c r="AN178" i="5"/>
  <c r="AO178" i="5"/>
  <c r="AE179" i="5"/>
  <c r="AF179" i="5"/>
  <c r="AG179" i="5"/>
  <c r="AR179" i="5" s="1"/>
  <c r="AS179" i="5" s="1"/>
  <c r="AH179" i="5"/>
  <c r="AI179" i="5"/>
  <c r="AJ179" i="5"/>
  <c r="AK179" i="5"/>
  <c r="AL179" i="5"/>
  <c r="AM179" i="5"/>
  <c r="AN179" i="5"/>
  <c r="AO179" i="5"/>
  <c r="AE180" i="5"/>
  <c r="AF180" i="5"/>
  <c r="AG180" i="5"/>
  <c r="AR180" i="5" s="1"/>
  <c r="AS180" i="5" s="1"/>
  <c r="AH180" i="5"/>
  <c r="AI180" i="5"/>
  <c r="AJ180" i="5"/>
  <c r="AK180" i="5"/>
  <c r="AL180" i="5"/>
  <c r="AM180" i="5"/>
  <c r="AN180" i="5"/>
  <c r="AO180" i="5"/>
  <c r="AE181" i="5"/>
  <c r="AF181" i="5"/>
  <c r="AG181" i="5"/>
  <c r="AR181" i="5" s="1"/>
  <c r="AS181" i="5" s="1"/>
  <c r="AH181" i="5"/>
  <c r="AI181" i="5"/>
  <c r="AJ181" i="5"/>
  <c r="AK181" i="5"/>
  <c r="AL181" i="5"/>
  <c r="AM181" i="5"/>
  <c r="AN181" i="5"/>
  <c r="AO181" i="5"/>
  <c r="AE182" i="5"/>
  <c r="AF182" i="5"/>
  <c r="AG182" i="5"/>
  <c r="AR182" i="5" s="1"/>
  <c r="AS182" i="5" s="1"/>
  <c r="AH182" i="5"/>
  <c r="AI182" i="5"/>
  <c r="AJ182" i="5"/>
  <c r="AK182" i="5"/>
  <c r="AL182" i="5"/>
  <c r="AM182" i="5"/>
  <c r="AN182" i="5"/>
  <c r="AO182" i="5"/>
  <c r="AE183" i="5"/>
  <c r="AF183" i="5"/>
  <c r="AG183" i="5"/>
  <c r="AR183" i="5" s="1"/>
  <c r="AS183" i="5" s="1"/>
  <c r="AH183" i="5"/>
  <c r="AI183" i="5"/>
  <c r="AJ183" i="5"/>
  <c r="AK183" i="5"/>
  <c r="AL183" i="5"/>
  <c r="AM183" i="5"/>
  <c r="AN183" i="5"/>
  <c r="AO183" i="5"/>
  <c r="AE184" i="5"/>
  <c r="AF184" i="5"/>
  <c r="AG184" i="5"/>
  <c r="AR184" i="5" s="1"/>
  <c r="AS184" i="5" s="1"/>
  <c r="AH184" i="5"/>
  <c r="AI184" i="5"/>
  <c r="AJ184" i="5"/>
  <c r="AK184" i="5"/>
  <c r="AL184" i="5"/>
  <c r="AM184" i="5"/>
  <c r="AN184" i="5"/>
  <c r="AO184" i="5"/>
  <c r="AE185" i="5"/>
  <c r="AF185" i="5"/>
  <c r="AG185" i="5"/>
  <c r="AR185" i="5" s="1"/>
  <c r="AS185" i="5" s="1"/>
  <c r="AH185" i="5"/>
  <c r="AI185" i="5"/>
  <c r="AJ185" i="5"/>
  <c r="AK185" i="5"/>
  <c r="AL185" i="5"/>
  <c r="AM185" i="5"/>
  <c r="AN185" i="5"/>
  <c r="AO185" i="5"/>
  <c r="AE186" i="5"/>
  <c r="AF186" i="5"/>
  <c r="AG186" i="5"/>
  <c r="AR186" i="5" s="1"/>
  <c r="AS186" i="5" s="1"/>
  <c r="AH186" i="5"/>
  <c r="AI186" i="5"/>
  <c r="AJ186" i="5"/>
  <c r="AK186" i="5"/>
  <c r="AL186" i="5"/>
  <c r="AM186" i="5"/>
  <c r="AN186" i="5"/>
  <c r="AO186" i="5"/>
  <c r="AE187" i="5"/>
  <c r="AF187" i="5"/>
  <c r="AG187" i="5"/>
  <c r="AR187" i="5" s="1"/>
  <c r="AS187" i="5" s="1"/>
  <c r="AH187" i="5"/>
  <c r="AI187" i="5"/>
  <c r="AJ187" i="5"/>
  <c r="AK187" i="5"/>
  <c r="AL187" i="5"/>
  <c r="AM187" i="5"/>
  <c r="AN187" i="5"/>
  <c r="AO187" i="5"/>
  <c r="AE188" i="5"/>
  <c r="AF188" i="5"/>
  <c r="AG188" i="5"/>
  <c r="AR188" i="5" s="1"/>
  <c r="AS188" i="5" s="1"/>
  <c r="AH188" i="5"/>
  <c r="AI188" i="5"/>
  <c r="AJ188" i="5"/>
  <c r="AK188" i="5"/>
  <c r="AL188" i="5"/>
  <c r="AM188" i="5"/>
  <c r="AN188" i="5"/>
  <c r="AO188" i="5"/>
  <c r="AE189" i="5"/>
  <c r="AF189" i="5"/>
  <c r="AG189" i="5"/>
  <c r="AR189" i="5" s="1"/>
  <c r="AS189" i="5" s="1"/>
  <c r="AH189" i="5"/>
  <c r="AI189" i="5"/>
  <c r="AJ189" i="5"/>
  <c r="AK189" i="5"/>
  <c r="AL189" i="5"/>
  <c r="AM189" i="5"/>
  <c r="AN189" i="5"/>
  <c r="AO189" i="5"/>
  <c r="AE190" i="5"/>
  <c r="AF190" i="5"/>
  <c r="AG190" i="5"/>
  <c r="AR190" i="5" s="1"/>
  <c r="AS190" i="5" s="1"/>
  <c r="AH190" i="5"/>
  <c r="AI190" i="5"/>
  <c r="AJ190" i="5"/>
  <c r="AK190" i="5"/>
  <c r="AL190" i="5"/>
  <c r="AM190" i="5"/>
  <c r="AN190" i="5"/>
  <c r="AO190" i="5"/>
  <c r="AE191" i="5"/>
  <c r="AF191" i="5"/>
  <c r="AG191" i="5"/>
  <c r="AR191" i="5" s="1"/>
  <c r="AS191" i="5" s="1"/>
  <c r="AH191" i="5"/>
  <c r="AI191" i="5"/>
  <c r="AJ191" i="5"/>
  <c r="AK191" i="5"/>
  <c r="AL191" i="5"/>
  <c r="AM191" i="5"/>
  <c r="AN191" i="5"/>
  <c r="AO191" i="5"/>
  <c r="AE192" i="5"/>
  <c r="AF192" i="5"/>
  <c r="AG192" i="5"/>
  <c r="AR192" i="5" s="1"/>
  <c r="AS192" i="5" s="1"/>
  <c r="AH192" i="5"/>
  <c r="AI192" i="5"/>
  <c r="AJ192" i="5"/>
  <c r="AK192" i="5"/>
  <c r="AL192" i="5"/>
  <c r="AM192" i="5"/>
  <c r="AN192" i="5"/>
  <c r="AO192" i="5"/>
  <c r="AE193" i="5"/>
  <c r="AF193" i="5"/>
  <c r="AG193" i="5"/>
  <c r="AR193" i="5" s="1"/>
  <c r="AS193" i="5" s="1"/>
  <c r="AH193" i="5"/>
  <c r="AI193" i="5"/>
  <c r="AJ193" i="5"/>
  <c r="AK193" i="5"/>
  <c r="AL193" i="5"/>
  <c r="AM193" i="5"/>
  <c r="AN193" i="5"/>
  <c r="AO193" i="5"/>
  <c r="AE194" i="5"/>
  <c r="AF194" i="5"/>
  <c r="AG194" i="5"/>
  <c r="AR194" i="5" s="1"/>
  <c r="AS194" i="5" s="1"/>
  <c r="AH194" i="5"/>
  <c r="AI194" i="5"/>
  <c r="AJ194" i="5"/>
  <c r="AK194" i="5"/>
  <c r="AL194" i="5"/>
  <c r="AM194" i="5"/>
  <c r="AN194" i="5"/>
  <c r="AO194" i="5"/>
  <c r="AE195" i="5"/>
  <c r="AF195" i="5"/>
  <c r="AG195" i="5"/>
  <c r="AR195" i="5" s="1"/>
  <c r="AS195" i="5" s="1"/>
  <c r="AH195" i="5"/>
  <c r="AI195" i="5"/>
  <c r="AJ195" i="5"/>
  <c r="AK195" i="5"/>
  <c r="AL195" i="5"/>
  <c r="AM195" i="5"/>
  <c r="AN195" i="5"/>
  <c r="AO195" i="5"/>
  <c r="AE196" i="5"/>
  <c r="AF196" i="5"/>
  <c r="AG196" i="5"/>
  <c r="AR196" i="5" s="1"/>
  <c r="AS196" i="5" s="1"/>
  <c r="AH196" i="5"/>
  <c r="AI196" i="5"/>
  <c r="AJ196" i="5"/>
  <c r="AK196" i="5"/>
  <c r="AL196" i="5"/>
  <c r="AM196" i="5"/>
  <c r="AN196" i="5"/>
  <c r="AO196" i="5"/>
  <c r="AE197" i="5"/>
  <c r="AF197" i="5"/>
  <c r="AG197" i="5"/>
  <c r="AR197" i="5" s="1"/>
  <c r="AS197" i="5" s="1"/>
  <c r="AH197" i="5"/>
  <c r="AI197" i="5"/>
  <c r="AJ197" i="5"/>
  <c r="AK197" i="5"/>
  <c r="AL197" i="5"/>
  <c r="AM197" i="5"/>
  <c r="AN197" i="5"/>
  <c r="AO197" i="5"/>
  <c r="AE198" i="5"/>
  <c r="AF198" i="5"/>
  <c r="AG198" i="5"/>
  <c r="AR198" i="5" s="1"/>
  <c r="AS198" i="5" s="1"/>
  <c r="AH198" i="5"/>
  <c r="AI198" i="5"/>
  <c r="AJ198" i="5"/>
  <c r="AK198" i="5"/>
  <c r="AL198" i="5"/>
  <c r="AM198" i="5"/>
  <c r="AN198" i="5"/>
  <c r="AO198" i="5"/>
  <c r="AE199" i="5"/>
  <c r="AF199" i="5"/>
  <c r="AG199" i="5"/>
  <c r="AR199" i="5" s="1"/>
  <c r="AS199" i="5" s="1"/>
  <c r="AH199" i="5"/>
  <c r="AI199" i="5"/>
  <c r="AJ199" i="5"/>
  <c r="AK199" i="5"/>
  <c r="AL199" i="5"/>
  <c r="AM199" i="5"/>
  <c r="AN199" i="5"/>
  <c r="AO199" i="5"/>
  <c r="AE200" i="5"/>
  <c r="AF200" i="5"/>
  <c r="AG200" i="5"/>
  <c r="AR200" i="5" s="1"/>
  <c r="AS200" i="5" s="1"/>
  <c r="AH200" i="5"/>
  <c r="AI200" i="5"/>
  <c r="AJ200" i="5"/>
  <c r="AK200" i="5"/>
  <c r="AL200" i="5"/>
  <c r="AM200" i="5"/>
  <c r="AN200" i="5"/>
  <c r="AO200" i="5"/>
  <c r="AE201" i="5"/>
  <c r="AF201" i="5"/>
  <c r="AG201" i="5"/>
  <c r="AR201" i="5" s="1"/>
  <c r="AS201" i="5" s="1"/>
  <c r="AH201" i="5"/>
  <c r="AI201" i="5"/>
  <c r="AJ201" i="5"/>
  <c r="AK201" i="5"/>
  <c r="AL201" i="5"/>
  <c r="AM201" i="5"/>
  <c r="AN201" i="5"/>
  <c r="AO201" i="5"/>
  <c r="AE202" i="5"/>
  <c r="AF202" i="5"/>
  <c r="AG202" i="5"/>
  <c r="AR202" i="5" s="1"/>
  <c r="AS202" i="5" s="1"/>
  <c r="AH202" i="5"/>
  <c r="AI202" i="5"/>
  <c r="AJ202" i="5"/>
  <c r="AK202" i="5"/>
  <c r="AL202" i="5"/>
  <c r="AM202" i="5"/>
  <c r="AN202" i="5"/>
  <c r="AO202" i="5"/>
  <c r="AE203" i="5"/>
  <c r="AF203" i="5"/>
  <c r="AG203" i="5"/>
  <c r="AR203" i="5" s="1"/>
  <c r="AS203" i="5" s="1"/>
  <c r="AH203" i="5"/>
  <c r="AI203" i="5"/>
  <c r="AJ203" i="5"/>
  <c r="AK203" i="5"/>
  <c r="AL203" i="5"/>
  <c r="AM203" i="5"/>
  <c r="AN203" i="5"/>
  <c r="AO203" i="5"/>
  <c r="AE204" i="5"/>
  <c r="AF204" i="5"/>
  <c r="AG204" i="5"/>
  <c r="AR204" i="5" s="1"/>
  <c r="AS204" i="5" s="1"/>
  <c r="AH204" i="5"/>
  <c r="AI204" i="5"/>
  <c r="AJ204" i="5"/>
  <c r="AK204" i="5"/>
  <c r="AL204" i="5"/>
  <c r="AM204" i="5"/>
  <c r="AN204" i="5"/>
  <c r="AO204" i="5"/>
  <c r="AE205" i="5"/>
  <c r="AF205" i="5"/>
  <c r="AG205" i="5"/>
  <c r="AR205" i="5" s="1"/>
  <c r="AS205" i="5" s="1"/>
  <c r="AH205" i="5"/>
  <c r="AI205" i="5"/>
  <c r="AJ205" i="5"/>
  <c r="AK205" i="5"/>
  <c r="AL205" i="5"/>
  <c r="AM205" i="5"/>
  <c r="AN205" i="5"/>
  <c r="AO205" i="5"/>
  <c r="AE206" i="5"/>
  <c r="AF206" i="5"/>
  <c r="AG206" i="5"/>
  <c r="AR206" i="5" s="1"/>
  <c r="AS206" i="5" s="1"/>
  <c r="AH206" i="5"/>
  <c r="AI206" i="5"/>
  <c r="AJ206" i="5"/>
  <c r="AK206" i="5"/>
  <c r="AL206" i="5"/>
  <c r="AM206" i="5"/>
  <c r="AN206" i="5"/>
  <c r="AO206" i="5"/>
  <c r="AE207" i="5"/>
  <c r="AF207" i="5"/>
  <c r="AG207" i="5"/>
  <c r="AR207" i="5" s="1"/>
  <c r="AS207" i="5" s="1"/>
  <c r="AH207" i="5"/>
  <c r="AI207" i="5"/>
  <c r="AJ207" i="5"/>
  <c r="AK207" i="5"/>
  <c r="AL207" i="5"/>
  <c r="AM207" i="5"/>
  <c r="AN207" i="5"/>
  <c r="AO207" i="5"/>
  <c r="AE208" i="5"/>
  <c r="AF208" i="5"/>
  <c r="AG208" i="5"/>
  <c r="AR208" i="5" s="1"/>
  <c r="AS208" i="5" s="1"/>
  <c r="AH208" i="5"/>
  <c r="AI208" i="5"/>
  <c r="AJ208" i="5"/>
  <c r="AK208" i="5"/>
  <c r="AL208" i="5"/>
  <c r="AM208" i="5"/>
  <c r="AN208" i="5"/>
  <c r="AO208" i="5"/>
  <c r="AE209" i="5"/>
  <c r="AF209" i="5"/>
  <c r="AG209" i="5"/>
  <c r="AR209" i="5" s="1"/>
  <c r="AS209" i="5" s="1"/>
  <c r="AH209" i="5"/>
  <c r="AI209" i="5"/>
  <c r="AJ209" i="5"/>
  <c r="AK209" i="5"/>
  <c r="AL209" i="5"/>
  <c r="AM209" i="5"/>
  <c r="AN209" i="5"/>
  <c r="AO209" i="5"/>
  <c r="AE210" i="5"/>
  <c r="AF210" i="5"/>
  <c r="AG210" i="5"/>
  <c r="AR210" i="5" s="1"/>
  <c r="AS210" i="5" s="1"/>
  <c r="AH210" i="5"/>
  <c r="AI210" i="5"/>
  <c r="AJ210" i="5"/>
  <c r="AK210" i="5"/>
  <c r="AL210" i="5"/>
  <c r="AM210" i="5"/>
  <c r="AN210" i="5"/>
  <c r="AO210" i="5"/>
  <c r="AE211" i="5"/>
  <c r="AF211" i="5"/>
  <c r="AG211" i="5"/>
  <c r="AR211" i="5" s="1"/>
  <c r="AS211" i="5" s="1"/>
  <c r="AH211" i="5"/>
  <c r="AI211" i="5"/>
  <c r="AJ211" i="5"/>
  <c r="AK211" i="5"/>
  <c r="AL211" i="5"/>
  <c r="AM211" i="5"/>
  <c r="AN211" i="5"/>
  <c r="AO211" i="5"/>
  <c r="AE212" i="5"/>
  <c r="AF212" i="5"/>
  <c r="AG212" i="5"/>
  <c r="AR212" i="5" s="1"/>
  <c r="AS212" i="5" s="1"/>
  <c r="AH212" i="5"/>
  <c r="AI212" i="5"/>
  <c r="AJ212" i="5"/>
  <c r="AK212" i="5"/>
  <c r="AL212" i="5"/>
  <c r="AM212" i="5"/>
  <c r="AN212" i="5"/>
  <c r="AO212" i="5"/>
  <c r="AE213" i="5"/>
  <c r="AF213" i="5"/>
  <c r="AG213" i="5"/>
  <c r="AR213" i="5" s="1"/>
  <c r="AS213" i="5" s="1"/>
  <c r="AH213" i="5"/>
  <c r="AI213" i="5"/>
  <c r="AJ213" i="5"/>
  <c r="AK213" i="5"/>
  <c r="AL213" i="5"/>
  <c r="AM213" i="5"/>
  <c r="AN213" i="5"/>
  <c r="AO213" i="5"/>
  <c r="AE214" i="5"/>
  <c r="AF214" i="5"/>
  <c r="AG214" i="5"/>
  <c r="AR214" i="5" s="1"/>
  <c r="AS214" i="5" s="1"/>
  <c r="AH214" i="5"/>
  <c r="AI214" i="5"/>
  <c r="AJ214" i="5"/>
  <c r="AK214" i="5"/>
  <c r="AL214" i="5"/>
  <c r="AM214" i="5"/>
  <c r="AN214" i="5"/>
  <c r="AO214" i="5"/>
  <c r="AE215" i="5"/>
  <c r="AF215" i="5"/>
  <c r="AG215" i="5"/>
  <c r="AR215" i="5" s="1"/>
  <c r="AS215" i="5" s="1"/>
  <c r="AH215" i="5"/>
  <c r="AI215" i="5"/>
  <c r="AJ215" i="5"/>
  <c r="AK215" i="5"/>
  <c r="AL215" i="5"/>
  <c r="AM215" i="5"/>
  <c r="AN215" i="5"/>
  <c r="AO215" i="5"/>
  <c r="AE216" i="5"/>
  <c r="AF216" i="5"/>
  <c r="AG216" i="5"/>
  <c r="AR216" i="5" s="1"/>
  <c r="AS216" i="5" s="1"/>
  <c r="AH216" i="5"/>
  <c r="AI216" i="5"/>
  <c r="AJ216" i="5"/>
  <c r="AK216" i="5"/>
  <c r="AL216" i="5"/>
  <c r="AM216" i="5"/>
  <c r="AN216" i="5"/>
  <c r="AO216" i="5"/>
  <c r="AE217" i="5"/>
  <c r="AF217" i="5"/>
  <c r="AG217" i="5"/>
  <c r="AR217" i="5" s="1"/>
  <c r="AS217" i="5" s="1"/>
  <c r="AH217" i="5"/>
  <c r="AI217" i="5"/>
  <c r="AJ217" i="5"/>
  <c r="AK217" i="5"/>
  <c r="AL217" i="5"/>
  <c r="AM217" i="5"/>
  <c r="AN217" i="5"/>
  <c r="AO217" i="5"/>
  <c r="AE218" i="5"/>
  <c r="AF218" i="5"/>
  <c r="AG218" i="5"/>
  <c r="AR218" i="5" s="1"/>
  <c r="AS218" i="5" s="1"/>
  <c r="AH218" i="5"/>
  <c r="AI218" i="5"/>
  <c r="AJ218" i="5"/>
  <c r="AK218" i="5"/>
  <c r="AL218" i="5"/>
  <c r="AM218" i="5"/>
  <c r="AN218" i="5"/>
  <c r="AO218" i="5"/>
  <c r="AE219" i="5"/>
  <c r="AF219" i="5"/>
  <c r="AG219" i="5"/>
  <c r="AR219" i="5" s="1"/>
  <c r="AS219" i="5" s="1"/>
  <c r="AH219" i="5"/>
  <c r="AI219" i="5"/>
  <c r="AJ219" i="5"/>
  <c r="AK219" i="5"/>
  <c r="AL219" i="5"/>
  <c r="AM219" i="5"/>
  <c r="AN219" i="5"/>
  <c r="AO219" i="5"/>
  <c r="AE220" i="5"/>
  <c r="AF220" i="5"/>
  <c r="AG220" i="5"/>
  <c r="AR220" i="5" s="1"/>
  <c r="AS220" i="5" s="1"/>
  <c r="AH220" i="5"/>
  <c r="AI220" i="5"/>
  <c r="AJ220" i="5"/>
  <c r="AK220" i="5"/>
  <c r="AL220" i="5"/>
  <c r="AM220" i="5"/>
  <c r="AN220" i="5"/>
  <c r="AO220" i="5"/>
  <c r="AE221" i="5"/>
  <c r="AF221" i="5"/>
  <c r="AG221" i="5"/>
  <c r="AR221" i="5" s="1"/>
  <c r="AS221" i="5" s="1"/>
  <c r="AH221" i="5"/>
  <c r="AI221" i="5"/>
  <c r="AJ221" i="5"/>
  <c r="AK221" i="5"/>
  <c r="AL221" i="5"/>
  <c r="AM221" i="5"/>
  <c r="AN221" i="5"/>
  <c r="AO221" i="5"/>
  <c r="AE222" i="5"/>
  <c r="AF222" i="5"/>
  <c r="AG222" i="5"/>
  <c r="AR222" i="5" s="1"/>
  <c r="AS222" i="5" s="1"/>
  <c r="AH222" i="5"/>
  <c r="AI222" i="5"/>
  <c r="AJ222" i="5"/>
  <c r="AK222" i="5"/>
  <c r="AL222" i="5"/>
  <c r="AM222" i="5"/>
  <c r="AN222" i="5"/>
  <c r="AO222" i="5"/>
  <c r="AE223" i="5"/>
  <c r="AF223" i="5"/>
  <c r="AG223" i="5"/>
  <c r="AR223" i="5" s="1"/>
  <c r="AS223" i="5" s="1"/>
  <c r="AH223" i="5"/>
  <c r="AI223" i="5"/>
  <c r="AJ223" i="5"/>
  <c r="AK223" i="5"/>
  <c r="AL223" i="5"/>
  <c r="AM223" i="5"/>
  <c r="AN223" i="5"/>
  <c r="AO223" i="5"/>
  <c r="AE224" i="5"/>
  <c r="AF224" i="5"/>
  <c r="AG224" i="5"/>
  <c r="AR224" i="5" s="1"/>
  <c r="AS224" i="5" s="1"/>
  <c r="AH224" i="5"/>
  <c r="AI224" i="5"/>
  <c r="AJ224" i="5"/>
  <c r="AK224" i="5"/>
  <c r="AL224" i="5"/>
  <c r="AM224" i="5"/>
  <c r="AN224" i="5"/>
  <c r="AO224" i="5"/>
  <c r="AE225" i="5"/>
  <c r="AF225" i="5"/>
  <c r="AG225" i="5"/>
  <c r="AR225" i="5" s="1"/>
  <c r="AS225" i="5" s="1"/>
  <c r="AH225" i="5"/>
  <c r="AI225" i="5"/>
  <c r="AJ225" i="5"/>
  <c r="AK225" i="5"/>
  <c r="AL225" i="5"/>
  <c r="AM225" i="5"/>
  <c r="AN225" i="5"/>
  <c r="AO225" i="5"/>
  <c r="AE226" i="5"/>
  <c r="AF226" i="5"/>
  <c r="AG226" i="5"/>
  <c r="AR226" i="5" s="1"/>
  <c r="AS226" i="5" s="1"/>
  <c r="AH226" i="5"/>
  <c r="AI226" i="5"/>
  <c r="AJ226" i="5"/>
  <c r="AK226" i="5"/>
  <c r="AL226" i="5"/>
  <c r="AM226" i="5"/>
  <c r="AN226" i="5"/>
  <c r="AO226" i="5"/>
  <c r="AE227" i="5"/>
  <c r="AF227" i="5"/>
  <c r="AG227" i="5"/>
  <c r="AR227" i="5" s="1"/>
  <c r="AS227" i="5" s="1"/>
  <c r="AH227" i="5"/>
  <c r="AI227" i="5"/>
  <c r="AJ227" i="5"/>
  <c r="AK227" i="5"/>
  <c r="AL227" i="5"/>
  <c r="AM227" i="5"/>
  <c r="AN227" i="5"/>
  <c r="AO227" i="5"/>
  <c r="AE228" i="5"/>
  <c r="AF228" i="5"/>
  <c r="AG228" i="5"/>
  <c r="AR228" i="5" s="1"/>
  <c r="AS228" i="5" s="1"/>
  <c r="AH228" i="5"/>
  <c r="AI228" i="5"/>
  <c r="AJ228" i="5"/>
  <c r="AK228" i="5"/>
  <c r="AL228" i="5"/>
  <c r="AM228" i="5"/>
  <c r="AN228" i="5"/>
  <c r="AO228" i="5"/>
  <c r="AE229" i="5"/>
  <c r="AF229" i="5"/>
  <c r="AG229" i="5"/>
  <c r="AR229" i="5" s="1"/>
  <c r="AS229" i="5" s="1"/>
  <c r="AH229" i="5"/>
  <c r="AI229" i="5"/>
  <c r="AJ229" i="5"/>
  <c r="AK229" i="5"/>
  <c r="AL229" i="5"/>
  <c r="AM229" i="5"/>
  <c r="AN229" i="5"/>
  <c r="AO229" i="5"/>
  <c r="AE230" i="5"/>
  <c r="AF230" i="5"/>
  <c r="AG230" i="5"/>
  <c r="AR230" i="5" s="1"/>
  <c r="AS230" i="5" s="1"/>
  <c r="AH230" i="5"/>
  <c r="AI230" i="5"/>
  <c r="AJ230" i="5"/>
  <c r="AK230" i="5"/>
  <c r="AL230" i="5"/>
  <c r="AM230" i="5"/>
  <c r="AN230" i="5"/>
  <c r="AO230" i="5"/>
  <c r="AE231" i="5"/>
  <c r="AF231" i="5"/>
  <c r="AG231" i="5"/>
  <c r="AR231" i="5" s="1"/>
  <c r="AS231" i="5" s="1"/>
  <c r="AH231" i="5"/>
  <c r="AI231" i="5"/>
  <c r="AJ231" i="5"/>
  <c r="AK231" i="5"/>
  <c r="AL231" i="5"/>
  <c r="AM231" i="5"/>
  <c r="AN231" i="5"/>
  <c r="AO231" i="5"/>
  <c r="AE232" i="5"/>
  <c r="AF232" i="5"/>
  <c r="AG232" i="5"/>
  <c r="AR232" i="5" s="1"/>
  <c r="AS232" i="5" s="1"/>
  <c r="AH232" i="5"/>
  <c r="AI232" i="5"/>
  <c r="AJ232" i="5"/>
  <c r="AK232" i="5"/>
  <c r="AL232" i="5"/>
  <c r="AM232" i="5"/>
  <c r="AN232" i="5"/>
  <c r="AO232" i="5"/>
  <c r="AE233" i="5"/>
  <c r="AF233" i="5"/>
  <c r="AG233" i="5"/>
  <c r="AR233" i="5" s="1"/>
  <c r="AS233" i="5" s="1"/>
  <c r="AH233" i="5"/>
  <c r="AI233" i="5"/>
  <c r="AJ233" i="5"/>
  <c r="AK233" i="5"/>
  <c r="AL233" i="5"/>
  <c r="AM233" i="5"/>
  <c r="AN233" i="5"/>
  <c r="AO233" i="5"/>
  <c r="AE234" i="5"/>
  <c r="AF234" i="5"/>
  <c r="AG234" i="5"/>
  <c r="AR234" i="5" s="1"/>
  <c r="AS234" i="5" s="1"/>
  <c r="AH234" i="5"/>
  <c r="AI234" i="5"/>
  <c r="AJ234" i="5"/>
  <c r="AK234" i="5"/>
  <c r="AL234" i="5"/>
  <c r="AM234" i="5"/>
  <c r="AN234" i="5"/>
  <c r="AO234" i="5"/>
  <c r="AE235" i="5"/>
  <c r="AF235" i="5"/>
  <c r="AG235" i="5"/>
  <c r="AR235" i="5" s="1"/>
  <c r="AS235" i="5" s="1"/>
  <c r="AH235" i="5"/>
  <c r="AI235" i="5"/>
  <c r="AJ235" i="5"/>
  <c r="AK235" i="5"/>
  <c r="AL235" i="5"/>
  <c r="AM235" i="5"/>
  <c r="AN235" i="5"/>
  <c r="AO235" i="5"/>
  <c r="AE236" i="5"/>
  <c r="AF236" i="5"/>
  <c r="AG236" i="5"/>
  <c r="AR236" i="5" s="1"/>
  <c r="AS236" i="5" s="1"/>
  <c r="AH236" i="5"/>
  <c r="AI236" i="5"/>
  <c r="AJ236" i="5"/>
  <c r="AK236" i="5"/>
  <c r="AL236" i="5"/>
  <c r="AM236" i="5"/>
  <c r="AN236" i="5"/>
  <c r="AO236" i="5"/>
  <c r="AE237" i="5"/>
  <c r="AF237" i="5"/>
  <c r="AG237" i="5"/>
  <c r="AR237" i="5" s="1"/>
  <c r="AS237" i="5" s="1"/>
  <c r="AH237" i="5"/>
  <c r="AI237" i="5"/>
  <c r="AJ237" i="5"/>
  <c r="AK237" i="5"/>
  <c r="AL237" i="5"/>
  <c r="AM237" i="5"/>
  <c r="AN237" i="5"/>
  <c r="AO237" i="5"/>
  <c r="AE238" i="5"/>
  <c r="AF238" i="5"/>
  <c r="AG238" i="5"/>
  <c r="AR238" i="5" s="1"/>
  <c r="AS238" i="5" s="1"/>
  <c r="AH238" i="5"/>
  <c r="AI238" i="5"/>
  <c r="AJ238" i="5"/>
  <c r="AK238" i="5"/>
  <c r="AL238" i="5"/>
  <c r="AM238" i="5"/>
  <c r="AN238" i="5"/>
  <c r="AO238" i="5"/>
  <c r="AE239" i="5"/>
  <c r="AF239" i="5"/>
  <c r="AG239" i="5"/>
  <c r="AR239" i="5" s="1"/>
  <c r="AS239" i="5" s="1"/>
  <c r="AH239" i="5"/>
  <c r="AI239" i="5"/>
  <c r="AJ239" i="5"/>
  <c r="AK239" i="5"/>
  <c r="AL239" i="5"/>
  <c r="AM239" i="5"/>
  <c r="AN239" i="5"/>
  <c r="AO239" i="5"/>
  <c r="AE240" i="5"/>
  <c r="AF240" i="5"/>
  <c r="AG240" i="5"/>
  <c r="AR240" i="5" s="1"/>
  <c r="AS240" i="5" s="1"/>
  <c r="AH240" i="5"/>
  <c r="AI240" i="5"/>
  <c r="AJ240" i="5"/>
  <c r="AK240" i="5"/>
  <c r="AL240" i="5"/>
  <c r="AM240" i="5"/>
  <c r="AN240" i="5"/>
  <c r="AO240" i="5"/>
  <c r="AE241" i="5"/>
  <c r="AF241" i="5"/>
  <c r="AG241" i="5"/>
  <c r="AR241" i="5" s="1"/>
  <c r="AS241" i="5" s="1"/>
  <c r="AH241" i="5"/>
  <c r="AI241" i="5"/>
  <c r="AJ241" i="5"/>
  <c r="AK241" i="5"/>
  <c r="AL241" i="5"/>
  <c r="AM241" i="5"/>
  <c r="AN241" i="5"/>
  <c r="AO241" i="5"/>
  <c r="AE242" i="5"/>
  <c r="AF242" i="5"/>
  <c r="AG242" i="5"/>
  <c r="AR242" i="5" s="1"/>
  <c r="AS242" i="5" s="1"/>
  <c r="AH242" i="5"/>
  <c r="AI242" i="5"/>
  <c r="AJ242" i="5"/>
  <c r="AK242" i="5"/>
  <c r="AL242" i="5"/>
  <c r="AM242" i="5"/>
  <c r="AN242" i="5"/>
  <c r="AO242" i="5"/>
  <c r="AE243" i="5"/>
  <c r="AF243" i="5"/>
  <c r="AG243" i="5"/>
  <c r="AR243" i="5" s="1"/>
  <c r="AS243" i="5" s="1"/>
  <c r="AH243" i="5"/>
  <c r="AI243" i="5"/>
  <c r="AJ243" i="5"/>
  <c r="AK243" i="5"/>
  <c r="AL243" i="5"/>
  <c r="AM243" i="5"/>
  <c r="AN243" i="5"/>
  <c r="AO243" i="5"/>
  <c r="AE244" i="5"/>
  <c r="AF244" i="5"/>
  <c r="AG244" i="5"/>
  <c r="AR244" i="5" s="1"/>
  <c r="AS244" i="5" s="1"/>
  <c r="AH244" i="5"/>
  <c r="AI244" i="5"/>
  <c r="AJ244" i="5"/>
  <c r="AK244" i="5"/>
  <c r="AL244" i="5"/>
  <c r="AM244" i="5"/>
  <c r="AN244" i="5"/>
  <c r="AO244" i="5"/>
  <c r="AE245" i="5"/>
  <c r="AF245" i="5"/>
  <c r="AG245" i="5"/>
  <c r="AR245" i="5" s="1"/>
  <c r="AS245" i="5" s="1"/>
  <c r="AH245" i="5"/>
  <c r="AI245" i="5"/>
  <c r="AJ245" i="5"/>
  <c r="AK245" i="5"/>
  <c r="AL245" i="5"/>
  <c r="AM245" i="5"/>
  <c r="AN245" i="5"/>
  <c r="AO245" i="5"/>
  <c r="AE246" i="5"/>
  <c r="AF246" i="5"/>
  <c r="AG246" i="5"/>
  <c r="AR246" i="5" s="1"/>
  <c r="AS246" i="5" s="1"/>
  <c r="AH246" i="5"/>
  <c r="AI246" i="5"/>
  <c r="AJ246" i="5"/>
  <c r="AK246" i="5"/>
  <c r="AL246" i="5"/>
  <c r="AM246" i="5"/>
  <c r="AN246" i="5"/>
  <c r="AO246" i="5"/>
  <c r="AE247" i="5"/>
  <c r="AF247" i="5"/>
  <c r="AG247" i="5"/>
  <c r="AR247" i="5" s="1"/>
  <c r="AS247" i="5" s="1"/>
  <c r="AH247" i="5"/>
  <c r="AI247" i="5"/>
  <c r="AJ247" i="5"/>
  <c r="AK247" i="5"/>
  <c r="AL247" i="5"/>
  <c r="AM247" i="5"/>
  <c r="AN247" i="5"/>
  <c r="AO247" i="5"/>
  <c r="AE248" i="5"/>
  <c r="AF248" i="5"/>
  <c r="AG248" i="5"/>
  <c r="AR248" i="5" s="1"/>
  <c r="AS248" i="5" s="1"/>
  <c r="AH248" i="5"/>
  <c r="AI248" i="5"/>
  <c r="AJ248" i="5"/>
  <c r="AK248" i="5"/>
  <c r="AL248" i="5"/>
  <c r="AM248" i="5"/>
  <c r="AN248" i="5"/>
  <c r="AO248" i="5"/>
  <c r="AE249" i="5"/>
  <c r="AF249" i="5"/>
  <c r="AG249" i="5"/>
  <c r="AR249" i="5" s="1"/>
  <c r="AS249" i="5" s="1"/>
  <c r="AH249" i="5"/>
  <c r="AI249" i="5"/>
  <c r="AJ249" i="5"/>
  <c r="AK249" i="5"/>
  <c r="AL249" i="5"/>
  <c r="AM249" i="5"/>
  <c r="AN249" i="5"/>
  <c r="AO249" i="5"/>
  <c r="AE250" i="5"/>
  <c r="AF250" i="5"/>
  <c r="AG250" i="5"/>
  <c r="AR250" i="5" s="1"/>
  <c r="AS250" i="5" s="1"/>
  <c r="AH250" i="5"/>
  <c r="AI250" i="5"/>
  <c r="AJ250" i="5"/>
  <c r="AK250" i="5"/>
  <c r="AL250" i="5"/>
  <c r="AM250" i="5"/>
  <c r="AN250" i="5"/>
  <c r="AO250" i="5"/>
  <c r="AE251" i="5"/>
  <c r="AF251" i="5"/>
  <c r="AG251" i="5"/>
  <c r="AR251" i="5" s="1"/>
  <c r="AS251" i="5" s="1"/>
  <c r="AH251" i="5"/>
  <c r="AI251" i="5"/>
  <c r="AJ251" i="5"/>
  <c r="AK251" i="5"/>
  <c r="AL251" i="5"/>
  <c r="AM251" i="5"/>
  <c r="AN251" i="5"/>
  <c r="AO251" i="5"/>
  <c r="AE252" i="5"/>
  <c r="AF252" i="5"/>
  <c r="AG252" i="5"/>
  <c r="AR252" i="5" s="1"/>
  <c r="AS252" i="5" s="1"/>
  <c r="AH252" i="5"/>
  <c r="AI252" i="5"/>
  <c r="AJ252" i="5"/>
  <c r="AK252" i="5"/>
  <c r="AL252" i="5"/>
  <c r="AM252" i="5"/>
  <c r="AN252" i="5"/>
  <c r="AO252" i="5"/>
  <c r="AE253" i="5"/>
  <c r="AF253" i="5"/>
  <c r="AG253" i="5"/>
  <c r="AR253" i="5" s="1"/>
  <c r="AS253" i="5" s="1"/>
  <c r="AH253" i="5"/>
  <c r="AI253" i="5"/>
  <c r="AJ253" i="5"/>
  <c r="AK253" i="5"/>
  <c r="AL253" i="5"/>
  <c r="AM253" i="5"/>
  <c r="AN253" i="5"/>
  <c r="AO253" i="5"/>
  <c r="AE254" i="5"/>
  <c r="AF254" i="5"/>
  <c r="AG254" i="5"/>
  <c r="AR254" i="5" s="1"/>
  <c r="AS254" i="5" s="1"/>
  <c r="AH254" i="5"/>
  <c r="AI254" i="5"/>
  <c r="AJ254" i="5"/>
  <c r="AK254" i="5"/>
  <c r="AL254" i="5"/>
  <c r="AM254" i="5"/>
  <c r="AN254" i="5"/>
  <c r="AO254" i="5"/>
  <c r="AE255" i="5"/>
  <c r="AF255" i="5"/>
  <c r="AG255" i="5"/>
  <c r="AR255" i="5" s="1"/>
  <c r="AS255" i="5" s="1"/>
  <c r="AH255" i="5"/>
  <c r="AI255" i="5"/>
  <c r="AJ255" i="5"/>
  <c r="AK255" i="5"/>
  <c r="AL255" i="5"/>
  <c r="AM255" i="5"/>
  <c r="AN255" i="5"/>
  <c r="AO255" i="5"/>
  <c r="AE256" i="5"/>
  <c r="AF256" i="5"/>
  <c r="AG256" i="5"/>
  <c r="AR256" i="5" s="1"/>
  <c r="AS256" i="5" s="1"/>
  <c r="AH256" i="5"/>
  <c r="AI256" i="5"/>
  <c r="AJ256" i="5"/>
  <c r="AK256" i="5"/>
  <c r="AL256" i="5"/>
  <c r="AM256" i="5"/>
  <c r="AN256" i="5"/>
  <c r="AO256" i="5"/>
  <c r="AE257" i="5"/>
  <c r="AF257" i="5"/>
  <c r="AG257" i="5"/>
  <c r="AR257" i="5" s="1"/>
  <c r="AS257" i="5" s="1"/>
  <c r="AH257" i="5"/>
  <c r="AI257" i="5"/>
  <c r="AJ257" i="5"/>
  <c r="AK257" i="5"/>
  <c r="AL257" i="5"/>
  <c r="AM257" i="5"/>
  <c r="AN257" i="5"/>
  <c r="AO257" i="5"/>
  <c r="AE258" i="5"/>
  <c r="AF258" i="5"/>
  <c r="AG258" i="5"/>
  <c r="AR258" i="5" s="1"/>
  <c r="AS258" i="5" s="1"/>
  <c r="AH258" i="5"/>
  <c r="AI258" i="5"/>
  <c r="AJ258" i="5"/>
  <c r="AK258" i="5"/>
  <c r="AL258" i="5"/>
  <c r="AM258" i="5"/>
  <c r="AN258" i="5"/>
  <c r="AO258" i="5"/>
  <c r="AE259" i="5"/>
  <c r="AF259" i="5"/>
  <c r="AG259" i="5"/>
  <c r="AR259" i="5" s="1"/>
  <c r="AS259" i="5" s="1"/>
  <c r="AH259" i="5"/>
  <c r="AI259" i="5"/>
  <c r="AJ259" i="5"/>
  <c r="AK259" i="5"/>
  <c r="AL259" i="5"/>
  <c r="AM259" i="5"/>
  <c r="AN259" i="5"/>
  <c r="AO259" i="5"/>
  <c r="AE260" i="5"/>
  <c r="AF260" i="5"/>
  <c r="AG260" i="5"/>
  <c r="AR260" i="5" s="1"/>
  <c r="AS260" i="5" s="1"/>
  <c r="AH260" i="5"/>
  <c r="AI260" i="5"/>
  <c r="AJ260" i="5"/>
  <c r="AK260" i="5"/>
  <c r="AL260" i="5"/>
  <c r="AM260" i="5"/>
  <c r="AN260" i="5"/>
  <c r="AO260" i="5"/>
  <c r="AE261" i="5"/>
  <c r="AF261" i="5"/>
  <c r="AG261" i="5"/>
  <c r="AR261" i="5" s="1"/>
  <c r="AS261" i="5" s="1"/>
  <c r="AH261" i="5"/>
  <c r="AI261" i="5"/>
  <c r="AJ261" i="5"/>
  <c r="AK261" i="5"/>
  <c r="AL261" i="5"/>
  <c r="AM261" i="5"/>
  <c r="AN261" i="5"/>
  <c r="AO261" i="5"/>
  <c r="AE262" i="5"/>
  <c r="AF262" i="5"/>
  <c r="AG262" i="5"/>
  <c r="AR262" i="5" s="1"/>
  <c r="AS262" i="5" s="1"/>
  <c r="AH262" i="5"/>
  <c r="AI262" i="5"/>
  <c r="AJ262" i="5"/>
  <c r="AK262" i="5"/>
  <c r="AL262" i="5"/>
  <c r="AM262" i="5"/>
  <c r="AN262" i="5"/>
  <c r="AO262" i="5"/>
  <c r="AE263" i="5"/>
  <c r="AF263" i="5"/>
  <c r="AG263" i="5"/>
  <c r="AR263" i="5" s="1"/>
  <c r="AS263" i="5" s="1"/>
  <c r="AH263" i="5"/>
  <c r="AI263" i="5"/>
  <c r="AJ263" i="5"/>
  <c r="AK263" i="5"/>
  <c r="AL263" i="5"/>
  <c r="AM263" i="5"/>
  <c r="AN263" i="5"/>
  <c r="AO263" i="5"/>
  <c r="AE264" i="5"/>
  <c r="AF264" i="5"/>
  <c r="AG264" i="5"/>
  <c r="AR264" i="5" s="1"/>
  <c r="AS264" i="5" s="1"/>
  <c r="AH264" i="5"/>
  <c r="AI264" i="5"/>
  <c r="AJ264" i="5"/>
  <c r="AK264" i="5"/>
  <c r="AL264" i="5"/>
  <c r="AM264" i="5"/>
  <c r="AN264" i="5"/>
  <c r="AO264" i="5"/>
  <c r="AE265" i="5"/>
  <c r="AF265" i="5"/>
  <c r="AG265" i="5"/>
  <c r="AR265" i="5" s="1"/>
  <c r="AS265" i="5" s="1"/>
  <c r="AH265" i="5"/>
  <c r="AI265" i="5"/>
  <c r="AJ265" i="5"/>
  <c r="AK265" i="5"/>
  <c r="AL265" i="5"/>
  <c r="AM265" i="5"/>
  <c r="AN265" i="5"/>
  <c r="AO265" i="5"/>
  <c r="AE266" i="5"/>
  <c r="AF266" i="5"/>
  <c r="AG266" i="5"/>
  <c r="AR266" i="5" s="1"/>
  <c r="AS266" i="5" s="1"/>
  <c r="AH266" i="5"/>
  <c r="AI266" i="5"/>
  <c r="AJ266" i="5"/>
  <c r="AK266" i="5"/>
  <c r="AL266" i="5"/>
  <c r="AM266" i="5"/>
  <c r="AN266" i="5"/>
  <c r="AO266" i="5"/>
  <c r="AE267" i="5"/>
  <c r="AF267" i="5"/>
  <c r="AG267" i="5"/>
  <c r="AR267" i="5" s="1"/>
  <c r="AS267" i="5" s="1"/>
  <c r="AH267" i="5"/>
  <c r="AI267" i="5"/>
  <c r="AJ267" i="5"/>
  <c r="AK267" i="5"/>
  <c r="AL267" i="5"/>
  <c r="AM267" i="5"/>
  <c r="AN267" i="5"/>
  <c r="AO267" i="5"/>
  <c r="AE268" i="5"/>
  <c r="AF268" i="5"/>
  <c r="AG268" i="5"/>
  <c r="AR268" i="5" s="1"/>
  <c r="AS268" i="5" s="1"/>
  <c r="AH268" i="5"/>
  <c r="AI268" i="5"/>
  <c r="AJ268" i="5"/>
  <c r="AK268" i="5"/>
  <c r="AL268" i="5"/>
  <c r="AM268" i="5"/>
  <c r="AN268" i="5"/>
  <c r="AO268" i="5"/>
  <c r="AE269" i="5"/>
  <c r="AF269" i="5"/>
  <c r="AG269" i="5"/>
  <c r="AR269" i="5" s="1"/>
  <c r="AS269" i="5" s="1"/>
  <c r="AH269" i="5"/>
  <c r="AI269" i="5"/>
  <c r="AJ269" i="5"/>
  <c r="AK269" i="5"/>
  <c r="AL269" i="5"/>
  <c r="AM269" i="5"/>
  <c r="AN269" i="5"/>
  <c r="AO269" i="5"/>
  <c r="AE270" i="5"/>
  <c r="AF270" i="5"/>
  <c r="AG270" i="5"/>
  <c r="AR270" i="5" s="1"/>
  <c r="AS270" i="5" s="1"/>
  <c r="AH270" i="5"/>
  <c r="AI270" i="5"/>
  <c r="AJ270" i="5"/>
  <c r="AK270" i="5"/>
  <c r="AL270" i="5"/>
  <c r="AM270" i="5"/>
  <c r="AN270" i="5"/>
  <c r="AO270" i="5"/>
  <c r="AE271" i="5"/>
  <c r="AF271" i="5"/>
  <c r="AG271" i="5"/>
  <c r="AR271" i="5" s="1"/>
  <c r="AS271" i="5" s="1"/>
  <c r="AH271" i="5"/>
  <c r="AI271" i="5"/>
  <c r="AJ271" i="5"/>
  <c r="AK271" i="5"/>
  <c r="AL271" i="5"/>
  <c r="AM271" i="5"/>
  <c r="AN271" i="5"/>
  <c r="AO271" i="5"/>
  <c r="AE272" i="5"/>
  <c r="AF272" i="5"/>
  <c r="AG272" i="5"/>
  <c r="AR272" i="5" s="1"/>
  <c r="AS272" i="5" s="1"/>
  <c r="AH272" i="5"/>
  <c r="AI272" i="5"/>
  <c r="AJ272" i="5"/>
  <c r="AK272" i="5"/>
  <c r="AL272" i="5"/>
  <c r="AM272" i="5"/>
  <c r="AN272" i="5"/>
  <c r="AO272" i="5"/>
  <c r="AE273" i="5"/>
  <c r="AF273" i="5"/>
  <c r="AG273" i="5"/>
  <c r="AR273" i="5" s="1"/>
  <c r="AS273" i="5" s="1"/>
  <c r="AH273" i="5"/>
  <c r="AI273" i="5"/>
  <c r="AJ273" i="5"/>
  <c r="AK273" i="5"/>
  <c r="AL273" i="5"/>
  <c r="AM273" i="5"/>
  <c r="AN273" i="5"/>
  <c r="AO273" i="5"/>
  <c r="AE274" i="5"/>
  <c r="AF274" i="5"/>
  <c r="AG274" i="5"/>
  <c r="AR274" i="5" s="1"/>
  <c r="AS274" i="5" s="1"/>
  <c r="AH274" i="5"/>
  <c r="AI274" i="5"/>
  <c r="AJ274" i="5"/>
  <c r="AK274" i="5"/>
  <c r="AL274" i="5"/>
  <c r="AM274" i="5"/>
  <c r="AN274" i="5"/>
  <c r="AO274" i="5"/>
  <c r="AE275" i="5"/>
  <c r="AF275" i="5"/>
  <c r="AG275" i="5"/>
  <c r="AR275" i="5" s="1"/>
  <c r="AS275" i="5" s="1"/>
  <c r="AH275" i="5"/>
  <c r="AI275" i="5"/>
  <c r="AJ275" i="5"/>
  <c r="AK275" i="5"/>
  <c r="AL275" i="5"/>
  <c r="AM275" i="5"/>
  <c r="AN275" i="5"/>
  <c r="AO275" i="5"/>
  <c r="AE276" i="5"/>
  <c r="AF276" i="5"/>
  <c r="AG276" i="5"/>
  <c r="AR276" i="5" s="1"/>
  <c r="AS276" i="5" s="1"/>
  <c r="AH276" i="5"/>
  <c r="AI276" i="5"/>
  <c r="AJ276" i="5"/>
  <c r="AK276" i="5"/>
  <c r="AL276" i="5"/>
  <c r="AM276" i="5"/>
  <c r="AN276" i="5"/>
  <c r="AO276" i="5"/>
  <c r="AE277" i="5"/>
  <c r="AF277" i="5"/>
  <c r="AG277" i="5"/>
  <c r="AR277" i="5" s="1"/>
  <c r="AS277" i="5" s="1"/>
  <c r="AH277" i="5"/>
  <c r="AI277" i="5"/>
  <c r="AJ277" i="5"/>
  <c r="AK277" i="5"/>
  <c r="AL277" i="5"/>
  <c r="AM277" i="5"/>
  <c r="AN277" i="5"/>
  <c r="AO277" i="5"/>
  <c r="AE278" i="5"/>
  <c r="AF278" i="5"/>
  <c r="AG278" i="5"/>
  <c r="AR278" i="5" s="1"/>
  <c r="AS278" i="5" s="1"/>
  <c r="AH278" i="5"/>
  <c r="AI278" i="5"/>
  <c r="AJ278" i="5"/>
  <c r="AK278" i="5"/>
  <c r="AL278" i="5"/>
  <c r="AM278" i="5"/>
  <c r="AN278" i="5"/>
  <c r="AO278" i="5"/>
  <c r="AE279" i="5"/>
  <c r="AF279" i="5"/>
  <c r="AG279" i="5"/>
  <c r="AR279" i="5" s="1"/>
  <c r="AS279" i="5" s="1"/>
  <c r="AH279" i="5"/>
  <c r="AI279" i="5"/>
  <c r="AJ279" i="5"/>
  <c r="AK279" i="5"/>
  <c r="AL279" i="5"/>
  <c r="AM279" i="5"/>
  <c r="AN279" i="5"/>
  <c r="AO279" i="5"/>
  <c r="AE280" i="5"/>
  <c r="AF280" i="5"/>
  <c r="AG280" i="5"/>
  <c r="AR280" i="5" s="1"/>
  <c r="AS280" i="5" s="1"/>
  <c r="AH280" i="5"/>
  <c r="AI280" i="5"/>
  <c r="AJ280" i="5"/>
  <c r="AK280" i="5"/>
  <c r="AL280" i="5"/>
  <c r="AM280" i="5"/>
  <c r="AN280" i="5"/>
  <c r="AO280" i="5"/>
  <c r="AE281" i="5"/>
  <c r="AF281" i="5"/>
  <c r="AG281" i="5"/>
  <c r="AR281" i="5" s="1"/>
  <c r="AS281" i="5" s="1"/>
  <c r="AH281" i="5"/>
  <c r="AI281" i="5"/>
  <c r="AJ281" i="5"/>
  <c r="AK281" i="5"/>
  <c r="AL281" i="5"/>
  <c r="AM281" i="5"/>
  <c r="AN281" i="5"/>
  <c r="AO281" i="5"/>
  <c r="AE282" i="5"/>
  <c r="AF282" i="5"/>
  <c r="AG282" i="5"/>
  <c r="AR282" i="5" s="1"/>
  <c r="AS282" i="5" s="1"/>
  <c r="AH282" i="5"/>
  <c r="AI282" i="5"/>
  <c r="AJ282" i="5"/>
  <c r="AK282" i="5"/>
  <c r="AL282" i="5"/>
  <c r="AM282" i="5"/>
  <c r="AN282" i="5"/>
  <c r="AO282" i="5"/>
  <c r="AE283" i="5"/>
  <c r="AF283" i="5"/>
  <c r="AG283" i="5"/>
  <c r="AR283" i="5" s="1"/>
  <c r="AS283" i="5" s="1"/>
  <c r="AH283" i="5"/>
  <c r="AI283" i="5"/>
  <c r="AJ283" i="5"/>
  <c r="AK283" i="5"/>
  <c r="AL283" i="5"/>
  <c r="AM283" i="5"/>
  <c r="AN283" i="5"/>
  <c r="AO283" i="5"/>
  <c r="AE284" i="5"/>
  <c r="AF284" i="5"/>
  <c r="AG284" i="5"/>
  <c r="AR284" i="5" s="1"/>
  <c r="AS284" i="5" s="1"/>
  <c r="AH284" i="5"/>
  <c r="AI284" i="5"/>
  <c r="AJ284" i="5"/>
  <c r="AK284" i="5"/>
  <c r="AL284" i="5"/>
  <c r="AM284" i="5"/>
  <c r="AN284" i="5"/>
  <c r="AO284" i="5"/>
  <c r="AE285" i="5"/>
  <c r="AF285" i="5"/>
  <c r="AG285" i="5"/>
  <c r="AR285" i="5" s="1"/>
  <c r="AS285" i="5" s="1"/>
  <c r="AH285" i="5"/>
  <c r="AI285" i="5"/>
  <c r="AJ285" i="5"/>
  <c r="AK285" i="5"/>
  <c r="AL285" i="5"/>
  <c r="AM285" i="5"/>
  <c r="AN285" i="5"/>
  <c r="AO285" i="5"/>
  <c r="AE286" i="5"/>
  <c r="AF286" i="5"/>
  <c r="AG286" i="5"/>
  <c r="AR286" i="5" s="1"/>
  <c r="AS286" i="5" s="1"/>
  <c r="AH286" i="5"/>
  <c r="AI286" i="5"/>
  <c r="AJ286" i="5"/>
  <c r="AK286" i="5"/>
  <c r="AL286" i="5"/>
  <c r="AM286" i="5"/>
  <c r="AN286" i="5"/>
  <c r="AO286" i="5"/>
  <c r="AE287" i="5"/>
  <c r="AF287" i="5"/>
  <c r="AG287" i="5"/>
  <c r="AR287" i="5" s="1"/>
  <c r="AS287" i="5" s="1"/>
  <c r="AH287" i="5"/>
  <c r="AI287" i="5"/>
  <c r="AJ287" i="5"/>
  <c r="AK287" i="5"/>
  <c r="AL287" i="5"/>
  <c r="AM287" i="5"/>
  <c r="AN287" i="5"/>
  <c r="AO287" i="5"/>
  <c r="AE288" i="5"/>
  <c r="AF288" i="5"/>
  <c r="AG288" i="5"/>
  <c r="AR288" i="5" s="1"/>
  <c r="AS288" i="5" s="1"/>
  <c r="AH288" i="5"/>
  <c r="AI288" i="5"/>
  <c r="AJ288" i="5"/>
  <c r="AK288" i="5"/>
  <c r="AL288" i="5"/>
  <c r="AM288" i="5"/>
  <c r="AN288" i="5"/>
  <c r="AO288" i="5"/>
  <c r="AE289" i="5"/>
  <c r="AF289" i="5"/>
  <c r="AG289" i="5"/>
  <c r="AR289" i="5" s="1"/>
  <c r="AS289" i="5" s="1"/>
  <c r="AH289" i="5"/>
  <c r="AI289" i="5"/>
  <c r="AJ289" i="5"/>
  <c r="AK289" i="5"/>
  <c r="AL289" i="5"/>
  <c r="AM289" i="5"/>
  <c r="AN289" i="5"/>
  <c r="AO289" i="5"/>
  <c r="AE290" i="5"/>
  <c r="AF290" i="5"/>
  <c r="AG290" i="5"/>
  <c r="AR290" i="5" s="1"/>
  <c r="AS290" i="5" s="1"/>
  <c r="AH290" i="5"/>
  <c r="AI290" i="5"/>
  <c r="AJ290" i="5"/>
  <c r="AK290" i="5"/>
  <c r="AL290" i="5"/>
  <c r="AM290" i="5"/>
  <c r="AN290" i="5"/>
  <c r="AO290" i="5"/>
  <c r="AE291" i="5"/>
  <c r="AF291" i="5"/>
  <c r="AG291" i="5"/>
  <c r="AR291" i="5" s="1"/>
  <c r="AS291" i="5" s="1"/>
  <c r="AH291" i="5"/>
  <c r="AI291" i="5"/>
  <c r="AJ291" i="5"/>
  <c r="AK291" i="5"/>
  <c r="AL291" i="5"/>
  <c r="AM291" i="5"/>
  <c r="AN291" i="5"/>
  <c r="AO291" i="5"/>
  <c r="AE292" i="5"/>
  <c r="AF292" i="5"/>
  <c r="AG292" i="5"/>
  <c r="AR292" i="5" s="1"/>
  <c r="AS292" i="5" s="1"/>
  <c r="AH292" i="5"/>
  <c r="AI292" i="5"/>
  <c r="AJ292" i="5"/>
  <c r="AK292" i="5"/>
  <c r="AL292" i="5"/>
  <c r="AM292" i="5"/>
  <c r="AN292" i="5"/>
  <c r="AO292" i="5"/>
  <c r="AE293" i="5"/>
  <c r="AF293" i="5"/>
  <c r="AG293" i="5"/>
  <c r="AR293" i="5" s="1"/>
  <c r="AS293" i="5" s="1"/>
  <c r="AH293" i="5"/>
  <c r="AI293" i="5"/>
  <c r="AJ293" i="5"/>
  <c r="AK293" i="5"/>
  <c r="AL293" i="5"/>
  <c r="AM293" i="5"/>
  <c r="AN293" i="5"/>
  <c r="AO293" i="5"/>
  <c r="AE294" i="5"/>
  <c r="AF294" i="5"/>
  <c r="AG294" i="5"/>
  <c r="AR294" i="5" s="1"/>
  <c r="AS294" i="5" s="1"/>
  <c r="AH294" i="5"/>
  <c r="AI294" i="5"/>
  <c r="AJ294" i="5"/>
  <c r="AK294" i="5"/>
  <c r="AL294" i="5"/>
  <c r="AM294" i="5"/>
  <c r="AN294" i="5"/>
  <c r="AO294" i="5"/>
  <c r="AE295" i="5"/>
  <c r="AF295" i="5"/>
  <c r="AG295" i="5"/>
  <c r="AR295" i="5" s="1"/>
  <c r="AS295" i="5" s="1"/>
  <c r="AH295" i="5"/>
  <c r="AI295" i="5"/>
  <c r="AJ295" i="5"/>
  <c r="AK295" i="5"/>
  <c r="AL295" i="5"/>
  <c r="AM295" i="5"/>
  <c r="AN295" i="5"/>
  <c r="AO295" i="5"/>
  <c r="AE296" i="5"/>
  <c r="AF296" i="5"/>
  <c r="AG296" i="5"/>
  <c r="AR296" i="5" s="1"/>
  <c r="AS296" i="5" s="1"/>
  <c r="AH296" i="5"/>
  <c r="AI296" i="5"/>
  <c r="AJ296" i="5"/>
  <c r="AK296" i="5"/>
  <c r="AL296" i="5"/>
  <c r="AM296" i="5"/>
  <c r="AN296" i="5"/>
  <c r="AO296" i="5"/>
  <c r="AE297" i="5"/>
  <c r="AF297" i="5"/>
  <c r="AG297" i="5"/>
  <c r="AR297" i="5" s="1"/>
  <c r="AS297" i="5" s="1"/>
  <c r="AH297" i="5"/>
  <c r="AI297" i="5"/>
  <c r="AJ297" i="5"/>
  <c r="AK297" i="5"/>
  <c r="AL297" i="5"/>
  <c r="AM297" i="5"/>
  <c r="AN297" i="5"/>
  <c r="AO297" i="5"/>
  <c r="AE298" i="5"/>
  <c r="AF298" i="5"/>
  <c r="AG298" i="5"/>
  <c r="AR298" i="5" s="1"/>
  <c r="AS298" i="5" s="1"/>
  <c r="AH298" i="5"/>
  <c r="AI298" i="5"/>
  <c r="AJ298" i="5"/>
  <c r="AK298" i="5"/>
  <c r="AL298" i="5"/>
  <c r="AM298" i="5"/>
  <c r="AN298" i="5"/>
  <c r="AO298" i="5"/>
  <c r="AE299" i="5"/>
  <c r="AF299" i="5"/>
  <c r="AG299" i="5"/>
  <c r="AR299" i="5" s="1"/>
  <c r="AS299" i="5" s="1"/>
  <c r="AH299" i="5"/>
  <c r="AI299" i="5"/>
  <c r="AJ299" i="5"/>
  <c r="AK299" i="5"/>
  <c r="AL299" i="5"/>
  <c r="AM299" i="5"/>
  <c r="AN299" i="5"/>
  <c r="AO299" i="5"/>
  <c r="AE300" i="5"/>
  <c r="AF300" i="5"/>
  <c r="AG300" i="5"/>
  <c r="AR300" i="5" s="1"/>
  <c r="AS300" i="5" s="1"/>
  <c r="AH300" i="5"/>
  <c r="AI300" i="5"/>
  <c r="AJ300" i="5"/>
  <c r="AK300" i="5"/>
  <c r="AL300" i="5"/>
  <c r="AM300" i="5"/>
  <c r="AN300" i="5"/>
  <c r="AO300" i="5"/>
  <c r="AE301" i="5"/>
  <c r="AF301" i="5"/>
  <c r="AG301" i="5"/>
  <c r="AR301" i="5" s="1"/>
  <c r="AS301" i="5" s="1"/>
  <c r="AH301" i="5"/>
  <c r="AI301" i="5"/>
  <c r="AJ301" i="5"/>
  <c r="AK301" i="5"/>
  <c r="AL301" i="5"/>
  <c r="AM301" i="5"/>
  <c r="AN301" i="5"/>
  <c r="AO301" i="5"/>
  <c r="AE302" i="5"/>
  <c r="AF302" i="5"/>
  <c r="AG302" i="5"/>
  <c r="AR302" i="5" s="1"/>
  <c r="AS302" i="5" s="1"/>
  <c r="AH302" i="5"/>
  <c r="AI302" i="5"/>
  <c r="AJ302" i="5"/>
  <c r="AK302" i="5"/>
  <c r="AL302" i="5"/>
  <c r="AM302" i="5"/>
  <c r="AN302" i="5"/>
  <c r="AO302" i="5"/>
  <c r="AE303" i="5"/>
  <c r="AF303" i="5"/>
  <c r="AG303" i="5"/>
  <c r="AR303" i="5" s="1"/>
  <c r="AS303" i="5" s="1"/>
  <c r="AH303" i="5"/>
  <c r="AI303" i="5"/>
  <c r="AJ303" i="5"/>
  <c r="AK303" i="5"/>
  <c r="AL303" i="5"/>
  <c r="AM303" i="5"/>
  <c r="AN303" i="5"/>
  <c r="AO303" i="5"/>
  <c r="AE304" i="5"/>
  <c r="AF304" i="5"/>
  <c r="AG304" i="5"/>
  <c r="AR304" i="5" s="1"/>
  <c r="AS304" i="5" s="1"/>
  <c r="AH304" i="5"/>
  <c r="AI304" i="5"/>
  <c r="AJ304" i="5"/>
  <c r="AK304" i="5"/>
  <c r="AL304" i="5"/>
  <c r="AM304" i="5"/>
  <c r="AN304" i="5"/>
  <c r="AO304" i="5"/>
  <c r="AE305" i="5"/>
  <c r="AF305" i="5"/>
  <c r="AG305" i="5"/>
  <c r="AR305" i="5" s="1"/>
  <c r="AS305" i="5" s="1"/>
  <c r="AH305" i="5"/>
  <c r="AI305" i="5"/>
  <c r="AJ305" i="5"/>
  <c r="AK305" i="5"/>
  <c r="AL305" i="5"/>
  <c r="AM305" i="5"/>
  <c r="AN305" i="5"/>
  <c r="AO305" i="5"/>
  <c r="AE306" i="5"/>
  <c r="AF306" i="5"/>
  <c r="AG306" i="5"/>
  <c r="AR306" i="5" s="1"/>
  <c r="AS306" i="5" s="1"/>
  <c r="AH306" i="5"/>
  <c r="AI306" i="5"/>
  <c r="AJ306" i="5"/>
  <c r="AK306" i="5"/>
  <c r="AL306" i="5"/>
  <c r="AM306" i="5"/>
  <c r="AN306" i="5"/>
  <c r="AO306" i="5"/>
  <c r="AE307" i="5"/>
  <c r="AF307" i="5"/>
  <c r="AG307" i="5"/>
  <c r="AR307" i="5" s="1"/>
  <c r="AS307" i="5" s="1"/>
  <c r="AH307" i="5"/>
  <c r="AI307" i="5"/>
  <c r="AJ307" i="5"/>
  <c r="AK307" i="5"/>
  <c r="AL307" i="5"/>
  <c r="AM307" i="5"/>
  <c r="AN307" i="5"/>
  <c r="AO307" i="5"/>
  <c r="AE308" i="5"/>
  <c r="AF308" i="5"/>
  <c r="AG308" i="5"/>
  <c r="AR308" i="5" s="1"/>
  <c r="AS308" i="5" s="1"/>
  <c r="AH308" i="5"/>
  <c r="AI308" i="5"/>
  <c r="AJ308" i="5"/>
  <c r="AK308" i="5"/>
  <c r="AL308" i="5"/>
  <c r="AM308" i="5"/>
  <c r="AN308" i="5"/>
  <c r="AO308" i="5"/>
  <c r="AE309" i="5"/>
  <c r="AF309" i="5"/>
  <c r="AG309" i="5"/>
  <c r="AR309" i="5" s="1"/>
  <c r="AS309" i="5" s="1"/>
  <c r="AH309" i="5"/>
  <c r="AI309" i="5"/>
  <c r="AJ309" i="5"/>
  <c r="AK309" i="5"/>
  <c r="AL309" i="5"/>
  <c r="AM309" i="5"/>
  <c r="AN309" i="5"/>
  <c r="AO309" i="5"/>
  <c r="AE310" i="5"/>
  <c r="AF310" i="5"/>
  <c r="AG310" i="5"/>
  <c r="AR310" i="5" s="1"/>
  <c r="AS310" i="5" s="1"/>
  <c r="AH310" i="5"/>
  <c r="AI310" i="5"/>
  <c r="AJ310" i="5"/>
  <c r="AK310" i="5"/>
  <c r="AL310" i="5"/>
  <c r="AM310" i="5"/>
  <c r="AN310" i="5"/>
  <c r="AO310" i="5"/>
  <c r="AE311" i="5"/>
  <c r="AF311" i="5"/>
  <c r="AG311" i="5"/>
  <c r="AR311" i="5" s="1"/>
  <c r="AS311" i="5" s="1"/>
  <c r="AH311" i="5"/>
  <c r="AI311" i="5"/>
  <c r="AJ311" i="5"/>
  <c r="AK311" i="5"/>
  <c r="AL311" i="5"/>
  <c r="AM311" i="5"/>
  <c r="AN311" i="5"/>
  <c r="AO311" i="5"/>
  <c r="AE312" i="5"/>
  <c r="AF312" i="5"/>
  <c r="AG312" i="5"/>
  <c r="AR312" i="5" s="1"/>
  <c r="AS312" i="5" s="1"/>
  <c r="AH312" i="5"/>
  <c r="AI312" i="5"/>
  <c r="AJ312" i="5"/>
  <c r="AK312" i="5"/>
  <c r="AL312" i="5"/>
  <c r="AM312" i="5"/>
  <c r="AN312" i="5"/>
  <c r="AO312" i="5"/>
  <c r="AE313" i="5"/>
  <c r="AF313" i="5"/>
  <c r="AG313" i="5"/>
  <c r="AR313" i="5" s="1"/>
  <c r="AS313" i="5" s="1"/>
  <c r="AH313" i="5"/>
  <c r="AI313" i="5"/>
  <c r="AJ313" i="5"/>
  <c r="AK313" i="5"/>
  <c r="AL313" i="5"/>
  <c r="AM313" i="5"/>
  <c r="AN313" i="5"/>
  <c r="AO313" i="5"/>
  <c r="AE314" i="5"/>
  <c r="AF314" i="5"/>
  <c r="AG314" i="5"/>
  <c r="AR314" i="5" s="1"/>
  <c r="AS314" i="5" s="1"/>
  <c r="AH314" i="5"/>
  <c r="AI314" i="5"/>
  <c r="AJ314" i="5"/>
  <c r="AK314" i="5"/>
  <c r="AL314" i="5"/>
  <c r="AM314" i="5"/>
  <c r="AN314" i="5"/>
  <c r="AO314" i="5"/>
  <c r="AE315" i="5"/>
  <c r="AF315" i="5"/>
  <c r="AG315" i="5"/>
  <c r="AR315" i="5" s="1"/>
  <c r="AS315" i="5" s="1"/>
  <c r="AH315" i="5"/>
  <c r="AI315" i="5"/>
  <c r="AJ315" i="5"/>
  <c r="AK315" i="5"/>
  <c r="AL315" i="5"/>
  <c r="AM315" i="5"/>
  <c r="AN315" i="5"/>
  <c r="AO315" i="5"/>
  <c r="AE316" i="5"/>
  <c r="AF316" i="5"/>
  <c r="AG316" i="5"/>
  <c r="AR316" i="5" s="1"/>
  <c r="AS316" i="5" s="1"/>
  <c r="AH316" i="5"/>
  <c r="AI316" i="5"/>
  <c r="AJ316" i="5"/>
  <c r="AK316" i="5"/>
  <c r="AL316" i="5"/>
  <c r="AM316" i="5"/>
  <c r="AN316" i="5"/>
  <c r="AO316" i="5"/>
  <c r="AE317" i="5"/>
  <c r="AF317" i="5"/>
  <c r="AG317" i="5"/>
  <c r="AR317" i="5" s="1"/>
  <c r="AS317" i="5" s="1"/>
  <c r="AH317" i="5"/>
  <c r="AI317" i="5"/>
  <c r="AJ317" i="5"/>
  <c r="AK317" i="5"/>
  <c r="AL317" i="5"/>
  <c r="AM317" i="5"/>
  <c r="AN317" i="5"/>
  <c r="AO317" i="5"/>
  <c r="AE318" i="5"/>
  <c r="AF318" i="5"/>
  <c r="AG318" i="5"/>
  <c r="AR318" i="5" s="1"/>
  <c r="AS318" i="5" s="1"/>
  <c r="AH318" i="5"/>
  <c r="AI318" i="5"/>
  <c r="AJ318" i="5"/>
  <c r="AK318" i="5"/>
  <c r="AL318" i="5"/>
  <c r="AM318" i="5"/>
  <c r="AN318" i="5"/>
  <c r="AO318" i="5"/>
  <c r="AE319" i="5"/>
  <c r="AF319" i="5"/>
  <c r="AG319" i="5"/>
  <c r="AR319" i="5" s="1"/>
  <c r="AS319" i="5" s="1"/>
  <c r="AH319" i="5"/>
  <c r="AI319" i="5"/>
  <c r="AJ319" i="5"/>
  <c r="AK319" i="5"/>
  <c r="AL319" i="5"/>
  <c r="AM319" i="5"/>
  <c r="AN319" i="5"/>
  <c r="AO319" i="5"/>
  <c r="AE320" i="5"/>
  <c r="AF320" i="5"/>
  <c r="AG320" i="5"/>
  <c r="AR320" i="5" s="1"/>
  <c r="AS320" i="5" s="1"/>
  <c r="AH320" i="5"/>
  <c r="AI320" i="5"/>
  <c r="AJ320" i="5"/>
  <c r="AK320" i="5"/>
  <c r="AL320" i="5"/>
  <c r="AM320" i="5"/>
  <c r="AN320" i="5"/>
  <c r="AO320" i="5"/>
  <c r="AE321" i="5"/>
  <c r="AF321" i="5"/>
  <c r="AG321" i="5"/>
  <c r="AR321" i="5" s="1"/>
  <c r="AS321" i="5" s="1"/>
  <c r="AH321" i="5"/>
  <c r="AI321" i="5"/>
  <c r="AJ321" i="5"/>
  <c r="AK321" i="5"/>
  <c r="AL321" i="5"/>
  <c r="AM321" i="5"/>
  <c r="AN321" i="5"/>
  <c r="AO321" i="5"/>
  <c r="AE322" i="5"/>
  <c r="AF322" i="5"/>
  <c r="AG322" i="5"/>
  <c r="AR322" i="5" s="1"/>
  <c r="AS322" i="5" s="1"/>
  <c r="AH322" i="5"/>
  <c r="AI322" i="5"/>
  <c r="AJ322" i="5"/>
  <c r="AK322" i="5"/>
  <c r="AL322" i="5"/>
  <c r="AM322" i="5"/>
  <c r="AN322" i="5"/>
  <c r="AO322" i="5"/>
  <c r="AE323" i="5"/>
  <c r="AF323" i="5"/>
  <c r="AG323" i="5"/>
  <c r="AR323" i="5" s="1"/>
  <c r="AS323" i="5" s="1"/>
  <c r="AH323" i="5"/>
  <c r="AI323" i="5"/>
  <c r="AJ323" i="5"/>
  <c r="AK323" i="5"/>
  <c r="AL323" i="5"/>
  <c r="AM323" i="5"/>
  <c r="AN323" i="5"/>
  <c r="AO323" i="5"/>
  <c r="AE324" i="5"/>
  <c r="AF324" i="5"/>
  <c r="AG324" i="5"/>
  <c r="AR324" i="5" s="1"/>
  <c r="AS324" i="5" s="1"/>
  <c r="AH324" i="5"/>
  <c r="AI324" i="5"/>
  <c r="AJ324" i="5"/>
  <c r="AK324" i="5"/>
  <c r="AL324" i="5"/>
  <c r="AM324" i="5"/>
  <c r="AN324" i="5"/>
  <c r="AO324" i="5"/>
  <c r="AE325" i="5"/>
  <c r="AF325" i="5"/>
  <c r="AG325" i="5"/>
  <c r="AR325" i="5" s="1"/>
  <c r="AS325" i="5" s="1"/>
  <c r="AH325" i="5"/>
  <c r="AI325" i="5"/>
  <c r="AJ325" i="5"/>
  <c r="AK325" i="5"/>
  <c r="AL325" i="5"/>
  <c r="AM325" i="5"/>
  <c r="AN325" i="5"/>
  <c r="AO325" i="5"/>
  <c r="AE326" i="5"/>
  <c r="AF326" i="5"/>
  <c r="AG326" i="5"/>
  <c r="AR326" i="5" s="1"/>
  <c r="AS326" i="5" s="1"/>
  <c r="AH326" i="5"/>
  <c r="AI326" i="5"/>
  <c r="AJ326" i="5"/>
  <c r="AK326" i="5"/>
  <c r="AL326" i="5"/>
  <c r="AM326" i="5"/>
  <c r="AN326" i="5"/>
  <c r="AO326" i="5"/>
  <c r="AE327" i="5"/>
  <c r="AF327" i="5"/>
  <c r="AG327" i="5"/>
  <c r="AR327" i="5" s="1"/>
  <c r="AS327" i="5" s="1"/>
  <c r="AH327" i="5"/>
  <c r="AI327" i="5"/>
  <c r="AJ327" i="5"/>
  <c r="AK327" i="5"/>
  <c r="AL327" i="5"/>
  <c r="AM327" i="5"/>
  <c r="AN327" i="5"/>
  <c r="AO327" i="5"/>
  <c r="AE328" i="5"/>
  <c r="AF328" i="5"/>
  <c r="AG328" i="5"/>
  <c r="AR328" i="5" s="1"/>
  <c r="AS328" i="5" s="1"/>
  <c r="AH328" i="5"/>
  <c r="AI328" i="5"/>
  <c r="AJ328" i="5"/>
  <c r="AK328" i="5"/>
  <c r="AL328" i="5"/>
  <c r="AM328" i="5"/>
  <c r="AN328" i="5"/>
  <c r="AO328" i="5"/>
  <c r="AE329" i="5"/>
  <c r="AF329" i="5"/>
  <c r="AG329" i="5"/>
  <c r="AR329" i="5" s="1"/>
  <c r="AS329" i="5" s="1"/>
  <c r="AH329" i="5"/>
  <c r="AI329" i="5"/>
  <c r="AJ329" i="5"/>
  <c r="AK329" i="5"/>
  <c r="AL329" i="5"/>
  <c r="AM329" i="5"/>
  <c r="AN329" i="5"/>
  <c r="AO329" i="5"/>
  <c r="AE330" i="5"/>
  <c r="AF330" i="5"/>
  <c r="AG330" i="5"/>
  <c r="AR330" i="5" s="1"/>
  <c r="AS330" i="5" s="1"/>
  <c r="AH330" i="5"/>
  <c r="AI330" i="5"/>
  <c r="AJ330" i="5"/>
  <c r="AK330" i="5"/>
  <c r="AL330" i="5"/>
  <c r="AM330" i="5"/>
  <c r="AN330" i="5"/>
  <c r="AO330" i="5"/>
  <c r="AE331" i="5"/>
  <c r="AF331" i="5"/>
  <c r="AG331" i="5"/>
  <c r="AR331" i="5" s="1"/>
  <c r="AS331" i="5" s="1"/>
  <c r="AH331" i="5"/>
  <c r="AI331" i="5"/>
  <c r="AJ331" i="5"/>
  <c r="AK331" i="5"/>
  <c r="AL331" i="5"/>
  <c r="AM331" i="5"/>
  <c r="AN331" i="5"/>
  <c r="AO331" i="5"/>
  <c r="AE332" i="5"/>
  <c r="AF332" i="5"/>
  <c r="AG332" i="5"/>
  <c r="AR332" i="5" s="1"/>
  <c r="AS332" i="5" s="1"/>
  <c r="AH332" i="5"/>
  <c r="AI332" i="5"/>
  <c r="AJ332" i="5"/>
  <c r="AK332" i="5"/>
  <c r="AL332" i="5"/>
  <c r="AM332" i="5"/>
  <c r="AN332" i="5"/>
  <c r="AO332" i="5"/>
  <c r="AE333" i="5"/>
  <c r="AF333" i="5"/>
  <c r="AG333" i="5"/>
  <c r="AR333" i="5" s="1"/>
  <c r="AS333" i="5" s="1"/>
  <c r="AH333" i="5"/>
  <c r="AI333" i="5"/>
  <c r="AJ333" i="5"/>
  <c r="AK333" i="5"/>
  <c r="AL333" i="5"/>
  <c r="AM333" i="5"/>
  <c r="AN333" i="5"/>
  <c r="AO333" i="5"/>
  <c r="AE334" i="5"/>
  <c r="AF334" i="5"/>
  <c r="AG334" i="5"/>
  <c r="AR334" i="5" s="1"/>
  <c r="AS334" i="5" s="1"/>
  <c r="AH334" i="5"/>
  <c r="AI334" i="5"/>
  <c r="AJ334" i="5"/>
  <c r="AK334" i="5"/>
  <c r="AL334" i="5"/>
  <c r="AM334" i="5"/>
  <c r="AN334" i="5"/>
  <c r="AO334" i="5"/>
  <c r="AE335" i="5"/>
  <c r="AF335" i="5"/>
  <c r="AG335" i="5"/>
  <c r="AR335" i="5" s="1"/>
  <c r="AS335" i="5" s="1"/>
  <c r="AH335" i="5"/>
  <c r="AI335" i="5"/>
  <c r="AJ335" i="5"/>
  <c r="AK335" i="5"/>
  <c r="AL335" i="5"/>
  <c r="AM335" i="5"/>
  <c r="AN335" i="5"/>
  <c r="AO335" i="5"/>
  <c r="AE336" i="5"/>
  <c r="AF336" i="5"/>
  <c r="AG336" i="5"/>
  <c r="AR336" i="5" s="1"/>
  <c r="AS336" i="5" s="1"/>
  <c r="AH336" i="5"/>
  <c r="AI336" i="5"/>
  <c r="AJ336" i="5"/>
  <c r="AK336" i="5"/>
  <c r="AL336" i="5"/>
  <c r="AM336" i="5"/>
  <c r="AN336" i="5"/>
  <c r="AO336" i="5"/>
  <c r="AE337" i="5"/>
  <c r="AF337" i="5"/>
  <c r="AG337" i="5"/>
  <c r="AR337" i="5" s="1"/>
  <c r="AS337" i="5" s="1"/>
  <c r="AH337" i="5"/>
  <c r="AI337" i="5"/>
  <c r="AJ337" i="5"/>
  <c r="AK337" i="5"/>
  <c r="AL337" i="5"/>
  <c r="AM337" i="5"/>
  <c r="AN337" i="5"/>
  <c r="AO337" i="5"/>
  <c r="AE338" i="5"/>
  <c r="AF338" i="5"/>
  <c r="AG338" i="5"/>
  <c r="AR338" i="5" s="1"/>
  <c r="AS338" i="5" s="1"/>
  <c r="AH338" i="5"/>
  <c r="AI338" i="5"/>
  <c r="AJ338" i="5"/>
  <c r="AK338" i="5"/>
  <c r="AL338" i="5"/>
  <c r="AM338" i="5"/>
  <c r="AN338" i="5"/>
  <c r="AO338" i="5"/>
  <c r="AE339" i="5"/>
  <c r="AF339" i="5"/>
  <c r="AG339" i="5"/>
  <c r="AR339" i="5" s="1"/>
  <c r="AS339" i="5" s="1"/>
  <c r="AH339" i="5"/>
  <c r="AI339" i="5"/>
  <c r="AJ339" i="5"/>
  <c r="AK339" i="5"/>
  <c r="AL339" i="5"/>
  <c r="AM339" i="5"/>
  <c r="AN339" i="5"/>
  <c r="AO339" i="5"/>
  <c r="AE340" i="5"/>
  <c r="AF340" i="5"/>
  <c r="AG340" i="5"/>
  <c r="AR340" i="5" s="1"/>
  <c r="AS340" i="5" s="1"/>
  <c r="AH340" i="5"/>
  <c r="AI340" i="5"/>
  <c r="AJ340" i="5"/>
  <c r="AK340" i="5"/>
  <c r="AL340" i="5"/>
  <c r="AM340" i="5"/>
  <c r="AN340" i="5"/>
  <c r="AO340" i="5"/>
  <c r="AE341" i="5"/>
  <c r="AF341" i="5"/>
  <c r="AG341" i="5"/>
  <c r="AR341" i="5" s="1"/>
  <c r="AS341" i="5" s="1"/>
  <c r="AH341" i="5"/>
  <c r="AI341" i="5"/>
  <c r="AJ341" i="5"/>
  <c r="AK341" i="5"/>
  <c r="AL341" i="5"/>
  <c r="AM341" i="5"/>
  <c r="AN341" i="5"/>
  <c r="AO341" i="5"/>
  <c r="AE342" i="5"/>
  <c r="AF342" i="5"/>
  <c r="AG342" i="5"/>
  <c r="AR342" i="5" s="1"/>
  <c r="AS342" i="5" s="1"/>
  <c r="AH342" i="5"/>
  <c r="AI342" i="5"/>
  <c r="AJ342" i="5"/>
  <c r="AK342" i="5"/>
  <c r="AL342" i="5"/>
  <c r="AM342" i="5"/>
  <c r="AN342" i="5"/>
  <c r="AO342" i="5"/>
  <c r="AE343" i="5"/>
  <c r="AF343" i="5"/>
  <c r="AG343" i="5"/>
  <c r="AR343" i="5" s="1"/>
  <c r="AS343" i="5" s="1"/>
  <c r="AH343" i="5"/>
  <c r="AI343" i="5"/>
  <c r="AJ343" i="5"/>
  <c r="AK343" i="5"/>
  <c r="AL343" i="5"/>
  <c r="AM343" i="5"/>
  <c r="AN343" i="5"/>
  <c r="AO343" i="5"/>
  <c r="AE344" i="5"/>
  <c r="AF344" i="5"/>
  <c r="AG344" i="5"/>
  <c r="AR344" i="5" s="1"/>
  <c r="AS344" i="5" s="1"/>
  <c r="AH344" i="5"/>
  <c r="AI344" i="5"/>
  <c r="AJ344" i="5"/>
  <c r="AK344" i="5"/>
  <c r="AL344" i="5"/>
  <c r="AM344" i="5"/>
  <c r="AN344" i="5"/>
  <c r="AO344" i="5"/>
  <c r="AE345" i="5"/>
  <c r="AF345" i="5"/>
  <c r="AG345" i="5"/>
  <c r="AR345" i="5" s="1"/>
  <c r="AS345" i="5" s="1"/>
  <c r="AH345" i="5"/>
  <c r="AI345" i="5"/>
  <c r="AJ345" i="5"/>
  <c r="AK345" i="5"/>
  <c r="AL345" i="5"/>
  <c r="AM345" i="5"/>
  <c r="AN345" i="5"/>
  <c r="AO345" i="5"/>
  <c r="AE346" i="5"/>
  <c r="AF346" i="5"/>
  <c r="AG346" i="5"/>
  <c r="AR346" i="5" s="1"/>
  <c r="AS346" i="5" s="1"/>
  <c r="AH346" i="5"/>
  <c r="AI346" i="5"/>
  <c r="AJ346" i="5"/>
  <c r="AK346" i="5"/>
  <c r="AL346" i="5"/>
  <c r="AM346" i="5"/>
  <c r="AN346" i="5"/>
  <c r="AO346" i="5"/>
  <c r="AE347" i="5"/>
  <c r="AF347" i="5"/>
  <c r="AG347" i="5"/>
  <c r="AR347" i="5" s="1"/>
  <c r="AS347" i="5" s="1"/>
  <c r="AH347" i="5"/>
  <c r="AI347" i="5"/>
  <c r="AJ347" i="5"/>
  <c r="AK347" i="5"/>
  <c r="AL347" i="5"/>
  <c r="AM347" i="5"/>
  <c r="AN347" i="5"/>
  <c r="AO347" i="5"/>
  <c r="AE348" i="5"/>
  <c r="AF348" i="5"/>
  <c r="AG348" i="5"/>
  <c r="AR348" i="5" s="1"/>
  <c r="AS348" i="5" s="1"/>
  <c r="AH348" i="5"/>
  <c r="AI348" i="5"/>
  <c r="AJ348" i="5"/>
  <c r="AK348" i="5"/>
  <c r="AL348" i="5"/>
  <c r="AM348" i="5"/>
  <c r="AN348" i="5"/>
  <c r="AO348" i="5"/>
  <c r="AE349" i="5"/>
  <c r="AF349" i="5"/>
  <c r="AG349" i="5"/>
  <c r="AR349" i="5" s="1"/>
  <c r="AS349" i="5" s="1"/>
  <c r="AH349" i="5"/>
  <c r="AI349" i="5"/>
  <c r="AJ349" i="5"/>
  <c r="AK349" i="5"/>
  <c r="AL349" i="5"/>
  <c r="AM349" i="5"/>
  <c r="AN349" i="5"/>
  <c r="AO349" i="5"/>
  <c r="AE350" i="5"/>
  <c r="AF350" i="5"/>
  <c r="AG350" i="5"/>
  <c r="AR350" i="5" s="1"/>
  <c r="AS350" i="5" s="1"/>
  <c r="AH350" i="5"/>
  <c r="AI350" i="5"/>
  <c r="AJ350" i="5"/>
  <c r="AK350" i="5"/>
  <c r="AL350" i="5"/>
  <c r="AM350" i="5"/>
  <c r="AN350" i="5"/>
  <c r="AO350" i="5"/>
  <c r="AE351" i="5"/>
  <c r="AF351" i="5"/>
  <c r="AG351" i="5"/>
  <c r="AR351" i="5" s="1"/>
  <c r="AS351" i="5" s="1"/>
  <c r="AH351" i="5"/>
  <c r="AI351" i="5"/>
  <c r="AJ351" i="5"/>
  <c r="AK351" i="5"/>
  <c r="AL351" i="5"/>
  <c r="AM351" i="5"/>
  <c r="AN351" i="5"/>
  <c r="AO351" i="5"/>
  <c r="AE352" i="5"/>
  <c r="AF352" i="5"/>
  <c r="AG352" i="5"/>
  <c r="AR352" i="5" s="1"/>
  <c r="AS352" i="5" s="1"/>
  <c r="AH352" i="5"/>
  <c r="AI352" i="5"/>
  <c r="AJ352" i="5"/>
  <c r="AK352" i="5"/>
  <c r="AL352" i="5"/>
  <c r="AM352" i="5"/>
  <c r="AN352" i="5"/>
  <c r="AO352" i="5"/>
  <c r="AE353" i="5"/>
  <c r="AF353" i="5"/>
  <c r="AG353" i="5"/>
  <c r="AR353" i="5" s="1"/>
  <c r="AS353" i="5" s="1"/>
  <c r="AH353" i="5"/>
  <c r="AI353" i="5"/>
  <c r="AJ353" i="5"/>
  <c r="AK353" i="5"/>
  <c r="AL353" i="5"/>
  <c r="AM353" i="5"/>
  <c r="AN353" i="5"/>
  <c r="AO353" i="5"/>
  <c r="AE354" i="5"/>
  <c r="AF354" i="5"/>
  <c r="AG354" i="5"/>
  <c r="AR354" i="5" s="1"/>
  <c r="AS354" i="5" s="1"/>
  <c r="AH354" i="5"/>
  <c r="AI354" i="5"/>
  <c r="AJ354" i="5"/>
  <c r="AK354" i="5"/>
  <c r="AL354" i="5"/>
  <c r="AM354" i="5"/>
  <c r="AN354" i="5"/>
  <c r="AO354" i="5"/>
  <c r="AE355" i="5"/>
  <c r="AF355" i="5"/>
  <c r="AG355" i="5"/>
  <c r="AR355" i="5" s="1"/>
  <c r="AS355" i="5" s="1"/>
  <c r="AH355" i="5"/>
  <c r="AI355" i="5"/>
  <c r="AJ355" i="5"/>
  <c r="AK355" i="5"/>
  <c r="AL355" i="5"/>
  <c r="AM355" i="5"/>
  <c r="AN355" i="5"/>
  <c r="AO355" i="5"/>
  <c r="AE356" i="5"/>
  <c r="AF356" i="5"/>
  <c r="AG356" i="5"/>
  <c r="AR356" i="5" s="1"/>
  <c r="AS356" i="5" s="1"/>
  <c r="AH356" i="5"/>
  <c r="AI356" i="5"/>
  <c r="AJ356" i="5"/>
  <c r="AK356" i="5"/>
  <c r="AL356" i="5"/>
  <c r="AM356" i="5"/>
  <c r="AN356" i="5"/>
  <c r="AO356" i="5"/>
  <c r="AE357" i="5"/>
  <c r="AF357" i="5"/>
  <c r="AG357" i="5"/>
  <c r="AR357" i="5" s="1"/>
  <c r="AS357" i="5" s="1"/>
  <c r="AH357" i="5"/>
  <c r="AI357" i="5"/>
  <c r="AJ357" i="5"/>
  <c r="AK357" i="5"/>
  <c r="AL357" i="5"/>
  <c r="AM357" i="5"/>
  <c r="AN357" i="5"/>
  <c r="AO357" i="5"/>
  <c r="AE358" i="5"/>
  <c r="AF358" i="5"/>
  <c r="AG358" i="5"/>
  <c r="AR358" i="5" s="1"/>
  <c r="AS358" i="5" s="1"/>
  <c r="AH358" i="5"/>
  <c r="AI358" i="5"/>
  <c r="AJ358" i="5"/>
  <c r="AK358" i="5"/>
  <c r="AL358" i="5"/>
  <c r="AM358" i="5"/>
  <c r="AN358" i="5"/>
  <c r="AO358" i="5"/>
  <c r="AE359" i="5"/>
  <c r="AF359" i="5"/>
  <c r="AG359" i="5"/>
  <c r="AR359" i="5" s="1"/>
  <c r="AS359" i="5" s="1"/>
  <c r="AH359" i="5"/>
  <c r="AI359" i="5"/>
  <c r="AJ359" i="5"/>
  <c r="AK359" i="5"/>
  <c r="AL359" i="5"/>
  <c r="AM359" i="5"/>
  <c r="AN359" i="5"/>
  <c r="AO359" i="5"/>
  <c r="AE360" i="5"/>
  <c r="AF360" i="5"/>
  <c r="AG360" i="5"/>
  <c r="AR360" i="5" s="1"/>
  <c r="AS360" i="5" s="1"/>
  <c r="AH360" i="5"/>
  <c r="AI360" i="5"/>
  <c r="AJ360" i="5"/>
  <c r="AK360" i="5"/>
  <c r="AL360" i="5"/>
  <c r="AM360" i="5"/>
  <c r="AN360" i="5"/>
  <c r="AO360" i="5"/>
  <c r="AE361" i="5"/>
  <c r="AF361" i="5"/>
  <c r="AG361" i="5"/>
  <c r="AR361" i="5" s="1"/>
  <c r="AS361" i="5" s="1"/>
  <c r="AH361" i="5"/>
  <c r="AI361" i="5"/>
  <c r="AJ361" i="5"/>
  <c r="AK361" i="5"/>
  <c r="AL361" i="5"/>
  <c r="AM361" i="5"/>
  <c r="AN361" i="5"/>
  <c r="AO361" i="5"/>
  <c r="AE362" i="5"/>
  <c r="AF362" i="5"/>
  <c r="AG362" i="5"/>
  <c r="AR362" i="5" s="1"/>
  <c r="AS362" i="5" s="1"/>
  <c r="AH362" i="5"/>
  <c r="AI362" i="5"/>
  <c r="AJ362" i="5"/>
  <c r="AK362" i="5"/>
  <c r="AL362" i="5"/>
  <c r="AM362" i="5"/>
  <c r="AN362" i="5"/>
  <c r="AO362" i="5"/>
  <c r="AE363" i="5"/>
  <c r="AF363" i="5"/>
  <c r="AG363" i="5"/>
  <c r="AR363" i="5" s="1"/>
  <c r="AS363" i="5" s="1"/>
  <c r="AH363" i="5"/>
  <c r="AI363" i="5"/>
  <c r="AJ363" i="5"/>
  <c r="AK363" i="5"/>
  <c r="AL363" i="5"/>
  <c r="AM363" i="5"/>
  <c r="AN363" i="5"/>
  <c r="AO363" i="5"/>
  <c r="AE364" i="5"/>
  <c r="AF364" i="5"/>
  <c r="AG364" i="5"/>
  <c r="AR364" i="5" s="1"/>
  <c r="AS364" i="5" s="1"/>
  <c r="AH364" i="5"/>
  <c r="AI364" i="5"/>
  <c r="AJ364" i="5"/>
  <c r="AK364" i="5"/>
  <c r="AL364" i="5"/>
  <c r="AM364" i="5"/>
  <c r="AN364" i="5"/>
  <c r="AO364" i="5"/>
  <c r="AE365" i="5"/>
  <c r="AF365" i="5"/>
  <c r="AG365" i="5"/>
  <c r="AR365" i="5" s="1"/>
  <c r="AS365" i="5" s="1"/>
  <c r="AH365" i="5"/>
  <c r="AI365" i="5"/>
  <c r="AJ365" i="5"/>
  <c r="AK365" i="5"/>
  <c r="AL365" i="5"/>
  <c r="AM365" i="5"/>
  <c r="AN365" i="5"/>
  <c r="AO365" i="5"/>
  <c r="AE366" i="5"/>
  <c r="AF366" i="5"/>
  <c r="AG366" i="5"/>
  <c r="AR366" i="5" s="1"/>
  <c r="AS366" i="5" s="1"/>
  <c r="AH366" i="5"/>
  <c r="AI366" i="5"/>
  <c r="AJ366" i="5"/>
  <c r="AK366" i="5"/>
  <c r="AL366" i="5"/>
  <c r="AM366" i="5"/>
  <c r="AN366" i="5"/>
  <c r="AO366" i="5"/>
  <c r="AE367" i="5"/>
  <c r="AF367" i="5"/>
  <c r="AG367" i="5"/>
  <c r="AR367" i="5" s="1"/>
  <c r="AS367" i="5" s="1"/>
  <c r="AH367" i="5"/>
  <c r="AI367" i="5"/>
  <c r="AJ367" i="5"/>
  <c r="AK367" i="5"/>
  <c r="AL367" i="5"/>
  <c r="AM367" i="5"/>
  <c r="AN367" i="5"/>
  <c r="AO367" i="5"/>
  <c r="AE368" i="5"/>
  <c r="AF368" i="5"/>
  <c r="AG368" i="5"/>
  <c r="AR368" i="5" s="1"/>
  <c r="AS368" i="5" s="1"/>
  <c r="AH368" i="5"/>
  <c r="AI368" i="5"/>
  <c r="AJ368" i="5"/>
  <c r="AK368" i="5"/>
  <c r="AL368" i="5"/>
  <c r="AM368" i="5"/>
  <c r="AN368" i="5"/>
  <c r="AO368" i="5"/>
  <c r="AE369" i="5"/>
  <c r="AF369" i="5"/>
  <c r="AG369" i="5"/>
  <c r="AR369" i="5" s="1"/>
  <c r="AS369" i="5" s="1"/>
  <c r="AH369" i="5"/>
  <c r="AI369" i="5"/>
  <c r="AJ369" i="5"/>
  <c r="AK369" i="5"/>
  <c r="AL369" i="5"/>
  <c r="AM369" i="5"/>
  <c r="AN369" i="5"/>
  <c r="AO369" i="5"/>
  <c r="AE370" i="5"/>
  <c r="AF370" i="5"/>
  <c r="AG370" i="5"/>
  <c r="AR370" i="5" s="1"/>
  <c r="AS370" i="5" s="1"/>
  <c r="AH370" i="5"/>
  <c r="AI370" i="5"/>
  <c r="AJ370" i="5"/>
  <c r="AK370" i="5"/>
  <c r="AL370" i="5"/>
  <c r="AM370" i="5"/>
  <c r="AN370" i="5"/>
  <c r="AO370" i="5"/>
  <c r="AE371" i="5"/>
  <c r="AF371" i="5"/>
  <c r="AG371" i="5"/>
  <c r="AR371" i="5" s="1"/>
  <c r="AS371" i="5" s="1"/>
  <c r="AH371" i="5"/>
  <c r="AI371" i="5"/>
  <c r="AJ371" i="5"/>
  <c r="AK371" i="5"/>
  <c r="AL371" i="5"/>
  <c r="AM371" i="5"/>
  <c r="AN371" i="5"/>
  <c r="AO371" i="5"/>
  <c r="AE372" i="5"/>
  <c r="AF372" i="5"/>
  <c r="AG372" i="5"/>
  <c r="AR372" i="5" s="1"/>
  <c r="AS372" i="5" s="1"/>
  <c r="AH372" i="5"/>
  <c r="AI372" i="5"/>
  <c r="AJ372" i="5"/>
  <c r="AK372" i="5"/>
  <c r="AL372" i="5"/>
  <c r="AM372" i="5"/>
  <c r="AN372" i="5"/>
  <c r="AO372" i="5"/>
  <c r="AE373" i="5"/>
  <c r="AF373" i="5"/>
  <c r="AG373" i="5"/>
  <c r="AR373" i="5" s="1"/>
  <c r="AS373" i="5" s="1"/>
  <c r="AH373" i="5"/>
  <c r="AI373" i="5"/>
  <c r="AJ373" i="5"/>
  <c r="AK373" i="5"/>
  <c r="AL373" i="5"/>
  <c r="AM373" i="5"/>
  <c r="AN373" i="5"/>
  <c r="AO373" i="5"/>
  <c r="AE374" i="5"/>
  <c r="AF374" i="5"/>
  <c r="AG374" i="5"/>
  <c r="AR374" i="5" s="1"/>
  <c r="AS374" i="5" s="1"/>
  <c r="AH374" i="5"/>
  <c r="AI374" i="5"/>
  <c r="AJ374" i="5"/>
  <c r="AK374" i="5"/>
  <c r="AL374" i="5"/>
  <c r="AM374" i="5"/>
  <c r="AN374" i="5"/>
  <c r="AO374" i="5"/>
  <c r="AE375" i="5"/>
  <c r="AF375" i="5"/>
  <c r="AG375" i="5"/>
  <c r="AR375" i="5" s="1"/>
  <c r="AS375" i="5" s="1"/>
  <c r="AH375" i="5"/>
  <c r="AI375" i="5"/>
  <c r="AJ375" i="5"/>
  <c r="AK375" i="5"/>
  <c r="AL375" i="5"/>
  <c r="AM375" i="5"/>
  <c r="AN375" i="5"/>
  <c r="AO375" i="5"/>
  <c r="AE376" i="5"/>
  <c r="AF376" i="5"/>
  <c r="AG376" i="5"/>
  <c r="AR376" i="5" s="1"/>
  <c r="AS376" i="5" s="1"/>
  <c r="AH376" i="5"/>
  <c r="AI376" i="5"/>
  <c r="AJ376" i="5"/>
  <c r="AK376" i="5"/>
  <c r="AL376" i="5"/>
  <c r="AM376" i="5"/>
  <c r="AN376" i="5"/>
  <c r="AO376" i="5"/>
  <c r="AE377" i="5"/>
  <c r="AF377" i="5"/>
  <c r="AG377" i="5"/>
  <c r="AR377" i="5" s="1"/>
  <c r="AS377" i="5" s="1"/>
  <c r="AH377" i="5"/>
  <c r="AI377" i="5"/>
  <c r="AJ377" i="5"/>
  <c r="AK377" i="5"/>
  <c r="AL377" i="5"/>
  <c r="AM377" i="5"/>
  <c r="AN377" i="5"/>
  <c r="AO377" i="5"/>
  <c r="AE378" i="5"/>
  <c r="AF378" i="5"/>
  <c r="AG378" i="5"/>
  <c r="AR378" i="5" s="1"/>
  <c r="AS378" i="5" s="1"/>
  <c r="AH378" i="5"/>
  <c r="AI378" i="5"/>
  <c r="AJ378" i="5"/>
  <c r="AK378" i="5"/>
  <c r="AL378" i="5"/>
  <c r="AM378" i="5"/>
  <c r="AN378" i="5"/>
  <c r="AO378" i="5"/>
  <c r="AE379" i="5"/>
  <c r="AF379" i="5"/>
  <c r="AG379" i="5"/>
  <c r="AR379" i="5" s="1"/>
  <c r="AS379" i="5" s="1"/>
  <c r="AH379" i="5"/>
  <c r="AI379" i="5"/>
  <c r="AJ379" i="5"/>
  <c r="AK379" i="5"/>
  <c r="AL379" i="5"/>
  <c r="AM379" i="5"/>
  <c r="AN379" i="5"/>
  <c r="AO379" i="5"/>
  <c r="AE380" i="5"/>
  <c r="AF380" i="5"/>
  <c r="AG380" i="5"/>
  <c r="AR380" i="5" s="1"/>
  <c r="AS380" i="5" s="1"/>
  <c r="AH380" i="5"/>
  <c r="AI380" i="5"/>
  <c r="AJ380" i="5"/>
  <c r="AK380" i="5"/>
  <c r="AL380" i="5"/>
  <c r="AM380" i="5"/>
  <c r="AN380" i="5"/>
  <c r="AO380" i="5"/>
  <c r="AE381" i="5"/>
  <c r="AF381" i="5"/>
  <c r="AG381" i="5"/>
  <c r="AR381" i="5" s="1"/>
  <c r="AS381" i="5" s="1"/>
  <c r="AH381" i="5"/>
  <c r="AI381" i="5"/>
  <c r="AJ381" i="5"/>
  <c r="AK381" i="5"/>
  <c r="AL381" i="5"/>
  <c r="AM381" i="5"/>
  <c r="AN381" i="5"/>
  <c r="AO381" i="5"/>
  <c r="AE382" i="5"/>
  <c r="AF382" i="5"/>
  <c r="AG382" i="5"/>
  <c r="AR382" i="5" s="1"/>
  <c r="AS382" i="5" s="1"/>
  <c r="AH382" i="5"/>
  <c r="AI382" i="5"/>
  <c r="AJ382" i="5"/>
  <c r="AK382" i="5"/>
  <c r="AL382" i="5"/>
  <c r="AM382" i="5"/>
  <c r="AN382" i="5"/>
  <c r="AO382" i="5"/>
  <c r="AE383" i="5"/>
  <c r="AF383" i="5"/>
  <c r="AG383" i="5"/>
  <c r="AR383" i="5" s="1"/>
  <c r="AS383" i="5" s="1"/>
  <c r="AH383" i="5"/>
  <c r="AI383" i="5"/>
  <c r="AJ383" i="5"/>
  <c r="AK383" i="5"/>
  <c r="AL383" i="5"/>
  <c r="AM383" i="5"/>
  <c r="AN383" i="5"/>
  <c r="AO383" i="5"/>
  <c r="AE384" i="5"/>
  <c r="AF384" i="5"/>
  <c r="AG384" i="5"/>
  <c r="AR384" i="5" s="1"/>
  <c r="AS384" i="5" s="1"/>
  <c r="AH384" i="5"/>
  <c r="AI384" i="5"/>
  <c r="AJ384" i="5"/>
  <c r="AK384" i="5"/>
  <c r="AL384" i="5"/>
  <c r="AM384" i="5"/>
  <c r="AN384" i="5"/>
  <c r="AO384" i="5"/>
  <c r="AE385" i="5"/>
  <c r="AF385" i="5"/>
  <c r="AG385" i="5"/>
  <c r="AR385" i="5" s="1"/>
  <c r="AS385" i="5" s="1"/>
  <c r="AH385" i="5"/>
  <c r="AI385" i="5"/>
  <c r="AJ385" i="5"/>
  <c r="AK385" i="5"/>
  <c r="AL385" i="5"/>
  <c r="AM385" i="5"/>
  <c r="AN385" i="5"/>
  <c r="AO385" i="5"/>
  <c r="AE386" i="5"/>
  <c r="AF386" i="5"/>
  <c r="AG386" i="5"/>
  <c r="AR386" i="5" s="1"/>
  <c r="AS386" i="5" s="1"/>
  <c r="AH386" i="5"/>
  <c r="AI386" i="5"/>
  <c r="AJ386" i="5"/>
  <c r="AK386" i="5"/>
  <c r="AL386" i="5"/>
  <c r="AM386" i="5"/>
  <c r="AN386" i="5"/>
  <c r="AO386" i="5"/>
  <c r="AE387" i="5"/>
  <c r="AF387" i="5"/>
  <c r="AG387" i="5"/>
  <c r="AR387" i="5" s="1"/>
  <c r="AS387" i="5" s="1"/>
  <c r="AH387" i="5"/>
  <c r="AI387" i="5"/>
  <c r="AJ387" i="5"/>
  <c r="AK387" i="5"/>
  <c r="AL387" i="5"/>
  <c r="AM387" i="5"/>
  <c r="AN387" i="5"/>
  <c r="AO387" i="5"/>
  <c r="AE388" i="5"/>
  <c r="AF388" i="5"/>
  <c r="AG388" i="5"/>
  <c r="AR388" i="5" s="1"/>
  <c r="AS388" i="5" s="1"/>
  <c r="AH388" i="5"/>
  <c r="AI388" i="5"/>
  <c r="AJ388" i="5"/>
  <c r="AK388" i="5"/>
  <c r="AL388" i="5"/>
  <c r="AM388" i="5"/>
  <c r="AN388" i="5"/>
  <c r="AO388" i="5"/>
  <c r="AE389" i="5"/>
  <c r="AF389" i="5"/>
  <c r="AG389" i="5"/>
  <c r="AR389" i="5" s="1"/>
  <c r="AS389" i="5" s="1"/>
  <c r="AH389" i="5"/>
  <c r="AI389" i="5"/>
  <c r="AJ389" i="5"/>
  <c r="AK389" i="5"/>
  <c r="AL389" i="5"/>
  <c r="AM389" i="5"/>
  <c r="AN389" i="5"/>
  <c r="AO389" i="5"/>
  <c r="AE390" i="5"/>
  <c r="AF390" i="5"/>
  <c r="AG390" i="5"/>
  <c r="AR390" i="5" s="1"/>
  <c r="AS390" i="5" s="1"/>
  <c r="AH390" i="5"/>
  <c r="AI390" i="5"/>
  <c r="AJ390" i="5"/>
  <c r="AK390" i="5"/>
  <c r="AL390" i="5"/>
  <c r="AM390" i="5"/>
  <c r="AN390" i="5"/>
  <c r="AO390" i="5"/>
  <c r="AE391" i="5"/>
  <c r="AF391" i="5"/>
  <c r="AG391" i="5"/>
  <c r="AR391" i="5" s="1"/>
  <c r="AS391" i="5" s="1"/>
  <c r="AH391" i="5"/>
  <c r="AI391" i="5"/>
  <c r="AJ391" i="5"/>
  <c r="AK391" i="5"/>
  <c r="AL391" i="5"/>
  <c r="AM391" i="5"/>
  <c r="AN391" i="5"/>
  <c r="AO391" i="5"/>
  <c r="AE392" i="5"/>
  <c r="AF392" i="5"/>
  <c r="AG392" i="5"/>
  <c r="AR392" i="5" s="1"/>
  <c r="AS392" i="5" s="1"/>
  <c r="AH392" i="5"/>
  <c r="AI392" i="5"/>
  <c r="AJ392" i="5"/>
  <c r="AK392" i="5"/>
  <c r="AL392" i="5"/>
  <c r="AM392" i="5"/>
  <c r="AN392" i="5"/>
  <c r="AO392" i="5"/>
  <c r="AE393" i="5"/>
  <c r="AF393" i="5"/>
  <c r="AG393" i="5"/>
  <c r="AR393" i="5" s="1"/>
  <c r="AS393" i="5" s="1"/>
  <c r="AH393" i="5"/>
  <c r="AI393" i="5"/>
  <c r="AJ393" i="5"/>
  <c r="AK393" i="5"/>
  <c r="AL393" i="5"/>
  <c r="AM393" i="5"/>
  <c r="AN393" i="5"/>
  <c r="AO393" i="5"/>
  <c r="AE394" i="5"/>
  <c r="AF394" i="5"/>
  <c r="AG394" i="5"/>
  <c r="AR394" i="5" s="1"/>
  <c r="AS394" i="5" s="1"/>
  <c r="AH394" i="5"/>
  <c r="AI394" i="5"/>
  <c r="AJ394" i="5"/>
  <c r="AK394" i="5"/>
  <c r="AL394" i="5"/>
  <c r="AM394" i="5"/>
  <c r="AN394" i="5"/>
  <c r="AO394" i="5"/>
  <c r="AE395" i="5"/>
  <c r="AF395" i="5"/>
  <c r="AG395" i="5"/>
  <c r="AR395" i="5" s="1"/>
  <c r="AS395" i="5" s="1"/>
  <c r="AH395" i="5"/>
  <c r="AI395" i="5"/>
  <c r="AJ395" i="5"/>
  <c r="AK395" i="5"/>
  <c r="AL395" i="5"/>
  <c r="AM395" i="5"/>
  <c r="AN395" i="5"/>
  <c r="AO395" i="5"/>
  <c r="AE396" i="5"/>
  <c r="AF396" i="5"/>
  <c r="AG396" i="5"/>
  <c r="AR396" i="5" s="1"/>
  <c r="AS396" i="5" s="1"/>
  <c r="AH396" i="5"/>
  <c r="AI396" i="5"/>
  <c r="AJ396" i="5"/>
  <c r="AK396" i="5"/>
  <c r="AL396" i="5"/>
  <c r="AM396" i="5"/>
  <c r="AN396" i="5"/>
  <c r="AO396" i="5"/>
  <c r="AE397" i="5"/>
  <c r="AF397" i="5"/>
  <c r="AG397" i="5"/>
  <c r="AR397" i="5" s="1"/>
  <c r="AS397" i="5" s="1"/>
  <c r="AH397" i="5"/>
  <c r="AI397" i="5"/>
  <c r="AJ397" i="5"/>
  <c r="AK397" i="5"/>
  <c r="AL397" i="5"/>
  <c r="AM397" i="5"/>
  <c r="AN397" i="5"/>
  <c r="AO397" i="5"/>
  <c r="AE398" i="5"/>
  <c r="AF398" i="5"/>
  <c r="AG398" i="5"/>
  <c r="AR398" i="5" s="1"/>
  <c r="AS398" i="5" s="1"/>
  <c r="AH398" i="5"/>
  <c r="AI398" i="5"/>
  <c r="AJ398" i="5"/>
  <c r="AK398" i="5"/>
  <c r="AL398" i="5"/>
  <c r="AM398" i="5"/>
  <c r="AN398" i="5"/>
  <c r="AO398" i="5"/>
  <c r="AE399" i="5"/>
  <c r="AF399" i="5"/>
  <c r="AG399" i="5"/>
  <c r="AR399" i="5" s="1"/>
  <c r="AS399" i="5" s="1"/>
  <c r="AH399" i="5"/>
  <c r="AI399" i="5"/>
  <c r="AJ399" i="5"/>
  <c r="AK399" i="5"/>
  <c r="AL399" i="5"/>
  <c r="AM399" i="5"/>
  <c r="AN399" i="5"/>
  <c r="AO399" i="5"/>
  <c r="AE400" i="5"/>
  <c r="AF400" i="5"/>
  <c r="AG400" i="5"/>
  <c r="AR400" i="5" s="1"/>
  <c r="AS400" i="5" s="1"/>
  <c r="AH400" i="5"/>
  <c r="AI400" i="5"/>
  <c r="AJ400" i="5"/>
  <c r="AK400" i="5"/>
  <c r="AL400" i="5"/>
  <c r="AM400" i="5"/>
  <c r="AN400" i="5"/>
  <c r="AO400" i="5"/>
  <c r="AE401" i="5"/>
  <c r="AF401" i="5"/>
  <c r="AG401" i="5"/>
  <c r="AR401" i="5" s="1"/>
  <c r="AS401" i="5" s="1"/>
  <c r="AH401" i="5"/>
  <c r="AI401" i="5"/>
  <c r="AJ401" i="5"/>
  <c r="AK401" i="5"/>
  <c r="AL401" i="5"/>
  <c r="AM401" i="5"/>
  <c r="AN401" i="5"/>
  <c r="AO401" i="5"/>
  <c r="AE402" i="5"/>
  <c r="AF402" i="5"/>
  <c r="AG402" i="5"/>
  <c r="AR402" i="5" s="1"/>
  <c r="AS402" i="5" s="1"/>
  <c r="AH402" i="5"/>
  <c r="AI402" i="5"/>
  <c r="AJ402" i="5"/>
  <c r="AK402" i="5"/>
  <c r="AL402" i="5"/>
  <c r="AM402" i="5"/>
  <c r="AN402" i="5"/>
  <c r="AO402" i="5"/>
  <c r="AE403" i="5"/>
  <c r="AF403" i="5"/>
  <c r="AG403" i="5"/>
  <c r="AR403" i="5" s="1"/>
  <c r="AS403" i="5" s="1"/>
  <c r="AH403" i="5"/>
  <c r="AI403" i="5"/>
  <c r="AJ403" i="5"/>
  <c r="AK403" i="5"/>
  <c r="AL403" i="5"/>
  <c r="AM403" i="5"/>
  <c r="AN403" i="5"/>
  <c r="AO403" i="5"/>
  <c r="AE404" i="5"/>
  <c r="AF404" i="5"/>
  <c r="AG404" i="5"/>
  <c r="AR404" i="5" s="1"/>
  <c r="AS404" i="5" s="1"/>
  <c r="AH404" i="5"/>
  <c r="AI404" i="5"/>
  <c r="AJ404" i="5"/>
  <c r="AK404" i="5"/>
  <c r="AL404" i="5"/>
  <c r="AM404" i="5"/>
  <c r="AN404" i="5"/>
  <c r="AO404" i="5"/>
  <c r="AE405" i="5"/>
  <c r="AF405" i="5"/>
  <c r="AG405" i="5"/>
  <c r="AR405" i="5" s="1"/>
  <c r="AS405" i="5" s="1"/>
  <c r="AH405" i="5"/>
  <c r="AI405" i="5"/>
  <c r="AJ405" i="5"/>
  <c r="AK405" i="5"/>
  <c r="AL405" i="5"/>
  <c r="AM405" i="5"/>
  <c r="AN405" i="5"/>
  <c r="AO405" i="5"/>
  <c r="AE406" i="5"/>
  <c r="AF406" i="5"/>
  <c r="AG406" i="5"/>
  <c r="AR406" i="5" s="1"/>
  <c r="AS406" i="5" s="1"/>
  <c r="AH406" i="5"/>
  <c r="AI406" i="5"/>
  <c r="AJ406" i="5"/>
  <c r="AK406" i="5"/>
  <c r="AL406" i="5"/>
  <c r="AM406" i="5"/>
  <c r="AN406" i="5"/>
  <c r="AO406" i="5"/>
  <c r="AE407" i="5"/>
  <c r="AF407" i="5"/>
  <c r="AG407" i="5"/>
  <c r="AR407" i="5" s="1"/>
  <c r="AS407" i="5" s="1"/>
  <c r="AH407" i="5"/>
  <c r="AI407" i="5"/>
  <c r="AJ407" i="5"/>
  <c r="AK407" i="5"/>
  <c r="AL407" i="5"/>
  <c r="AM407" i="5"/>
  <c r="AN407" i="5"/>
  <c r="AO407" i="5"/>
  <c r="AE408" i="5"/>
  <c r="AF408" i="5"/>
  <c r="AG408" i="5"/>
  <c r="AR408" i="5" s="1"/>
  <c r="AS408" i="5" s="1"/>
  <c r="AH408" i="5"/>
  <c r="AI408" i="5"/>
  <c r="AJ408" i="5"/>
  <c r="AK408" i="5"/>
  <c r="AL408" i="5"/>
  <c r="AM408" i="5"/>
  <c r="AN408" i="5"/>
  <c r="AO408" i="5"/>
  <c r="AE409" i="5"/>
  <c r="AF409" i="5"/>
  <c r="AG409" i="5"/>
  <c r="AR409" i="5" s="1"/>
  <c r="AS409" i="5" s="1"/>
  <c r="AH409" i="5"/>
  <c r="AI409" i="5"/>
  <c r="AJ409" i="5"/>
  <c r="AK409" i="5"/>
  <c r="AL409" i="5"/>
  <c r="AM409" i="5"/>
  <c r="AN409" i="5"/>
  <c r="AO409" i="5"/>
  <c r="AE410" i="5"/>
  <c r="AF410" i="5"/>
  <c r="AG410" i="5"/>
  <c r="AR410" i="5" s="1"/>
  <c r="AS410" i="5" s="1"/>
  <c r="AH410" i="5"/>
  <c r="AI410" i="5"/>
  <c r="AJ410" i="5"/>
  <c r="AK410" i="5"/>
  <c r="AL410" i="5"/>
  <c r="AM410" i="5"/>
  <c r="AN410" i="5"/>
  <c r="AO410" i="5"/>
  <c r="AE411" i="5"/>
  <c r="AF411" i="5"/>
  <c r="AG411" i="5"/>
  <c r="AR411" i="5" s="1"/>
  <c r="AS411" i="5" s="1"/>
  <c r="AH411" i="5"/>
  <c r="AI411" i="5"/>
  <c r="AJ411" i="5"/>
  <c r="AK411" i="5"/>
  <c r="AL411" i="5"/>
  <c r="AM411" i="5"/>
  <c r="AN411" i="5"/>
  <c r="AO411" i="5"/>
  <c r="AE412" i="5"/>
  <c r="AF412" i="5"/>
  <c r="AG412" i="5"/>
  <c r="AR412" i="5" s="1"/>
  <c r="AS412" i="5" s="1"/>
  <c r="AH412" i="5"/>
  <c r="AI412" i="5"/>
  <c r="AJ412" i="5"/>
  <c r="AK412" i="5"/>
  <c r="AL412" i="5"/>
  <c r="AM412" i="5"/>
  <c r="AN412" i="5"/>
  <c r="AO412" i="5"/>
  <c r="AE413" i="5"/>
  <c r="AF413" i="5"/>
  <c r="AG413" i="5"/>
  <c r="AR413" i="5" s="1"/>
  <c r="AS413" i="5" s="1"/>
  <c r="AH413" i="5"/>
  <c r="AI413" i="5"/>
  <c r="AJ413" i="5"/>
  <c r="AK413" i="5"/>
  <c r="AL413" i="5"/>
  <c r="AM413" i="5"/>
  <c r="AN413" i="5"/>
  <c r="AO413" i="5"/>
  <c r="AE414" i="5"/>
  <c r="AF414" i="5"/>
  <c r="AG414" i="5"/>
  <c r="AR414" i="5" s="1"/>
  <c r="AS414" i="5" s="1"/>
  <c r="AH414" i="5"/>
  <c r="AI414" i="5"/>
  <c r="AJ414" i="5"/>
  <c r="AK414" i="5"/>
  <c r="AL414" i="5"/>
  <c r="AM414" i="5"/>
  <c r="AN414" i="5"/>
  <c r="AO414" i="5"/>
  <c r="AE415" i="5"/>
  <c r="AF415" i="5"/>
  <c r="AG415" i="5"/>
  <c r="AR415" i="5" s="1"/>
  <c r="AS415" i="5" s="1"/>
  <c r="AH415" i="5"/>
  <c r="AI415" i="5"/>
  <c r="AJ415" i="5"/>
  <c r="AK415" i="5"/>
  <c r="AL415" i="5"/>
  <c r="AM415" i="5"/>
  <c r="AN415" i="5"/>
  <c r="AO415" i="5"/>
  <c r="AE416" i="5"/>
  <c r="AF416" i="5"/>
  <c r="AG416" i="5"/>
  <c r="AR416" i="5" s="1"/>
  <c r="AS416" i="5" s="1"/>
  <c r="AH416" i="5"/>
  <c r="AI416" i="5"/>
  <c r="AJ416" i="5"/>
  <c r="AK416" i="5"/>
  <c r="AL416" i="5"/>
  <c r="AM416" i="5"/>
  <c r="AN416" i="5"/>
  <c r="AO416" i="5"/>
  <c r="AE417" i="5"/>
  <c r="AF417" i="5"/>
  <c r="AG417" i="5"/>
  <c r="AR417" i="5" s="1"/>
  <c r="AS417" i="5" s="1"/>
  <c r="AH417" i="5"/>
  <c r="AI417" i="5"/>
  <c r="AJ417" i="5"/>
  <c r="AK417" i="5"/>
  <c r="AL417" i="5"/>
  <c r="AM417" i="5"/>
  <c r="AN417" i="5"/>
  <c r="AO417" i="5"/>
  <c r="AE418" i="5"/>
  <c r="AF418" i="5"/>
  <c r="AG418" i="5"/>
  <c r="AR418" i="5" s="1"/>
  <c r="AS418" i="5" s="1"/>
  <c r="AH418" i="5"/>
  <c r="AI418" i="5"/>
  <c r="AJ418" i="5"/>
  <c r="AK418" i="5"/>
  <c r="AL418" i="5"/>
  <c r="AM418" i="5"/>
  <c r="AN418" i="5"/>
  <c r="AO418" i="5"/>
  <c r="AE419" i="5"/>
  <c r="AF419" i="5"/>
  <c r="AG419" i="5"/>
  <c r="AR419" i="5" s="1"/>
  <c r="AS419" i="5" s="1"/>
  <c r="AH419" i="5"/>
  <c r="AI419" i="5"/>
  <c r="AJ419" i="5"/>
  <c r="AK419" i="5"/>
  <c r="AL419" i="5"/>
  <c r="AM419" i="5"/>
  <c r="AN419" i="5"/>
  <c r="AO419" i="5"/>
  <c r="AE420" i="5"/>
  <c r="AF420" i="5"/>
  <c r="AG420" i="5"/>
  <c r="AR420" i="5" s="1"/>
  <c r="AS420" i="5" s="1"/>
  <c r="AH420" i="5"/>
  <c r="AI420" i="5"/>
  <c r="AJ420" i="5"/>
  <c r="AK420" i="5"/>
  <c r="AL420" i="5"/>
  <c r="AM420" i="5"/>
  <c r="AN420" i="5"/>
  <c r="AO420" i="5"/>
  <c r="AE421" i="5"/>
  <c r="AF421" i="5"/>
  <c r="AG421" i="5"/>
  <c r="AR421" i="5" s="1"/>
  <c r="AS421" i="5" s="1"/>
  <c r="AH421" i="5"/>
  <c r="AI421" i="5"/>
  <c r="AJ421" i="5"/>
  <c r="AK421" i="5"/>
  <c r="AL421" i="5"/>
  <c r="AM421" i="5"/>
  <c r="AN421" i="5"/>
  <c r="AO421" i="5"/>
  <c r="AE422" i="5"/>
  <c r="AF422" i="5"/>
  <c r="AG422" i="5"/>
  <c r="AR422" i="5" s="1"/>
  <c r="AS422" i="5" s="1"/>
  <c r="AH422" i="5"/>
  <c r="AI422" i="5"/>
  <c r="AJ422" i="5"/>
  <c r="AK422" i="5"/>
  <c r="AL422" i="5"/>
  <c r="AM422" i="5"/>
  <c r="AN422" i="5"/>
  <c r="AO422" i="5"/>
  <c r="AE423" i="5"/>
  <c r="AF423" i="5"/>
  <c r="AG423" i="5"/>
  <c r="AR423" i="5" s="1"/>
  <c r="AS423" i="5" s="1"/>
  <c r="AH423" i="5"/>
  <c r="AI423" i="5"/>
  <c r="AJ423" i="5"/>
  <c r="AK423" i="5"/>
  <c r="AL423" i="5"/>
  <c r="AM423" i="5"/>
  <c r="AN423" i="5"/>
  <c r="AO423" i="5"/>
  <c r="AE424" i="5"/>
  <c r="AF424" i="5"/>
  <c r="AG424" i="5"/>
  <c r="AR424" i="5" s="1"/>
  <c r="AS424" i="5" s="1"/>
  <c r="AH424" i="5"/>
  <c r="AI424" i="5"/>
  <c r="AJ424" i="5"/>
  <c r="AK424" i="5"/>
  <c r="AL424" i="5"/>
  <c r="AM424" i="5"/>
  <c r="AN424" i="5"/>
  <c r="AO424" i="5"/>
  <c r="AE425" i="5"/>
  <c r="AF425" i="5"/>
  <c r="AG425" i="5"/>
  <c r="AR425" i="5" s="1"/>
  <c r="AS425" i="5" s="1"/>
  <c r="AH425" i="5"/>
  <c r="AI425" i="5"/>
  <c r="AJ425" i="5"/>
  <c r="AK425" i="5"/>
  <c r="AL425" i="5"/>
  <c r="AM425" i="5"/>
  <c r="AN425" i="5"/>
  <c r="AO425" i="5"/>
  <c r="AE426" i="5"/>
  <c r="AF426" i="5"/>
  <c r="AG426" i="5"/>
  <c r="AR426" i="5" s="1"/>
  <c r="AS426" i="5" s="1"/>
  <c r="AH426" i="5"/>
  <c r="AI426" i="5"/>
  <c r="AJ426" i="5"/>
  <c r="AK426" i="5"/>
  <c r="AL426" i="5"/>
  <c r="AM426" i="5"/>
  <c r="AN426" i="5"/>
  <c r="AO426" i="5"/>
  <c r="AE427" i="5"/>
  <c r="AF427" i="5"/>
  <c r="AG427" i="5"/>
  <c r="AR427" i="5" s="1"/>
  <c r="AS427" i="5" s="1"/>
  <c r="AH427" i="5"/>
  <c r="AI427" i="5"/>
  <c r="AJ427" i="5"/>
  <c r="AK427" i="5"/>
  <c r="AL427" i="5"/>
  <c r="AM427" i="5"/>
  <c r="AN427" i="5"/>
  <c r="AO427" i="5"/>
  <c r="AE428" i="5"/>
  <c r="AF428" i="5"/>
  <c r="AG428" i="5"/>
  <c r="AR428" i="5" s="1"/>
  <c r="AS428" i="5" s="1"/>
  <c r="AH428" i="5"/>
  <c r="AI428" i="5"/>
  <c r="AJ428" i="5"/>
  <c r="AK428" i="5"/>
  <c r="AL428" i="5"/>
  <c r="AM428" i="5"/>
  <c r="AN428" i="5"/>
  <c r="AO428" i="5"/>
  <c r="AE429" i="5"/>
  <c r="AF429" i="5"/>
  <c r="AG429" i="5"/>
  <c r="AR429" i="5" s="1"/>
  <c r="AS429" i="5" s="1"/>
  <c r="AH429" i="5"/>
  <c r="AI429" i="5"/>
  <c r="AJ429" i="5"/>
  <c r="AK429" i="5"/>
  <c r="AL429" i="5"/>
  <c r="AM429" i="5"/>
  <c r="AN429" i="5"/>
  <c r="AO429" i="5"/>
  <c r="AE430" i="5"/>
  <c r="AF430" i="5"/>
  <c r="AG430" i="5"/>
  <c r="AR430" i="5" s="1"/>
  <c r="AS430" i="5" s="1"/>
  <c r="AH430" i="5"/>
  <c r="AI430" i="5"/>
  <c r="AJ430" i="5"/>
  <c r="AK430" i="5"/>
  <c r="AL430" i="5"/>
  <c r="AM430" i="5"/>
  <c r="AN430" i="5"/>
  <c r="AO430" i="5"/>
  <c r="AE431" i="5"/>
  <c r="AF431" i="5"/>
  <c r="AG431" i="5"/>
  <c r="AR431" i="5" s="1"/>
  <c r="AS431" i="5" s="1"/>
  <c r="AH431" i="5"/>
  <c r="AI431" i="5"/>
  <c r="AJ431" i="5"/>
  <c r="AK431" i="5"/>
  <c r="AL431" i="5"/>
  <c r="AM431" i="5"/>
  <c r="AN431" i="5"/>
  <c r="AO431" i="5"/>
  <c r="AE432" i="5"/>
  <c r="AF432" i="5"/>
  <c r="AG432" i="5"/>
  <c r="AR432" i="5" s="1"/>
  <c r="AS432" i="5" s="1"/>
  <c r="AH432" i="5"/>
  <c r="AI432" i="5"/>
  <c r="AJ432" i="5"/>
  <c r="AK432" i="5"/>
  <c r="AL432" i="5"/>
  <c r="AM432" i="5"/>
  <c r="AN432" i="5"/>
  <c r="AO432" i="5"/>
  <c r="AE433" i="5"/>
  <c r="AF433" i="5"/>
  <c r="AG433" i="5"/>
  <c r="AR433" i="5" s="1"/>
  <c r="AS433" i="5" s="1"/>
  <c r="AH433" i="5"/>
  <c r="AI433" i="5"/>
  <c r="AJ433" i="5"/>
  <c r="AK433" i="5"/>
  <c r="AL433" i="5"/>
  <c r="AM433" i="5"/>
  <c r="AN433" i="5"/>
  <c r="AO433" i="5"/>
  <c r="AE434" i="5"/>
  <c r="AF434" i="5"/>
  <c r="AG434" i="5"/>
  <c r="AR434" i="5" s="1"/>
  <c r="AS434" i="5" s="1"/>
  <c r="AH434" i="5"/>
  <c r="AI434" i="5"/>
  <c r="AJ434" i="5"/>
  <c r="AK434" i="5"/>
  <c r="AL434" i="5"/>
  <c r="AM434" i="5"/>
  <c r="AN434" i="5"/>
  <c r="AO434" i="5"/>
  <c r="AE435" i="5"/>
  <c r="AF435" i="5"/>
  <c r="AG435" i="5"/>
  <c r="AR435" i="5" s="1"/>
  <c r="AS435" i="5" s="1"/>
  <c r="AH435" i="5"/>
  <c r="AI435" i="5"/>
  <c r="AJ435" i="5"/>
  <c r="AK435" i="5"/>
  <c r="AL435" i="5"/>
  <c r="AM435" i="5"/>
  <c r="AN435" i="5"/>
  <c r="AO435" i="5"/>
  <c r="AE436" i="5"/>
  <c r="AF436" i="5"/>
  <c r="AG436" i="5"/>
  <c r="AR436" i="5" s="1"/>
  <c r="AS436" i="5" s="1"/>
  <c r="AH436" i="5"/>
  <c r="AI436" i="5"/>
  <c r="AJ436" i="5"/>
  <c r="AK436" i="5"/>
  <c r="AL436" i="5"/>
  <c r="AM436" i="5"/>
  <c r="AN436" i="5"/>
  <c r="AO436" i="5"/>
  <c r="AE437" i="5"/>
  <c r="AF437" i="5"/>
  <c r="AG437" i="5"/>
  <c r="AR437" i="5" s="1"/>
  <c r="AS437" i="5" s="1"/>
  <c r="AH437" i="5"/>
  <c r="AI437" i="5"/>
  <c r="AJ437" i="5"/>
  <c r="AK437" i="5"/>
  <c r="AL437" i="5"/>
  <c r="AM437" i="5"/>
  <c r="AN437" i="5"/>
  <c r="AO437" i="5"/>
  <c r="AE438" i="5"/>
  <c r="AF438" i="5"/>
  <c r="AG438" i="5"/>
  <c r="AR438" i="5" s="1"/>
  <c r="AS438" i="5" s="1"/>
  <c r="AH438" i="5"/>
  <c r="AI438" i="5"/>
  <c r="AJ438" i="5"/>
  <c r="AK438" i="5"/>
  <c r="AL438" i="5"/>
  <c r="AM438" i="5"/>
  <c r="AN438" i="5"/>
  <c r="AO438" i="5"/>
  <c r="AE439" i="5"/>
  <c r="AF439" i="5"/>
  <c r="AG439" i="5"/>
  <c r="AR439" i="5" s="1"/>
  <c r="AS439" i="5" s="1"/>
  <c r="AH439" i="5"/>
  <c r="AI439" i="5"/>
  <c r="AJ439" i="5"/>
  <c r="AK439" i="5"/>
  <c r="AL439" i="5"/>
  <c r="AM439" i="5"/>
  <c r="AN439" i="5"/>
  <c r="AO439" i="5"/>
  <c r="AE440" i="5"/>
  <c r="AF440" i="5"/>
  <c r="AG440" i="5"/>
  <c r="AR440" i="5" s="1"/>
  <c r="AS440" i="5" s="1"/>
  <c r="AH440" i="5"/>
  <c r="AI440" i="5"/>
  <c r="AJ440" i="5"/>
  <c r="AK440" i="5"/>
  <c r="AL440" i="5"/>
  <c r="AM440" i="5"/>
  <c r="AN440" i="5"/>
  <c r="AO440" i="5"/>
  <c r="AF2" i="5"/>
  <c r="AG2" i="5"/>
  <c r="AR2" i="5" s="1"/>
  <c r="AS2" i="5" s="1"/>
  <c r="AH2" i="5"/>
  <c r="AI2" i="5"/>
  <c r="AJ2" i="5"/>
  <c r="AK2" i="5"/>
  <c r="AL2" i="5"/>
  <c r="AM2" i="5"/>
  <c r="AN2" i="5"/>
  <c r="AO2" i="5"/>
  <c r="AE2" i="5"/>
  <c r="AE1"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AP433" i="5" l="1"/>
  <c r="AP421" i="5"/>
  <c r="AP409" i="5"/>
  <c r="AP397" i="5"/>
  <c r="AP385" i="5"/>
  <c r="AP365" i="5"/>
  <c r="AP353" i="5"/>
  <c r="AP341" i="5"/>
  <c r="AP329" i="5"/>
  <c r="AP309" i="5"/>
  <c r="AP297" i="5"/>
  <c r="AP285" i="5"/>
  <c r="AP273" i="5"/>
  <c r="AP261" i="5"/>
  <c r="AP249" i="5"/>
  <c r="AP237" i="5"/>
  <c r="AP217" i="5"/>
  <c r="AP205" i="5"/>
  <c r="AP193" i="5"/>
  <c r="AP181" i="5"/>
  <c r="AP165" i="5"/>
  <c r="AP149" i="5"/>
  <c r="AP137" i="5"/>
  <c r="AP125" i="5"/>
  <c r="AP113" i="5"/>
  <c r="AP97" i="5"/>
  <c r="AP81" i="5"/>
  <c r="AP440" i="5"/>
  <c r="AP436" i="5"/>
  <c r="AP432" i="5"/>
  <c r="AP428" i="5"/>
  <c r="AP424" i="5"/>
  <c r="AP420" i="5"/>
  <c r="AP416" i="5"/>
  <c r="AP412" i="5"/>
  <c r="AP408" i="5"/>
  <c r="AP404" i="5"/>
  <c r="AP400" i="5"/>
  <c r="AP396" i="5"/>
  <c r="AP392" i="5"/>
  <c r="AP388" i="5"/>
  <c r="AP384" i="5"/>
  <c r="AP380" i="5"/>
  <c r="AP376" i="5"/>
  <c r="AP372" i="5"/>
  <c r="AP368" i="5"/>
  <c r="AP364" i="5"/>
  <c r="AP360" i="5"/>
  <c r="AP356" i="5"/>
  <c r="AP352" i="5"/>
  <c r="AP348" i="5"/>
  <c r="AP344" i="5"/>
  <c r="AP340" i="5"/>
  <c r="AP336" i="5"/>
  <c r="AP332" i="5"/>
  <c r="AP328" i="5"/>
  <c r="AP324" i="5"/>
  <c r="AP320" i="5"/>
  <c r="AP316" i="5"/>
  <c r="AP312" i="5"/>
  <c r="AP308" i="5"/>
  <c r="AP304" i="5"/>
  <c r="AP300" i="5"/>
  <c r="AP296" i="5"/>
  <c r="AP292" i="5"/>
  <c r="AP288" i="5"/>
  <c r="AP284" i="5"/>
  <c r="AP280" i="5"/>
  <c r="AP276" i="5"/>
  <c r="AP272" i="5"/>
  <c r="AP268" i="5"/>
  <c r="AP264" i="5"/>
  <c r="AP260" i="5"/>
  <c r="AP256" i="5"/>
  <c r="AP252" i="5"/>
  <c r="AP248" i="5"/>
  <c r="AP244" i="5"/>
  <c r="AP240" i="5"/>
  <c r="AP236" i="5"/>
  <c r="AP232" i="5"/>
  <c r="AP228" i="5"/>
  <c r="AP224" i="5"/>
  <c r="AP220" i="5"/>
  <c r="AP216" i="5"/>
  <c r="AP212" i="5"/>
  <c r="AP208" i="5"/>
  <c r="AP204" i="5"/>
  <c r="AP200" i="5"/>
  <c r="AP196" i="5"/>
  <c r="AP192" i="5"/>
  <c r="AP188" i="5"/>
  <c r="AP184" i="5"/>
  <c r="AP180" i="5"/>
  <c r="AP176" i="5"/>
  <c r="AP172" i="5"/>
  <c r="AP168" i="5"/>
  <c r="AP164" i="5"/>
  <c r="AP160" i="5"/>
  <c r="AP156" i="5"/>
  <c r="AP152" i="5"/>
  <c r="AP148" i="5"/>
  <c r="AP144" i="5"/>
  <c r="AP140" i="5"/>
  <c r="AP136" i="5"/>
  <c r="AP132" i="5"/>
  <c r="AP128" i="5"/>
  <c r="AP124" i="5"/>
  <c r="AP120" i="5"/>
  <c r="AP116" i="5"/>
  <c r="AP112" i="5"/>
  <c r="AP108" i="5"/>
  <c r="AP104" i="5"/>
  <c r="AP100" i="5"/>
  <c r="AP96" i="5"/>
  <c r="AP92" i="5"/>
  <c r="AP88" i="5"/>
  <c r="AP84" i="5"/>
  <c r="AP80" i="5"/>
  <c r="AP76" i="5"/>
  <c r="AP72" i="5"/>
  <c r="AP68" i="5"/>
  <c r="AP429" i="5"/>
  <c r="AP417" i="5"/>
  <c r="AP405" i="5"/>
  <c r="AP389" i="5"/>
  <c r="AP377" i="5"/>
  <c r="AP369" i="5"/>
  <c r="AP357" i="5"/>
  <c r="AP345" i="5"/>
  <c r="AP333" i="5"/>
  <c r="AP321" i="5"/>
  <c r="AP313" i="5"/>
  <c r="AP301" i="5"/>
  <c r="AP289" i="5"/>
  <c r="AP281" i="5"/>
  <c r="AP269" i="5"/>
  <c r="AP257" i="5"/>
  <c r="AP245" i="5"/>
  <c r="AP229" i="5"/>
  <c r="AP221" i="5"/>
  <c r="AP209" i="5"/>
  <c r="AP197" i="5"/>
  <c r="AP185" i="5"/>
  <c r="AP173" i="5"/>
  <c r="AP161" i="5"/>
  <c r="AP153" i="5"/>
  <c r="AP141" i="5"/>
  <c r="AP129" i="5"/>
  <c r="AP117" i="5"/>
  <c r="AP109" i="5"/>
  <c r="AP101" i="5"/>
  <c r="AP89" i="5"/>
  <c r="AP77" i="5"/>
  <c r="AP439" i="5"/>
  <c r="AP435" i="5"/>
  <c r="AP431" i="5"/>
  <c r="AP427" i="5"/>
  <c r="AP423" i="5"/>
  <c r="AP419" i="5"/>
  <c r="AP415" i="5"/>
  <c r="AP411" i="5"/>
  <c r="AP407" i="5"/>
  <c r="AP403" i="5"/>
  <c r="AP399" i="5"/>
  <c r="AP395" i="5"/>
  <c r="AP391" i="5"/>
  <c r="AP387" i="5"/>
  <c r="AP383" i="5"/>
  <c r="AP379" i="5"/>
  <c r="AP375" i="5"/>
  <c r="AP371" i="5"/>
  <c r="AP367" i="5"/>
  <c r="AP363" i="5"/>
  <c r="AP359" i="5"/>
  <c r="AP355" i="5"/>
  <c r="AP351" i="5"/>
  <c r="AP347" i="5"/>
  <c r="AP343" i="5"/>
  <c r="AP339" i="5"/>
  <c r="AP335" i="5"/>
  <c r="AP331" i="5"/>
  <c r="AP327" i="5"/>
  <c r="AP323" i="5"/>
  <c r="AP319" i="5"/>
  <c r="AP315" i="5"/>
  <c r="AP311" i="5"/>
  <c r="AP307" i="5"/>
  <c r="AP303" i="5"/>
  <c r="AP299" i="5"/>
  <c r="AP295" i="5"/>
  <c r="AP291" i="5"/>
  <c r="AP287" i="5"/>
  <c r="AP283" i="5"/>
  <c r="AP279" i="5"/>
  <c r="AP275" i="5"/>
  <c r="AP271" i="5"/>
  <c r="AP267" i="5"/>
  <c r="AP263" i="5"/>
  <c r="AP259" i="5"/>
  <c r="AP255" i="5"/>
  <c r="AP251" i="5"/>
  <c r="AP247" i="5"/>
  <c r="AP243" i="5"/>
  <c r="AP239" i="5"/>
  <c r="AP235" i="5"/>
  <c r="AP231" i="5"/>
  <c r="AP227" i="5"/>
  <c r="AP223" i="5"/>
  <c r="AP219" i="5"/>
  <c r="AP215" i="5"/>
  <c r="AP211" i="5"/>
  <c r="AP207" i="5"/>
  <c r="AP203" i="5"/>
  <c r="AP199" i="5"/>
  <c r="AP195" i="5"/>
  <c r="AP191" i="5"/>
  <c r="AP187" i="5"/>
  <c r="AP183" i="5"/>
  <c r="AP179" i="5"/>
  <c r="AP175" i="5"/>
  <c r="AP171" i="5"/>
  <c r="AP167" i="5"/>
  <c r="AP163" i="5"/>
  <c r="AP159" i="5"/>
  <c r="AP155" i="5"/>
  <c r="AP151" i="5"/>
  <c r="AP147" i="5"/>
  <c r="AP143" i="5"/>
  <c r="AP139" i="5"/>
  <c r="AP135" i="5"/>
  <c r="AP131" i="5"/>
  <c r="AP127" i="5"/>
  <c r="AP123" i="5"/>
  <c r="AP119" i="5"/>
  <c r="AP115" i="5"/>
  <c r="AP111" i="5"/>
  <c r="AP107" i="5"/>
  <c r="AP103" i="5"/>
  <c r="AP99" i="5"/>
  <c r="AP95" i="5"/>
  <c r="AP91" i="5"/>
  <c r="AP87" i="5"/>
  <c r="AP83" i="5"/>
  <c r="AP79" i="5"/>
  <c r="AP75" i="5"/>
  <c r="AP71" i="5"/>
  <c r="AP437" i="5"/>
  <c r="AP425" i="5"/>
  <c r="AP413" i="5"/>
  <c r="AP401" i="5"/>
  <c r="AP393" i="5"/>
  <c r="AP381" i="5"/>
  <c r="AP373" i="5"/>
  <c r="AP361" i="5"/>
  <c r="AP349" i="5"/>
  <c r="AP337" i="5"/>
  <c r="AP325" i="5"/>
  <c r="AP317" i="5"/>
  <c r="AP305" i="5"/>
  <c r="AP293" i="5"/>
  <c r="AP277" i="5"/>
  <c r="AP265" i="5"/>
  <c r="AP253" i="5"/>
  <c r="AP241" i="5"/>
  <c r="AP233" i="5"/>
  <c r="AP225" i="5"/>
  <c r="AP213" i="5"/>
  <c r="AP201" i="5"/>
  <c r="AP189" i="5"/>
  <c r="AP177" i="5"/>
  <c r="AP169" i="5"/>
  <c r="AP157" i="5"/>
  <c r="AP145" i="5"/>
  <c r="AP133" i="5"/>
  <c r="AP121" i="5"/>
  <c r="AP105" i="5"/>
  <c r="AP93" i="5"/>
  <c r="AP85" i="5"/>
  <c r="AP73" i="5"/>
  <c r="AP69" i="5"/>
  <c r="AP438" i="5"/>
  <c r="AP430" i="5"/>
  <c r="AP426" i="5"/>
  <c r="AP422" i="5"/>
  <c r="AP418" i="5"/>
  <c r="AP414" i="5"/>
  <c r="AP410" i="5"/>
  <c r="AP406" i="5"/>
  <c r="AP402" i="5"/>
  <c r="AP398" i="5"/>
  <c r="AP394" i="5"/>
  <c r="AP390" i="5"/>
  <c r="AP386" i="5"/>
  <c r="AP382" i="5"/>
  <c r="AP378" i="5"/>
  <c r="AP374" i="5"/>
  <c r="AP370" i="5"/>
  <c r="AP366" i="5"/>
  <c r="AP362" i="5"/>
  <c r="AP358" i="5"/>
  <c r="AP346" i="5"/>
  <c r="AP342" i="5"/>
  <c r="AP338" i="5"/>
  <c r="AP334" i="5"/>
  <c r="AP330" i="5"/>
  <c r="AP326" i="5"/>
  <c r="AP322" i="5"/>
  <c r="AP318" i="5"/>
  <c r="AP314" i="5"/>
  <c r="AP310" i="5"/>
  <c r="AP306" i="5"/>
  <c r="AP302" i="5"/>
  <c r="AP298" i="5"/>
  <c r="AP294" i="5"/>
  <c r="AP290" i="5"/>
  <c r="AP286" i="5"/>
  <c r="AP282" i="5"/>
  <c r="AP278" i="5"/>
  <c r="AP274" i="5"/>
  <c r="AP266" i="5"/>
  <c r="AP262" i="5"/>
  <c r="AP258" i="5"/>
  <c r="AP254" i="5"/>
  <c r="AP246" i="5"/>
  <c r="AP242" i="5"/>
  <c r="AP238" i="5"/>
  <c r="AP234" i="5"/>
  <c r="AP230" i="5"/>
  <c r="AP226" i="5"/>
  <c r="AP222" i="5"/>
  <c r="AP218" i="5"/>
  <c r="AP210" i="5"/>
  <c r="AP206" i="5"/>
  <c r="AP202" i="5"/>
  <c r="AP198" i="5"/>
  <c r="AP190" i="5"/>
  <c r="AP186" i="5"/>
  <c r="AP182" i="5"/>
  <c r="AP178" i="5"/>
  <c r="AP174" i="5"/>
  <c r="AP170" i="5"/>
  <c r="AP166" i="5"/>
  <c r="AP162" i="5"/>
  <c r="AP158" i="5"/>
  <c r="AP154" i="5"/>
  <c r="AP150" i="5"/>
  <c r="AP146" i="5"/>
  <c r="AP142" i="5"/>
  <c r="AP134" i="5"/>
  <c r="AP130" i="5"/>
  <c r="AP126" i="5"/>
  <c r="AP118" i="5"/>
  <c r="AP114" i="5"/>
  <c r="AP110" i="5"/>
  <c r="AP106" i="5"/>
  <c r="AP102" i="5"/>
  <c r="AP98" i="5"/>
  <c r="AP86" i="5"/>
  <c r="AP82" i="5"/>
  <c r="AP78" i="5"/>
  <c r="AP64" i="5"/>
  <c r="AP60" i="5"/>
  <c r="AP56" i="5"/>
  <c r="AP52" i="5"/>
  <c r="AP48" i="5"/>
  <c r="AP44" i="5"/>
  <c r="AP40" i="5"/>
  <c r="AP36" i="5"/>
  <c r="AP32" i="5"/>
  <c r="AP28" i="5"/>
  <c r="AP24" i="5"/>
  <c r="AP20" i="5"/>
  <c r="AP16" i="5"/>
  <c r="AP12" i="5"/>
  <c r="AP8" i="5"/>
  <c r="AP4" i="5"/>
  <c r="AP67" i="5"/>
  <c r="AP63" i="5"/>
  <c r="AP59" i="5"/>
  <c r="AP55" i="5"/>
  <c r="AP51" i="5"/>
  <c r="AP47" i="5"/>
  <c r="AP43" i="5"/>
  <c r="AP39" i="5"/>
  <c r="AP35" i="5"/>
  <c r="AP31" i="5"/>
  <c r="AP27" i="5"/>
  <c r="AP23" i="5"/>
  <c r="AP19" i="5"/>
  <c r="AP15" i="5"/>
  <c r="AP11" i="5"/>
  <c r="AP3" i="5"/>
  <c r="AP65" i="5"/>
  <c r="AP61" i="5"/>
  <c r="AP57" i="5"/>
  <c r="AP53" i="5"/>
  <c r="AP49" i="5"/>
  <c r="AP45" i="5"/>
  <c r="AP41" i="5"/>
  <c r="AP37" i="5"/>
  <c r="AP33" i="5"/>
  <c r="AP29" i="5"/>
  <c r="AP25" i="5"/>
  <c r="AP21" i="5"/>
  <c r="AP17" i="5"/>
  <c r="AP13" i="5"/>
  <c r="AP9" i="5"/>
  <c r="AP5" i="5"/>
  <c r="AP66" i="5"/>
  <c r="AP62" i="5"/>
  <c r="AP58" i="5"/>
  <c r="AP54" i="5"/>
  <c r="AP50" i="5"/>
  <c r="AP42" i="5"/>
  <c r="AP34" i="5"/>
  <c r="AP30" i="5"/>
  <c r="AP26" i="5"/>
  <c r="AP22" i="5"/>
  <c r="AP18" i="5"/>
  <c r="AP14" i="5"/>
  <c r="AP10" i="5"/>
  <c r="AP2" i="5"/>
  <c r="N2" i="5"/>
  <c r="AT3" i="5"/>
  <c r="AU3" i="5" s="1"/>
  <c r="E7" i="14" s="1"/>
  <c r="AT7" i="5"/>
  <c r="AU7" i="5" s="1"/>
  <c r="E11" i="14" s="1"/>
  <c r="AT11" i="5"/>
  <c r="AU11" i="5" s="1"/>
  <c r="E15" i="14" s="1"/>
  <c r="AT15" i="5"/>
  <c r="AU15" i="5" s="1"/>
  <c r="E19" i="14" s="1"/>
  <c r="AT19" i="5"/>
  <c r="AU19" i="5" s="1"/>
  <c r="E23" i="14" s="1"/>
  <c r="AT23" i="5"/>
  <c r="AU23" i="5" s="1"/>
  <c r="AV23" i="5" s="1"/>
  <c r="AW23" i="5" s="1"/>
  <c r="AX23" i="5" s="1"/>
  <c r="AY23" i="5" s="1"/>
  <c r="AZ23" i="5" s="1"/>
  <c r="BA23" i="5" s="1"/>
  <c r="BB23" i="5" s="1"/>
  <c r="BC23" i="5" s="1"/>
  <c r="BD23" i="5" s="1"/>
  <c r="BE23" i="5" s="1"/>
  <c r="AT27" i="5"/>
  <c r="AU27" i="5" s="1"/>
  <c r="AV27" i="5" s="1"/>
  <c r="AW27" i="5" s="1"/>
  <c r="AX27" i="5" s="1"/>
  <c r="AY27" i="5" s="1"/>
  <c r="AZ27" i="5" s="1"/>
  <c r="BA27" i="5" s="1"/>
  <c r="BB27" i="5" s="1"/>
  <c r="BC27" i="5" s="1"/>
  <c r="BD27" i="5" s="1"/>
  <c r="BE27" i="5" s="1"/>
  <c r="AT31" i="5"/>
  <c r="AU31" i="5" s="1"/>
  <c r="AV31" i="5" s="1"/>
  <c r="AW31" i="5" s="1"/>
  <c r="AX31" i="5" s="1"/>
  <c r="AY31" i="5" s="1"/>
  <c r="AZ31" i="5" s="1"/>
  <c r="BA31" i="5" s="1"/>
  <c r="BB31" i="5" s="1"/>
  <c r="BC31" i="5" s="1"/>
  <c r="BD31" i="5" s="1"/>
  <c r="BE31" i="5" s="1"/>
  <c r="AT35" i="5"/>
  <c r="AU35" i="5" s="1"/>
  <c r="AV35" i="5" s="1"/>
  <c r="AW35" i="5" s="1"/>
  <c r="AX35" i="5" s="1"/>
  <c r="AY35" i="5" s="1"/>
  <c r="AZ35" i="5" s="1"/>
  <c r="BA35" i="5" s="1"/>
  <c r="BB35" i="5" s="1"/>
  <c r="BC35" i="5" s="1"/>
  <c r="BD35" i="5" s="1"/>
  <c r="BE35" i="5" s="1"/>
  <c r="BF35" i="5" s="1"/>
  <c r="AT39" i="5"/>
  <c r="AU39" i="5" s="1"/>
  <c r="AV39" i="5" s="1"/>
  <c r="AW39" i="5" s="1"/>
  <c r="AX39" i="5" s="1"/>
  <c r="AY39" i="5" s="1"/>
  <c r="AZ39" i="5" s="1"/>
  <c r="BA39" i="5" s="1"/>
  <c r="BB39" i="5" s="1"/>
  <c r="BC39" i="5" s="1"/>
  <c r="BD39" i="5" s="1"/>
  <c r="BE39" i="5" s="1"/>
  <c r="AT43" i="5"/>
  <c r="AU43" i="5" s="1"/>
  <c r="AT47" i="5"/>
  <c r="AU47" i="5" s="1"/>
  <c r="AT51" i="5"/>
  <c r="AU51" i="5" s="1"/>
  <c r="AT55" i="5"/>
  <c r="AU55" i="5" s="1"/>
  <c r="AT59" i="5"/>
  <c r="AU59" i="5" s="1"/>
  <c r="AT63" i="5"/>
  <c r="AU63" i="5" s="1"/>
  <c r="AV63" i="5" s="1"/>
  <c r="AW63" i="5" s="1"/>
  <c r="AX63" i="5" s="1"/>
  <c r="AY63" i="5" s="1"/>
  <c r="AZ63" i="5" s="1"/>
  <c r="BA63" i="5" s="1"/>
  <c r="BB63" i="5" s="1"/>
  <c r="BC63" i="5" s="1"/>
  <c r="BD63" i="5" s="1"/>
  <c r="BE63" i="5" s="1"/>
  <c r="BF63" i="5" s="1"/>
  <c r="AT67" i="5"/>
  <c r="AU67" i="5" s="1"/>
  <c r="AV67" i="5" s="1"/>
  <c r="AW67" i="5" s="1"/>
  <c r="AX67" i="5" s="1"/>
  <c r="AY67" i="5" s="1"/>
  <c r="AZ67" i="5" s="1"/>
  <c r="BA67" i="5" s="1"/>
  <c r="BB67" i="5" s="1"/>
  <c r="BC67" i="5" s="1"/>
  <c r="BD67" i="5" s="1"/>
  <c r="BE67" i="5" s="1"/>
  <c r="BF67" i="5" s="1"/>
  <c r="AT71" i="5"/>
  <c r="AU71" i="5" s="1"/>
  <c r="AV71" i="5" s="1"/>
  <c r="AW71" i="5" s="1"/>
  <c r="AX71" i="5" s="1"/>
  <c r="AY71" i="5" s="1"/>
  <c r="AZ71" i="5" s="1"/>
  <c r="BA71" i="5" s="1"/>
  <c r="BB71" i="5" s="1"/>
  <c r="BC71" i="5" s="1"/>
  <c r="BD71" i="5" s="1"/>
  <c r="BE71" i="5" s="1"/>
  <c r="BF71" i="5" s="1"/>
  <c r="AT75" i="5"/>
  <c r="AU75" i="5" s="1"/>
  <c r="AV75" i="5" s="1"/>
  <c r="AW75" i="5" s="1"/>
  <c r="AX75" i="5" s="1"/>
  <c r="AY75" i="5" s="1"/>
  <c r="AZ75" i="5" s="1"/>
  <c r="BA75" i="5" s="1"/>
  <c r="BB75" i="5" s="1"/>
  <c r="BC75" i="5" s="1"/>
  <c r="BD75" i="5" s="1"/>
  <c r="BE75" i="5" s="1"/>
  <c r="BF75" i="5" s="1"/>
  <c r="AT79" i="5"/>
  <c r="AU79" i="5" s="1"/>
  <c r="AV79" i="5" s="1"/>
  <c r="AW79" i="5" s="1"/>
  <c r="AX79" i="5" s="1"/>
  <c r="AY79" i="5" s="1"/>
  <c r="AZ79" i="5" s="1"/>
  <c r="BA79" i="5" s="1"/>
  <c r="BB79" i="5" s="1"/>
  <c r="BC79" i="5" s="1"/>
  <c r="BD79" i="5" s="1"/>
  <c r="BE79" i="5" s="1"/>
  <c r="AT83" i="5"/>
  <c r="AU83" i="5" s="1"/>
  <c r="AV83" i="5" s="1"/>
  <c r="AW83" i="5" s="1"/>
  <c r="AX83" i="5" s="1"/>
  <c r="AY83" i="5" s="1"/>
  <c r="AZ83" i="5" s="1"/>
  <c r="BA83" i="5" s="1"/>
  <c r="BB83" i="5" s="1"/>
  <c r="BC83" i="5" s="1"/>
  <c r="BD83" i="5" s="1"/>
  <c r="BE83" i="5" s="1"/>
  <c r="BF83" i="5" s="1"/>
  <c r="AT87" i="5"/>
  <c r="AU87" i="5" s="1"/>
  <c r="AV87" i="5" s="1"/>
  <c r="AW87" i="5" s="1"/>
  <c r="AX87" i="5" s="1"/>
  <c r="AY87" i="5" s="1"/>
  <c r="AZ87" i="5" s="1"/>
  <c r="BA87" i="5" s="1"/>
  <c r="BB87" i="5" s="1"/>
  <c r="BC87" i="5" s="1"/>
  <c r="BD87" i="5" s="1"/>
  <c r="BE87" i="5" s="1"/>
  <c r="BF87" i="5" s="1"/>
  <c r="AT91" i="5"/>
  <c r="AU91" i="5" s="1"/>
  <c r="AV91" i="5" s="1"/>
  <c r="AW91" i="5" s="1"/>
  <c r="AX91" i="5" s="1"/>
  <c r="AY91" i="5" s="1"/>
  <c r="AZ91" i="5" s="1"/>
  <c r="BA91" i="5" s="1"/>
  <c r="BB91" i="5" s="1"/>
  <c r="BC91" i="5" s="1"/>
  <c r="BD91" i="5" s="1"/>
  <c r="BE91" i="5" s="1"/>
  <c r="BF91" i="5" s="1"/>
  <c r="AT95" i="5"/>
  <c r="AU95" i="5" s="1"/>
  <c r="AV95" i="5" s="1"/>
  <c r="AW95" i="5" s="1"/>
  <c r="AX95" i="5" s="1"/>
  <c r="AY95" i="5" s="1"/>
  <c r="AZ95" i="5" s="1"/>
  <c r="BA95" i="5" s="1"/>
  <c r="BB95" i="5" s="1"/>
  <c r="BC95" i="5" s="1"/>
  <c r="BD95" i="5" s="1"/>
  <c r="BE95" i="5" s="1"/>
  <c r="AT99" i="5"/>
  <c r="AU99" i="5" s="1"/>
  <c r="AV99" i="5" s="1"/>
  <c r="AW99" i="5" s="1"/>
  <c r="AX99" i="5" s="1"/>
  <c r="AY99" i="5" s="1"/>
  <c r="AZ99" i="5" s="1"/>
  <c r="BA99" i="5" s="1"/>
  <c r="BB99" i="5" s="1"/>
  <c r="BC99" i="5" s="1"/>
  <c r="BD99" i="5" s="1"/>
  <c r="BE99" i="5" s="1"/>
  <c r="BF99" i="5" s="1"/>
  <c r="AT103" i="5"/>
  <c r="AU103" i="5" s="1"/>
  <c r="AV103" i="5" s="1"/>
  <c r="AW103" i="5" s="1"/>
  <c r="AX103" i="5" s="1"/>
  <c r="AY103" i="5" s="1"/>
  <c r="AZ103" i="5" s="1"/>
  <c r="BA103" i="5" s="1"/>
  <c r="BB103" i="5" s="1"/>
  <c r="BC103" i="5" s="1"/>
  <c r="BD103" i="5" s="1"/>
  <c r="BE103" i="5" s="1"/>
  <c r="BF103" i="5" s="1"/>
  <c r="AT107" i="5"/>
  <c r="AU107" i="5" s="1"/>
  <c r="AV107" i="5" s="1"/>
  <c r="AW107" i="5" s="1"/>
  <c r="AX107" i="5" s="1"/>
  <c r="AY107" i="5" s="1"/>
  <c r="AZ107" i="5" s="1"/>
  <c r="BA107" i="5" s="1"/>
  <c r="BB107" i="5" s="1"/>
  <c r="BC107" i="5" s="1"/>
  <c r="BD107" i="5" s="1"/>
  <c r="BE107" i="5" s="1"/>
  <c r="BF107" i="5" s="1"/>
  <c r="AT111" i="5"/>
  <c r="AU111" i="5" s="1"/>
  <c r="AV111" i="5" s="1"/>
  <c r="AW111" i="5" s="1"/>
  <c r="AX111" i="5" s="1"/>
  <c r="AY111" i="5" s="1"/>
  <c r="AZ111" i="5" s="1"/>
  <c r="BA111" i="5" s="1"/>
  <c r="BB111" i="5" s="1"/>
  <c r="BC111" i="5" s="1"/>
  <c r="BD111" i="5" s="1"/>
  <c r="BE111" i="5" s="1"/>
  <c r="AT115" i="5"/>
  <c r="AU115" i="5" s="1"/>
  <c r="AV115" i="5" s="1"/>
  <c r="AW115" i="5" s="1"/>
  <c r="AX115" i="5" s="1"/>
  <c r="AY115" i="5" s="1"/>
  <c r="AZ115" i="5" s="1"/>
  <c r="BA115" i="5" s="1"/>
  <c r="BB115" i="5" s="1"/>
  <c r="BC115" i="5" s="1"/>
  <c r="BD115" i="5" s="1"/>
  <c r="BE115" i="5" s="1"/>
  <c r="BF115" i="5" s="1"/>
  <c r="AT119" i="5"/>
  <c r="AU119" i="5" s="1"/>
  <c r="AV119" i="5" s="1"/>
  <c r="AW119" i="5" s="1"/>
  <c r="AX119" i="5" s="1"/>
  <c r="AY119" i="5" s="1"/>
  <c r="AZ119" i="5" s="1"/>
  <c r="BA119" i="5" s="1"/>
  <c r="BB119" i="5" s="1"/>
  <c r="BC119" i="5" s="1"/>
  <c r="BD119" i="5" s="1"/>
  <c r="BE119" i="5" s="1"/>
  <c r="BF119" i="5" s="1"/>
  <c r="AT4" i="5"/>
  <c r="AU4" i="5" s="1"/>
  <c r="E8" i="14" s="1"/>
  <c r="AT8" i="5"/>
  <c r="AU8" i="5" s="1"/>
  <c r="E12" i="14" s="1"/>
  <c r="AT12" i="5"/>
  <c r="AU12" i="5" s="1"/>
  <c r="E16" i="14" s="1"/>
  <c r="AT16" i="5"/>
  <c r="AU16" i="5" s="1"/>
  <c r="E20" i="14" s="1"/>
  <c r="AT20" i="5"/>
  <c r="AU20" i="5" s="1"/>
  <c r="E24" i="14" s="1"/>
  <c r="AT24" i="5"/>
  <c r="AU24" i="5" s="1"/>
  <c r="AV24" i="5" s="1"/>
  <c r="AW24" i="5" s="1"/>
  <c r="AX24" i="5" s="1"/>
  <c r="AY24" i="5" s="1"/>
  <c r="AZ24" i="5" s="1"/>
  <c r="BA24" i="5" s="1"/>
  <c r="BB24" i="5" s="1"/>
  <c r="BC24" i="5" s="1"/>
  <c r="BD24" i="5" s="1"/>
  <c r="BE24" i="5" s="1"/>
  <c r="BF24" i="5" s="1"/>
  <c r="AT28" i="5"/>
  <c r="AU28" i="5" s="1"/>
  <c r="AV28" i="5" s="1"/>
  <c r="AW28" i="5" s="1"/>
  <c r="AX28" i="5" s="1"/>
  <c r="AY28" i="5" s="1"/>
  <c r="AZ28" i="5" s="1"/>
  <c r="BA28" i="5" s="1"/>
  <c r="BB28" i="5" s="1"/>
  <c r="BC28" i="5" s="1"/>
  <c r="BD28" i="5" s="1"/>
  <c r="BE28" i="5" s="1"/>
  <c r="BF28" i="5" s="1"/>
  <c r="AT32" i="5"/>
  <c r="AU32" i="5" s="1"/>
  <c r="AV32" i="5" s="1"/>
  <c r="AW32" i="5" s="1"/>
  <c r="AX32" i="5" s="1"/>
  <c r="AY32" i="5" s="1"/>
  <c r="AZ32" i="5" s="1"/>
  <c r="BA32" i="5" s="1"/>
  <c r="BB32" i="5" s="1"/>
  <c r="BC32" i="5" s="1"/>
  <c r="BD32" i="5" s="1"/>
  <c r="BE32" i="5" s="1"/>
  <c r="BF32" i="5" s="1"/>
  <c r="AT36" i="5"/>
  <c r="AU36" i="5" s="1"/>
  <c r="AV36" i="5" s="1"/>
  <c r="AW36" i="5" s="1"/>
  <c r="AX36" i="5" s="1"/>
  <c r="AY36" i="5" s="1"/>
  <c r="AZ36" i="5" s="1"/>
  <c r="BA36" i="5" s="1"/>
  <c r="BB36" i="5" s="1"/>
  <c r="BC36" i="5" s="1"/>
  <c r="BD36" i="5" s="1"/>
  <c r="BE36" i="5" s="1"/>
  <c r="AT40" i="5"/>
  <c r="AU40" i="5" s="1"/>
  <c r="AV40" i="5" s="1"/>
  <c r="AW40" i="5" s="1"/>
  <c r="AX40" i="5" s="1"/>
  <c r="AY40" i="5" s="1"/>
  <c r="AZ40" i="5" s="1"/>
  <c r="BA40" i="5" s="1"/>
  <c r="BB40" i="5" s="1"/>
  <c r="BC40" i="5" s="1"/>
  <c r="BD40" i="5" s="1"/>
  <c r="BE40" i="5" s="1"/>
  <c r="BF40" i="5" s="1"/>
  <c r="AT44" i="5"/>
  <c r="AU44" i="5" s="1"/>
  <c r="AT48" i="5"/>
  <c r="AU48" i="5" s="1"/>
  <c r="AT52" i="5"/>
  <c r="AU52" i="5" s="1"/>
  <c r="AT56" i="5"/>
  <c r="AU56" i="5" s="1"/>
  <c r="AT60" i="5"/>
  <c r="AU60" i="5" s="1"/>
  <c r="AT64" i="5"/>
  <c r="AU64" i="5" s="1"/>
  <c r="AV64" i="5" s="1"/>
  <c r="AW64" i="5" s="1"/>
  <c r="AX64" i="5" s="1"/>
  <c r="AY64" i="5" s="1"/>
  <c r="AZ64" i="5" s="1"/>
  <c r="BA64" i="5" s="1"/>
  <c r="BB64" i="5" s="1"/>
  <c r="BC64" i="5" s="1"/>
  <c r="BD64" i="5" s="1"/>
  <c r="BE64" i="5" s="1"/>
  <c r="BF64" i="5" s="1"/>
  <c r="AT68" i="5"/>
  <c r="AU68" i="5" s="1"/>
  <c r="AV68" i="5" s="1"/>
  <c r="AW68" i="5" s="1"/>
  <c r="AX68" i="5" s="1"/>
  <c r="AY68" i="5" s="1"/>
  <c r="AZ68" i="5" s="1"/>
  <c r="BA68" i="5" s="1"/>
  <c r="BB68" i="5" s="1"/>
  <c r="BC68" i="5" s="1"/>
  <c r="BD68" i="5" s="1"/>
  <c r="BE68" i="5" s="1"/>
  <c r="BF68" i="5" s="1"/>
  <c r="AT72" i="5"/>
  <c r="AU72" i="5" s="1"/>
  <c r="AV72" i="5" s="1"/>
  <c r="AW72" i="5" s="1"/>
  <c r="AX72" i="5" s="1"/>
  <c r="AY72" i="5" s="1"/>
  <c r="AZ72" i="5" s="1"/>
  <c r="BA72" i="5" s="1"/>
  <c r="BB72" i="5" s="1"/>
  <c r="BC72" i="5" s="1"/>
  <c r="BD72" i="5" s="1"/>
  <c r="BE72" i="5" s="1"/>
  <c r="AT76" i="5"/>
  <c r="AU76" i="5" s="1"/>
  <c r="AV76" i="5" s="1"/>
  <c r="AW76" i="5" s="1"/>
  <c r="AX76" i="5" s="1"/>
  <c r="AY76" i="5" s="1"/>
  <c r="AZ76" i="5" s="1"/>
  <c r="BA76" i="5" s="1"/>
  <c r="BB76" i="5" s="1"/>
  <c r="BC76" i="5" s="1"/>
  <c r="BD76" i="5" s="1"/>
  <c r="BE76" i="5" s="1"/>
  <c r="BF76" i="5" s="1"/>
  <c r="AT80" i="5"/>
  <c r="AU80" i="5" s="1"/>
  <c r="AV80" i="5" s="1"/>
  <c r="AW80" i="5" s="1"/>
  <c r="AX80" i="5" s="1"/>
  <c r="AY80" i="5" s="1"/>
  <c r="AZ80" i="5" s="1"/>
  <c r="BA80" i="5" s="1"/>
  <c r="BB80" i="5" s="1"/>
  <c r="BC80" i="5" s="1"/>
  <c r="BD80" i="5" s="1"/>
  <c r="BE80" i="5" s="1"/>
  <c r="BF80" i="5" s="1"/>
  <c r="AT84" i="5"/>
  <c r="AU84" i="5" s="1"/>
  <c r="AV84" i="5" s="1"/>
  <c r="AW84" i="5" s="1"/>
  <c r="AX84" i="5" s="1"/>
  <c r="AY84" i="5" s="1"/>
  <c r="AZ84" i="5" s="1"/>
  <c r="BA84" i="5" s="1"/>
  <c r="BB84" i="5" s="1"/>
  <c r="BC84" i="5" s="1"/>
  <c r="BD84" i="5" s="1"/>
  <c r="BE84" i="5" s="1"/>
  <c r="BF84" i="5" s="1"/>
  <c r="AT88" i="5"/>
  <c r="AU88" i="5" s="1"/>
  <c r="AV88" i="5" s="1"/>
  <c r="AW88" i="5" s="1"/>
  <c r="AX88" i="5" s="1"/>
  <c r="AY88" i="5" s="1"/>
  <c r="AZ88" i="5" s="1"/>
  <c r="BA88" i="5" s="1"/>
  <c r="BB88" i="5" s="1"/>
  <c r="BC88" i="5" s="1"/>
  <c r="BD88" i="5" s="1"/>
  <c r="BE88" i="5" s="1"/>
  <c r="AT92" i="5"/>
  <c r="AU92" i="5" s="1"/>
  <c r="AV92" i="5" s="1"/>
  <c r="AW92" i="5" s="1"/>
  <c r="AX92" i="5" s="1"/>
  <c r="AY92" i="5" s="1"/>
  <c r="AZ92" i="5" s="1"/>
  <c r="BA92" i="5" s="1"/>
  <c r="BB92" i="5" s="1"/>
  <c r="BC92" i="5" s="1"/>
  <c r="BD92" i="5" s="1"/>
  <c r="BE92" i="5" s="1"/>
  <c r="BF92" i="5" s="1"/>
  <c r="AT96" i="5"/>
  <c r="AU96" i="5" s="1"/>
  <c r="AV96" i="5" s="1"/>
  <c r="AW96" i="5" s="1"/>
  <c r="AX96" i="5" s="1"/>
  <c r="AY96" i="5" s="1"/>
  <c r="AZ96" i="5" s="1"/>
  <c r="BA96" i="5" s="1"/>
  <c r="BB96" i="5" s="1"/>
  <c r="BC96" i="5" s="1"/>
  <c r="BD96" i="5" s="1"/>
  <c r="BE96" i="5" s="1"/>
  <c r="BF96" i="5" s="1"/>
  <c r="AT100" i="5"/>
  <c r="AU100" i="5" s="1"/>
  <c r="AV100" i="5" s="1"/>
  <c r="AW100" i="5" s="1"/>
  <c r="AX100" i="5" s="1"/>
  <c r="AY100" i="5" s="1"/>
  <c r="AZ100" i="5" s="1"/>
  <c r="BA100" i="5" s="1"/>
  <c r="BB100" i="5" s="1"/>
  <c r="BC100" i="5" s="1"/>
  <c r="BD100" i="5" s="1"/>
  <c r="BE100" i="5" s="1"/>
  <c r="BF100" i="5" s="1"/>
  <c r="AT5" i="5"/>
  <c r="AU5" i="5" s="1"/>
  <c r="E9" i="14" s="1"/>
  <c r="AT9" i="5"/>
  <c r="AU9" i="5" s="1"/>
  <c r="E13" i="14" s="1"/>
  <c r="AT13" i="5"/>
  <c r="AU13" i="5" s="1"/>
  <c r="E17" i="14" s="1"/>
  <c r="AT17" i="5"/>
  <c r="AU17" i="5" s="1"/>
  <c r="E21" i="14" s="1"/>
  <c r="AT21" i="5"/>
  <c r="AU21" i="5" s="1"/>
  <c r="E25" i="14" s="1"/>
  <c r="AT25" i="5"/>
  <c r="AU25" i="5" s="1"/>
  <c r="AV25" i="5" s="1"/>
  <c r="AW25" i="5" s="1"/>
  <c r="AX25" i="5" s="1"/>
  <c r="AY25" i="5" s="1"/>
  <c r="AZ25" i="5" s="1"/>
  <c r="BA25" i="5" s="1"/>
  <c r="BB25" i="5" s="1"/>
  <c r="BC25" i="5" s="1"/>
  <c r="BD25" i="5" s="1"/>
  <c r="BE25" i="5" s="1"/>
  <c r="BF25" i="5" s="1"/>
  <c r="AT29" i="5"/>
  <c r="AU29" i="5" s="1"/>
  <c r="AV29" i="5" s="1"/>
  <c r="AW29" i="5" s="1"/>
  <c r="AX29" i="5" s="1"/>
  <c r="AY29" i="5" s="1"/>
  <c r="AZ29" i="5" s="1"/>
  <c r="BA29" i="5" s="1"/>
  <c r="BB29" i="5" s="1"/>
  <c r="BC29" i="5" s="1"/>
  <c r="BD29" i="5" s="1"/>
  <c r="BE29" i="5" s="1"/>
  <c r="BF29" i="5" s="1"/>
  <c r="AT33" i="5"/>
  <c r="AU33" i="5" s="1"/>
  <c r="AV33" i="5" s="1"/>
  <c r="AW33" i="5" s="1"/>
  <c r="AX33" i="5" s="1"/>
  <c r="AY33" i="5" s="1"/>
  <c r="AZ33" i="5" s="1"/>
  <c r="BA33" i="5" s="1"/>
  <c r="BB33" i="5" s="1"/>
  <c r="BC33" i="5" s="1"/>
  <c r="BD33" i="5" s="1"/>
  <c r="BE33" i="5" s="1"/>
  <c r="BF33" i="5" s="1"/>
  <c r="AT37" i="5"/>
  <c r="AU37" i="5" s="1"/>
  <c r="AV37" i="5" s="1"/>
  <c r="AW37" i="5" s="1"/>
  <c r="AX37" i="5" s="1"/>
  <c r="AY37" i="5" s="1"/>
  <c r="AZ37" i="5" s="1"/>
  <c r="BA37" i="5" s="1"/>
  <c r="BB37" i="5" s="1"/>
  <c r="BC37" i="5" s="1"/>
  <c r="BD37" i="5" s="1"/>
  <c r="BE37" i="5" s="1"/>
  <c r="AT41" i="5"/>
  <c r="AU41" i="5" s="1"/>
  <c r="AV41" i="5" s="1"/>
  <c r="AW41" i="5" s="1"/>
  <c r="AX41" i="5" s="1"/>
  <c r="AY41" i="5" s="1"/>
  <c r="AZ41" i="5" s="1"/>
  <c r="BA41" i="5" s="1"/>
  <c r="BB41" i="5" s="1"/>
  <c r="BC41" i="5" s="1"/>
  <c r="BD41" i="5" s="1"/>
  <c r="BE41" i="5" s="1"/>
  <c r="BF41" i="5" s="1"/>
  <c r="AT45" i="5"/>
  <c r="AU45" i="5" s="1"/>
  <c r="AT49" i="5"/>
  <c r="AU49" i="5" s="1"/>
  <c r="AT53" i="5"/>
  <c r="AU53" i="5" s="1"/>
  <c r="AT57" i="5"/>
  <c r="AU57" i="5" s="1"/>
  <c r="AT61" i="5"/>
  <c r="AU61" i="5" s="1"/>
  <c r="AT65" i="5"/>
  <c r="AU65" i="5" s="1"/>
  <c r="AV65" i="5" s="1"/>
  <c r="AW65" i="5" s="1"/>
  <c r="AX65" i="5" s="1"/>
  <c r="AY65" i="5" s="1"/>
  <c r="AZ65" i="5" s="1"/>
  <c r="BA65" i="5" s="1"/>
  <c r="BB65" i="5" s="1"/>
  <c r="BC65" i="5" s="1"/>
  <c r="BD65" i="5" s="1"/>
  <c r="BE65" i="5" s="1"/>
  <c r="BF65" i="5" s="1"/>
  <c r="AT69" i="5"/>
  <c r="AU69" i="5" s="1"/>
  <c r="AV69" i="5" s="1"/>
  <c r="AW69" i="5" s="1"/>
  <c r="AX69" i="5" s="1"/>
  <c r="AY69" i="5" s="1"/>
  <c r="AZ69" i="5" s="1"/>
  <c r="BA69" i="5" s="1"/>
  <c r="BB69" i="5" s="1"/>
  <c r="BC69" i="5" s="1"/>
  <c r="BD69" i="5" s="1"/>
  <c r="BE69" i="5" s="1"/>
  <c r="AT73" i="5"/>
  <c r="AU73" i="5" s="1"/>
  <c r="AV73" i="5" s="1"/>
  <c r="AW73" i="5" s="1"/>
  <c r="AX73" i="5" s="1"/>
  <c r="AY73" i="5" s="1"/>
  <c r="AZ73" i="5" s="1"/>
  <c r="BA73" i="5" s="1"/>
  <c r="BB73" i="5" s="1"/>
  <c r="BC73" i="5" s="1"/>
  <c r="BD73" i="5" s="1"/>
  <c r="BE73" i="5" s="1"/>
  <c r="BF73" i="5" s="1"/>
  <c r="AT77" i="5"/>
  <c r="AU77" i="5" s="1"/>
  <c r="AV77" i="5" s="1"/>
  <c r="AW77" i="5" s="1"/>
  <c r="AX77" i="5" s="1"/>
  <c r="AY77" i="5" s="1"/>
  <c r="AZ77" i="5" s="1"/>
  <c r="BA77" i="5" s="1"/>
  <c r="BB77" i="5" s="1"/>
  <c r="BC77" i="5" s="1"/>
  <c r="BD77" i="5" s="1"/>
  <c r="BE77" i="5" s="1"/>
  <c r="BF77" i="5" s="1"/>
  <c r="AT81" i="5"/>
  <c r="AU81" i="5" s="1"/>
  <c r="AV81" i="5" s="1"/>
  <c r="AW81" i="5" s="1"/>
  <c r="AX81" i="5" s="1"/>
  <c r="AY81" i="5" s="1"/>
  <c r="AZ81" i="5" s="1"/>
  <c r="BA81" i="5" s="1"/>
  <c r="BB81" i="5" s="1"/>
  <c r="BC81" i="5" s="1"/>
  <c r="BD81" i="5" s="1"/>
  <c r="BE81" i="5" s="1"/>
  <c r="BF81" i="5" s="1"/>
  <c r="AT85" i="5"/>
  <c r="AU85" i="5" s="1"/>
  <c r="AV85" i="5" s="1"/>
  <c r="AW85" i="5" s="1"/>
  <c r="AX85" i="5" s="1"/>
  <c r="AY85" i="5" s="1"/>
  <c r="AZ85" i="5" s="1"/>
  <c r="BA85" i="5" s="1"/>
  <c r="BB85" i="5" s="1"/>
  <c r="BC85" i="5" s="1"/>
  <c r="BD85" i="5" s="1"/>
  <c r="BE85" i="5" s="1"/>
  <c r="BF85" i="5" s="1"/>
  <c r="AT89" i="5"/>
  <c r="AU89" i="5" s="1"/>
  <c r="AV89" i="5" s="1"/>
  <c r="AW89" i="5" s="1"/>
  <c r="AX89" i="5" s="1"/>
  <c r="AY89" i="5" s="1"/>
  <c r="AZ89" i="5" s="1"/>
  <c r="BA89" i="5" s="1"/>
  <c r="BB89" i="5" s="1"/>
  <c r="BC89" i="5" s="1"/>
  <c r="BD89" i="5" s="1"/>
  <c r="BE89" i="5" s="1"/>
  <c r="BF89" i="5" s="1"/>
  <c r="AT93" i="5"/>
  <c r="AU93" i="5" s="1"/>
  <c r="AV93" i="5" s="1"/>
  <c r="AW93" i="5" s="1"/>
  <c r="AX93" i="5" s="1"/>
  <c r="AY93" i="5" s="1"/>
  <c r="AZ93" i="5" s="1"/>
  <c r="BA93" i="5" s="1"/>
  <c r="BB93" i="5" s="1"/>
  <c r="BC93" i="5" s="1"/>
  <c r="BD93" i="5" s="1"/>
  <c r="BE93" i="5" s="1"/>
  <c r="BF93" i="5" s="1"/>
  <c r="AT97" i="5"/>
  <c r="AU97" i="5" s="1"/>
  <c r="AV97" i="5" s="1"/>
  <c r="AW97" i="5" s="1"/>
  <c r="AX97" i="5" s="1"/>
  <c r="AY97" i="5" s="1"/>
  <c r="AZ97" i="5" s="1"/>
  <c r="BA97" i="5" s="1"/>
  <c r="BB97" i="5" s="1"/>
  <c r="BC97" i="5" s="1"/>
  <c r="BD97" i="5" s="1"/>
  <c r="BE97" i="5" s="1"/>
  <c r="BF97" i="5" s="1"/>
  <c r="AT101" i="5"/>
  <c r="AU101" i="5" s="1"/>
  <c r="AV101" i="5" s="1"/>
  <c r="AW101" i="5" s="1"/>
  <c r="AX101" i="5" s="1"/>
  <c r="AY101" i="5" s="1"/>
  <c r="AZ101" i="5" s="1"/>
  <c r="BA101" i="5" s="1"/>
  <c r="BB101" i="5" s="1"/>
  <c r="BC101" i="5" s="1"/>
  <c r="BD101" i="5" s="1"/>
  <c r="BE101" i="5" s="1"/>
  <c r="BF101" i="5" s="1"/>
  <c r="AT105" i="5"/>
  <c r="AU105" i="5" s="1"/>
  <c r="AV105" i="5" s="1"/>
  <c r="AW105" i="5" s="1"/>
  <c r="AX105" i="5" s="1"/>
  <c r="AY105" i="5" s="1"/>
  <c r="AZ105" i="5" s="1"/>
  <c r="BA105" i="5" s="1"/>
  <c r="BB105" i="5" s="1"/>
  <c r="BC105" i="5" s="1"/>
  <c r="BD105" i="5" s="1"/>
  <c r="BE105" i="5" s="1"/>
  <c r="BF105" i="5" s="1"/>
  <c r="AT109" i="5"/>
  <c r="AU109" i="5" s="1"/>
  <c r="AV109" i="5" s="1"/>
  <c r="AW109" i="5" s="1"/>
  <c r="AX109" i="5" s="1"/>
  <c r="AY109" i="5" s="1"/>
  <c r="AZ109" i="5" s="1"/>
  <c r="BA109" i="5" s="1"/>
  <c r="BB109" i="5" s="1"/>
  <c r="BC109" i="5" s="1"/>
  <c r="BD109" i="5" s="1"/>
  <c r="BE109" i="5" s="1"/>
  <c r="BF109" i="5" s="1"/>
  <c r="AT113" i="5"/>
  <c r="AU113" i="5" s="1"/>
  <c r="AV113" i="5" s="1"/>
  <c r="AW113" i="5" s="1"/>
  <c r="AX113" i="5" s="1"/>
  <c r="AY113" i="5" s="1"/>
  <c r="AZ113" i="5" s="1"/>
  <c r="BA113" i="5" s="1"/>
  <c r="BB113" i="5" s="1"/>
  <c r="BC113" i="5" s="1"/>
  <c r="BD113" i="5" s="1"/>
  <c r="BE113" i="5" s="1"/>
  <c r="BF113" i="5" s="1"/>
  <c r="AT117" i="5"/>
  <c r="AU117" i="5" s="1"/>
  <c r="AV117" i="5" s="1"/>
  <c r="AW117" i="5" s="1"/>
  <c r="AX117" i="5" s="1"/>
  <c r="AY117" i="5" s="1"/>
  <c r="AZ117" i="5" s="1"/>
  <c r="BA117" i="5" s="1"/>
  <c r="BB117" i="5" s="1"/>
  <c r="BC117" i="5" s="1"/>
  <c r="BD117" i="5" s="1"/>
  <c r="BE117" i="5" s="1"/>
  <c r="BF117" i="5" s="1"/>
  <c r="AT18" i="5"/>
  <c r="AU18" i="5" s="1"/>
  <c r="E22" i="14" s="1"/>
  <c r="AT34" i="5"/>
  <c r="AU34" i="5" s="1"/>
  <c r="AV34" i="5" s="1"/>
  <c r="AW34" i="5" s="1"/>
  <c r="AX34" i="5" s="1"/>
  <c r="AY34" i="5" s="1"/>
  <c r="AZ34" i="5" s="1"/>
  <c r="BA34" i="5" s="1"/>
  <c r="BB34" i="5" s="1"/>
  <c r="BC34" i="5" s="1"/>
  <c r="BD34" i="5" s="1"/>
  <c r="BE34" i="5" s="1"/>
  <c r="BF34" i="5" s="1"/>
  <c r="AT50" i="5"/>
  <c r="AU50" i="5" s="1"/>
  <c r="AT66" i="5"/>
  <c r="AU66" i="5" s="1"/>
  <c r="AV66" i="5" s="1"/>
  <c r="AW66" i="5" s="1"/>
  <c r="AX66" i="5" s="1"/>
  <c r="AY66" i="5" s="1"/>
  <c r="AZ66" i="5" s="1"/>
  <c r="BA66" i="5" s="1"/>
  <c r="BB66" i="5" s="1"/>
  <c r="BC66" i="5" s="1"/>
  <c r="BD66" i="5" s="1"/>
  <c r="BE66" i="5" s="1"/>
  <c r="BF66" i="5" s="1"/>
  <c r="AT82" i="5"/>
  <c r="AU82" i="5" s="1"/>
  <c r="AV82" i="5" s="1"/>
  <c r="AW82" i="5" s="1"/>
  <c r="AX82" i="5" s="1"/>
  <c r="AY82" i="5" s="1"/>
  <c r="AZ82" i="5" s="1"/>
  <c r="BA82" i="5" s="1"/>
  <c r="BB82" i="5" s="1"/>
  <c r="BC82" i="5" s="1"/>
  <c r="BD82" i="5" s="1"/>
  <c r="BE82" i="5" s="1"/>
  <c r="BF82" i="5" s="1"/>
  <c r="AT98" i="5"/>
  <c r="AU98" i="5" s="1"/>
  <c r="AV98" i="5" s="1"/>
  <c r="AW98" i="5" s="1"/>
  <c r="AX98" i="5" s="1"/>
  <c r="AY98" i="5" s="1"/>
  <c r="AZ98" i="5" s="1"/>
  <c r="BA98" i="5" s="1"/>
  <c r="BB98" i="5" s="1"/>
  <c r="BC98" i="5" s="1"/>
  <c r="BD98" i="5" s="1"/>
  <c r="BE98" i="5" s="1"/>
  <c r="BF98" i="5" s="1"/>
  <c r="AT108" i="5"/>
  <c r="AU108" i="5" s="1"/>
  <c r="AV108" i="5" s="1"/>
  <c r="AW108" i="5" s="1"/>
  <c r="AX108" i="5" s="1"/>
  <c r="AY108" i="5" s="1"/>
  <c r="AZ108" i="5" s="1"/>
  <c r="BA108" i="5" s="1"/>
  <c r="BB108" i="5" s="1"/>
  <c r="BC108" i="5" s="1"/>
  <c r="BD108" i="5" s="1"/>
  <c r="BE108" i="5" s="1"/>
  <c r="BF108" i="5" s="1"/>
  <c r="AT116" i="5"/>
  <c r="AU116" i="5" s="1"/>
  <c r="AV116" i="5" s="1"/>
  <c r="AW116" i="5" s="1"/>
  <c r="AX116" i="5" s="1"/>
  <c r="AY116" i="5" s="1"/>
  <c r="AZ116" i="5" s="1"/>
  <c r="BA116" i="5" s="1"/>
  <c r="BB116" i="5" s="1"/>
  <c r="BC116" i="5" s="1"/>
  <c r="BD116" i="5" s="1"/>
  <c r="BE116" i="5" s="1"/>
  <c r="BF116" i="5" s="1"/>
  <c r="AT122" i="5"/>
  <c r="AU122" i="5" s="1"/>
  <c r="AV122" i="5" s="1"/>
  <c r="AW122" i="5" s="1"/>
  <c r="AX122" i="5" s="1"/>
  <c r="AY122" i="5" s="1"/>
  <c r="AZ122" i="5" s="1"/>
  <c r="BA122" i="5" s="1"/>
  <c r="BB122" i="5" s="1"/>
  <c r="BC122" i="5" s="1"/>
  <c r="BD122" i="5" s="1"/>
  <c r="BE122" i="5" s="1"/>
  <c r="BF122" i="5" s="1"/>
  <c r="AT126" i="5"/>
  <c r="AU126" i="5" s="1"/>
  <c r="AV126" i="5" s="1"/>
  <c r="AW126" i="5" s="1"/>
  <c r="AX126" i="5" s="1"/>
  <c r="AY126" i="5" s="1"/>
  <c r="AZ126" i="5" s="1"/>
  <c r="BA126" i="5" s="1"/>
  <c r="BB126" i="5" s="1"/>
  <c r="BC126" i="5" s="1"/>
  <c r="BD126" i="5" s="1"/>
  <c r="BE126" i="5" s="1"/>
  <c r="BF126" i="5" s="1"/>
  <c r="AT130" i="5"/>
  <c r="AU130" i="5" s="1"/>
  <c r="AV130" i="5" s="1"/>
  <c r="AW130" i="5" s="1"/>
  <c r="AX130" i="5" s="1"/>
  <c r="AY130" i="5" s="1"/>
  <c r="AZ130" i="5" s="1"/>
  <c r="BA130" i="5" s="1"/>
  <c r="BB130" i="5" s="1"/>
  <c r="BC130" i="5" s="1"/>
  <c r="BD130" i="5" s="1"/>
  <c r="BE130" i="5" s="1"/>
  <c r="BF130" i="5" s="1"/>
  <c r="AT134" i="5"/>
  <c r="AU134" i="5" s="1"/>
  <c r="AV134" i="5" s="1"/>
  <c r="AW134" i="5" s="1"/>
  <c r="AX134" i="5" s="1"/>
  <c r="AY134" i="5" s="1"/>
  <c r="AZ134" i="5" s="1"/>
  <c r="BA134" i="5" s="1"/>
  <c r="BB134" i="5" s="1"/>
  <c r="BC134" i="5" s="1"/>
  <c r="BD134" i="5" s="1"/>
  <c r="BE134" i="5" s="1"/>
  <c r="BF134" i="5" s="1"/>
  <c r="AT138" i="5"/>
  <c r="AU138" i="5" s="1"/>
  <c r="AV138" i="5" s="1"/>
  <c r="AW138" i="5" s="1"/>
  <c r="AX138" i="5" s="1"/>
  <c r="AY138" i="5" s="1"/>
  <c r="AZ138" i="5" s="1"/>
  <c r="BA138" i="5" s="1"/>
  <c r="BB138" i="5" s="1"/>
  <c r="BC138" i="5" s="1"/>
  <c r="BD138" i="5" s="1"/>
  <c r="BE138" i="5" s="1"/>
  <c r="BF138" i="5" s="1"/>
  <c r="AT142" i="5"/>
  <c r="AU142" i="5" s="1"/>
  <c r="AV142" i="5" s="1"/>
  <c r="AW142" i="5" s="1"/>
  <c r="AX142" i="5" s="1"/>
  <c r="AY142" i="5" s="1"/>
  <c r="AZ142" i="5" s="1"/>
  <c r="BA142" i="5" s="1"/>
  <c r="BB142" i="5" s="1"/>
  <c r="BC142" i="5" s="1"/>
  <c r="BD142" i="5" s="1"/>
  <c r="BE142" i="5" s="1"/>
  <c r="AT146" i="5"/>
  <c r="AU146" i="5" s="1"/>
  <c r="AV146" i="5" s="1"/>
  <c r="AW146" i="5" s="1"/>
  <c r="AX146" i="5" s="1"/>
  <c r="AY146" i="5" s="1"/>
  <c r="AZ146" i="5" s="1"/>
  <c r="BA146" i="5" s="1"/>
  <c r="BB146" i="5" s="1"/>
  <c r="BC146" i="5" s="1"/>
  <c r="BD146" i="5" s="1"/>
  <c r="BE146" i="5" s="1"/>
  <c r="BF146" i="5" s="1"/>
  <c r="AT150" i="5"/>
  <c r="AU150" i="5" s="1"/>
  <c r="AV150" i="5" s="1"/>
  <c r="AW150" i="5" s="1"/>
  <c r="AX150" i="5" s="1"/>
  <c r="AY150" i="5" s="1"/>
  <c r="AZ150" i="5" s="1"/>
  <c r="BA150" i="5" s="1"/>
  <c r="BB150" i="5" s="1"/>
  <c r="BC150" i="5" s="1"/>
  <c r="BD150" i="5" s="1"/>
  <c r="BE150" i="5" s="1"/>
  <c r="BF150" i="5" s="1"/>
  <c r="AT154" i="5"/>
  <c r="AU154" i="5" s="1"/>
  <c r="AV154" i="5" s="1"/>
  <c r="AW154" i="5" s="1"/>
  <c r="AX154" i="5" s="1"/>
  <c r="AY154" i="5" s="1"/>
  <c r="AZ154" i="5" s="1"/>
  <c r="BA154" i="5" s="1"/>
  <c r="BB154" i="5" s="1"/>
  <c r="BC154" i="5" s="1"/>
  <c r="BD154" i="5" s="1"/>
  <c r="BE154" i="5" s="1"/>
  <c r="BF154" i="5" s="1"/>
  <c r="AT158" i="5"/>
  <c r="AU158" i="5" s="1"/>
  <c r="AV158" i="5" s="1"/>
  <c r="AW158" i="5" s="1"/>
  <c r="AX158" i="5" s="1"/>
  <c r="AY158" i="5" s="1"/>
  <c r="AZ158" i="5" s="1"/>
  <c r="BA158" i="5" s="1"/>
  <c r="BB158" i="5" s="1"/>
  <c r="BC158" i="5" s="1"/>
  <c r="BD158" i="5" s="1"/>
  <c r="BE158" i="5" s="1"/>
  <c r="AT162" i="5"/>
  <c r="AU162" i="5" s="1"/>
  <c r="AV162" i="5" s="1"/>
  <c r="AW162" i="5" s="1"/>
  <c r="AX162" i="5" s="1"/>
  <c r="AY162" i="5" s="1"/>
  <c r="AZ162" i="5" s="1"/>
  <c r="BA162" i="5" s="1"/>
  <c r="BB162" i="5" s="1"/>
  <c r="BC162" i="5" s="1"/>
  <c r="BD162" i="5" s="1"/>
  <c r="BE162" i="5" s="1"/>
  <c r="BF162" i="5" s="1"/>
  <c r="AT166" i="5"/>
  <c r="AU166" i="5" s="1"/>
  <c r="AV166" i="5" s="1"/>
  <c r="AW166" i="5" s="1"/>
  <c r="AX166" i="5" s="1"/>
  <c r="AY166" i="5" s="1"/>
  <c r="AZ166" i="5" s="1"/>
  <c r="BA166" i="5" s="1"/>
  <c r="BB166" i="5" s="1"/>
  <c r="BC166" i="5" s="1"/>
  <c r="BD166" i="5" s="1"/>
  <c r="BE166" i="5" s="1"/>
  <c r="BF166" i="5" s="1"/>
  <c r="AT170" i="5"/>
  <c r="AU170" i="5" s="1"/>
  <c r="AV170" i="5" s="1"/>
  <c r="AW170" i="5" s="1"/>
  <c r="AX170" i="5" s="1"/>
  <c r="AY170" i="5" s="1"/>
  <c r="AZ170" i="5" s="1"/>
  <c r="BA170" i="5" s="1"/>
  <c r="BB170" i="5" s="1"/>
  <c r="BC170" i="5" s="1"/>
  <c r="BD170" i="5" s="1"/>
  <c r="BE170" i="5" s="1"/>
  <c r="BF170" i="5" s="1"/>
  <c r="AT174" i="5"/>
  <c r="AU174" i="5" s="1"/>
  <c r="AV174" i="5" s="1"/>
  <c r="AW174" i="5" s="1"/>
  <c r="AX174" i="5" s="1"/>
  <c r="AY174" i="5" s="1"/>
  <c r="AZ174" i="5" s="1"/>
  <c r="BA174" i="5" s="1"/>
  <c r="BB174" i="5" s="1"/>
  <c r="BC174" i="5" s="1"/>
  <c r="BD174" i="5" s="1"/>
  <c r="BE174" i="5" s="1"/>
  <c r="AT178" i="5"/>
  <c r="AU178" i="5" s="1"/>
  <c r="AV178" i="5" s="1"/>
  <c r="AW178" i="5" s="1"/>
  <c r="AX178" i="5" s="1"/>
  <c r="AY178" i="5" s="1"/>
  <c r="AZ178" i="5" s="1"/>
  <c r="BA178" i="5" s="1"/>
  <c r="BB178" i="5" s="1"/>
  <c r="BC178" i="5" s="1"/>
  <c r="BD178" i="5" s="1"/>
  <c r="BE178" i="5" s="1"/>
  <c r="BF178" i="5" s="1"/>
  <c r="AT182" i="5"/>
  <c r="AU182" i="5" s="1"/>
  <c r="AV182" i="5" s="1"/>
  <c r="AW182" i="5" s="1"/>
  <c r="AX182" i="5" s="1"/>
  <c r="AY182" i="5" s="1"/>
  <c r="AZ182" i="5" s="1"/>
  <c r="BA182" i="5" s="1"/>
  <c r="BB182" i="5" s="1"/>
  <c r="BC182" i="5" s="1"/>
  <c r="BD182" i="5" s="1"/>
  <c r="BE182" i="5" s="1"/>
  <c r="BF182" i="5" s="1"/>
  <c r="AT186" i="5"/>
  <c r="AU186" i="5" s="1"/>
  <c r="AV186" i="5" s="1"/>
  <c r="AW186" i="5" s="1"/>
  <c r="AX186" i="5" s="1"/>
  <c r="AY186" i="5" s="1"/>
  <c r="AZ186" i="5" s="1"/>
  <c r="BA186" i="5" s="1"/>
  <c r="BB186" i="5" s="1"/>
  <c r="BC186" i="5" s="1"/>
  <c r="BD186" i="5" s="1"/>
  <c r="BE186" i="5" s="1"/>
  <c r="BF186" i="5" s="1"/>
  <c r="AT190" i="5"/>
  <c r="AU190" i="5" s="1"/>
  <c r="AV190" i="5" s="1"/>
  <c r="AW190" i="5" s="1"/>
  <c r="AX190" i="5" s="1"/>
  <c r="AY190" i="5" s="1"/>
  <c r="AZ190" i="5" s="1"/>
  <c r="BA190" i="5" s="1"/>
  <c r="BB190" i="5" s="1"/>
  <c r="BC190" i="5" s="1"/>
  <c r="BD190" i="5" s="1"/>
  <c r="BE190" i="5" s="1"/>
  <c r="AT194" i="5"/>
  <c r="AU194" i="5" s="1"/>
  <c r="AV194" i="5" s="1"/>
  <c r="AW194" i="5" s="1"/>
  <c r="AX194" i="5" s="1"/>
  <c r="AY194" i="5" s="1"/>
  <c r="AZ194" i="5" s="1"/>
  <c r="BA194" i="5" s="1"/>
  <c r="BB194" i="5" s="1"/>
  <c r="BC194" i="5" s="1"/>
  <c r="BD194" i="5" s="1"/>
  <c r="BE194" i="5" s="1"/>
  <c r="BF194" i="5" s="1"/>
  <c r="AT198" i="5"/>
  <c r="AU198" i="5" s="1"/>
  <c r="AV198" i="5" s="1"/>
  <c r="AW198" i="5" s="1"/>
  <c r="AX198" i="5" s="1"/>
  <c r="AY198" i="5" s="1"/>
  <c r="AZ198" i="5" s="1"/>
  <c r="BA198" i="5" s="1"/>
  <c r="BB198" i="5" s="1"/>
  <c r="BC198" i="5" s="1"/>
  <c r="BD198" i="5" s="1"/>
  <c r="BE198" i="5" s="1"/>
  <c r="BF198" i="5" s="1"/>
  <c r="AT202" i="5"/>
  <c r="AU202" i="5" s="1"/>
  <c r="AV202" i="5" s="1"/>
  <c r="AW202" i="5" s="1"/>
  <c r="AX202" i="5" s="1"/>
  <c r="AY202" i="5" s="1"/>
  <c r="AZ202" i="5" s="1"/>
  <c r="BA202" i="5" s="1"/>
  <c r="BB202" i="5" s="1"/>
  <c r="BC202" i="5" s="1"/>
  <c r="BD202" i="5" s="1"/>
  <c r="BE202" i="5" s="1"/>
  <c r="BF202" i="5" s="1"/>
  <c r="AT206" i="5"/>
  <c r="AU206" i="5" s="1"/>
  <c r="AV206" i="5" s="1"/>
  <c r="AW206" i="5" s="1"/>
  <c r="AX206" i="5" s="1"/>
  <c r="AY206" i="5" s="1"/>
  <c r="AZ206" i="5" s="1"/>
  <c r="BA206" i="5" s="1"/>
  <c r="BB206" i="5" s="1"/>
  <c r="BC206" i="5" s="1"/>
  <c r="BD206" i="5" s="1"/>
  <c r="BE206" i="5" s="1"/>
  <c r="BF206" i="5" s="1"/>
  <c r="AT210" i="5"/>
  <c r="AU210" i="5" s="1"/>
  <c r="AV210" i="5" s="1"/>
  <c r="AW210" i="5" s="1"/>
  <c r="AX210" i="5" s="1"/>
  <c r="AY210" i="5" s="1"/>
  <c r="AZ210" i="5" s="1"/>
  <c r="BA210" i="5" s="1"/>
  <c r="BB210" i="5" s="1"/>
  <c r="BC210" i="5" s="1"/>
  <c r="BD210" i="5" s="1"/>
  <c r="BE210" i="5" s="1"/>
  <c r="AT214" i="5"/>
  <c r="AU214" i="5" s="1"/>
  <c r="AV214" i="5" s="1"/>
  <c r="AW214" i="5" s="1"/>
  <c r="AX214" i="5" s="1"/>
  <c r="AY214" i="5" s="1"/>
  <c r="AZ214" i="5" s="1"/>
  <c r="BA214" i="5" s="1"/>
  <c r="BB214" i="5" s="1"/>
  <c r="BC214" i="5" s="1"/>
  <c r="BD214" i="5" s="1"/>
  <c r="BE214" i="5" s="1"/>
  <c r="BF214" i="5" s="1"/>
  <c r="AT218" i="5"/>
  <c r="AU218" i="5" s="1"/>
  <c r="AV218" i="5" s="1"/>
  <c r="AW218" i="5" s="1"/>
  <c r="AX218" i="5" s="1"/>
  <c r="AY218" i="5" s="1"/>
  <c r="AZ218" i="5" s="1"/>
  <c r="BA218" i="5" s="1"/>
  <c r="BB218" i="5" s="1"/>
  <c r="BC218" i="5" s="1"/>
  <c r="BD218" i="5" s="1"/>
  <c r="BE218" i="5" s="1"/>
  <c r="BF218" i="5" s="1"/>
  <c r="AT222" i="5"/>
  <c r="AU222" i="5" s="1"/>
  <c r="AV222" i="5" s="1"/>
  <c r="AW222" i="5" s="1"/>
  <c r="AX222" i="5" s="1"/>
  <c r="AY222" i="5" s="1"/>
  <c r="AZ222" i="5" s="1"/>
  <c r="BA222" i="5" s="1"/>
  <c r="BB222" i="5" s="1"/>
  <c r="BC222" i="5" s="1"/>
  <c r="BD222" i="5" s="1"/>
  <c r="BE222" i="5" s="1"/>
  <c r="BF222" i="5" s="1"/>
  <c r="AT226" i="5"/>
  <c r="AU226" i="5" s="1"/>
  <c r="AV226" i="5" s="1"/>
  <c r="AW226" i="5" s="1"/>
  <c r="AX226" i="5" s="1"/>
  <c r="AY226" i="5" s="1"/>
  <c r="AZ226" i="5" s="1"/>
  <c r="BA226" i="5" s="1"/>
  <c r="BB226" i="5" s="1"/>
  <c r="BC226" i="5" s="1"/>
  <c r="BD226" i="5" s="1"/>
  <c r="BE226" i="5" s="1"/>
  <c r="BF226" i="5" s="1"/>
  <c r="AT230" i="5"/>
  <c r="AU230" i="5" s="1"/>
  <c r="AV230" i="5" s="1"/>
  <c r="AW230" i="5" s="1"/>
  <c r="AX230" i="5" s="1"/>
  <c r="AY230" i="5" s="1"/>
  <c r="AZ230" i="5" s="1"/>
  <c r="BA230" i="5" s="1"/>
  <c r="BB230" i="5" s="1"/>
  <c r="BC230" i="5" s="1"/>
  <c r="BD230" i="5" s="1"/>
  <c r="BE230" i="5" s="1"/>
  <c r="AT234" i="5"/>
  <c r="AU234" i="5" s="1"/>
  <c r="AV234" i="5" s="1"/>
  <c r="AW234" i="5" s="1"/>
  <c r="AX234" i="5" s="1"/>
  <c r="AY234" i="5" s="1"/>
  <c r="AZ234" i="5" s="1"/>
  <c r="BA234" i="5" s="1"/>
  <c r="BB234" i="5" s="1"/>
  <c r="BC234" i="5" s="1"/>
  <c r="BD234" i="5" s="1"/>
  <c r="BE234" i="5" s="1"/>
  <c r="BF234" i="5" s="1"/>
  <c r="AT238" i="5"/>
  <c r="AU238" i="5" s="1"/>
  <c r="AV238" i="5" s="1"/>
  <c r="AW238" i="5" s="1"/>
  <c r="AX238" i="5" s="1"/>
  <c r="AY238" i="5" s="1"/>
  <c r="AZ238" i="5" s="1"/>
  <c r="BA238" i="5" s="1"/>
  <c r="BB238" i="5" s="1"/>
  <c r="BC238" i="5" s="1"/>
  <c r="BD238" i="5" s="1"/>
  <c r="BE238" i="5" s="1"/>
  <c r="BF238" i="5" s="1"/>
  <c r="AT242" i="5"/>
  <c r="AU242" i="5" s="1"/>
  <c r="AV242" i="5" s="1"/>
  <c r="AW242" i="5" s="1"/>
  <c r="AX242" i="5" s="1"/>
  <c r="AY242" i="5" s="1"/>
  <c r="AZ242" i="5" s="1"/>
  <c r="BA242" i="5" s="1"/>
  <c r="BB242" i="5" s="1"/>
  <c r="BC242" i="5" s="1"/>
  <c r="BD242" i="5" s="1"/>
  <c r="BE242" i="5" s="1"/>
  <c r="BF242" i="5" s="1"/>
  <c r="AT246" i="5"/>
  <c r="AU246" i="5" s="1"/>
  <c r="AV246" i="5" s="1"/>
  <c r="AW246" i="5" s="1"/>
  <c r="AX246" i="5" s="1"/>
  <c r="AY246" i="5" s="1"/>
  <c r="AZ246" i="5" s="1"/>
  <c r="BA246" i="5" s="1"/>
  <c r="BB246" i="5" s="1"/>
  <c r="BC246" i="5" s="1"/>
  <c r="BD246" i="5" s="1"/>
  <c r="BE246" i="5" s="1"/>
  <c r="AT250" i="5"/>
  <c r="AU250" i="5" s="1"/>
  <c r="AV250" i="5" s="1"/>
  <c r="AW250" i="5" s="1"/>
  <c r="AX250" i="5" s="1"/>
  <c r="AY250" i="5" s="1"/>
  <c r="AZ250" i="5" s="1"/>
  <c r="BA250" i="5" s="1"/>
  <c r="BB250" i="5" s="1"/>
  <c r="BC250" i="5" s="1"/>
  <c r="BD250" i="5" s="1"/>
  <c r="BE250" i="5" s="1"/>
  <c r="BF250" i="5" s="1"/>
  <c r="AT254" i="5"/>
  <c r="AU254" i="5" s="1"/>
  <c r="AV254" i="5" s="1"/>
  <c r="AW254" i="5" s="1"/>
  <c r="AX254" i="5" s="1"/>
  <c r="AY254" i="5" s="1"/>
  <c r="AZ254" i="5" s="1"/>
  <c r="BA254" i="5" s="1"/>
  <c r="BB254" i="5" s="1"/>
  <c r="BC254" i="5" s="1"/>
  <c r="BD254" i="5" s="1"/>
  <c r="BE254" i="5" s="1"/>
  <c r="BF254" i="5" s="1"/>
  <c r="AT258" i="5"/>
  <c r="AU258" i="5" s="1"/>
  <c r="AV258" i="5" s="1"/>
  <c r="AW258" i="5" s="1"/>
  <c r="AX258" i="5" s="1"/>
  <c r="AY258" i="5" s="1"/>
  <c r="AZ258" i="5" s="1"/>
  <c r="BA258" i="5" s="1"/>
  <c r="BB258" i="5" s="1"/>
  <c r="BC258" i="5" s="1"/>
  <c r="BD258" i="5" s="1"/>
  <c r="BE258" i="5" s="1"/>
  <c r="BF258" i="5" s="1"/>
  <c r="AT262" i="5"/>
  <c r="AU262" i="5" s="1"/>
  <c r="AV262" i="5" s="1"/>
  <c r="AW262" i="5" s="1"/>
  <c r="AX262" i="5" s="1"/>
  <c r="AY262" i="5" s="1"/>
  <c r="AZ262" i="5" s="1"/>
  <c r="BA262" i="5" s="1"/>
  <c r="BB262" i="5" s="1"/>
  <c r="BC262" i="5" s="1"/>
  <c r="BD262" i="5" s="1"/>
  <c r="BE262" i="5" s="1"/>
  <c r="BF262" i="5" s="1"/>
  <c r="AT266" i="5"/>
  <c r="AU266" i="5" s="1"/>
  <c r="AV266" i="5" s="1"/>
  <c r="AW266" i="5" s="1"/>
  <c r="AX266" i="5" s="1"/>
  <c r="AY266" i="5" s="1"/>
  <c r="AZ266" i="5" s="1"/>
  <c r="BA266" i="5" s="1"/>
  <c r="BB266" i="5" s="1"/>
  <c r="BC266" i="5" s="1"/>
  <c r="BD266" i="5" s="1"/>
  <c r="BE266" i="5" s="1"/>
  <c r="BF266" i="5" s="1"/>
  <c r="AT270" i="5"/>
  <c r="AU270" i="5" s="1"/>
  <c r="AV270" i="5" s="1"/>
  <c r="AW270" i="5" s="1"/>
  <c r="AX270" i="5" s="1"/>
  <c r="AY270" i="5" s="1"/>
  <c r="AZ270" i="5" s="1"/>
  <c r="BA270" i="5" s="1"/>
  <c r="BB270" i="5" s="1"/>
  <c r="BC270" i="5" s="1"/>
  <c r="BD270" i="5" s="1"/>
  <c r="BE270" i="5" s="1"/>
  <c r="BF270" i="5" s="1"/>
  <c r="AT274" i="5"/>
  <c r="AU274" i="5" s="1"/>
  <c r="AV274" i="5" s="1"/>
  <c r="AW274" i="5" s="1"/>
  <c r="AX274" i="5" s="1"/>
  <c r="AY274" i="5" s="1"/>
  <c r="AZ274" i="5" s="1"/>
  <c r="BA274" i="5" s="1"/>
  <c r="BB274" i="5" s="1"/>
  <c r="BC274" i="5" s="1"/>
  <c r="BD274" i="5" s="1"/>
  <c r="BE274" i="5" s="1"/>
  <c r="BF274" i="5" s="1"/>
  <c r="AT278" i="5"/>
  <c r="AU278" i="5" s="1"/>
  <c r="AV278" i="5" s="1"/>
  <c r="AW278" i="5" s="1"/>
  <c r="AX278" i="5" s="1"/>
  <c r="AY278" i="5" s="1"/>
  <c r="AZ278" i="5" s="1"/>
  <c r="BA278" i="5" s="1"/>
  <c r="BB278" i="5" s="1"/>
  <c r="BC278" i="5" s="1"/>
  <c r="BD278" i="5" s="1"/>
  <c r="BE278" i="5" s="1"/>
  <c r="BF278" i="5" s="1"/>
  <c r="AT282" i="5"/>
  <c r="AU282" i="5" s="1"/>
  <c r="AV282" i="5" s="1"/>
  <c r="AW282" i="5" s="1"/>
  <c r="AX282" i="5" s="1"/>
  <c r="AY282" i="5" s="1"/>
  <c r="AZ282" i="5" s="1"/>
  <c r="BA282" i="5" s="1"/>
  <c r="BB282" i="5" s="1"/>
  <c r="BC282" i="5" s="1"/>
  <c r="BD282" i="5" s="1"/>
  <c r="BE282" i="5" s="1"/>
  <c r="BF282" i="5" s="1"/>
  <c r="AT286" i="5"/>
  <c r="AU286" i="5" s="1"/>
  <c r="AV286" i="5" s="1"/>
  <c r="AW286" i="5" s="1"/>
  <c r="AX286" i="5" s="1"/>
  <c r="AY286" i="5" s="1"/>
  <c r="AZ286" i="5" s="1"/>
  <c r="BA286" i="5" s="1"/>
  <c r="BB286" i="5" s="1"/>
  <c r="BC286" i="5" s="1"/>
  <c r="BD286" i="5" s="1"/>
  <c r="BE286" i="5" s="1"/>
  <c r="AT290" i="5"/>
  <c r="AU290" i="5" s="1"/>
  <c r="AV290" i="5" s="1"/>
  <c r="AW290" i="5" s="1"/>
  <c r="AX290" i="5" s="1"/>
  <c r="AY290" i="5" s="1"/>
  <c r="AZ290" i="5" s="1"/>
  <c r="BA290" i="5" s="1"/>
  <c r="BB290" i="5" s="1"/>
  <c r="BC290" i="5" s="1"/>
  <c r="BD290" i="5" s="1"/>
  <c r="BE290" i="5" s="1"/>
  <c r="BF290" i="5" s="1"/>
  <c r="AT294" i="5"/>
  <c r="AU294" i="5" s="1"/>
  <c r="AV294" i="5" s="1"/>
  <c r="AW294" i="5" s="1"/>
  <c r="AX294" i="5" s="1"/>
  <c r="AY294" i="5" s="1"/>
  <c r="AZ294" i="5" s="1"/>
  <c r="BA294" i="5" s="1"/>
  <c r="BB294" i="5" s="1"/>
  <c r="BC294" i="5" s="1"/>
  <c r="BD294" i="5" s="1"/>
  <c r="BE294" i="5" s="1"/>
  <c r="BF294" i="5" s="1"/>
  <c r="AT298" i="5"/>
  <c r="AU298" i="5" s="1"/>
  <c r="AV298" i="5" s="1"/>
  <c r="AW298" i="5" s="1"/>
  <c r="AX298" i="5" s="1"/>
  <c r="AY298" i="5" s="1"/>
  <c r="AZ298" i="5" s="1"/>
  <c r="BA298" i="5" s="1"/>
  <c r="BB298" i="5" s="1"/>
  <c r="BC298" i="5" s="1"/>
  <c r="BD298" i="5" s="1"/>
  <c r="BE298" i="5" s="1"/>
  <c r="BF298" i="5" s="1"/>
  <c r="AT302" i="5"/>
  <c r="AU302" i="5" s="1"/>
  <c r="AV302" i="5" s="1"/>
  <c r="AW302" i="5" s="1"/>
  <c r="AX302" i="5" s="1"/>
  <c r="AY302" i="5" s="1"/>
  <c r="AZ302" i="5" s="1"/>
  <c r="BA302" i="5" s="1"/>
  <c r="BB302" i="5" s="1"/>
  <c r="BC302" i="5" s="1"/>
  <c r="BD302" i="5" s="1"/>
  <c r="BE302" i="5" s="1"/>
  <c r="AT306" i="5"/>
  <c r="AU306" i="5" s="1"/>
  <c r="AV306" i="5" s="1"/>
  <c r="AW306" i="5" s="1"/>
  <c r="AX306" i="5" s="1"/>
  <c r="AY306" i="5" s="1"/>
  <c r="AZ306" i="5" s="1"/>
  <c r="BA306" i="5" s="1"/>
  <c r="BB306" i="5" s="1"/>
  <c r="BC306" i="5" s="1"/>
  <c r="BD306" i="5" s="1"/>
  <c r="BE306" i="5" s="1"/>
  <c r="BF306" i="5" s="1"/>
  <c r="AT310" i="5"/>
  <c r="AU310" i="5" s="1"/>
  <c r="AV310" i="5" s="1"/>
  <c r="AW310" i="5" s="1"/>
  <c r="AX310" i="5" s="1"/>
  <c r="AY310" i="5" s="1"/>
  <c r="AZ310" i="5" s="1"/>
  <c r="BA310" i="5" s="1"/>
  <c r="BB310" i="5" s="1"/>
  <c r="BC310" i="5" s="1"/>
  <c r="BD310" i="5" s="1"/>
  <c r="BE310" i="5" s="1"/>
  <c r="BF310" i="5" s="1"/>
  <c r="AT314" i="5"/>
  <c r="AU314" i="5" s="1"/>
  <c r="AV314" i="5" s="1"/>
  <c r="AW314" i="5" s="1"/>
  <c r="AX314" i="5" s="1"/>
  <c r="AY314" i="5" s="1"/>
  <c r="AZ314" i="5" s="1"/>
  <c r="BA314" i="5" s="1"/>
  <c r="BB314" i="5" s="1"/>
  <c r="BC314" i="5" s="1"/>
  <c r="BD314" i="5" s="1"/>
  <c r="BE314" i="5" s="1"/>
  <c r="BF314" i="5" s="1"/>
  <c r="AT318" i="5"/>
  <c r="AU318" i="5" s="1"/>
  <c r="AV318" i="5" s="1"/>
  <c r="AW318" i="5" s="1"/>
  <c r="AX318" i="5" s="1"/>
  <c r="AY318" i="5" s="1"/>
  <c r="AZ318" i="5" s="1"/>
  <c r="BA318" i="5" s="1"/>
  <c r="BB318" i="5" s="1"/>
  <c r="BC318" i="5" s="1"/>
  <c r="BD318" i="5" s="1"/>
  <c r="BE318" i="5" s="1"/>
  <c r="AT322" i="5"/>
  <c r="AU322" i="5" s="1"/>
  <c r="AV322" i="5" s="1"/>
  <c r="AW322" i="5" s="1"/>
  <c r="AX322" i="5" s="1"/>
  <c r="AY322" i="5" s="1"/>
  <c r="AZ322" i="5" s="1"/>
  <c r="BA322" i="5" s="1"/>
  <c r="BB322" i="5" s="1"/>
  <c r="BC322" i="5" s="1"/>
  <c r="BD322" i="5" s="1"/>
  <c r="BE322" i="5" s="1"/>
  <c r="BF322" i="5" s="1"/>
  <c r="AT326" i="5"/>
  <c r="AU326" i="5" s="1"/>
  <c r="AV326" i="5" s="1"/>
  <c r="AW326" i="5" s="1"/>
  <c r="AX326" i="5" s="1"/>
  <c r="AY326" i="5" s="1"/>
  <c r="AZ326" i="5" s="1"/>
  <c r="BA326" i="5" s="1"/>
  <c r="BB326" i="5" s="1"/>
  <c r="BC326" i="5" s="1"/>
  <c r="BD326" i="5" s="1"/>
  <c r="BE326" i="5" s="1"/>
  <c r="BF326" i="5" s="1"/>
  <c r="AT330" i="5"/>
  <c r="AU330" i="5" s="1"/>
  <c r="AV330" i="5" s="1"/>
  <c r="AW330" i="5" s="1"/>
  <c r="AX330" i="5" s="1"/>
  <c r="AY330" i="5" s="1"/>
  <c r="AZ330" i="5" s="1"/>
  <c r="BA330" i="5" s="1"/>
  <c r="BB330" i="5" s="1"/>
  <c r="BC330" i="5" s="1"/>
  <c r="BD330" i="5" s="1"/>
  <c r="BE330" i="5" s="1"/>
  <c r="BF330" i="5" s="1"/>
  <c r="AT334" i="5"/>
  <c r="AU334" i="5" s="1"/>
  <c r="AV334" i="5" s="1"/>
  <c r="AW334" i="5" s="1"/>
  <c r="AX334" i="5" s="1"/>
  <c r="AY334" i="5" s="1"/>
  <c r="AZ334" i="5" s="1"/>
  <c r="BA334" i="5" s="1"/>
  <c r="BB334" i="5" s="1"/>
  <c r="BC334" i="5" s="1"/>
  <c r="BD334" i="5" s="1"/>
  <c r="BE334" i="5" s="1"/>
  <c r="AT338" i="5"/>
  <c r="AU338" i="5" s="1"/>
  <c r="AV338" i="5" s="1"/>
  <c r="AW338" i="5" s="1"/>
  <c r="AX338" i="5" s="1"/>
  <c r="AY338" i="5" s="1"/>
  <c r="AZ338" i="5" s="1"/>
  <c r="BA338" i="5" s="1"/>
  <c r="BB338" i="5" s="1"/>
  <c r="BC338" i="5" s="1"/>
  <c r="BD338" i="5" s="1"/>
  <c r="BE338" i="5" s="1"/>
  <c r="BF338" i="5" s="1"/>
  <c r="AT342" i="5"/>
  <c r="AU342" i="5" s="1"/>
  <c r="AV342" i="5" s="1"/>
  <c r="AW342" i="5" s="1"/>
  <c r="AX342" i="5" s="1"/>
  <c r="AY342" i="5" s="1"/>
  <c r="AZ342" i="5" s="1"/>
  <c r="BA342" i="5" s="1"/>
  <c r="BB342" i="5" s="1"/>
  <c r="BC342" i="5" s="1"/>
  <c r="BD342" i="5" s="1"/>
  <c r="BE342" i="5" s="1"/>
  <c r="BF342" i="5" s="1"/>
  <c r="AT346" i="5"/>
  <c r="AU346" i="5" s="1"/>
  <c r="AV346" i="5" s="1"/>
  <c r="AW346" i="5" s="1"/>
  <c r="AX346" i="5" s="1"/>
  <c r="AY346" i="5" s="1"/>
  <c r="AZ346" i="5" s="1"/>
  <c r="BA346" i="5" s="1"/>
  <c r="BB346" i="5" s="1"/>
  <c r="BC346" i="5" s="1"/>
  <c r="BD346" i="5" s="1"/>
  <c r="BE346" i="5" s="1"/>
  <c r="BF346" i="5" s="1"/>
  <c r="AT350" i="5"/>
  <c r="AU350" i="5" s="1"/>
  <c r="AV350" i="5" s="1"/>
  <c r="AW350" i="5" s="1"/>
  <c r="AX350" i="5" s="1"/>
  <c r="AY350" i="5" s="1"/>
  <c r="AZ350" i="5" s="1"/>
  <c r="BA350" i="5" s="1"/>
  <c r="BB350" i="5" s="1"/>
  <c r="BC350" i="5" s="1"/>
  <c r="BD350" i="5" s="1"/>
  <c r="BE350" i="5" s="1"/>
  <c r="BF350" i="5" s="1"/>
  <c r="AT354" i="5"/>
  <c r="AU354" i="5" s="1"/>
  <c r="AV354" i="5" s="1"/>
  <c r="AW354" i="5" s="1"/>
  <c r="AX354" i="5" s="1"/>
  <c r="AY354" i="5" s="1"/>
  <c r="AZ354" i="5" s="1"/>
  <c r="BA354" i="5" s="1"/>
  <c r="BB354" i="5" s="1"/>
  <c r="BC354" i="5" s="1"/>
  <c r="BD354" i="5" s="1"/>
  <c r="BE354" i="5" s="1"/>
  <c r="BF354" i="5" s="1"/>
  <c r="AT358" i="5"/>
  <c r="AU358" i="5" s="1"/>
  <c r="AV358" i="5" s="1"/>
  <c r="AW358" i="5" s="1"/>
  <c r="AX358" i="5" s="1"/>
  <c r="AY358" i="5" s="1"/>
  <c r="AZ358" i="5" s="1"/>
  <c r="BA358" i="5" s="1"/>
  <c r="BB358" i="5" s="1"/>
  <c r="BC358" i="5" s="1"/>
  <c r="BD358" i="5" s="1"/>
  <c r="BE358" i="5" s="1"/>
  <c r="AT362" i="5"/>
  <c r="AU362" i="5" s="1"/>
  <c r="AV362" i="5" s="1"/>
  <c r="AW362" i="5" s="1"/>
  <c r="AX362" i="5" s="1"/>
  <c r="AY362" i="5" s="1"/>
  <c r="AZ362" i="5" s="1"/>
  <c r="BA362" i="5" s="1"/>
  <c r="BB362" i="5" s="1"/>
  <c r="BC362" i="5" s="1"/>
  <c r="BD362" i="5" s="1"/>
  <c r="BE362" i="5" s="1"/>
  <c r="BF362" i="5" s="1"/>
  <c r="AT366" i="5"/>
  <c r="AU366" i="5" s="1"/>
  <c r="AV366" i="5" s="1"/>
  <c r="AW366" i="5" s="1"/>
  <c r="AX366" i="5" s="1"/>
  <c r="AY366" i="5" s="1"/>
  <c r="AZ366" i="5" s="1"/>
  <c r="BA366" i="5" s="1"/>
  <c r="BB366" i="5" s="1"/>
  <c r="BC366" i="5" s="1"/>
  <c r="BD366" i="5" s="1"/>
  <c r="BE366" i="5" s="1"/>
  <c r="BF366" i="5" s="1"/>
  <c r="AT370" i="5"/>
  <c r="AU370" i="5" s="1"/>
  <c r="AV370" i="5" s="1"/>
  <c r="AW370" i="5" s="1"/>
  <c r="AX370" i="5" s="1"/>
  <c r="AY370" i="5" s="1"/>
  <c r="AZ370" i="5" s="1"/>
  <c r="BA370" i="5" s="1"/>
  <c r="BB370" i="5" s="1"/>
  <c r="BC370" i="5" s="1"/>
  <c r="BD370" i="5" s="1"/>
  <c r="BE370" i="5" s="1"/>
  <c r="BF370" i="5" s="1"/>
  <c r="AT374" i="5"/>
  <c r="AU374" i="5" s="1"/>
  <c r="AV374" i="5" s="1"/>
  <c r="AW374" i="5" s="1"/>
  <c r="AX374" i="5" s="1"/>
  <c r="AY374" i="5" s="1"/>
  <c r="AZ374" i="5" s="1"/>
  <c r="BA374" i="5" s="1"/>
  <c r="BB374" i="5" s="1"/>
  <c r="BC374" i="5" s="1"/>
  <c r="BD374" i="5" s="1"/>
  <c r="BE374" i="5" s="1"/>
  <c r="AT378" i="5"/>
  <c r="AU378" i="5" s="1"/>
  <c r="AV378" i="5" s="1"/>
  <c r="AW378" i="5" s="1"/>
  <c r="AX378" i="5" s="1"/>
  <c r="AY378" i="5" s="1"/>
  <c r="AZ378" i="5" s="1"/>
  <c r="BA378" i="5" s="1"/>
  <c r="BB378" i="5" s="1"/>
  <c r="BC378" i="5" s="1"/>
  <c r="BD378" i="5" s="1"/>
  <c r="BE378" i="5" s="1"/>
  <c r="BF378" i="5" s="1"/>
  <c r="AT382" i="5"/>
  <c r="AU382" i="5" s="1"/>
  <c r="AV382" i="5" s="1"/>
  <c r="AW382" i="5" s="1"/>
  <c r="AX382" i="5" s="1"/>
  <c r="AY382" i="5" s="1"/>
  <c r="AZ382" i="5" s="1"/>
  <c r="BA382" i="5" s="1"/>
  <c r="BB382" i="5" s="1"/>
  <c r="BC382" i="5" s="1"/>
  <c r="BD382" i="5" s="1"/>
  <c r="BE382" i="5" s="1"/>
  <c r="BF382" i="5" s="1"/>
  <c r="AT386" i="5"/>
  <c r="AU386" i="5" s="1"/>
  <c r="AV386" i="5" s="1"/>
  <c r="AW386" i="5" s="1"/>
  <c r="AX386" i="5" s="1"/>
  <c r="AY386" i="5" s="1"/>
  <c r="AZ386" i="5" s="1"/>
  <c r="BA386" i="5" s="1"/>
  <c r="BB386" i="5" s="1"/>
  <c r="BC386" i="5" s="1"/>
  <c r="BD386" i="5" s="1"/>
  <c r="BE386" i="5" s="1"/>
  <c r="BF386" i="5" s="1"/>
  <c r="AT390" i="5"/>
  <c r="AU390" i="5" s="1"/>
  <c r="AV390" i="5" s="1"/>
  <c r="AW390" i="5" s="1"/>
  <c r="AX390" i="5" s="1"/>
  <c r="AY390" i="5" s="1"/>
  <c r="AZ390" i="5" s="1"/>
  <c r="BA390" i="5" s="1"/>
  <c r="BB390" i="5" s="1"/>
  <c r="BC390" i="5" s="1"/>
  <c r="BD390" i="5" s="1"/>
  <c r="BE390" i="5" s="1"/>
  <c r="AT394" i="5"/>
  <c r="AU394" i="5" s="1"/>
  <c r="AV394" i="5" s="1"/>
  <c r="AW394" i="5" s="1"/>
  <c r="AX394" i="5" s="1"/>
  <c r="AY394" i="5" s="1"/>
  <c r="AZ394" i="5" s="1"/>
  <c r="BA394" i="5" s="1"/>
  <c r="BB394" i="5" s="1"/>
  <c r="BC394" i="5" s="1"/>
  <c r="BD394" i="5" s="1"/>
  <c r="BE394" i="5" s="1"/>
  <c r="BF394" i="5" s="1"/>
  <c r="AT398" i="5"/>
  <c r="AU398" i="5" s="1"/>
  <c r="AV398" i="5" s="1"/>
  <c r="AW398" i="5" s="1"/>
  <c r="AX398" i="5" s="1"/>
  <c r="AY398" i="5" s="1"/>
  <c r="AZ398" i="5" s="1"/>
  <c r="BA398" i="5" s="1"/>
  <c r="BB398" i="5" s="1"/>
  <c r="BC398" i="5" s="1"/>
  <c r="BD398" i="5" s="1"/>
  <c r="BE398" i="5" s="1"/>
  <c r="BF398" i="5" s="1"/>
  <c r="AT402" i="5"/>
  <c r="AU402" i="5" s="1"/>
  <c r="AV402" i="5" s="1"/>
  <c r="AW402" i="5" s="1"/>
  <c r="AX402" i="5" s="1"/>
  <c r="AY402" i="5" s="1"/>
  <c r="AZ402" i="5" s="1"/>
  <c r="BA402" i="5" s="1"/>
  <c r="BB402" i="5" s="1"/>
  <c r="BC402" i="5" s="1"/>
  <c r="BD402" i="5" s="1"/>
  <c r="BE402" i="5" s="1"/>
  <c r="BF402" i="5" s="1"/>
  <c r="AT406" i="5"/>
  <c r="AU406" i="5" s="1"/>
  <c r="AV406" i="5" s="1"/>
  <c r="AW406" i="5" s="1"/>
  <c r="AX406" i="5" s="1"/>
  <c r="AY406" i="5" s="1"/>
  <c r="AZ406" i="5" s="1"/>
  <c r="BA406" i="5" s="1"/>
  <c r="BB406" i="5" s="1"/>
  <c r="BC406" i="5" s="1"/>
  <c r="BD406" i="5" s="1"/>
  <c r="BE406" i="5" s="1"/>
  <c r="AT410" i="5"/>
  <c r="AU410" i="5" s="1"/>
  <c r="AV410" i="5" s="1"/>
  <c r="AW410" i="5" s="1"/>
  <c r="AX410" i="5" s="1"/>
  <c r="AY410" i="5" s="1"/>
  <c r="AZ410" i="5" s="1"/>
  <c r="BA410" i="5" s="1"/>
  <c r="BB410" i="5" s="1"/>
  <c r="BC410" i="5" s="1"/>
  <c r="BD410" i="5" s="1"/>
  <c r="BE410" i="5" s="1"/>
  <c r="BF410" i="5" s="1"/>
  <c r="AT414" i="5"/>
  <c r="AU414" i="5" s="1"/>
  <c r="AV414" i="5" s="1"/>
  <c r="AW414" i="5" s="1"/>
  <c r="AX414" i="5" s="1"/>
  <c r="AY414" i="5" s="1"/>
  <c r="AZ414" i="5" s="1"/>
  <c r="BA414" i="5" s="1"/>
  <c r="BB414" i="5" s="1"/>
  <c r="BC414" i="5" s="1"/>
  <c r="BD414" i="5" s="1"/>
  <c r="BE414" i="5" s="1"/>
  <c r="BF414" i="5" s="1"/>
  <c r="AT418" i="5"/>
  <c r="AU418" i="5" s="1"/>
  <c r="AV418" i="5" s="1"/>
  <c r="AW418" i="5" s="1"/>
  <c r="AX418" i="5" s="1"/>
  <c r="AY418" i="5" s="1"/>
  <c r="AZ418" i="5" s="1"/>
  <c r="BA418" i="5" s="1"/>
  <c r="BB418" i="5" s="1"/>
  <c r="BC418" i="5" s="1"/>
  <c r="BD418" i="5" s="1"/>
  <c r="BE418" i="5" s="1"/>
  <c r="BF418" i="5" s="1"/>
  <c r="AT422" i="5"/>
  <c r="AU422" i="5" s="1"/>
  <c r="AV422" i="5" s="1"/>
  <c r="AW422" i="5" s="1"/>
  <c r="AX422" i="5" s="1"/>
  <c r="AY422" i="5" s="1"/>
  <c r="AZ422" i="5" s="1"/>
  <c r="BA422" i="5" s="1"/>
  <c r="BB422" i="5" s="1"/>
  <c r="BC422" i="5" s="1"/>
  <c r="BD422" i="5" s="1"/>
  <c r="BE422" i="5" s="1"/>
  <c r="AT426" i="5"/>
  <c r="AU426" i="5" s="1"/>
  <c r="AV426" i="5" s="1"/>
  <c r="AW426" i="5" s="1"/>
  <c r="AX426" i="5" s="1"/>
  <c r="AY426" i="5" s="1"/>
  <c r="AZ426" i="5" s="1"/>
  <c r="BA426" i="5" s="1"/>
  <c r="BB426" i="5" s="1"/>
  <c r="BC426" i="5" s="1"/>
  <c r="BD426" i="5" s="1"/>
  <c r="BE426" i="5" s="1"/>
  <c r="BF426" i="5" s="1"/>
  <c r="AT430" i="5"/>
  <c r="AU430" i="5" s="1"/>
  <c r="AV430" i="5" s="1"/>
  <c r="AW430" i="5" s="1"/>
  <c r="AX430" i="5" s="1"/>
  <c r="AY430" i="5" s="1"/>
  <c r="AZ430" i="5" s="1"/>
  <c r="BA430" i="5" s="1"/>
  <c r="BB430" i="5" s="1"/>
  <c r="BC430" i="5" s="1"/>
  <c r="BD430" i="5" s="1"/>
  <c r="BE430" i="5" s="1"/>
  <c r="BF430" i="5" s="1"/>
  <c r="AT434" i="5"/>
  <c r="AU434" i="5" s="1"/>
  <c r="AV434" i="5" s="1"/>
  <c r="AW434" i="5" s="1"/>
  <c r="AX434" i="5" s="1"/>
  <c r="AY434" i="5" s="1"/>
  <c r="AZ434" i="5" s="1"/>
  <c r="BA434" i="5" s="1"/>
  <c r="BB434" i="5" s="1"/>
  <c r="BC434" i="5" s="1"/>
  <c r="BD434" i="5" s="1"/>
  <c r="BE434" i="5" s="1"/>
  <c r="BF434" i="5" s="1"/>
  <c r="AT438" i="5"/>
  <c r="AU438" i="5" s="1"/>
  <c r="AV438" i="5" s="1"/>
  <c r="AW438" i="5" s="1"/>
  <c r="AX438" i="5" s="1"/>
  <c r="AY438" i="5" s="1"/>
  <c r="AZ438" i="5" s="1"/>
  <c r="BA438" i="5" s="1"/>
  <c r="BB438" i="5" s="1"/>
  <c r="BC438" i="5" s="1"/>
  <c r="BD438" i="5" s="1"/>
  <c r="BE438" i="5" s="1"/>
  <c r="BF438" i="5" s="1"/>
  <c r="AT6" i="5"/>
  <c r="AU6" i="5" s="1"/>
  <c r="E10" i="14" s="1"/>
  <c r="AT22" i="5"/>
  <c r="AU22" i="5" s="1"/>
  <c r="AV22" i="5" s="1"/>
  <c r="AW22" i="5" s="1"/>
  <c r="AX22" i="5" s="1"/>
  <c r="AY22" i="5" s="1"/>
  <c r="AZ22" i="5" s="1"/>
  <c r="BA22" i="5" s="1"/>
  <c r="BB22" i="5" s="1"/>
  <c r="BC22" i="5" s="1"/>
  <c r="BD22" i="5" s="1"/>
  <c r="BE22" i="5" s="1"/>
  <c r="BF22" i="5" s="1"/>
  <c r="AT38" i="5"/>
  <c r="AU38" i="5" s="1"/>
  <c r="AV38" i="5" s="1"/>
  <c r="AW38" i="5" s="1"/>
  <c r="AX38" i="5" s="1"/>
  <c r="AY38" i="5" s="1"/>
  <c r="AZ38" i="5" s="1"/>
  <c r="BA38" i="5" s="1"/>
  <c r="BB38" i="5" s="1"/>
  <c r="BC38" i="5" s="1"/>
  <c r="BD38" i="5" s="1"/>
  <c r="BE38" i="5" s="1"/>
  <c r="BF38" i="5" s="1"/>
  <c r="AT54" i="5"/>
  <c r="AU54" i="5" s="1"/>
  <c r="AT70" i="5"/>
  <c r="AU70" i="5" s="1"/>
  <c r="AV70" i="5" s="1"/>
  <c r="AW70" i="5" s="1"/>
  <c r="AX70" i="5" s="1"/>
  <c r="AY70" i="5" s="1"/>
  <c r="AZ70" i="5" s="1"/>
  <c r="BA70" i="5" s="1"/>
  <c r="BB70" i="5" s="1"/>
  <c r="BC70" i="5" s="1"/>
  <c r="BD70" i="5" s="1"/>
  <c r="BE70" i="5" s="1"/>
  <c r="BF70" i="5" s="1"/>
  <c r="AT86" i="5"/>
  <c r="AU86" i="5" s="1"/>
  <c r="AV86" i="5" s="1"/>
  <c r="AW86" i="5" s="1"/>
  <c r="AX86" i="5" s="1"/>
  <c r="AY86" i="5" s="1"/>
  <c r="AZ86" i="5" s="1"/>
  <c r="BA86" i="5" s="1"/>
  <c r="BB86" i="5" s="1"/>
  <c r="BC86" i="5" s="1"/>
  <c r="BD86" i="5" s="1"/>
  <c r="BE86" i="5" s="1"/>
  <c r="BF86" i="5" s="1"/>
  <c r="AT102" i="5"/>
  <c r="AU102" i="5" s="1"/>
  <c r="AV102" i="5" s="1"/>
  <c r="AW102" i="5" s="1"/>
  <c r="AX102" i="5" s="1"/>
  <c r="AY102" i="5" s="1"/>
  <c r="AZ102" i="5" s="1"/>
  <c r="BA102" i="5" s="1"/>
  <c r="BB102" i="5" s="1"/>
  <c r="BC102" i="5" s="1"/>
  <c r="BD102" i="5" s="1"/>
  <c r="BE102" i="5" s="1"/>
  <c r="AT110" i="5"/>
  <c r="AU110" i="5" s="1"/>
  <c r="AV110" i="5" s="1"/>
  <c r="AW110" i="5" s="1"/>
  <c r="AX110" i="5" s="1"/>
  <c r="AY110" i="5" s="1"/>
  <c r="AZ110" i="5" s="1"/>
  <c r="BA110" i="5" s="1"/>
  <c r="BB110" i="5" s="1"/>
  <c r="BC110" i="5" s="1"/>
  <c r="BD110" i="5" s="1"/>
  <c r="BE110" i="5" s="1"/>
  <c r="BF110" i="5" s="1"/>
  <c r="AT118" i="5"/>
  <c r="AU118" i="5" s="1"/>
  <c r="AV118" i="5" s="1"/>
  <c r="AW118" i="5" s="1"/>
  <c r="AX118" i="5" s="1"/>
  <c r="AY118" i="5" s="1"/>
  <c r="AZ118" i="5" s="1"/>
  <c r="BA118" i="5" s="1"/>
  <c r="BB118" i="5" s="1"/>
  <c r="BC118" i="5" s="1"/>
  <c r="BD118" i="5" s="1"/>
  <c r="BE118" i="5" s="1"/>
  <c r="BF118" i="5" s="1"/>
  <c r="AT123" i="5"/>
  <c r="AU123" i="5" s="1"/>
  <c r="AV123" i="5" s="1"/>
  <c r="AW123" i="5" s="1"/>
  <c r="AX123" i="5" s="1"/>
  <c r="AY123" i="5" s="1"/>
  <c r="AZ123" i="5" s="1"/>
  <c r="BA123" i="5" s="1"/>
  <c r="BB123" i="5" s="1"/>
  <c r="BC123" i="5" s="1"/>
  <c r="BD123" i="5" s="1"/>
  <c r="BE123" i="5" s="1"/>
  <c r="BF123" i="5" s="1"/>
  <c r="AT127" i="5"/>
  <c r="AU127" i="5" s="1"/>
  <c r="AV127" i="5" s="1"/>
  <c r="AW127" i="5" s="1"/>
  <c r="AX127" i="5" s="1"/>
  <c r="AY127" i="5" s="1"/>
  <c r="AZ127" i="5" s="1"/>
  <c r="BA127" i="5" s="1"/>
  <c r="BB127" i="5" s="1"/>
  <c r="BC127" i="5" s="1"/>
  <c r="BD127" i="5" s="1"/>
  <c r="BE127" i="5" s="1"/>
  <c r="AT131" i="5"/>
  <c r="AU131" i="5" s="1"/>
  <c r="AV131" i="5" s="1"/>
  <c r="AW131" i="5" s="1"/>
  <c r="AX131" i="5" s="1"/>
  <c r="AY131" i="5" s="1"/>
  <c r="AZ131" i="5" s="1"/>
  <c r="BA131" i="5" s="1"/>
  <c r="BB131" i="5" s="1"/>
  <c r="BC131" i="5" s="1"/>
  <c r="BD131" i="5" s="1"/>
  <c r="BE131" i="5" s="1"/>
  <c r="BF131" i="5" s="1"/>
  <c r="AT135" i="5"/>
  <c r="AU135" i="5" s="1"/>
  <c r="AV135" i="5" s="1"/>
  <c r="AW135" i="5" s="1"/>
  <c r="AX135" i="5" s="1"/>
  <c r="AY135" i="5" s="1"/>
  <c r="AZ135" i="5" s="1"/>
  <c r="BA135" i="5" s="1"/>
  <c r="BB135" i="5" s="1"/>
  <c r="BC135" i="5" s="1"/>
  <c r="BD135" i="5" s="1"/>
  <c r="BE135" i="5" s="1"/>
  <c r="BF135" i="5" s="1"/>
  <c r="AT139" i="5"/>
  <c r="AU139" i="5" s="1"/>
  <c r="AV139" i="5" s="1"/>
  <c r="AW139" i="5" s="1"/>
  <c r="AX139" i="5" s="1"/>
  <c r="AY139" i="5" s="1"/>
  <c r="AZ139" i="5" s="1"/>
  <c r="BA139" i="5" s="1"/>
  <c r="BB139" i="5" s="1"/>
  <c r="BC139" i="5" s="1"/>
  <c r="BD139" i="5" s="1"/>
  <c r="BE139" i="5" s="1"/>
  <c r="BF139" i="5" s="1"/>
  <c r="AT143" i="5"/>
  <c r="AU143" i="5" s="1"/>
  <c r="AV143" i="5" s="1"/>
  <c r="AW143" i="5" s="1"/>
  <c r="AX143" i="5" s="1"/>
  <c r="AY143" i="5" s="1"/>
  <c r="AZ143" i="5" s="1"/>
  <c r="BA143" i="5" s="1"/>
  <c r="BB143" i="5" s="1"/>
  <c r="BC143" i="5" s="1"/>
  <c r="BD143" i="5" s="1"/>
  <c r="BE143" i="5" s="1"/>
  <c r="AT147" i="5"/>
  <c r="AU147" i="5" s="1"/>
  <c r="AV147" i="5" s="1"/>
  <c r="AW147" i="5" s="1"/>
  <c r="AX147" i="5" s="1"/>
  <c r="AY147" i="5" s="1"/>
  <c r="AZ147" i="5" s="1"/>
  <c r="BA147" i="5" s="1"/>
  <c r="BB147" i="5" s="1"/>
  <c r="BC147" i="5" s="1"/>
  <c r="BD147" i="5" s="1"/>
  <c r="BE147" i="5" s="1"/>
  <c r="BF147" i="5" s="1"/>
  <c r="AT151" i="5"/>
  <c r="AU151" i="5" s="1"/>
  <c r="AV151" i="5" s="1"/>
  <c r="AW151" i="5" s="1"/>
  <c r="AX151" i="5" s="1"/>
  <c r="AY151" i="5" s="1"/>
  <c r="AZ151" i="5" s="1"/>
  <c r="BA151" i="5" s="1"/>
  <c r="BB151" i="5" s="1"/>
  <c r="BC151" i="5" s="1"/>
  <c r="BD151" i="5" s="1"/>
  <c r="BE151" i="5" s="1"/>
  <c r="BF151" i="5" s="1"/>
  <c r="AT155" i="5"/>
  <c r="AU155" i="5" s="1"/>
  <c r="AV155" i="5" s="1"/>
  <c r="AW155" i="5" s="1"/>
  <c r="AX155" i="5" s="1"/>
  <c r="AY155" i="5" s="1"/>
  <c r="AZ155" i="5" s="1"/>
  <c r="BA155" i="5" s="1"/>
  <c r="BB155" i="5" s="1"/>
  <c r="BC155" i="5" s="1"/>
  <c r="BD155" i="5" s="1"/>
  <c r="BE155" i="5" s="1"/>
  <c r="BF155" i="5" s="1"/>
  <c r="AT159" i="5"/>
  <c r="AU159" i="5" s="1"/>
  <c r="AV159" i="5" s="1"/>
  <c r="AW159" i="5" s="1"/>
  <c r="AX159" i="5" s="1"/>
  <c r="AY159" i="5" s="1"/>
  <c r="AZ159" i="5" s="1"/>
  <c r="BA159" i="5" s="1"/>
  <c r="BB159" i="5" s="1"/>
  <c r="BC159" i="5" s="1"/>
  <c r="BD159" i="5" s="1"/>
  <c r="BE159" i="5" s="1"/>
  <c r="AT163" i="5"/>
  <c r="AU163" i="5" s="1"/>
  <c r="AV163" i="5" s="1"/>
  <c r="AW163" i="5" s="1"/>
  <c r="AX163" i="5" s="1"/>
  <c r="AY163" i="5" s="1"/>
  <c r="AZ163" i="5" s="1"/>
  <c r="BA163" i="5" s="1"/>
  <c r="BB163" i="5" s="1"/>
  <c r="BC163" i="5" s="1"/>
  <c r="BD163" i="5" s="1"/>
  <c r="BE163" i="5" s="1"/>
  <c r="BF163" i="5" s="1"/>
  <c r="AT167" i="5"/>
  <c r="AU167" i="5" s="1"/>
  <c r="AV167" i="5" s="1"/>
  <c r="AW167" i="5" s="1"/>
  <c r="AX167" i="5" s="1"/>
  <c r="AY167" i="5" s="1"/>
  <c r="AZ167" i="5" s="1"/>
  <c r="BA167" i="5" s="1"/>
  <c r="BB167" i="5" s="1"/>
  <c r="BC167" i="5" s="1"/>
  <c r="BD167" i="5" s="1"/>
  <c r="BE167" i="5" s="1"/>
  <c r="BF167" i="5" s="1"/>
  <c r="AT171" i="5"/>
  <c r="AU171" i="5" s="1"/>
  <c r="AV171" i="5" s="1"/>
  <c r="AW171" i="5" s="1"/>
  <c r="AX171" i="5" s="1"/>
  <c r="AY171" i="5" s="1"/>
  <c r="AZ171" i="5" s="1"/>
  <c r="BA171" i="5" s="1"/>
  <c r="BB171" i="5" s="1"/>
  <c r="BC171" i="5" s="1"/>
  <c r="BD171" i="5" s="1"/>
  <c r="BE171" i="5" s="1"/>
  <c r="BF171" i="5" s="1"/>
  <c r="AT175" i="5"/>
  <c r="AU175" i="5" s="1"/>
  <c r="AV175" i="5" s="1"/>
  <c r="AW175" i="5" s="1"/>
  <c r="AX175" i="5" s="1"/>
  <c r="AY175" i="5" s="1"/>
  <c r="AZ175" i="5" s="1"/>
  <c r="BA175" i="5" s="1"/>
  <c r="BB175" i="5" s="1"/>
  <c r="BC175" i="5" s="1"/>
  <c r="BD175" i="5" s="1"/>
  <c r="BE175" i="5" s="1"/>
  <c r="AT179" i="5"/>
  <c r="AU179" i="5" s="1"/>
  <c r="AV179" i="5" s="1"/>
  <c r="AW179" i="5" s="1"/>
  <c r="AX179" i="5" s="1"/>
  <c r="AY179" i="5" s="1"/>
  <c r="AZ179" i="5" s="1"/>
  <c r="BA179" i="5" s="1"/>
  <c r="BB179" i="5" s="1"/>
  <c r="BC179" i="5" s="1"/>
  <c r="BD179" i="5" s="1"/>
  <c r="BE179" i="5" s="1"/>
  <c r="BF179" i="5" s="1"/>
  <c r="AT183" i="5"/>
  <c r="AU183" i="5" s="1"/>
  <c r="AV183" i="5" s="1"/>
  <c r="AW183" i="5" s="1"/>
  <c r="AX183" i="5" s="1"/>
  <c r="AY183" i="5" s="1"/>
  <c r="AZ183" i="5" s="1"/>
  <c r="BA183" i="5" s="1"/>
  <c r="BB183" i="5" s="1"/>
  <c r="BC183" i="5" s="1"/>
  <c r="BD183" i="5" s="1"/>
  <c r="BE183" i="5" s="1"/>
  <c r="BF183" i="5" s="1"/>
  <c r="AT187" i="5"/>
  <c r="AU187" i="5" s="1"/>
  <c r="AV187" i="5" s="1"/>
  <c r="AW187" i="5" s="1"/>
  <c r="AX187" i="5" s="1"/>
  <c r="AY187" i="5" s="1"/>
  <c r="AZ187" i="5" s="1"/>
  <c r="BA187" i="5" s="1"/>
  <c r="BB187" i="5" s="1"/>
  <c r="BC187" i="5" s="1"/>
  <c r="BD187" i="5" s="1"/>
  <c r="BE187" i="5" s="1"/>
  <c r="BF187" i="5" s="1"/>
  <c r="AT191" i="5"/>
  <c r="AU191" i="5" s="1"/>
  <c r="AV191" i="5" s="1"/>
  <c r="AW191" i="5" s="1"/>
  <c r="AX191" i="5" s="1"/>
  <c r="AY191" i="5" s="1"/>
  <c r="AZ191" i="5" s="1"/>
  <c r="BA191" i="5" s="1"/>
  <c r="BB191" i="5" s="1"/>
  <c r="BC191" i="5" s="1"/>
  <c r="BD191" i="5" s="1"/>
  <c r="BE191" i="5" s="1"/>
  <c r="AT195" i="5"/>
  <c r="AU195" i="5" s="1"/>
  <c r="AV195" i="5" s="1"/>
  <c r="AW195" i="5" s="1"/>
  <c r="AX195" i="5" s="1"/>
  <c r="AY195" i="5" s="1"/>
  <c r="AZ195" i="5" s="1"/>
  <c r="BA195" i="5" s="1"/>
  <c r="BB195" i="5" s="1"/>
  <c r="BC195" i="5" s="1"/>
  <c r="BD195" i="5" s="1"/>
  <c r="BE195" i="5" s="1"/>
  <c r="BF195" i="5" s="1"/>
  <c r="AT199" i="5"/>
  <c r="AU199" i="5" s="1"/>
  <c r="AV199" i="5" s="1"/>
  <c r="AW199" i="5" s="1"/>
  <c r="AX199" i="5" s="1"/>
  <c r="AY199" i="5" s="1"/>
  <c r="AZ199" i="5" s="1"/>
  <c r="BA199" i="5" s="1"/>
  <c r="BB199" i="5" s="1"/>
  <c r="BC199" i="5" s="1"/>
  <c r="BD199" i="5" s="1"/>
  <c r="BE199" i="5" s="1"/>
  <c r="BF199" i="5" s="1"/>
  <c r="AT203" i="5"/>
  <c r="AU203" i="5" s="1"/>
  <c r="AV203" i="5" s="1"/>
  <c r="AW203" i="5" s="1"/>
  <c r="AX203" i="5" s="1"/>
  <c r="AY203" i="5" s="1"/>
  <c r="AZ203" i="5" s="1"/>
  <c r="BA203" i="5" s="1"/>
  <c r="BB203" i="5" s="1"/>
  <c r="BC203" i="5" s="1"/>
  <c r="BD203" i="5" s="1"/>
  <c r="BE203" i="5" s="1"/>
  <c r="BF203" i="5" s="1"/>
  <c r="AT207" i="5"/>
  <c r="AU207" i="5" s="1"/>
  <c r="AV207" i="5" s="1"/>
  <c r="AW207" i="5" s="1"/>
  <c r="AX207" i="5" s="1"/>
  <c r="AY207" i="5" s="1"/>
  <c r="AZ207" i="5" s="1"/>
  <c r="BA207" i="5" s="1"/>
  <c r="BB207" i="5" s="1"/>
  <c r="BC207" i="5" s="1"/>
  <c r="BD207" i="5" s="1"/>
  <c r="BE207" i="5" s="1"/>
  <c r="AT211" i="5"/>
  <c r="AU211" i="5" s="1"/>
  <c r="AV211" i="5" s="1"/>
  <c r="AW211" i="5" s="1"/>
  <c r="AX211" i="5" s="1"/>
  <c r="AY211" i="5" s="1"/>
  <c r="AZ211" i="5" s="1"/>
  <c r="BA211" i="5" s="1"/>
  <c r="BB211" i="5" s="1"/>
  <c r="BC211" i="5" s="1"/>
  <c r="BD211" i="5" s="1"/>
  <c r="BE211" i="5" s="1"/>
  <c r="BF211" i="5" s="1"/>
  <c r="AT215" i="5"/>
  <c r="AU215" i="5" s="1"/>
  <c r="AV215" i="5" s="1"/>
  <c r="AW215" i="5" s="1"/>
  <c r="AX215" i="5" s="1"/>
  <c r="AY215" i="5" s="1"/>
  <c r="AZ215" i="5" s="1"/>
  <c r="BA215" i="5" s="1"/>
  <c r="BB215" i="5" s="1"/>
  <c r="BC215" i="5" s="1"/>
  <c r="BD215" i="5" s="1"/>
  <c r="BE215" i="5" s="1"/>
  <c r="BF215" i="5" s="1"/>
  <c r="AT219" i="5"/>
  <c r="AU219" i="5" s="1"/>
  <c r="AV219" i="5" s="1"/>
  <c r="AW219" i="5" s="1"/>
  <c r="AX219" i="5" s="1"/>
  <c r="AY219" i="5" s="1"/>
  <c r="AZ219" i="5" s="1"/>
  <c r="BA219" i="5" s="1"/>
  <c r="BB219" i="5" s="1"/>
  <c r="BC219" i="5" s="1"/>
  <c r="BD219" i="5" s="1"/>
  <c r="BE219" i="5" s="1"/>
  <c r="BF219" i="5" s="1"/>
  <c r="AT223" i="5"/>
  <c r="AU223" i="5" s="1"/>
  <c r="AV223" i="5" s="1"/>
  <c r="AW223" i="5" s="1"/>
  <c r="AX223" i="5" s="1"/>
  <c r="AY223" i="5" s="1"/>
  <c r="AZ223" i="5" s="1"/>
  <c r="BA223" i="5" s="1"/>
  <c r="BB223" i="5" s="1"/>
  <c r="BC223" i="5" s="1"/>
  <c r="BD223" i="5" s="1"/>
  <c r="BE223" i="5" s="1"/>
  <c r="AT227" i="5"/>
  <c r="AU227" i="5" s="1"/>
  <c r="AV227" i="5" s="1"/>
  <c r="AW227" i="5" s="1"/>
  <c r="AX227" i="5" s="1"/>
  <c r="AY227" i="5" s="1"/>
  <c r="AZ227" i="5" s="1"/>
  <c r="BA227" i="5" s="1"/>
  <c r="BB227" i="5" s="1"/>
  <c r="BC227" i="5" s="1"/>
  <c r="BD227" i="5" s="1"/>
  <c r="BE227" i="5" s="1"/>
  <c r="BF227" i="5" s="1"/>
  <c r="AT231" i="5"/>
  <c r="AU231" i="5" s="1"/>
  <c r="AV231" i="5" s="1"/>
  <c r="AW231" i="5" s="1"/>
  <c r="AX231" i="5" s="1"/>
  <c r="AY231" i="5" s="1"/>
  <c r="AZ231" i="5" s="1"/>
  <c r="BA231" i="5" s="1"/>
  <c r="BB231" i="5" s="1"/>
  <c r="BC231" i="5" s="1"/>
  <c r="BD231" i="5" s="1"/>
  <c r="BE231" i="5" s="1"/>
  <c r="BF231" i="5" s="1"/>
  <c r="AT235" i="5"/>
  <c r="AU235" i="5" s="1"/>
  <c r="AV235" i="5" s="1"/>
  <c r="AW235" i="5" s="1"/>
  <c r="AX235" i="5" s="1"/>
  <c r="AY235" i="5" s="1"/>
  <c r="AZ235" i="5" s="1"/>
  <c r="BA235" i="5" s="1"/>
  <c r="BB235" i="5" s="1"/>
  <c r="BC235" i="5" s="1"/>
  <c r="BD235" i="5" s="1"/>
  <c r="BE235" i="5" s="1"/>
  <c r="BF235" i="5" s="1"/>
  <c r="AT239" i="5"/>
  <c r="AU239" i="5" s="1"/>
  <c r="AV239" i="5" s="1"/>
  <c r="AW239" i="5" s="1"/>
  <c r="AX239" i="5" s="1"/>
  <c r="AY239" i="5" s="1"/>
  <c r="AZ239" i="5" s="1"/>
  <c r="BA239" i="5" s="1"/>
  <c r="BB239" i="5" s="1"/>
  <c r="BC239" i="5" s="1"/>
  <c r="BD239" i="5" s="1"/>
  <c r="BE239" i="5" s="1"/>
  <c r="AT243" i="5"/>
  <c r="AU243" i="5" s="1"/>
  <c r="AV243" i="5" s="1"/>
  <c r="AW243" i="5" s="1"/>
  <c r="AX243" i="5" s="1"/>
  <c r="AY243" i="5" s="1"/>
  <c r="AZ243" i="5" s="1"/>
  <c r="BA243" i="5" s="1"/>
  <c r="BB243" i="5" s="1"/>
  <c r="BC243" i="5" s="1"/>
  <c r="BD243" i="5" s="1"/>
  <c r="BE243" i="5" s="1"/>
  <c r="BF243" i="5" s="1"/>
  <c r="AT247" i="5"/>
  <c r="AU247" i="5" s="1"/>
  <c r="AV247" i="5" s="1"/>
  <c r="AW247" i="5" s="1"/>
  <c r="AX247" i="5" s="1"/>
  <c r="AY247" i="5" s="1"/>
  <c r="AZ247" i="5" s="1"/>
  <c r="BA247" i="5" s="1"/>
  <c r="BB247" i="5" s="1"/>
  <c r="BC247" i="5" s="1"/>
  <c r="BD247" i="5" s="1"/>
  <c r="BE247" i="5" s="1"/>
  <c r="BF247" i="5" s="1"/>
  <c r="AT251" i="5"/>
  <c r="AU251" i="5" s="1"/>
  <c r="AV251" i="5" s="1"/>
  <c r="AW251" i="5" s="1"/>
  <c r="AX251" i="5" s="1"/>
  <c r="AY251" i="5" s="1"/>
  <c r="AZ251" i="5" s="1"/>
  <c r="BA251" i="5" s="1"/>
  <c r="BB251" i="5" s="1"/>
  <c r="BC251" i="5" s="1"/>
  <c r="BD251" i="5" s="1"/>
  <c r="BE251" i="5" s="1"/>
  <c r="BF251" i="5" s="1"/>
  <c r="AT255" i="5"/>
  <c r="AU255" i="5" s="1"/>
  <c r="AV255" i="5" s="1"/>
  <c r="AW255" i="5" s="1"/>
  <c r="AX255" i="5" s="1"/>
  <c r="AY255" i="5" s="1"/>
  <c r="AZ255" i="5" s="1"/>
  <c r="BA255" i="5" s="1"/>
  <c r="BB255" i="5" s="1"/>
  <c r="BC255" i="5" s="1"/>
  <c r="BD255" i="5" s="1"/>
  <c r="BE255" i="5" s="1"/>
  <c r="AT259" i="5"/>
  <c r="AU259" i="5" s="1"/>
  <c r="AV259" i="5" s="1"/>
  <c r="AW259" i="5" s="1"/>
  <c r="AX259" i="5" s="1"/>
  <c r="AY259" i="5" s="1"/>
  <c r="AZ259" i="5" s="1"/>
  <c r="BA259" i="5" s="1"/>
  <c r="BB259" i="5" s="1"/>
  <c r="BC259" i="5" s="1"/>
  <c r="BD259" i="5" s="1"/>
  <c r="BE259" i="5" s="1"/>
  <c r="BF259" i="5" s="1"/>
  <c r="AT263" i="5"/>
  <c r="AU263" i="5" s="1"/>
  <c r="AV263" i="5" s="1"/>
  <c r="AW263" i="5" s="1"/>
  <c r="AX263" i="5" s="1"/>
  <c r="AY263" i="5" s="1"/>
  <c r="AZ263" i="5" s="1"/>
  <c r="BA263" i="5" s="1"/>
  <c r="BB263" i="5" s="1"/>
  <c r="BC263" i="5" s="1"/>
  <c r="BD263" i="5" s="1"/>
  <c r="BE263" i="5" s="1"/>
  <c r="BF263" i="5" s="1"/>
  <c r="AT267" i="5"/>
  <c r="AU267" i="5" s="1"/>
  <c r="AV267" i="5" s="1"/>
  <c r="AW267" i="5" s="1"/>
  <c r="AX267" i="5" s="1"/>
  <c r="AY267" i="5" s="1"/>
  <c r="AZ267" i="5" s="1"/>
  <c r="BA267" i="5" s="1"/>
  <c r="BB267" i="5" s="1"/>
  <c r="BC267" i="5" s="1"/>
  <c r="BD267" i="5" s="1"/>
  <c r="BE267" i="5" s="1"/>
  <c r="BF267" i="5" s="1"/>
  <c r="AT271" i="5"/>
  <c r="AU271" i="5" s="1"/>
  <c r="AV271" i="5" s="1"/>
  <c r="AW271" i="5" s="1"/>
  <c r="AX271" i="5" s="1"/>
  <c r="AY271" i="5" s="1"/>
  <c r="AZ271" i="5" s="1"/>
  <c r="BA271" i="5" s="1"/>
  <c r="BB271" i="5" s="1"/>
  <c r="BC271" i="5" s="1"/>
  <c r="BD271" i="5" s="1"/>
  <c r="BE271" i="5" s="1"/>
  <c r="AT275" i="5"/>
  <c r="AU275" i="5" s="1"/>
  <c r="AV275" i="5" s="1"/>
  <c r="AW275" i="5" s="1"/>
  <c r="AX275" i="5" s="1"/>
  <c r="AY275" i="5" s="1"/>
  <c r="AZ275" i="5" s="1"/>
  <c r="BA275" i="5" s="1"/>
  <c r="BB275" i="5" s="1"/>
  <c r="BC275" i="5" s="1"/>
  <c r="BD275" i="5" s="1"/>
  <c r="BE275" i="5" s="1"/>
  <c r="BF275" i="5" s="1"/>
  <c r="AT279" i="5"/>
  <c r="AU279" i="5" s="1"/>
  <c r="AV279" i="5" s="1"/>
  <c r="AW279" i="5" s="1"/>
  <c r="AX279" i="5" s="1"/>
  <c r="AY279" i="5" s="1"/>
  <c r="AZ279" i="5" s="1"/>
  <c r="BA279" i="5" s="1"/>
  <c r="BB279" i="5" s="1"/>
  <c r="BC279" i="5" s="1"/>
  <c r="BD279" i="5" s="1"/>
  <c r="BE279" i="5" s="1"/>
  <c r="BF279" i="5" s="1"/>
  <c r="AT283" i="5"/>
  <c r="AU283" i="5" s="1"/>
  <c r="AV283" i="5" s="1"/>
  <c r="AW283" i="5" s="1"/>
  <c r="AX283" i="5" s="1"/>
  <c r="AY283" i="5" s="1"/>
  <c r="AZ283" i="5" s="1"/>
  <c r="BA283" i="5" s="1"/>
  <c r="BB283" i="5" s="1"/>
  <c r="BC283" i="5" s="1"/>
  <c r="BD283" i="5" s="1"/>
  <c r="BE283" i="5" s="1"/>
  <c r="BF283" i="5" s="1"/>
  <c r="AT287" i="5"/>
  <c r="AU287" i="5" s="1"/>
  <c r="AV287" i="5" s="1"/>
  <c r="AW287" i="5" s="1"/>
  <c r="AX287" i="5" s="1"/>
  <c r="AY287" i="5" s="1"/>
  <c r="AZ287" i="5" s="1"/>
  <c r="BA287" i="5" s="1"/>
  <c r="BB287" i="5" s="1"/>
  <c r="BC287" i="5" s="1"/>
  <c r="BD287" i="5" s="1"/>
  <c r="BE287" i="5" s="1"/>
  <c r="AT291" i="5"/>
  <c r="AU291" i="5" s="1"/>
  <c r="AV291" i="5" s="1"/>
  <c r="AW291" i="5" s="1"/>
  <c r="AX291" i="5" s="1"/>
  <c r="AY291" i="5" s="1"/>
  <c r="AZ291" i="5" s="1"/>
  <c r="BA291" i="5" s="1"/>
  <c r="BB291" i="5" s="1"/>
  <c r="BC291" i="5" s="1"/>
  <c r="BD291" i="5" s="1"/>
  <c r="BE291" i="5" s="1"/>
  <c r="BF291" i="5" s="1"/>
  <c r="AT295" i="5"/>
  <c r="AU295" i="5" s="1"/>
  <c r="AV295" i="5" s="1"/>
  <c r="AW295" i="5" s="1"/>
  <c r="AX295" i="5" s="1"/>
  <c r="AY295" i="5" s="1"/>
  <c r="AZ295" i="5" s="1"/>
  <c r="BA295" i="5" s="1"/>
  <c r="BB295" i="5" s="1"/>
  <c r="BC295" i="5" s="1"/>
  <c r="BD295" i="5" s="1"/>
  <c r="BE295" i="5" s="1"/>
  <c r="BF295" i="5" s="1"/>
  <c r="AT299" i="5"/>
  <c r="AU299" i="5" s="1"/>
  <c r="AV299" i="5" s="1"/>
  <c r="AW299" i="5" s="1"/>
  <c r="AX299" i="5" s="1"/>
  <c r="AY299" i="5" s="1"/>
  <c r="AZ299" i="5" s="1"/>
  <c r="BA299" i="5" s="1"/>
  <c r="BB299" i="5" s="1"/>
  <c r="BC299" i="5" s="1"/>
  <c r="BD299" i="5" s="1"/>
  <c r="BE299" i="5" s="1"/>
  <c r="BF299" i="5" s="1"/>
  <c r="AT303" i="5"/>
  <c r="AU303" i="5" s="1"/>
  <c r="AV303" i="5" s="1"/>
  <c r="AW303" i="5" s="1"/>
  <c r="AX303" i="5" s="1"/>
  <c r="AY303" i="5" s="1"/>
  <c r="AZ303" i="5" s="1"/>
  <c r="BA303" i="5" s="1"/>
  <c r="BB303" i="5" s="1"/>
  <c r="BC303" i="5" s="1"/>
  <c r="BD303" i="5" s="1"/>
  <c r="BE303" i="5" s="1"/>
  <c r="AT307" i="5"/>
  <c r="AU307" i="5" s="1"/>
  <c r="AV307" i="5" s="1"/>
  <c r="AW307" i="5" s="1"/>
  <c r="AX307" i="5" s="1"/>
  <c r="AY307" i="5" s="1"/>
  <c r="AZ307" i="5" s="1"/>
  <c r="BA307" i="5" s="1"/>
  <c r="BB307" i="5" s="1"/>
  <c r="BC307" i="5" s="1"/>
  <c r="BD307" i="5" s="1"/>
  <c r="BE307" i="5" s="1"/>
  <c r="BF307" i="5" s="1"/>
  <c r="AT311" i="5"/>
  <c r="AU311" i="5" s="1"/>
  <c r="AV311" i="5" s="1"/>
  <c r="AW311" i="5" s="1"/>
  <c r="AX311" i="5" s="1"/>
  <c r="AY311" i="5" s="1"/>
  <c r="AZ311" i="5" s="1"/>
  <c r="BA311" i="5" s="1"/>
  <c r="BB311" i="5" s="1"/>
  <c r="BC311" i="5" s="1"/>
  <c r="BD311" i="5" s="1"/>
  <c r="BE311" i="5" s="1"/>
  <c r="BF311" i="5" s="1"/>
  <c r="AT315" i="5"/>
  <c r="AU315" i="5" s="1"/>
  <c r="AV315" i="5" s="1"/>
  <c r="AW315" i="5" s="1"/>
  <c r="AX315" i="5" s="1"/>
  <c r="AY315" i="5" s="1"/>
  <c r="AZ315" i="5" s="1"/>
  <c r="BA315" i="5" s="1"/>
  <c r="BB315" i="5" s="1"/>
  <c r="BC315" i="5" s="1"/>
  <c r="BD315" i="5" s="1"/>
  <c r="BE315" i="5" s="1"/>
  <c r="BF315" i="5" s="1"/>
  <c r="AT319" i="5"/>
  <c r="AU319" i="5" s="1"/>
  <c r="AV319" i="5" s="1"/>
  <c r="AW319" i="5" s="1"/>
  <c r="AX319" i="5" s="1"/>
  <c r="AY319" i="5" s="1"/>
  <c r="AZ319" i="5" s="1"/>
  <c r="BA319" i="5" s="1"/>
  <c r="BB319" i="5" s="1"/>
  <c r="BC319" i="5" s="1"/>
  <c r="BD319" i="5" s="1"/>
  <c r="BE319" i="5" s="1"/>
  <c r="AT323" i="5"/>
  <c r="AU323" i="5" s="1"/>
  <c r="AV323" i="5" s="1"/>
  <c r="AW323" i="5" s="1"/>
  <c r="AX323" i="5" s="1"/>
  <c r="AY323" i="5" s="1"/>
  <c r="AZ323" i="5" s="1"/>
  <c r="BA323" i="5" s="1"/>
  <c r="BB323" i="5" s="1"/>
  <c r="BC323" i="5" s="1"/>
  <c r="BD323" i="5" s="1"/>
  <c r="BE323" i="5" s="1"/>
  <c r="BF323" i="5" s="1"/>
  <c r="AT327" i="5"/>
  <c r="AU327" i="5" s="1"/>
  <c r="AV327" i="5" s="1"/>
  <c r="AW327" i="5" s="1"/>
  <c r="AX327" i="5" s="1"/>
  <c r="AY327" i="5" s="1"/>
  <c r="AZ327" i="5" s="1"/>
  <c r="BA327" i="5" s="1"/>
  <c r="BB327" i="5" s="1"/>
  <c r="BC327" i="5" s="1"/>
  <c r="BD327" i="5" s="1"/>
  <c r="BE327" i="5" s="1"/>
  <c r="BF327" i="5" s="1"/>
  <c r="AT331" i="5"/>
  <c r="AU331" i="5" s="1"/>
  <c r="AV331" i="5" s="1"/>
  <c r="AW331" i="5" s="1"/>
  <c r="AX331" i="5" s="1"/>
  <c r="AY331" i="5" s="1"/>
  <c r="AZ331" i="5" s="1"/>
  <c r="BA331" i="5" s="1"/>
  <c r="BB331" i="5" s="1"/>
  <c r="BC331" i="5" s="1"/>
  <c r="BD331" i="5" s="1"/>
  <c r="BE331" i="5" s="1"/>
  <c r="BF331" i="5" s="1"/>
  <c r="AT335" i="5"/>
  <c r="AU335" i="5" s="1"/>
  <c r="AV335" i="5" s="1"/>
  <c r="AW335" i="5" s="1"/>
  <c r="AX335" i="5" s="1"/>
  <c r="AY335" i="5" s="1"/>
  <c r="AZ335" i="5" s="1"/>
  <c r="BA335" i="5" s="1"/>
  <c r="BB335" i="5" s="1"/>
  <c r="BC335" i="5" s="1"/>
  <c r="BD335" i="5" s="1"/>
  <c r="BE335" i="5" s="1"/>
  <c r="AT339" i="5"/>
  <c r="AU339" i="5" s="1"/>
  <c r="AV339" i="5" s="1"/>
  <c r="AW339" i="5" s="1"/>
  <c r="AX339" i="5" s="1"/>
  <c r="AY339" i="5" s="1"/>
  <c r="AZ339" i="5" s="1"/>
  <c r="BA339" i="5" s="1"/>
  <c r="BB339" i="5" s="1"/>
  <c r="BC339" i="5" s="1"/>
  <c r="BD339" i="5" s="1"/>
  <c r="BE339" i="5" s="1"/>
  <c r="BF339" i="5" s="1"/>
  <c r="AT343" i="5"/>
  <c r="AU343" i="5" s="1"/>
  <c r="AV343" i="5" s="1"/>
  <c r="AW343" i="5" s="1"/>
  <c r="AX343" i="5" s="1"/>
  <c r="AY343" i="5" s="1"/>
  <c r="AZ343" i="5" s="1"/>
  <c r="BA343" i="5" s="1"/>
  <c r="BB343" i="5" s="1"/>
  <c r="BC343" i="5" s="1"/>
  <c r="BD343" i="5" s="1"/>
  <c r="BE343" i="5" s="1"/>
  <c r="BF343" i="5" s="1"/>
  <c r="AT347" i="5"/>
  <c r="AU347" i="5" s="1"/>
  <c r="AV347" i="5" s="1"/>
  <c r="AW347" i="5" s="1"/>
  <c r="AX347" i="5" s="1"/>
  <c r="AY347" i="5" s="1"/>
  <c r="AZ347" i="5" s="1"/>
  <c r="BA347" i="5" s="1"/>
  <c r="BB347" i="5" s="1"/>
  <c r="BC347" i="5" s="1"/>
  <c r="BD347" i="5" s="1"/>
  <c r="BE347" i="5" s="1"/>
  <c r="BF347" i="5" s="1"/>
  <c r="AT351" i="5"/>
  <c r="AU351" i="5" s="1"/>
  <c r="AV351" i="5" s="1"/>
  <c r="AW351" i="5" s="1"/>
  <c r="AX351" i="5" s="1"/>
  <c r="AY351" i="5" s="1"/>
  <c r="AZ351" i="5" s="1"/>
  <c r="BA351" i="5" s="1"/>
  <c r="BB351" i="5" s="1"/>
  <c r="BC351" i="5" s="1"/>
  <c r="BD351" i="5" s="1"/>
  <c r="BE351" i="5" s="1"/>
  <c r="AT10" i="5"/>
  <c r="AU10" i="5" s="1"/>
  <c r="E14" i="14" s="1"/>
  <c r="AT26" i="5"/>
  <c r="AU26" i="5" s="1"/>
  <c r="AV26" i="5" s="1"/>
  <c r="AW26" i="5" s="1"/>
  <c r="AX26" i="5" s="1"/>
  <c r="AY26" i="5" s="1"/>
  <c r="AZ26" i="5" s="1"/>
  <c r="BA26" i="5" s="1"/>
  <c r="BB26" i="5" s="1"/>
  <c r="BC26" i="5" s="1"/>
  <c r="BD26" i="5" s="1"/>
  <c r="BE26" i="5" s="1"/>
  <c r="BF26" i="5" s="1"/>
  <c r="AT42" i="5"/>
  <c r="AU42" i="5" s="1"/>
  <c r="AT58" i="5"/>
  <c r="AU58" i="5" s="1"/>
  <c r="AT74" i="5"/>
  <c r="AU74" i="5" s="1"/>
  <c r="AV74" i="5" s="1"/>
  <c r="AW74" i="5" s="1"/>
  <c r="AX74" i="5" s="1"/>
  <c r="AY74" i="5" s="1"/>
  <c r="AZ74" i="5" s="1"/>
  <c r="BA74" i="5" s="1"/>
  <c r="BB74" i="5" s="1"/>
  <c r="BC74" i="5" s="1"/>
  <c r="BD74" i="5" s="1"/>
  <c r="BE74" i="5" s="1"/>
  <c r="BF74" i="5" s="1"/>
  <c r="AT90" i="5"/>
  <c r="AU90" i="5" s="1"/>
  <c r="AV90" i="5" s="1"/>
  <c r="AW90" i="5" s="1"/>
  <c r="AX90" i="5" s="1"/>
  <c r="AY90" i="5" s="1"/>
  <c r="AZ90" i="5" s="1"/>
  <c r="BA90" i="5" s="1"/>
  <c r="BB90" i="5" s="1"/>
  <c r="BC90" i="5" s="1"/>
  <c r="BD90" i="5" s="1"/>
  <c r="BE90" i="5" s="1"/>
  <c r="BF90" i="5" s="1"/>
  <c r="AT104" i="5"/>
  <c r="AU104" i="5" s="1"/>
  <c r="AV104" i="5" s="1"/>
  <c r="AW104" i="5" s="1"/>
  <c r="AX104" i="5" s="1"/>
  <c r="AY104" i="5" s="1"/>
  <c r="AZ104" i="5" s="1"/>
  <c r="BA104" i="5" s="1"/>
  <c r="BB104" i="5" s="1"/>
  <c r="BC104" i="5" s="1"/>
  <c r="BD104" i="5" s="1"/>
  <c r="BE104" i="5" s="1"/>
  <c r="AT112" i="5"/>
  <c r="AU112" i="5" s="1"/>
  <c r="AV112" i="5" s="1"/>
  <c r="AW112" i="5" s="1"/>
  <c r="AX112" i="5" s="1"/>
  <c r="AY112" i="5" s="1"/>
  <c r="AZ112" i="5" s="1"/>
  <c r="BA112" i="5" s="1"/>
  <c r="BB112" i="5" s="1"/>
  <c r="BC112" i="5" s="1"/>
  <c r="BD112" i="5" s="1"/>
  <c r="BE112" i="5" s="1"/>
  <c r="BF112" i="5" s="1"/>
  <c r="AT120" i="5"/>
  <c r="AU120" i="5" s="1"/>
  <c r="AV120" i="5" s="1"/>
  <c r="AW120" i="5" s="1"/>
  <c r="AX120" i="5" s="1"/>
  <c r="AY120" i="5" s="1"/>
  <c r="AZ120" i="5" s="1"/>
  <c r="BA120" i="5" s="1"/>
  <c r="BB120" i="5" s="1"/>
  <c r="BC120" i="5" s="1"/>
  <c r="BD120" i="5" s="1"/>
  <c r="BE120" i="5" s="1"/>
  <c r="AT124" i="5"/>
  <c r="AU124" i="5" s="1"/>
  <c r="AV124" i="5" s="1"/>
  <c r="AW124" i="5" s="1"/>
  <c r="AX124" i="5" s="1"/>
  <c r="AY124" i="5" s="1"/>
  <c r="AZ124" i="5" s="1"/>
  <c r="BA124" i="5" s="1"/>
  <c r="BB124" i="5" s="1"/>
  <c r="BC124" i="5" s="1"/>
  <c r="BD124" i="5" s="1"/>
  <c r="BE124" i="5" s="1"/>
  <c r="BF124" i="5" s="1"/>
  <c r="AT128" i="5"/>
  <c r="AU128" i="5" s="1"/>
  <c r="AV128" i="5" s="1"/>
  <c r="AW128" i="5" s="1"/>
  <c r="AX128" i="5" s="1"/>
  <c r="AY128" i="5" s="1"/>
  <c r="AZ128" i="5" s="1"/>
  <c r="BA128" i="5" s="1"/>
  <c r="BB128" i="5" s="1"/>
  <c r="BC128" i="5" s="1"/>
  <c r="BD128" i="5" s="1"/>
  <c r="BE128" i="5" s="1"/>
  <c r="BF128" i="5" s="1"/>
  <c r="AT132" i="5"/>
  <c r="AU132" i="5" s="1"/>
  <c r="AV132" i="5" s="1"/>
  <c r="AW132" i="5" s="1"/>
  <c r="AX132" i="5" s="1"/>
  <c r="AY132" i="5" s="1"/>
  <c r="AZ132" i="5" s="1"/>
  <c r="BA132" i="5" s="1"/>
  <c r="BB132" i="5" s="1"/>
  <c r="BC132" i="5" s="1"/>
  <c r="BD132" i="5" s="1"/>
  <c r="BE132" i="5" s="1"/>
  <c r="BF132" i="5" s="1"/>
  <c r="AT136" i="5"/>
  <c r="AU136" i="5" s="1"/>
  <c r="AV136" i="5" s="1"/>
  <c r="AW136" i="5" s="1"/>
  <c r="AX136" i="5" s="1"/>
  <c r="AY136" i="5" s="1"/>
  <c r="AZ136" i="5" s="1"/>
  <c r="BA136" i="5" s="1"/>
  <c r="BB136" i="5" s="1"/>
  <c r="BC136" i="5" s="1"/>
  <c r="BD136" i="5" s="1"/>
  <c r="BE136" i="5" s="1"/>
  <c r="AT140" i="5"/>
  <c r="AU140" i="5" s="1"/>
  <c r="AV140" i="5" s="1"/>
  <c r="AW140" i="5" s="1"/>
  <c r="AX140" i="5" s="1"/>
  <c r="AY140" i="5" s="1"/>
  <c r="AZ140" i="5" s="1"/>
  <c r="BA140" i="5" s="1"/>
  <c r="BB140" i="5" s="1"/>
  <c r="BC140" i="5" s="1"/>
  <c r="BD140" i="5" s="1"/>
  <c r="BE140" i="5" s="1"/>
  <c r="BF140" i="5" s="1"/>
  <c r="AT144" i="5"/>
  <c r="AU144" i="5" s="1"/>
  <c r="AV144" i="5" s="1"/>
  <c r="AW144" i="5" s="1"/>
  <c r="AX144" i="5" s="1"/>
  <c r="AY144" i="5" s="1"/>
  <c r="AZ144" i="5" s="1"/>
  <c r="BA144" i="5" s="1"/>
  <c r="BB144" i="5" s="1"/>
  <c r="BC144" i="5" s="1"/>
  <c r="BD144" i="5" s="1"/>
  <c r="BE144" i="5" s="1"/>
  <c r="BF144" i="5" s="1"/>
  <c r="AT148" i="5"/>
  <c r="AU148" i="5" s="1"/>
  <c r="AV148" i="5" s="1"/>
  <c r="AW148" i="5" s="1"/>
  <c r="AX148" i="5" s="1"/>
  <c r="AY148" i="5" s="1"/>
  <c r="AZ148" i="5" s="1"/>
  <c r="BA148" i="5" s="1"/>
  <c r="BB148" i="5" s="1"/>
  <c r="BC148" i="5" s="1"/>
  <c r="BD148" i="5" s="1"/>
  <c r="BE148" i="5" s="1"/>
  <c r="BF148" i="5" s="1"/>
  <c r="AT152" i="5"/>
  <c r="AU152" i="5" s="1"/>
  <c r="AV152" i="5" s="1"/>
  <c r="AW152" i="5" s="1"/>
  <c r="AX152" i="5" s="1"/>
  <c r="AY152" i="5" s="1"/>
  <c r="AZ152" i="5" s="1"/>
  <c r="BA152" i="5" s="1"/>
  <c r="BB152" i="5" s="1"/>
  <c r="BC152" i="5" s="1"/>
  <c r="BD152" i="5" s="1"/>
  <c r="BE152" i="5" s="1"/>
  <c r="AT156" i="5"/>
  <c r="AU156" i="5" s="1"/>
  <c r="AV156" i="5" s="1"/>
  <c r="AW156" i="5" s="1"/>
  <c r="AX156" i="5" s="1"/>
  <c r="AY156" i="5" s="1"/>
  <c r="AZ156" i="5" s="1"/>
  <c r="BA156" i="5" s="1"/>
  <c r="BB156" i="5" s="1"/>
  <c r="BC156" i="5" s="1"/>
  <c r="BD156" i="5" s="1"/>
  <c r="BE156" i="5" s="1"/>
  <c r="BF156" i="5" s="1"/>
  <c r="AT160" i="5"/>
  <c r="AU160" i="5" s="1"/>
  <c r="AV160" i="5" s="1"/>
  <c r="AW160" i="5" s="1"/>
  <c r="AX160" i="5" s="1"/>
  <c r="AY160" i="5" s="1"/>
  <c r="AZ160" i="5" s="1"/>
  <c r="BA160" i="5" s="1"/>
  <c r="BB160" i="5" s="1"/>
  <c r="BC160" i="5" s="1"/>
  <c r="BD160" i="5" s="1"/>
  <c r="BE160" i="5" s="1"/>
  <c r="BF160" i="5" s="1"/>
  <c r="AT164" i="5"/>
  <c r="AU164" i="5" s="1"/>
  <c r="AV164" i="5" s="1"/>
  <c r="AW164" i="5" s="1"/>
  <c r="AX164" i="5" s="1"/>
  <c r="AY164" i="5" s="1"/>
  <c r="AZ164" i="5" s="1"/>
  <c r="BA164" i="5" s="1"/>
  <c r="BB164" i="5" s="1"/>
  <c r="BC164" i="5" s="1"/>
  <c r="BD164" i="5" s="1"/>
  <c r="BE164" i="5" s="1"/>
  <c r="BF164" i="5" s="1"/>
  <c r="AT168" i="5"/>
  <c r="AU168" i="5" s="1"/>
  <c r="AV168" i="5" s="1"/>
  <c r="AW168" i="5" s="1"/>
  <c r="AX168" i="5" s="1"/>
  <c r="AY168" i="5" s="1"/>
  <c r="AZ168" i="5" s="1"/>
  <c r="BA168" i="5" s="1"/>
  <c r="BB168" i="5" s="1"/>
  <c r="BC168" i="5" s="1"/>
  <c r="BD168" i="5" s="1"/>
  <c r="BE168" i="5" s="1"/>
  <c r="AT172" i="5"/>
  <c r="AU172" i="5" s="1"/>
  <c r="AV172" i="5" s="1"/>
  <c r="AW172" i="5" s="1"/>
  <c r="AX172" i="5" s="1"/>
  <c r="AY172" i="5" s="1"/>
  <c r="AZ172" i="5" s="1"/>
  <c r="BA172" i="5" s="1"/>
  <c r="BB172" i="5" s="1"/>
  <c r="BC172" i="5" s="1"/>
  <c r="BD172" i="5" s="1"/>
  <c r="BE172" i="5" s="1"/>
  <c r="BF172" i="5" s="1"/>
  <c r="AT176" i="5"/>
  <c r="AU176" i="5" s="1"/>
  <c r="AV176" i="5" s="1"/>
  <c r="AW176" i="5" s="1"/>
  <c r="AX176" i="5" s="1"/>
  <c r="AY176" i="5" s="1"/>
  <c r="AZ176" i="5" s="1"/>
  <c r="BA176" i="5" s="1"/>
  <c r="BB176" i="5" s="1"/>
  <c r="BC176" i="5" s="1"/>
  <c r="BD176" i="5" s="1"/>
  <c r="BE176" i="5" s="1"/>
  <c r="BF176" i="5" s="1"/>
  <c r="AT180" i="5"/>
  <c r="AU180" i="5" s="1"/>
  <c r="AV180" i="5" s="1"/>
  <c r="AW180" i="5" s="1"/>
  <c r="AX180" i="5" s="1"/>
  <c r="AY180" i="5" s="1"/>
  <c r="AZ180" i="5" s="1"/>
  <c r="BA180" i="5" s="1"/>
  <c r="BB180" i="5" s="1"/>
  <c r="BC180" i="5" s="1"/>
  <c r="BD180" i="5" s="1"/>
  <c r="BE180" i="5" s="1"/>
  <c r="BF180" i="5" s="1"/>
  <c r="AT184" i="5"/>
  <c r="AU184" i="5" s="1"/>
  <c r="AV184" i="5" s="1"/>
  <c r="AW184" i="5" s="1"/>
  <c r="AX184" i="5" s="1"/>
  <c r="AY184" i="5" s="1"/>
  <c r="AZ184" i="5" s="1"/>
  <c r="BA184" i="5" s="1"/>
  <c r="BB184" i="5" s="1"/>
  <c r="BC184" i="5" s="1"/>
  <c r="BD184" i="5" s="1"/>
  <c r="BE184" i="5" s="1"/>
  <c r="AT188" i="5"/>
  <c r="AU188" i="5" s="1"/>
  <c r="AV188" i="5" s="1"/>
  <c r="AW188" i="5" s="1"/>
  <c r="AX188" i="5" s="1"/>
  <c r="AY188" i="5" s="1"/>
  <c r="AZ188" i="5" s="1"/>
  <c r="BA188" i="5" s="1"/>
  <c r="BB188" i="5" s="1"/>
  <c r="BC188" i="5" s="1"/>
  <c r="BD188" i="5" s="1"/>
  <c r="BE188" i="5" s="1"/>
  <c r="BF188" i="5" s="1"/>
  <c r="AT192" i="5"/>
  <c r="AU192" i="5" s="1"/>
  <c r="AV192" i="5" s="1"/>
  <c r="AW192" i="5" s="1"/>
  <c r="AX192" i="5" s="1"/>
  <c r="AY192" i="5" s="1"/>
  <c r="AZ192" i="5" s="1"/>
  <c r="BA192" i="5" s="1"/>
  <c r="BB192" i="5" s="1"/>
  <c r="BC192" i="5" s="1"/>
  <c r="BD192" i="5" s="1"/>
  <c r="BE192" i="5" s="1"/>
  <c r="BF192" i="5" s="1"/>
  <c r="AT196" i="5"/>
  <c r="AU196" i="5" s="1"/>
  <c r="AV196" i="5" s="1"/>
  <c r="AW196" i="5" s="1"/>
  <c r="AX196" i="5" s="1"/>
  <c r="AY196" i="5" s="1"/>
  <c r="AZ196" i="5" s="1"/>
  <c r="BA196" i="5" s="1"/>
  <c r="BB196" i="5" s="1"/>
  <c r="BC196" i="5" s="1"/>
  <c r="BD196" i="5" s="1"/>
  <c r="BE196" i="5" s="1"/>
  <c r="BF196" i="5" s="1"/>
  <c r="AT200" i="5"/>
  <c r="AU200" i="5" s="1"/>
  <c r="AV200" i="5" s="1"/>
  <c r="AW200" i="5" s="1"/>
  <c r="AX200" i="5" s="1"/>
  <c r="AY200" i="5" s="1"/>
  <c r="AZ200" i="5" s="1"/>
  <c r="BA200" i="5" s="1"/>
  <c r="BB200" i="5" s="1"/>
  <c r="BC200" i="5" s="1"/>
  <c r="BD200" i="5" s="1"/>
  <c r="BE200" i="5" s="1"/>
  <c r="AT204" i="5"/>
  <c r="AU204" i="5" s="1"/>
  <c r="AV204" i="5" s="1"/>
  <c r="AW204" i="5" s="1"/>
  <c r="AX204" i="5" s="1"/>
  <c r="AY204" i="5" s="1"/>
  <c r="AZ204" i="5" s="1"/>
  <c r="BA204" i="5" s="1"/>
  <c r="BB204" i="5" s="1"/>
  <c r="BC204" i="5" s="1"/>
  <c r="BD204" i="5" s="1"/>
  <c r="BE204" i="5" s="1"/>
  <c r="BF204" i="5" s="1"/>
  <c r="AT208" i="5"/>
  <c r="AU208" i="5" s="1"/>
  <c r="AV208" i="5" s="1"/>
  <c r="AW208" i="5" s="1"/>
  <c r="AX208" i="5" s="1"/>
  <c r="AY208" i="5" s="1"/>
  <c r="AZ208" i="5" s="1"/>
  <c r="BA208" i="5" s="1"/>
  <c r="BB208" i="5" s="1"/>
  <c r="BC208" i="5" s="1"/>
  <c r="BD208" i="5" s="1"/>
  <c r="BE208" i="5" s="1"/>
  <c r="BF208" i="5" s="1"/>
  <c r="AT212" i="5"/>
  <c r="AU212" i="5" s="1"/>
  <c r="AV212" i="5" s="1"/>
  <c r="AW212" i="5" s="1"/>
  <c r="AX212" i="5" s="1"/>
  <c r="AY212" i="5" s="1"/>
  <c r="AZ212" i="5" s="1"/>
  <c r="BA212" i="5" s="1"/>
  <c r="BB212" i="5" s="1"/>
  <c r="BC212" i="5" s="1"/>
  <c r="BD212" i="5" s="1"/>
  <c r="BE212" i="5" s="1"/>
  <c r="BF212" i="5" s="1"/>
  <c r="AT216" i="5"/>
  <c r="AU216" i="5" s="1"/>
  <c r="AV216" i="5" s="1"/>
  <c r="AW216" i="5" s="1"/>
  <c r="AX216" i="5" s="1"/>
  <c r="AY216" i="5" s="1"/>
  <c r="AZ216" i="5" s="1"/>
  <c r="BA216" i="5" s="1"/>
  <c r="BB216" i="5" s="1"/>
  <c r="BC216" i="5" s="1"/>
  <c r="BD216" i="5" s="1"/>
  <c r="BE216" i="5" s="1"/>
  <c r="AT220" i="5"/>
  <c r="AU220" i="5" s="1"/>
  <c r="AV220" i="5" s="1"/>
  <c r="AW220" i="5" s="1"/>
  <c r="AX220" i="5" s="1"/>
  <c r="AY220" i="5" s="1"/>
  <c r="AZ220" i="5" s="1"/>
  <c r="BA220" i="5" s="1"/>
  <c r="BB220" i="5" s="1"/>
  <c r="BC220" i="5" s="1"/>
  <c r="BD220" i="5" s="1"/>
  <c r="BE220" i="5" s="1"/>
  <c r="BF220" i="5" s="1"/>
  <c r="AT224" i="5"/>
  <c r="AU224" i="5" s="1"/>
  <c r="AV224" i="5" s="1"/>
  <c r="AW224" i="5" s="1"/>
  <c r="AX224" i="5" s="1"/>
  <c r="AY224" i="5" s="1"/>
  <c r="AZ224" i="5" s="1"/>
  <c r="BA224" i="5" s="1"/>
  <c r="BB224" i="5" s="1"/>
  <c r="BC224" i="5" s="1"/>
  <c r="BD224" i="5" s="1"/>
  <c r="BE224" i="5" s="1"/>
  <c r="BF224" i="5" s="1"/>
  <c r="AT228" i="5"/>
  <c r="AU228" i="5" s="1"/>
  <c r="AV228" i="5" s="1"/>
  <c r="AW228" i="5" s="1"/>
  <c r="AX228" i="5" s="1"/>
  <c r="AY228" i="5" s="1"/>
  <c r="AZ228" i="5" s="1"/>
  <c r="BA228" i="5" s="1"/>
  <c r="BB228" i="5" s="1"/>
  <c r="BC228" i="5" s="1"/>
  <c r="BD228" i="5" s="1"/>
  <c r="BE228" i="5" s="1"/>
  <c r="BF228" i="5" s="1"/>
  <c r="AT232" i="5"/>
  <c r="AU232" i="5" s="1"/>
  <c r="AV232" i="5" s="1"/>
  <c r="AW232" i="5" s="1"/>
  <c r="AX232" i="5" s="1"/>
  <c r="AY232" i="5" s="1"/>
  <c r="AZ232" i="5" s="1"/>
  <c r="BA232" i="5" s="1"/>
  <c r="BB232" i="5" s="1"/>
  <c r="BC232" i="5" s="1"/>
  <c r="BD232" i="5" s="1"/>
  <c r="BE232" i="5" s="1"/>
  <c r="AT236" i="5"/>
  <c r="AU236" i="5" s="1"/>
  <c r="AV236" i="5" s="1"/>
  <c r="AW236" i="5" s="1"/>
  <c r="AX236" i="5" s="1"/>
  <c r="AY236" i="5" s="1"/>
  <c r="AZ236" i="5" s="1"/>
  <c r="BA236" i="5" s="1"/>
  <c r="BB236" i="5" s="1"/>
  <c r="BC236" i="5" s="1"/>
  <c r="BD236" i="5" s="1"/>
  <c r="BE236" i="5" s="1"/>
  <c r="BF236" i="5" s="1"/>
  <c r="AT240" i="5"/>
  <c r="AU240" i="5" s="1"/>
  <c r="AV240" i="5" s="1"/>
  <c r="AW240" i="5" s="1"/>
  <c r="AX240" i="5" s="1"/>
  <c r="AY240" i="5" s="1"/>
  <c r="AZ240" i="5" s="1"/>
  <c r="BA240" i="5" s="1"/>
  <c r="BB240" i="5" s="1"/>
  <c r="BC240" i="5" s="1"/>
  <c r="BD240" i="5" s="1"/>
  <c r="BE240" i="5" s="1"/>
  <c r="BF240" i="5" s="1"/>
  <c r="AT244" i="5"/>
  <c r="AU244" i="5" s="1"/>
  <c r="AV244" i="5" s="1"/>
  <c r="AW244" i="5" s="1"/>
  <c r="AX244" i="5" s="1"/>
  <c r="AY244" i="5" s="1"/>
  <c r="AZ244" i="5" s="1"/>
  <c r="BA244" i="5" s="1"/>
  <c r="BB244" i="5" s="1"/>
  <c r="BC244" i="5" s="1"/>
  <c r="BD244" i="5" s="1"/>
  <c r="BE244" i="5" s="1"/>
  <c r="BF244" i="5" s="1"/>
  <c r="AT248" i="5"/>
  <c r="AU248" i="5" s="1"/>
  <c r="AV248" i="5" s="1"/>
  <c r="AW248" i="5" s="1"/>
  <c r="AX248" i="5" s="1"/>
  <c r="AY248" i="5" s="1"/>
  <c r="AZ248" i="5" s="1"/>
  <c r="BA248" i="5" s="1"/>
  <c r="BB248" i="5" s="1"/>
  <c r="BC248" i="5" s="1"/>
  <c r="BD248" i="5" s="1"/>
  <c r="BE248" i="5" s="1"/>
  <c r="AT252" i="5"/>
  <c r="AU252" i="5" s="1"/>
  <c r="AV252" i="5" s="1"/>
  <c r="AW252" i="5" s="1"/>
  <c r="AX252" i="5" s="1"/>
  <c r="AY252" i="5" s="1"/>
  <c r="AZ252" i="5" s="1"/>
  <c r="BA252" i="5" s="1"/>
  <c r="BB252" i="5" s="1"/>
  <c r="BC252" i="5" s="1"/>
  <c r="BD252" i="5" s="1"/>
  <c r="BE252" i="5" s="1"/>
  <c r="BF252" i="5" s="1"/>
  <c r="AT256" i="5"/>
  <c r="AU256" i="5" s="1"/>
  <c r="AV256" i="5" s="1"/>
  <c r="AW256" i="5" s="1"/>
  <c r="AX256" i="5" s="1"/>
  <c r="AY256" i="5" s="1"/>
  <c r="AZ256" i="5" s="1"/>
  <c r="BA256" i="5" s="1"/>
  <c r="BB256" i="5" s="1"/>
  <c r="BC256" i="5" s="1"/>
  <c r="BD256" i="5" s="1"/>
  <c r="BE256" i="5" s="1"/>
  <c r="BF256" i="5" s="1"/>
  <c r="AT260" i="5"/>
  <c r="AU260" i="5" s="1"/>
  <c r="AV260" i="5" s="1"/>
  <c r="AW260" i="5" s="1"/>
  <c r="AX260" i="5" s="1"/>
  <c r="AY260" i="5" s="1"/>
  <c r="AZ260" i="5" s="1"/>
  <c r="BA260" i="5" s="1"/>
  <c r="BB260" i="5" s="1"/>
  <c r="BC260" i="5" s="1"/>
  <c r="BD260" i="5" s="1"/>
  <c r="BE260" i="5" s="1"/>
  <c r="BF260" i="5" s="1"/>
  <c r="AT264" i="5"/>
  <c r="AU264" i="5" s="1"/>
  <c r="AV264" i="5" s="1"/>
  <c r="AW264" i="5" s="1"/>
  <c r="AX264" i="5" s="1"/>
  <c r="AY264" i="5" s="1"/>
  <c r="AZ264" i="5" s="1"/>
  <c r="BA264" i="5" s="1"/>
  <c r="BB264" i="5" s="1"/>
  <c r="BC264" i="5" s="1"/>
  <c r="BD264" i="5" s="1"/>
  <c r="BE264" i="5" s="1"/>
  <c r="AT268" i="5"/>
  <c r="AU268" i="5" s="1"/>
  <c r="AV268" i="5" s="1"/>
  <c r="AW268" i="5" s="1"/>
  <c r="AX268" i="5" s="1"/>
  <c r="AY268" i="5" s="1"/>
  <c r="AZ268" i="5" s="1"/>
  <c r="BA268" i="5" s="1"/>
  <c r="BB268" i="5" s="1"/>
  <c r="BC268" i="5" s="1"/>
  <c r="BD268" i="5" s="1"/>
  <c r="BE268" i="5" s="1"/>
  <c r="BF268" i="5" s="1"/>
  <c r="AT272" i="5"/>
  <c r="AU272" i="5" s="1"/>
  <c r="AV272" i="5" s="1"/>
  <c r="AW272" i="5" s="1"/>
  <c r="AX272" i="5" s="1"/>
  <c r="AY272" i="5" s="1"/>
  <c r="AZ272" i="5" s="1"/>
  <c r="BA272" i="5" s="1"/>
  <c r="BB272" i="5" s="1"/>
  <c r="BC272" i="5" s="1"/>
  <c r="BD272" i="5" s="1"/>
  <c r="BE272" i="5" s="1"/>
  <c r="BF272" i="5" s="1"/>
  <c r="AT276" i="5"/>
  <c r="AU276" i="5" s="1"/>
  <c r="AV276" i="5" s="1"/>
  <c r="AW276" i="5" s="1"/>
  <c r="AX276" i="5" s="1"/>
  <c r="AY276" i="5" s="1"/>
  <c r="AZ276" i="5" s="1"/>
  <c r="BA276" i="5" s="1"/>
  <c r="BB276" i="5" s="1"/>
  <c r="BC276" i="5" s="1"/>
  <c r="BD276" i="5" s="1"/>
  <c r="BE276" i="5" s="1"/>
  <c r="BF276" i="5" s="1"/>
  <c r="AT280" i="5"/>
  <c r="AU280" i="5" s="1"/>
  <c r="AV280" i="5" s="1"/>
  <c r="AW280" i="5" s="1"/>
  <c r="AX280" i="5" s="1"/>
  <c r="AY280" i="5" s="1"/>
  <c r="AZ280" i="5" s="1"/>
  <c r="BA280" i="5" s="1"/>
  <c r="BB280" i="5" s="1"/>
  <c r="BC280" i="5" s="1"/>
  <c r="BD280" i="5" s="1"/>
  <c r="BE280" i="5" s="1"/>
  <c r="AT284" i="5"/>
  <c r="AU284" i="5" s="1"/>
  <c r="AV284" i="5" s="1"/>
  <c r="AW284" i="5" s="1"/>
  <c r="AX284" i="5" s="1"/>
  <c r="AY284" i="5" s="1"/>
  <c r="AZ284" i="5" s="1"/>
  <c r="BA284" i="5" s="1"/>
  <c r="BB284" i="5" s="1"/>
  <c r="BC284" i="5" s="1"/>
  <c r="BD284" i="5" s="1"/>
  <c r="BE284" i="5" s="1"/>
  <c r="BF284" i="5" s="1"/>
  <c r="AT288" i="5"/>
  <c r="AU288" i="5" s="1"/>
  <c r="AV288" i="5" s="1"/>
  <c r="AW288" i="5" s="1"/>
  <c r="AX288" i="5" s="1"/>
  <c r="AY288" i="5" s="1"/>
  <c r="AZ288" i="5" s="1"/>
  <c r="BA288" i="5" s="1"/>
  <c r="BB288" i="5" s="1"/>
  <c r="BC288" i="5" s="1"/>
  <c r="BD288" i="5" s="1"/>
  <c r="BE288" i="5" s="1"/>
  <c r="BF288" i="5" s="1"/>
  <c r="AT292" i="5"/>
  <c r="AU292" i="5" s="1"/>
  <c r="AV292" i="5" s="1"/>
  <c r="AW292" i="5" s="1"/>
  <c r="AX292" i="5" s="1"/>
  <c r="AY292" i="5" s="1"/>
  <c r="AZ292" i="5" s="1"/>
  <c r="BA292" i="5" s="1"/>
  <c r="BB292" i="5" s="1"/>
  <c r="BC292" i="5" s="1"/>
  <c r="BD292" i="5" s="1"/>
  <c r="BE292" i="5" s="1"/>
  <c r="BF292" i="5" s="1"/>
  <c r="AT296" i="5"/>
  <c r="AU296" i="5" s="1"/>
  <c r="AV296" i="5" s="1"/>
  <c r="AW296" i="5" s="1"/>
  <c r="AX296" i="5" s="1"/>
  <c r="AY296" i="5" s="1"/>
  <c r="AZ296" i="5" s="1"/>
  <c r="BA296" i="5" s="1"/>
  <c r="BB296" i="5" s="1"/>
  <c r="BC296" i="5" s="1"/>
  <c r="BD296" i="5" s="1"/>
  <c r="BE296" i="5" s="1"/>
  <c r="AT300" i="5"/>
  <c r="AU300" i="5" s="1"/>
  <c r="AV300" i="5" s="1"/>
  <c r="AW300" i="5" s="1"/>
  <c r="AX300" i="5" s="1"/>
  <c r="AY300" i="5" s="1"/>
  <c r="AZ300" i="5" s="1"/>
  <c r="BA300" i="5" s="1"/>
  <c r="BB300" i="5" s="1"/>
  <c r="BC300" i="5" s="1"/>
  <c r="BD300" i="5" s="1"/>
  <c r="BE300" i="5" s="1"/>
  <c r="BF300" i="5" s="1"/>
  <c r="AT304" i="5"/>
  <c r="AU304" i="5" s="1"/>
  <c r="AV304" i="5" s="1"/>
  <c r="AW304" i="5" s="1"/>
  <c r="AX304" i="5" s="1"/>
  <c r="AY304" i="5" s="1"/>
  <c r="AZ304" i="5" s="1"/>
  <c r="BA304" i="5" s="1"/>
  <c r="BB304" i="5" s="1"/>
  <c r="BC304" i="5" s="1"/>
  <c r="BD304" i="5" s="1"/>
  <c r="BE304" i="5" s="1"/>
  <c r="BF304" i="5" s="1"/>
  <c r="AT308" i="5"/>
  <c r="AU308" i="5" s="1"/>
  <c r="AV308" i="5" s="1"/>
  <c r="AW308" i="5" s="1"/>
  <c r="AX308" i="5" s="1"/>
  <c r="AY308" i="5" s="1"/>
  <c r="AZ308" i="5" s="1"/>
  <c r="BA308" i="5" s="1"/>
  <c r="BB308" i="5" s="1"/>
  <c r="BC308" i="5" s="1"/>
  <c r="BD308" i="5" s="1"/>
  <c r="BE308" i="5" s="1"/>
  <c r="BF308" i="5" s="1"/>
  <c r="AT312" i="5"/>
  <c r="AU312" i="5" s="1"/>
  <c r="AV312" i="5" s="1"/>
  <c r="AW312" i="5" s="1"/>
  <c r="AX312" i="5" s="1"/>
  <c r="AY312" i="5" s="1"/>
  <c r="AZ312" i="5" s="1"/>
  <c r="BA312" i="5" s="1"/>
  <c r="BB312" i="5" s="1"/>
  <c r="BC312" i="5" s="1"/>
  <c r="BD312" i="5" s="1"/>
  <c r="BE312" i="5" s="1"/>
  <c r="AT316" i="5"/>
  <c r="AU316" i="5" s="1"/>
  <c r="AV316" i="5" s="1"/>
  <c r="AW316" i="5" s="1"/>
  <c r="AX316" i="5" s="1"/>
  <c r="AY316" i="5" s="1"/>
  <c r="AZ316" i="5" s="1"/>
  <c r="BA316" i="5" s="1"/>
  <c r="BB316" i="5" s="1"/>
  <c r="BC316" i="5" s="1"/>
  <c r="BD316" i="5" s="1"/>
  <c r="BE316" i="5" s="1"/>
  <c r="BF316" i="5" s="1"/>
  <c r="AT320" i="5"/>
  <c r="AU320" i="5" s="1"/>
  <c r="AV320" i="5" s="1"/>
  <c r="AW320" i="5" s="1"/>
  <c r="AX320" i="5" s="1"/>
  <c r="AY320" i="5" s="1"/>
  <c r="AZ320" i="5" s="1"/>
  <c r="BA320" i="5" s="1"/>
  <c r="BB320" i="5" s="1"/>
  <c r="BC320" i="5" s="1"/>
  <c r="BD320" i="5" s="1"/>
  <c r="BE320" i="5" s="1"/>
  <c r="BF320" i="5" s="1"/>
  <c r="AT324" i="5"/>
  <c r="AU324" i="5" s="1"/>
  <c r="AV324" i="5" s="1"/>
  <c r="AW324" i="5" s="1"/>
  <c r="AX324" i="5" s="1"/>
  <c r="AY324" i="5" s="1"/>
  <c r="AZ324" i="5" s="1"/>
  <c r="BA324" i="5" s="1"/>
  <c r="BB324" i="5" s="1"/>
  <c r="BC324" i="5" s="1"/>
  <c r="BD324" i="5" s="1"/>
  <c r="BE324" i="5" s="1"/>
  <c r="BF324" i="5" s="1"/>
  <c r="AT328" i="5"/>
  <c r="AU328" i="5" s="1"/>
  <c r="AV328" i="5" s="1"/>
  <c r="AW328" i="5" s="1"/>
  <c r="AX328" i="5" s="1"/>
  <c r="AY328" i="5" s="1"/>
  <c r="AZ328" i="5" s="1"/>
  <c r="BA328" i="5" s="1"/>
  <c r="BB328" i="5" s="1"/>
  <c r="BC328" i="5" s="1"/>
  <c r="BD328" i="5" s="1"/>
  <c r="BE328" i="5" s="1"/>
  <c r="AT332" i="5"/>
  <c r="AU332" i="5" s="1"/>
  <c r="AV332" i="5" s="1"/>
  <c r="AW332" i="5" s="1"/>
  <c r="AX332" i="5" s="1"/>
  <c r="AY332" i="5" s="1"/>
  <c r="AZ332" i="5" s="1"/>
  <c r="BA332" i="5" s="1"/>
  <c r="BB332" i="5" s="1"/>
  <c r="BC332" i="5" s="1"/>
  <c r="BD332" i="5" s="1"/>
  <c r="BE332" i="5" s="1"/>
  <c r="BF332" i="5" s="1"/>
  <c r="AT336" i="5"/>
  <c r="AU336" i="5" s="1"/>
  <c r="AV336" i="5" s="1"/>
  <c r="AW336" i="5" s="1"/>
  <c r="AX336" i="5" s="1"/>
  <c r="AY336" i="5" s="1"/>
  <c r="AZ336" i="5" s="1"/>
  <c r="BA336" i="5" s="1"/>
  <c r="BB336" i="5" s="1"/>
  <c r="BC336" i="5" s="1"/>
  <c r="BD336" i="5" s="1"/>
  <c r="BE336" i="5" s="1"/>
  <c r="BF336" i="5" s="1"/>
  <c r="AT340" i="5"/>
  <c r="AU340" i="5" s="1"/>
  <c r="AV340" i="5" s="1"/>
  <c r="AW340" i="5" s="1"/>
  <c r="AX340" i="5" s="1"/>
  <c r="AY340" i="5" s="1"/>
  <c r="AZ340" i="5" s="1"/>
  <c r="BA340" i="5" s="1"/>
  <c r="BB340" i="5" s="1"/>
  <c r="BC340" i="5" s="1"/>
  <c r="BD340" i="5" s="1"/>
  <c r="BE340" i="5" s="1"/>
  <c r="BF340" i="5" s="1"/>
  <c r="AT344" i="5"/>
  <c r="AU344" i="5" s="1"/>
  <c r="AV344" i="5" s="1"/>
  <c r="AW344" i="5" s="1"/>
  <c r="AX344" i="5" s="1"/>
  <c r="AY344" i="5" s="1"/>
  <c r="AZ344" i="5" s="1"/>
  <c r="BA344" i="5" s="1"/>
  <c r="BB344" i="5" s="1"/>
  <c r="BC344" i="5" s="1"/>
  <c r="BD344" i="5" s="1"/>
  <c r="BE344" i="5" s="1"/>
  <c r="AT348" i="5"/>
  <c r="AU348" i="5" s="1"/>
  <c r="AV348" i="5" s="1"/>
  <c r="AW348" i="5" s="1"/>
  <c r="AX348" i="5" s="1"/>
  <c r="AY348" i="5" s="1"/>
  <c r="AZ348" i="5" s="1"/>
  <c r="BA348" i="5" s="1"/>
  <c r="BB348" i="5" s="1"/>
  <c r="BC348" i="5" s="1"/>
  <c r="BD348" i="5" s="1"/>
  <c r="BE348" i="5" s="1"/>
  <c r="BF348" i="5" s="1"/>
  <c r="AT352" i="5"/>
  <c r="AU352" i="5" s="1"/>
  <c r="AV352" i="5" s="1"/>
  <c r="AW352" i="5" s="1"/>
  <c r="AX352" i="5" s="1"/>
  <c r="AY352" i="5" s="1"/>
  <c r="AZ352" i="5" s="1"/>
  <c r="BA352" i="5" s="1"/>
  <c r="BB352" i="5" s="1"/>
  <c r="BC352" i="5" s="1"/>
  <c r="BD352" i="5" s="1"/>
  <c r="BE352" i="5" s="1"/>
  <c r="BF352" i="5" s="1"/>
  <c r="AT356" i="5"/>
  <c r="AU356" i="5" s="1"/>
  <c r="AV356" i="5" s="1"/>
  <c r="AW356" i="5" s="1"/>
  <c r="AX356" i="5" s="1"/>
  <c r="AY356" i="5" s="1"/>
  <c r="AZ356" i="5" s="1"/>
  <c r="BA356" i="5" s="1"/>
  <c r="BB356" i="5" s="1"/>
  <c r="BC356" i="5" s="1"/>
  <c r="BD356" i="5" s="1"/>
  <c r="BE356" i="5" s="1"/>
  <c r="BF356" i="5" s="1"/>
  <c r="AT360" i="5"/>
  <c r="AU360" i="5" s="1"/>
  <c r="AV360" i="5" s="1"/>
  <c r="AW360" i="5" s="1"/>
  <c r="AX360" i="5" s="1"/>
  <c r="AY360" i="5" s="1"/>
  <c r="AZ360" i="5" s="1"/>
  <c r="BA360" i="5" s="1"/>
  <c r="BB360" i="5" s="1"/>
  <c r="BC360" i="5" s="1"/>
  <c r="BD360" i="5" s="1"/>
  <c r="BE360" i="5" s="1"/>
  <c r="AT364" i="5"/>
  <c r="AU364" i="5" s="1"/>
  <c r="AV364" i="5" s="1"/>
  <c r="AW364" i="5" s="1"/>
  <c r="AX364" i="5" s="1"/>
  <c r="AY364" i="5" s="1"/>
  <c r="AZ364" i="5" s="1"/>
  <c r="BA364" i="5" s="1"/>
  <c r="BB364" i="5" s="1"/>
  <c r="BC364" i="5" s="1"/>
  <c r="BD364" i="5" s="1"/>
  <c r="BE364" i="5" s="1"/>
  <c r="BF364" i="5" s="1"/>
  <c r="AT368" i="5"/>
  <c r="AU368" i="5" s="1"/>
  <c r="AV368" i="5" s="1"/>
  <c r="AW368" i="5" s="1"/>
  <c r="AX368" i="5" s="1"/>
  <c r="AY368" i="5" s="1"/>
  <c r="AZ368" i="5" s="1"/>
  <c r="BA368" i="5" s="1"/>
  <c r="BB368" i="5" s="1"/>
  <c r="BC368" i="5" s="1"/>
  <c r="BD368" i="5" s="1"/>
  <c r="BE368" i="5" s="1"/>
  <c r="BF368" i="5" s="1"/>
  <c r="AT372" i="5"/>
  <c r="AU372" i="5" s="1"/>
  <c r="AV372" i="5" s="1"/>
  <c r="AW372" i="5" s="1"/>
  <c r="AX372" i="5" s="1"/>
  <c r="AY372" i="5" s="1"/>
  <c r="AZ372" i="5" s="1"/>
  <c r="BA372" i="5" s="1"/>
  <c r="BB372" i="5" s="1"/>
  <c r="BC372" i="5" s="1"/>
  <c r="BD372" i="5" s="1"/>
  <c r="BE372" i="5" s="1"/>
  <c r="BF372" i="5" s="1"/>
  <c r="AT376" i="5"/>
  <c r="AU376" i="5" s="1"/>
  <c r="AV376" i="5" s="1"/>
  <c r="AW376" i="5" s="1"/>
  <c r="AX376" i="5" s="1"/>
  <c r="AY376" i="5" s="1"/>
  <c r="AZ376" i="5" s="1"/>
  <c r="BA376" i="5" s="1"/>
  <c r="BB376" i="5" s="1"/>
  <c r="BC376" i="5" s="1"/>
  <c r="BD376" i="5" s="1"/>
  <c r="BE376" i="5" s="1"/>
  <c r="AT380" i="5"/>
  <c r="AU380" i="5" s="1"/>
  <c r="AV380" i="5" s="1"/>
  <c r="AW380" i="5" s="1"/>
  <c r="AX380" i="5" s="1"/>
  <c r="AY380" i="5" s="1"/>
  <c r="AZ380" i="5" s="1"/>
  <c r="BA380" i="5" s="1"/>
  <c r="BB380" i="5" s="1"/>
  <c r="BC380" i="5" s="1"/>
  <c r="BD380" i="5" s="1"/>
  <c r="BE380" i="5" s="1"/>
  <c r="BF380" i="5" s="1"/>
  <c r="AT384" i="5"/>
  <c r="AU384" i="5" s="1"/>
  <c r="AV384" i="5" s="1"/>
  <c r="AW384" i="5" s="1"/>
  <c r="AX384" i="5" s="1"/>
  <c r="AY384" i="5" s="1"/>
  <c r="AZ384" i="5" s="1"/>
  <c r="BA384" i="5" s="1"/>
  <c r="BB384" i="5" s="1"/>
  <c r="BC384" i="5" s="1"/>
  <c r="BD384" i="5" s="1"/>
  <c r="BE384" i="5" s="1"/>
  <c r="BF384" i="5" s="1"/>
  <c r="AT388" i="5"/>
  <c r="AU388" i="5" s="1"/>
  <c r="AV388" i="5" s="1"/>
  <c r="AW388" i="5" s="1"/>
  <c r="AX388" i="5" s="1"/>
  <c r="AY388" i="5" s="1"/>
  <c r="AZ388" i="5" s="1"/>
  <c r="BA388" i="5" s="1"/>
  <c r="BB388" i="5" s="1"/>
  <c r="BC388" i="5" s="1"/>
  <c r="BD388" i="5" s="1"/>
  <c r="BE388" i="5" s="1"/>
  <c r="BF388" i="5" s="1"/>
  <c r="AT392" i="5"/>
  <c r="AU392" i="5" s="1"/>
  <c r="AV392" i="5" s="1"/>
  <c r="AW392" i="5" s="1"/>
  <c r="AX392" i="5" s="1"/>
  <c r="AY392" i="5" s="1"/>
  <c r="AZ392" i="5" s="1"/>
  <c r="BA392" i="5" s="1"/>
  <c r="BB392" i="5" s="1"/>
  <c r="BC392" i="5" s="1"/>
  <c r="BD392" i="5" s="1"/>
  <c r="BE392" i="5" s="1"/>
  <c r="AT396" i="5"/>
  <c r="AU396" i="5" s="1"/>
  <c r="AV396" i="5" s="1"/>
  <c r="AW396" i="5" s="1"/>
  <c r="AX396" i="5" s="1"/>
  <c r="AY396" i="5" s="1"/>
  <c r="AZ396" i="5" s="1"/>
  <c r="BA396" i="5" s="1"/>
  <c r="BB396" i="5" s="1"/>
  <c r="BC396" i="5" s="1"/>
  <c r="BD396" i="5" s="1"/>
  <c r="BE396" i="5" s="1"/>
  <c r="BF396" i="5" s="1"/>
  <c r="AT400" i="5"/>
  <c r="AU400" i="5" s="1"/>
  <c r="AV400" i="5" s="1"/>
  <c r="AW400" i="5" s="1"/>
  <c r="AX400" i="5" s="1"/>
  <c r="AY400" i="5" s="1"/>
  <c r="AZ400" i="5" s="1"/>
  <c r="BA400" i="5" s="1"/>
  <c r="BB400" i="5" s="1"/>
  <c r="BC400" i="5" s="1"/>
  <c r="BD400" i="5" s="1"/>
  <c r="BE400" i="5" s="1"/>
  <c r="BF400" i="5" s="1"/>
  <c r="AT404" i="5"/>
  <c r="AU404" i="5" s="1"/>
  <c r="AV404" i="5" s="1"/>
  <c r="AW404" i="5" s="1"/>
  <c r="AX404" i="5" s="1"/>
  <c r="AY404" i="5" s="1"/>
  <c r="AZ404" i="5" s="1"/>
  <c r="BA404" i="5" s="1"/>
  <c r="BB404" i="5" s="1"/>
  <c r="BC404" i="5" s="1"/>
  <c r="BD404" i="5" s="1"/>
  <c r="BE404" i="5" s="1"/>
  <c r="BF404" i="5" s="1"/>
  <c r="AT408" i="5"/>
  <c r="AU408" i="5" s="1"/>
  <c r="AV408" i="5" s="1"/>
  <c r="AW408" i="5" s="1"/>
  <c r="AX408" i="5" s="1"/>
  <c r="AY408" i="5" s="1"/>
  <c r="AZ408" i="5" s="1"/>
  <c r="BA408" i="5" s="1"/>
  <c r="BB408" i="5" s="1"/>
  <c r="BC408" i="5" s="1"/>
  <c r="BD408" i="5" s="1"/>
  <c r="BE408" i="5" s="1"/>
  <c r="AT412" i="5"/>
  <c r="AU412" i="5" s="1"/>
  <c r="AV412" i="5" s="1"/>
  <c r="AW412" i="5" s="1"/>
  <c r="AX412" i="5" s="1"/>
  <c r="AY412" i="5" s="1"/>
  <c r="AZ412" i="5" s="1"/>
  <c r="BA412" i="5" s="1"/>
  <c r="BB412" i="5" s="1"/>
  <c r="BC412" i="5" s="1"/>
  <c r="BD412" i="5" s="1"/>
  <c r="BE412" i="5" s="1"/>
  <c r="BF412" i="5" s="1"/>
  <c r="AT416" i="5"/>
  <c r="AU416" i="5" s="1"/>
  <c r="AV416" i="5" s="1"/>
  <c r="AW416" i="5" s="1"/>
  <c r="AX416" i="5" s="1"/>
  <c r="AY416" i="5" s="1"/>
  <c r="AZ416" i="5" s="1"/>
  <c r="BA416" i="5" s="1"/>
  <c r="BB416" i="5" s="1"/>
  <c r="BC416" i="5" s="1"/>
  <c r="BD416" i="5" s="1"/>
  <c r="BE416" i="5" s="1"/>
  <c r="BF416" i="5" s="1"/>
  <c r="AT420" i="5"/>
  <c r="AU420" i="5" s="1"/>
  <c r="AV420" i="5" s="1"/>
  <c r="AW420" i="5" s="1"/>
  <c r="AX420" i="5" s="1"/>
  <c r="AY420" i="5" s="1"/>
  <c r="AZ420" i="5" s="1"/>
  <c r="BA420" i="5" s="1"/>
  <c r="BB420" i="5" s="1"/>
  <c r="BC420" i="5" s="1"/>
  <c r="BD420" i="5" s="1"/>
  <c r="BE420" i="5" s="1"/>
  <c r="BF420" i="5" s="1"/>
  <c r="AT424" i="5"/>
  <c r="AU424" i="5" s="1"/>
  <c r="AV424" i="5" s="1"/>
  <c r="AW424" i="5" s="1"/>
  <c r="AX424" i="5" s="1"/>
  <c r="AY424" i="5" s="1"/>
  <c r="AZ424" i="5" s="1"/>
  <c r="BA424" i="5" s="1"/>
  <c r="BB424" i="5" s="1"/>
  <c r="BC424" i="5" s="1"/>
  <c r="BD424" i="5" s="1"/>
  <c r="BE424" i="5" s="1"/>
  <c r="AT428" i="5"/>
  <c r="AU428" i="5" s="1"/>
  <c r="AV428" i="5" s="1"/>
  <c r="AW428" i="5" s="1"/>
  <c r="AX428" i="5" s="1"/>
  <c r="AY428" i="5" s="1"/>
  <c r="AZ428" i="5" s="1"/>
  <c r="BA428" i="5" s="1"/>
  <c r="BB428" i="5" s="1"/>
  <c r="BC428" i="5" s="1"/>
  <c r="BD428" i="5" s="1"/>
  <c r="BE428" i="5" s="1"/>
  <c r="BF428" i="5" s="1"/>
  <c r="AT432" i="5"/>
  <c r="AU432" i="5" s="1"/>
  <c r="AV432" i="5" s="1"/>
  <c r="AW432" i="5" s="1"/>
  <c r="AX432" i="5" s="1"/>
  <c r="AY432" i="5" s="1"/>
  <c r="AZ432" i="5" s="1"/>
  <c r="BA432" i="5" s="1"/>
  <c r="BB432" i="5" s="1"/>
  <c r="BC432" i="5" s="1"/>
  <c r="BD432" i="5" s="1"/>
  <c r="BE432" i="5" s="1"/>
  <c r="BF432" i="5" s="1"/>
  <c r="AT436" i="5"/>
  <c r="AU436" i="5" s="1"/>
  <c r="AV436" i="5" s="1"/>
  <c r="AW436" i="5" s="1"/>
  <c r="AX436" i="5" s="1"/>
  <c r="AY436" i="5" s="1"/>
  <c r="AZ436" i="5" s="1"/>
  <c r="BA436" i="5" s="1"/>
  <c r="BB436" i="5" s="1"/>
  <c r="BC436" i="5" s="1"/>
  <c r="BD436" i="5" s="1"/>
  <c r="BE436" i="5" s="1"/>
  <c r="BF436" i="5" s="1"/>
  <c r="AT440" i="5"/>
  <c r="AU440" i="5" s="1"/>
  <c r="AV440" i="5" s="1"/>
  <c r="AW440" i="5" s="1"/>
  <c r="AX440" i="5" s="1"/>
  <c r="AY440" i="5" s="1"/>
  <c r="AZ440" i="5" s="1"/>
  <c r="BA440" i="5" s="1"/>
  <c r="BB440" i="5" s="1"/>
  <c r="BC440" i="5" s="1"/>
  <c r="BD440" i="5" s="1"/>
  <c r="BE440" i="5" s="1"/>
  <c r="AT30" i="5"/>
  <c r="AU30" i="5" s="1"/>
  <c r="AV30" i="5" s="1"/>
  <c r="AW30" i="5" s="1"/>
  <c r="AX30" i="5" s="1"/>
  <c r="AY30" i="5" s="1"/>
  <c r="AZ30" i="5" s="1"/>
  <c r="BA30" i="5" s="1"/>
  <c r="BB30" i="5" s="1"/>
  <c r="BC30" i="5" s="1"/>
  <c r="BD30" i="5" s="1"/>
  <c r="BE30" i="5" s="1"/>
  <c r="BF30" i="5" s="1"/>
  <c r="AT94" i="5"/>
  <c r="AU94" i="5" s="1"/>
  <c r="AV94" i="5" s="1"/>
  <c r="AW94" i="5" s="1"/>
  <c r="AX94" i="5" s="1"/>
  <c r="AY94" i="5" s="1"/>
  <c r="AZ94" i="5" s="1"/>
  <c r="BA94" i="5" s="1"/>
  <c r="BB94" i="5" s="1"/>
  <c r="BC94" i="5" s="1"/>
  <c r="BD94" i="5" s="1"/>
  <c r="BE94" i="5" s="1"/>
  <c r="BF94" i="5" s="1"/>
  <c r="AT125" i="5"/>
  <c r="AU125" i="5" s="1"/>
  <c r="AV125" i="5" s="1"/>
  <c r="AW125" i="5" s="1"/>
  <c r="AX125" i="5" s="1"/>
  <c r="AY125" i="5" s="1"/>
  <c r="AZ125" i="5" s="1"/>
  <c r="BA125" i="5" s="1"/>
  <c r="BB125" i="5" s="1"/>
  <c r="BC125" i="5" s="1"/>
  <c r="BD125" i="5" s="1"/>
  <c r="BE125" i="5" s="1"/>
  <c r="AT141" i="5"/>
  <c r="AU141" i="5" s="1"/>
  <c r="AV141" i="5" s="1"/>
  <c r="AW141" i="5" s="1"/>
  <c r="AX141" i="5" s="1"/>
  <c r="AY141" i="5" s="1"/>
  <c r="AZ141" i="5" s="1"/>
  <c r="BA141" i="5" s="1"/>
  <c r="BB141" i="5" s="1"/>
  <c r="BC141" i="5" s="1"/>
  <c r="BD141" i="5" s="1"/>
  <c r="BE141" i="5" s="1"/>
  <c r="BF141" i="5" s="1"/>
  <c r="AT157" i="5"/>
  <c r="AU157" i="5" s="1"/>
  <c r="AV157" i="5" s="1"/>
  <c r="AW157" i="5" s="1"/>
  <c r="AX157" i="5" s="1"/>
  <c r="AY157" i="5" s="1"/>
  <c r="AZ157" i="5" s="1"/>
  <c r="BA157" i="5" s="1"/>
  <c r="BB157" i="5" s="1"/>
  <c r="BC157" i="5" s="1"/>
  <c r="BD157" i="5" s="1"/>
  <c r="BE157" i="5" s="1"/>
  <c r="BF157" i="5" s="1"/>
  <c r="AT173" i="5"/>
  <c r="AU173" i="5" s="1"/>
  <c r="AV173" i="5" s="1"/>
  <c r="AW173" i="5" s="1"/>
  <c r="AX173" i="5" s="1"/>
  <c r="AY173" i="5" s="1"/>
  <c r="AZ173" i="5" s="1"/>
  <c r="BA173" i="5" s="1"/>
  <c r="BB173" i="5" s="1"/>
  <c r="BC173" i="5" s="1"/>
  <c r="BD173" i="5" s="1"/>
  <c r="BE173" i="5" s="1"/>
  <c r="AT189" i="5"/>
  <c r="AU189" i="5" s="1"/>
  <c r="AV189" i="5" s="1"/>
  <c r="AW189" i="5" s="1"/>
  <c r="AX189" i="5" s="1"/>
  <c r="AY189" i="5" s="1"/>
  <c r="AZ189" i="5" s="1"/>
  <c r="BA189" i="5" s="1"/>
  <c r="BB189" i="5" s="1"/>
  <c r="BC189" i="5" s="1"/>
  <c r="BD189" i="5" s="1"/>
  <c r="BE189" i="5" s="1"/>
  <c r="BF189" i="5" s="1"/>
  <c r="AT205" i="5"/>
  <c r="AU205" i="5" s="1"/>
  <c r="AV205" i="5" s="1"/>
  <c r="AW205" i="5" s="1"/>
  <c r="AX205" i="5" s="1"/>
  <c r="AY205" i="5" s="1"/>
  <c r="AZ205" i="5" s="1"/>
  <c r="BA205" i="5" s="1"/>
  <c r="BB205" i="5" s="1"/>
  <c r="BC205" i="5" s="1"/>
  <c r="BD205" i="5" s="1"/>
  <c r="BE205" i="5" s="1"/>
  <c r="BF205" i="5" s="1"/>
  <c r="AT221" i="5"/>
  <c r="AU221" i="5" s="1"/>
  <c r="AV221" i="5" s="1"/>
  <c r="AW221" i="5" s="1"/>
  <c r="AX221" i="5" s="1"/>
  <c r="AY221" i="5" s="1"/>
  <c r="AZ221" i="5" s="1"/>
  <c r="BA221" i="5" s="1"/>
  <c r="BB221" i="5" s="1"/>
  <c r="BC221" i="5" s="1"/>
  <c r="BD221" i="5" s="1"/>
  <c r="BE221" i="5" s="1"/>
  <c r="BF221" i="5" s="1"/>
  <c r="AT237" i="5"/>
  <c r="AU237" i="5" s="1"/>
  <c r="AV237" i="5" s="1"/>
  <c r="AW237" i="5" s="1"/>
  <c r="AX237" i="5" s="1"/>
  <c r="AY237" i="5" s="1"/>
  <c r="AZ237" i="5" s="1"/>
  <c r="BA237" i="5" s="1"/>
  <c r="BB237" i="5" s="1"/>
  <c r="BC237" i="5" s="1"/>
  <c r="BD237" i="5" s="1"/>
  <c r="BE237" i="5" s="1"/>
  <c r="AT253" i="5"/>
  <c r="AU253" i="5" s="1"/>
  <c r="AV253" i="5" s="1"/>
  <c r="AW253" i="5" s="1"/>
  <c r="AX253" i="5" s="1"/>
  <c r="AY253" i="5" s="1"/>
  <c r="AZ253" i="5" s="1"/>
  <c r="BA253" i="5" s="1"/>
  <c r="BB253" i="5" s="1"/>
  <c r="BC253" i="5" s="1"/>
  <c r="BD253" i="5" s="1"/>
  <c r="BE253" i="5" s="1"/>
  <c r="BF253" i="5" s="1"/>
  <c r="AT269" i="5"/>
  <c r="AU269" i="5" s="1"/>
  <c r="AV269" i="5" s="1"/>
  <c r="AW269" i="5" s="1"/>
  <c r="AX269" i="5" s="1"/>
  <c r="AY269" i="5" s="1"/>
  <c r="AZ269" i="5" s="1"/>
  <c r="BA269" i="5" s="1"/>
  <c r="BB269" i="5" s="1"/>
  <c r="BC269" i="5" s="1"/>
  <c r="BD269" i="5" s="1"/>
  <c r="BE269" i="5" s="1"/>
  <c r="AT285" i="5"/>
  <c r="AU285" i="5" s="1"/>
  <c r="AV285" i="5" s="1"/>
  <c r="AW285" i="5" s="1"/>
  <c r="AX285" i="5" s="1"/>
  <c r="AY285" i="5" s="1"/>
  <c r="AZ285" i="5" s="1"/>
  <c r="BA285" i="5" s="1"/>
  <c r="BB285" i="5" s="1"/>
  <c r="BC285" i="5" s="1"/>
  <c r="BD285" i="5" s="1"/>
  <c r="BE285" i="5" s="1"/>
  <c r="BF285" i="5" s="1"/>
  <c r="AT301" i="5"/>
  <c r="AU301" i="5" s="1"/>
  <c r="AV301" i="5" s="1"/>
  <c r="AW301" i="5" s="1"/>
  <c r="AX301" i="5" s="1"/>
  <c r="AY301" i="5" s="1"/>
  <c r="AZ301" i="5" s="1"/>
  <c r="BA301" i="5" s="1"/>
  <c r="BB301" i="5" s="1"/>
  <c r="BC301" i="5" s="1"/>
  <c r="BD301" i="5" s="1"/>
  <c r="BE301" i="5" s="1"/>
  <c r="BF301" i="5" s="1"/>
  <c r="AT317" i="5"/>
  <c r="AU317" i="5" s="1"/>
  <c r="AV317" i="5" s="1"/>
  <c r="AW317" i="5" s="1"/>
  <c r="AX317" i="5" s="1"/>
  <c r="AY317" i="5" s="1"/>
  <c r="AZ317" i="5" s="1"/>
  <c r="BA317" i="5" s="1"/>
  <c r="BB317" i="5" s="1"/>
  <c r="BC317" i="5" s="1"/>
  <c r="BD317" i="5" s="1"/>
  <c r="BE317" i="5" s="1"/>
  <c r="BF317" i="5" s="1"/>
  <c r="AT333" i="5"/>
  <c r="AU333" i="5" s="1"/>
  <c r="AV333" i="5" s="1"/>
  <c r="AW333" i="5" s="1"/>
  <c r="AX333" i="5" s="1"/>
  <c r="AY333" i="5" s="1"/>
  <c r="AZ333" i="5" s="1"/>
  <c r="BA333" i="5" s="1"/>
  <c r="BB333" i="5" s="1"/>
  <c r="BC333" i="5" s="1"/>
  <c r="BD333" i="5" s="1"/>
  <c r="BE333" i="5" s="1"/>
  <c r="BF333" i="5" s="1"/>
  <c r="AT349" i="5"/>
  <c r="AU349" i="5" s="1"/>
  <c r="AV349" i="5" s="1"/>
  <c r="AW349" i="5" s="1"/>
  <c r="AX349" i="5" s="1"/>
  <c r="AY349" i="5" s="1"/>
  <c r="AZ349" i="5" s="1"/>
  <c r="BA349" i="5" s="1"/>
  <c r="BB349" i="5" s="1"/>
  <c r="BC349" i="5" s="1"/>
  <c r="BD349" i="5" s="1"/>
  <c r="BE349" i="5" s="1"/>
  <c r="BF349" i="5" s="1"/>
  <c r="AT359" i="5"/>
  <c r="AU359" i="5" s="1"/>
  <c r="AV359" i="5" s="1"/>
  <c r="AW359" i="5" s="1"/>
  <c r="AX359" i="5" s="1"/>
  <c r="AY359" i="5" s="1"/>
  <c r="AZ359" i="5" s="1"/>
  <c r="BA359" i="5" s="1"/>
  <c r="BB359" i="5" s="1"/>
  <c r="BC359" i="5" s="1"/>
  <c r="BD359" i="5" s="1"/>
  <c r="BE359" i="5" s="1"/>
  <c r="BF359" i="5" s="1"/>
  <c r="AT367" i="5"/>
  <c r="AU367" i="5" s="1"/>
  <c r="AV367" i="5" s="1"/>
  <c r="AW367" i="5" s="1"/>
  <c r="AX367" i="5" s="1"/>
  <c r="AY367" i="5" s="1"/>
  <c r="AZ367" i="5" s="1"/>
  <c r="BA367" i="5" s="1"/>
  <c r="BB367" i="5" s="1"/>
  <c r="BC367" i="5" s="1"/>
  <c r="BD367" i="5" s="1"/>
  <c r="BE367" i="5" s="1"/>
  <c r="AT375" i="5"/>
  <c r="AU375" i="5" s="1"/>
  <c r="AV375" i="5" s="1"/>
  <c r="AW375" i="5" s="1"/>
  <c r="AX375" i="5" s="1"/>
  <c r="AY375" i="5" s="1"/>
  <c r="AZ375" i="5" s="1"/>
  <c r="BA375" i="5" s="1"/>
  <c r="BB375" i="5" s="1"/>
  <c r="BC375" i="5" s="1"/>
  <c r="BD375" i="5" s="1"/>
  <c r="BE375" i="5" s="1"/>
  <c r="BF375" i="5" s="1"/>
  <c r="AT383" i="5"/>
  <c r="AU383" i="5" s="1"/>
  <c r="AV383" i="5" s="1"/>
  <c r="AW383" i="5" s="1"/>
  <c r="AX383" i="5" s="1"/>
  <c r="AY383" i="5" s="1"/>
  <c r="AZ383" i="5" s="1"/>
  <c r="BA383" i="5" s="1"/>
  <c r="BB383" i="5" s="1"/>
  <c r="BC383" i="5" s="1"/>
  <c r="BD383" i="5" s="1"/>
  <c r="BE383" i="5" s="1"/>
  <c r="BF383" i="5" s="1"/>
  <c r="AT391" i="5"/>
  <c r="AU391" i="5" s="1"/>
  <c r="AV391" i="5" s="1"/>
  <c r="AW391" i="5" s="1"/>
  <c r="AX391" i="5" s="1"/>
  <c r="AY391" i="5" s="1"/>
  <c r="AZ391" i="5" s="1"/>
  <c r="BA391" i="5" s="1"/>
  <c r="BB391" i="5" s="1"/>
  <c r="BC391" i="5" s="1"/>
  <c r="BD391" i="5" s="1"/>
  <c r="BE391" i="5" s="1"/>
  <c r="BF391" i="5" s="1"/>
  <c r="AT399" i="5"/>
  <c r="AU399" i="5" s="1"/>
  <c r="AV399" i="5" s="1"/>
  <c r="AW399" i="5" s="1"/>
  <c r="AX399" i="5" s="1"/>
  <c r="AY399" i="5" s="1"/>
  <c r="AZ399" i="5" s="1"/>
  <c r="BA399" i="5" s="1"/>
  <c r="BB399" i="5" s="1"/>
  <c r="BC399" i="5" s="1"/>
  <c r="BD399" i="5" s="1"/>
  <c r="BE399" i="5" s="1"/>
  <c r="AT407" i="5"/>
  <c r="AU407" i="5" s="1"/>
  <c r="AV407" i="5" s="1"/>
  <c r="AW407" i="5" s="1"/>
  <c r="AX407" i="5" s="1"/>
  <c r="AY407" i="5" s="1"/>
  <c r="AZ407" i="5" s="1"/>
  <c r="BA407" i="5" s="1"/>
  <c r="BB407" i="5" s="1"/>
  <c r="BC407" i="5" s="1"/>
  <c r="BD407" i="5" s="1"/>
  <c r="BE407" i="5" s="1"/>
  <c r="BF407" i="5" s="1"/>
  <c r="AT415" i="5"/>
  <c r="AU415" i="5" s="1"/>
  <c r="AV415" i="5" s="1"/>
  <c r="AW415" i="5" s="1"/>
  <c r="AX415" i="5" s="1"/>
  <c r="AY415" i="5" s="1"/>
  <c r="AZ415" i="5" s="1"/>
  <c r="BA415" i="5" s="1"/>
  <c r="BB415" i="5" s="1"/>
  <c r="BC415" i="5" s="1"/>
  <c r="BD415" i="5" s="1"/>
  <c r="BE415" i="5" s="1"/>
  <c r="BF415" i="5" s="1"/>
  <c r="AT423" i="5"/>
  <c r="AU423" i="5" s="1"/>
  <c r="AV423" i="5" s="1"/>
  <c r="AW423" i="5" s="1"/>
  <c r="AX423" i="5" s="1"/>
  <c r="AY423" i="5" s="1"/>
  <c r="AZ423" i="5" s="1"/>
  <c r="BA423" i="5" s="1"/>
  <c r="BB423" i="5" s="1"/>
  <c r="BC423" i="5" s="1"/>
  <c r="BD423" i="5" s="1"/>
  <c r="BE423" i="5" s="1"/>
  <c r="BF423" i="5" s="1"/>
  <c r="AT431" i="5"/>
  <c r="AU431" i="5" s="1"/>
  <c r="AV431" i="5" s="1"/>
  <c r="AW431" i="5" s="1"/>
  <c r="AX431" i="5" s="1"/>
  <c r="AY431" i="5" s="1"/>
  <c r="AZ431" i="5" s="1"/>
  <c r="BA431" i="5" s="1"/>
  <c r="BB431" i="5" s="1"/>
  <c r="BC431" i="5" s="1"/>
  <c r="BD431" i="5" s="1"/>
  <c r="BE431" i="5" s="1"/>
  <c r="AT439" i="5"/>
  <c r="AU439" i="5" s="1"/>
  <c r="AV439" i="5" s="1"/>
  <c r="AW439" i="5" s="1"/>
  <c r="AX439" i="5" s="1"/>
  <c r="AY439" i="5" s="1"/>
  <c r="AZ439" i="5" s="1"/>
  <c r="BA439" i="5" s="1"/>
  <c r="BB439" i="5" s="1"/>
  <c r="BC439" i="5" s="1"/>
  <c r="BD439" i="5" s="1"/>
  <c r="BE439" i="5" s="1"/>
  <c r="BF439" i="5" s="1"/>
  <c r="AT14" i="5"/>
  <c r="AU14" i="5" s="1"/>
  <c r="E18" i="14" s="1"/>
  <c r="AT121" i="5"/>
  <c r="AU121" i="5" s="1"/>
  <c r="AV121" i="5" s="1"/>
  <c r="AW121" i="5" s="1"/>
  <c r="AX121" i="5" s="1"/>
  <c r="AY121" i="5" s="1"/>
  <c r="AZ121" i="5" s="1"/>
  <c r="BA121" i="5" s="1"/>
  <c r="BB121" i="5" s="1"/>
  <c r="BC121" i="5" s="1"/>
  <c r="BD121" i="5" s="1"/>
  <c r="BE121" i="5" s="1"/>
  <c r="BF121" i="5" s="1"/>
  <c r="AT169" i="5"/>
  <c r="AU169" i="5" s="1"/>
  <c r="AV169" i="5" s="1"/>
  <c r="AW169" i="5" s="1"/>
  <c r="AX169" i="5" s="1"/>
  <c r="AY169" i="5" s="1"/>
  <c r="AZ169" i="5" s="1"/>
  <c r="BA169" i="5" s="1"/>
  <c r="BB169" i="5" s="1"/>
  <c r="BC169" i="5" s="1"/>
  <c r="BD169" i="5" s="1"/>
  <c r="BE169" i="5" s="1"/>
  <c r="BF169" i="5" s="1"/>
  <c r="AT201" i="5"/>
  <c r="AU201" i="5" s="1"/>
  <c r="AV201" i="5" s="1"/>
  <c r="AW201" i="5" s="1"/>
  <c r="AX201" i="5" s="1"/>
  <c r="AY201" i="5" s="1"/>
  <c r="AZ201" i="5" s="1"/>
  <c r="BA201" i="5" s="1"/>
  <c r="BB201" i="5" s="1"/>
  <c r="BC201" i="5" s="1"/>
  <c r="BD201" i="5" s="1"/>
  <c r="BE201" i="5" s="1"/>
  <c r="AT233" i="5"/>
  <c r="AU233" i="5" s="1"/>
  <c r="AV233" i="5" s="1"/>
  <c r="AW233" i="5" s="1"/>
  <c r="AX233" i="5" s="1"/>
  <c r="AY233" i="5" s="1"/>
  <c r="AZ233" i="5" s="1"/>
  <c r="BA233" i="5" s="1"/>
  <c r="BB233" i="5" s="1"/>
  <c r="BC233" i="5" s="1"/>
  <c r="BD233" i="5" s="1"/>
  <c r="BE233" i="5" s="1"/>
  <c r="BF233" i="5" s="1"/>
  <c r="AT265" i="5"/>
  <c r="AU265" i="5" s="1"/>
  <c r="AV265" i="5" s="1"/>
  <c r="AW265" i="5" s="1"/>
  <c r="AX265" i="5" s="1"/>
  <c r="AY265" i="5" s="1"/>
  <c r="AZ265" i="5" s="1"/>
  <c r="BA265" i="5" s="1"/>
  <c r="BB265" i="5" s="1"/>
  <c r="BC265" i="5" s="1"/>
  <c r="BD265" i="5" s="1"/>
  <c r="BE265" i="5" s="1"/>
  <c r="BF265" i="5" s="1"/>
  <c r="AT297" i="5"/>
  <c r="AU297" i="5" s="1"/>
  <c r="AV297" i="5" s="1"/>
  <c r="AW297" i="5" s="1"/>
  <c r="AX297" i="5" s="1"/>
  <c r="AY297" i="5" s="1"/>
  <c r="AZ297" i="5" s="1"/>
  <c r="BA297" i="5" s="1"/>
  <c r="BB297" i="5" s="1"/>
  <c r="BC297" i="5" s="1"/>
  <c r="BD297" i="5" s="1"/>
  <c r="BE297" i="5" s="1"/>
  <c r="BF297" i="5" s="1"/>
  <c r="AT329" i="5"/>
  <c r="AU329" i="5" s="1"/>
  <c r="AV329" i="5" s="1"/>
  <c r="AW329" i="5" s="1"/>
  <c r="AX329" i="5" s="1"/>
  <c r="AY329" i="5" s="1"/>
  <c r="AZ329" i="5" s="1"/>
  <c r="BA329" i="5" s="1"/>
  <c r="BB329" i="5" s="1"/>
  <c r="BC329" i="5" s="1"/>
  <c r="BD329" i="5" s="1"/>
  <c r="BE329" i="5" s="1"/>
  <c r="BF329" i="5" s="1"/>
  <c r="AT345" i="5"/>
  <c r="AU345" i="5" s="1"/>
  <c r="AV345" i="5" s="1"/>
  <c r="AW345" i="5" s="1"/>
  <c r="AX345" i="5" s="1"/>
  <c r="AY345" i="5" s="1"/>
  <c r="AZ345" i="5" s="1"/>
  <c r="BA345" i="5" s="1"/>
  <c r="BB345" i="5" s="1"/>
  <c r="BC345" i="5" s="1"/>
  <c r="BD345" i="5" s="1"/>
  <c r="BE345" i="5" s="1"/>
  <c r="BF345" i="5" s="1"/>
  <c r="AT365" i="5"/>
  <c r="AU365" i="5" s="1"/>
  <c r="AV365" i="5" s="1"/>
  <c r="AW365" i="5" s="1"/>
  <c r="AX365" i="5" s="1"/>
  <c r="AY365" i="5" s="1"/>
  <c r="AZ365" i="5" s="1"/>
  <c r="BA365" i="5" s="1"/>
  <c r="BB365" i="5" s="1"/>
  <c r="BC365" i="5" s="1"/>
  <c r="BD365" i="5" s="1"/>
  <c r="BE365" i="5" s="1"/>
  <c r="BF365" i="5" s="1"/>
  <c r="AT381" i="5"/>
  <c r="AU381" i="5" s="1"/>
  <c r="AV381" i="5" s="1"/>
  <c r="AW381" i="5" s="1"/>
  <c r="AX381" i="5" s="1"/>
  <c r="AY381" i="5" s="1"/>
  <c r="AZ381" i="5" s="1"/>
  <c r="BA381" i="5" s="1"/>
  <c r="BB381" i="5" s="1"/>
  <c r="BC381" i="5" s="1"/>
  <c r="BD381" i="5" s="1"/>
  <c r="BE381" i="5" s="1"/>
  <c r="AT397" i="5"/>
  <c r="AU397" i="5" s="1"/>
  <c r="AV397" i="5" s="1"/>
  <c r="AW397" i="5" s="1"/>
  <c r="AX397" i="5" s="1"/>
  <c r="AY397" i="5" s="1"/>
  <c r="AZ397" i="5" s="1"/>
  <c r="BA397" i="5" s="1"/>
  <c r="BB397" i="5" s="1"/>
  <c r="BC397" i="5" s="1"/>
  <c r="BD397" i="5" s="1"/>
  <c r="BE397" i="5" s="1"/>
  <c r="AT413" i="5"/>
  <c r="AU413" i="5" s="1"/>
  <c r="AV413" i="5" s="1"/>
  <c r="AW413" i="5" s="1"/>
  <c r="AX413" i="5" s="1"/>
  <c r="AY413" i="5" s="1"/>
  <c r="AZ413" i="5" s="1"/>
  <c r="BA413" i="5" s="1"/>
  <c r="BB413" i="5" s="1"/>
  <c r="BC413" i="5" s="1"/>
  <c r="BD413" i="5" s="1"/>
  <c r="BE413" i="5" s="1"/>
  <c r="BF413" i="5" s="1"/>
  <c r="AT429" i="5"/>
  <c r="AU429" i="5" s="1"/>
  <c r="AV429" i="5" s="1"/>
  <c r="AW429" i="5" s="1"/>
  <c r="AX429" i="5" s="1"/>
  <c r="AY429" i="5" s="1"/>
  <c r="AZ429" i="5" s="1"/>
  <c r="BA429" i="5" s="1"/>
  <c r="BB429" i="5" s="1"/>
  <c r="BC429" i="5" s="1"/>
  <c r="BD429" i="5" s="1"/>
  <c r="BE429" i="5" s="1"/>
  <c r="BF429" i="5" s="1"/>
  <c r="AT46" i="5"/>
  <c r="AU46" i="5" s="1"/>
  <c r="AT106" i="5"/>
  <c r="AU106" i="5" s="1"/>
  <c r="AV106" i="5" s="1"/>
  <c r="AW106" i="5" s="1"/>
  <c r="AX106" i="5" s="1"/>
  <c r="AY106" i="5" s="1"/>
  <c r="AZ106" i="5" s="1"/>
  <c r="BA106" i="5" s="1"/>
  <c r="BB106" i="5" s="1"/>
  <c r="BC106" i="5" s="1"/>
  <c r="BD106" i="5" s="1"/>
  <c r="BE106" i="5" s="1"/>
  <c r="BF106" i="5" s="1"/>
  <c r="AT129" i="5"/>
  <c r="AU129" i="5" s="1"/>
  <c r="AV129" i="5" s="1"/>
  <c r="AW129" i="5" s="1"/>
  <c r="AX129" i="5" s="1"/>
  <c r="AY129" i="5" s="1"/>
  <c r="AZ129" i="5" s="1"/>
  <c r="BA129" i="5" s="1"/>
  <c r="BB129" i="5" s="1"/>
  <c r="BC129" i="5" s="1"/>
  <c r="BD129" i="5" s="1"/>
  <c r="BE129" i="5" s="1"/>
  <c r="BF129" i="5" s="1"/>
  <c r="AT145" i="5"/>
  <c r="AU145" i="5" s="1"/>
  <c r="AV145" i="5" s="1"/>
  <c r="AW145" i="5" s="1"/>
  <c r="AX145" i="5" s="1"/>
  <c r="AY145" i="5" s="1"/>
  <c r="AZ145" i="5" s="1"/>
  <c r="BA145" i="5" s="1"/>
  <c r="BB145" i="5" s="1"/>
  <c r="BC145" i="5" s="1"/>
  <c r="BD145" i="5" s="1"/>
  <c r="BE145" i="5" s="1"/>
  <c r="BF145" i="5" s="1"/>
  <c r="AT161" i="5"/>
  <c r="AU161" i="5" s="1"/>
  <c r="AV161" i="5" s="1"/>
  <c r="AW161" i="5" s="1"/>
  <c r="AX161" i="5" s="1"/>
  <c r="AY161" i="5" s="1"/>
  <c r="AZ161" i="5" s="1"/>
  <c r="BA161" i="5" s="1"/>
  <c r="BB161" i="5" s="1"/>
  <c r="BC161" i="5" s="1"/>
  <c r="BD161" i="5" s="1"/>
  <c r="BE161" i="5" s="1"/>
  <c r="BF161" i="5" s="1"/>
  <c r="AT177" i="5"/>
  <c r="AU177" i="5" s="1"/>
  <c r="AV177" i="5" s="1"/>
  <c r="AW177" i="5" s="1"/>
  <c r="AX177" i="5" s="1"/>
  <c r="AY177" i="5" s="1"/>
  <c r="AZ177" i="5" s="1"/>
  <c r="BA177" i="5" s="1"/>
  <c r="BB177" i="5" s="1"/>
  <c r="BC177" i="5" s="1"/>
  <c r="BD177" i="5" s="1"/>
  <c r="BE177" i="5" s="1"/>
  <c r="BF177" i="5" s="1"/>
  <c r="AT193" i="5"/>
  <c r="AU193" i="5" s="1"/>
  <c r="AV193" i="5" s="1"/>
  <c r="AW193" i="5" s="1"/>
  <c r="AX193" i="5" s="1"/>
  <c r="AY193" i="5" s="1"/>
  <c r="AZ193" i="5" s="1"/>
  <c r="BA193" i="5" s="1"/>
  <c r="BB193" i="5" s="1"/>
  <c r="BC193" i="5" s="1"/>
  <c r="BD193" i="5" s="1"/>
  <c r="BE193" i="5" s="1"/>
  <c r="BF193" i="5" s="1"/>
  <c r="AT209" i="5"/>
  <c r="AU209" i="5" s="1"/>
  <c r="AV209" i="5" s="1"/>
  <c r="AW209" i="5" s="1"/>
  <c r="AX209" i="5" s="1"/>
  <c r="AY209" i="5" s="1"/>
  <c r="AZ209" i="5" s="1"/>
  <c r="BA209" i="5" s="1"/>
  <c r="BB209" i="5" s="1"/>
  <c r="BC209" i="5" s="1"/>
  <c r="BD209" i="5" s="1"/>
  <c r="BE209" i="5" s="1"/>
  <c r="BF209" i="5" s="1"/>
  <c r="AT225" i="5"/>
  <c r="AU225" i="5" s="1"/>
  <c r="AV225" i="5" s="1"/>
  <c r="AW225" i="5" s="1"/>
  <c r="AX225" i="5" s="1"/>
  <c r="AY225" i="5" s="1"/>
  <c r="AZ225" i="5" s="1"/>
  <c r="BA225" i="5" s="1"/>
  <c r="BB225" i="5" s="1"/>
  <c r="BC225" i="5" s="1"/>
  <c r="BD225" i="5" s="1"/>
  <c r="BE225" i="5" s="1"/>
  <c r="BF225" i="5" s="1"/>
  <c r="AT241" i="5"/>
  <c r="AU241" i="5" s="1"/>
  <c r="AV241" i="5" s="1"/>
  <c r="AW241" i="5" s="1"/>
  <c r="AX241" i="5" s="1"/>
  <c r="AY241" i="5" s="1"/>
  <c r="AZ241" i="5" s="1"/>
  <c r="BA241" i="5" s="1"/>
  <c r="BB241" i="5" s="1"/>
  <c r="BC241" i="5" s="1"/>
  <c r="BD241" i="5" s="1"/>
  <c r="BE241" i="5" s="1"/>
  <c r="AT257" i="5"/>
  <c r="AU257" i="5" s="1"/>
  <c r="AV257" i="5" s="1"/>
  <c r="AW257" i="5" s="1"/>
  <c r="AX257" i="5" s="1"/>
  <c r="AY257" i="5" s="1"/>
  <c r="AZ257" i="5" s="1"/>
  <c r="BA257" i="5" s="1"/>
  <c r="BB257" i="5" s="1"/>
  <c r="BC257" i="5" s="1"/>
  <c r="BD257" i="5" s="1"/>
  <c r="BE257" i="5" s="1"/>
  <c r="BF257" i="5" s="1"/>
  <c r="AT273" i="5"/>
  <c r="AU273" i="5" s="1"/>
  <c r="AV273" i="5" s="1"/>
  <c r="AW273" i="5" s="1"/>
  <c r="AX273" i="5" s="1"/>
  <c r="AY273" i="5" s="1"/>
  <c r="AZ273" i="5" s="1"/>
  <c r="BA273" i="5" s="1"/>
  <c r="BB273" i="5" s="1"/>
  <c r="BC273" i="5" s="1"/>
  <c r="BD273" i="5" s="1"/>
  <c r="BE273" i="5" s="1"/>
  <c r="BF273" i="5" s="1"/>
  <c r="AT289" i="5"/>
  <c r="AU289" i="5" s="1"/>
  <c r="AV289" i="5" s="1"/>
  <c r="AW289" i="5" s="1"/>
  <c r="AX289" i="5" s="1"/>
  <c r="AY289" i="5" s="1"/>
  <c r="AZ289" i="5" s="1"/>
  <c r="BA289" i="5" s="1"/>
  <c r="BB289" i="5" s="1"/>
  <c r="BC289" i="5" s="1"/>
  <c r="BD289" i="5" s="1"/>
  <c r="BE289" i="5" s="1"/>
  <c r="BF289" i="5" s="1"/>
  <c r="AT305" i="5"/>
  <c r="AU305" i="5" s="1"/>
  <c r="AV305" i="5" s="1"/>
  <c r="AW305" i="5" s="1"/>
  <c r="AX305" i="5" s="1"/>
  <c r="AY305" i="5" s="1"/>
  <c r="AZ305" i="5" s="1"/>
  <c r="BA305" i="5" s="1"/>
  <c r="BB305" i="5" s="1"/>
  <c r="BC305" i="5" s="1"/>
  <c r="BD305" i="5" s="1"/>
  <c r="BE305" i="5" s="1"/>
  <c r="BF305" i="5" s="1"/>
  <c r="AT321" i="5"/>
  <c r="AU321" i="5" s="1"/>
  <c r="AV321" i="5" s="1"/>
  <c r="AW321" i="5" s="1"/>
  <c r="AX321" i="5" s="1"/>
  <c r="AY321" i="5" s="1"/>
  <c r="AZ321" i="5" s="1"/>
  <c r="BA321" i="5" s="1"/>
  <c r="BB321" i="5" s="1"/>
  <c r="BC321" i="5" s="1"/>
  <c r="BD321" i="5" s="1"/>
  <c r="BE321" i="5" s="1"/>
  <c r="BF321" i="5" s="1"/>
  <c r="AT337" i="5"/>
  <c r="AU337" i="5" s="1"/>
  <c r="AV337" i="5" s="1"/>
  <c r="AW337" i="5" s="1"/>
  <c r="AX337" i="5" s="1"/>
  <c r="AY337" i="5" s="1"/>
  <c r="AZ337" i="5" s="1"/>
  <c r="BA337" i="5" s="1"/>
  <c r="BB337" i="5" s="1"/>
  <c r="BC337" i="5" s="1"/>
  <c r="BD337" i="5" s="1"/>
  <c r="BE337" i="5" s="1"/>
  <c r="AT353" i="5"/>
  <c r="AU353" i="5" s="1"/>
  <c r="AV353" i="5" s="1"/>
  <c r="AW353" i="5" s="1"/>
  <c r="AX353" i="5" s="1"/>
  <c r="AY353" i="5" s="1"/>
  <c r="AZ353" i="5" s="1"/>
  <c r="BA353" i="5" s="1"/>
  <c r="BB353" i="5" s="1"/>
  <c r="BC353" i="5" s="1"/>
  <c r="BD353" i="5" s="1"/>
  <c r="BE353" i="5" s="1"/>
  <c r="BF353" i="5" s="1"/>
  <c r="AT361" i="5"/>
  <c r="AU361" i="5" s="1"/>
  <c r="AV361" i="5" s="1"/>
  <c r="AW361" i="5" s="1"/>
  <c r="AX361" i="5" s="1"/>
  <c r="AY361" i="5" s="1"/>
  <c r="AZ361" i="5" s="1"/>
  <c r="BA361" i="5" s="1"/>
  <c r="BB361" i="5" s="1"/>
  <c r="BC361" i="5" s="1"/>
  <c r="BD361" i="5" s="1"/>
  <c r="BE361" i="5" s="1"/>
  <c r="BF361" i="5" s="1"/>
  <c r="AT369" i="5"/>
  <c r="AU369" i="5" s="1"/>
  <c r="AV369" i="5" s="1"/>
  <c r="AW369" i="5" s="1"/>
  <c r="AX369" i="5" s="1"/>
  <c r="AY369" i="5" s="1"/>
  <c r="AZ369" i="5" s="1"/>
  <c r="BA369" i="5" s="1"/>
  <c r="BB369" i="5" s="1"/>
  <c r="BC369" i="5" s="1"/>
  <c r="BD369" i="5" s="1"/>
  <c r="BE369" i="5" s="1"/>
  <c r="BF369" i="5" s="1"/>
  <c r="AT377" i="5"/>
  <c r="AU377" i="5" s="1"/>
  <c r="AV377" i="5" s="1"/>
  <c r="AW377" i="5" s="1"/>
  <c r="AX377" i="5" s="1"/>
  <c r="AY377" i="5" s="1"/>
  <c r="AZ377" i="5" s="1"/>
  <c r="BA377" i="5" s="1"/>
  <c r="BB377" i="5" s="1"/>
  <c r="BC377" i="5" s="1"/>
  <c r="BD377" i="5" s="1"/>
  <c r="BE377" i="5" s="1"/>
  <c r="BF377" i="5" s="1"/>
  <c r="AT385" i="5"/>
  <c r="AU385" i="5" s="1"/>
  <c r="AV385" i="5" s="1"/>
  <c r="AW385" i="5" s="1"/>
  <c r="AX385" i="5" s="1"/>
  <c r="AY385" i="5" s="1"/>
  <c r="AZ385" i="5" s="1"/>
  <c r="BA385" i="5" s="1"/>
  <c r="BB385" i="5" s="1"/>
  <c r="BC385" i="5" s="1"/>
  <c r="BD385" i="5" s="1"/>
  <c r="BE385" i="5" s="1"/>
  <c r="BF385" i="5" s="1"/>
  <c r="AT393" i="5"/>
  <c r="AU393" i="5" s="1"/>
  <c r="AV393" i="5" s="1"/>
  <c r="AW393" i="5" s="1"/>
  <c r="AX393" i="5" s="1"/>
  <c r="AY393" i="5" s="1"/>
  <c r="AZ393" i="5" s="1"/>
  <c r="BA393" i="5" s="1"/>
  <c r="BB393" i="5" s="1"/>
  <c r="BC393" i="5" s="1"/>
  <c r="BD393" i="5" s="1"/>
  <c r="BE393" i="5" s="1"/>
  <c r="BF393" i="5" s="1"/>
  <c r="AT401" i="5"/>
  <c r="AU401" i="5" s="1"/>
  <c r="AV401" i="5" s="1"/>
  <c r="AW401" i="5" s="1"/>
  <c r="AX401" i="5" s="1"/>
  <c r="AY401" i="5" s="1"/>
  <c r="AZ401" i="5" s="1"/>
  <c r="BA401" i="5" s="1"/>
  <c r="BB401" i="5" s="1"/>
  <c r="BC401" i="5" s="1"/>
  <c r="BD401" i="5" s="1"/>
  <c r="BE401" i="5" s="1"/>
  <c r="BF401" i="5" s="1"/>
  <c r="AT409" i="5"/>
  <c r="AU409" i="5" s="1"/>
  <c r="AV409" i="5" s="1"/>
  <c r="AW409" i="5" s="1"/>
  <c r="AX409" i="5" s="1"/>
  <c r="AY409" i="5" s="1"/>
  <c r="AZ409" i="5" s="1"/>
  <c r="BA409" i="5" s="1"/>
  <c r="BB409" i="5" s="1"/>
  <c r="BC409" i="5" s="1"/>
  <c r="BD409" i="5" s="1"/>
  <c r="BE409" i="5" s="1"/>
  <c r="BF409" i="5" s="1"/>
  <c r="AT417" i="5"/>
  <c r="AU417" i="5" s="1"/>
  <c r="AV417" i="5" s="1"/>
  <c r="AW417" i="5" s="1"/>
  <c r="AX417" i="5" s="1"/>
  <c r="AY417" i="5" s="1"/>
  <c r="AZ417" i="5" s="1"/>
  <c r="BA417" i="5" s="1"/>
  <c r="BB417" i="5" s="1"/>
  <c r="BC417" i="5" s="1"/>
  <c r="BD417" i="5" s="1"/>
  <c r="BE417" i="5" s="1"/>
  <c r="BF417" i="5" s="1"/>
  <c r="AT425" i="5"/>
  <c r="AU425" i="5" s="1"/>
  <c r="AV425" i="5" s="1"/>
  <c r="AW425" i="5" s="1"/>
  <c r="AX425" i="5" s="1"/>
  <c r="AY425" i="5" s="1"/>
  <c r="AZ425" i="5" s="1"/>
  <c r="BA425" i="5" s="1"/>
  <c r="BB425" i="5" s="1"/>
  <c r="BC425" i="5" s="1"/>
  <c r="BD425" i="5" s="1"/>
  <c r="BE425" i="5" s="1"/>
  <c r="AT433" i="5"/>
  <c r="AU433" i="5" s="1"/>
  <c r="AV433" i="5" s="1"/>
  <c r="AW433" i="5" s="1"/>
  <c r="AX433" i="5" s="1"/>
  <c r="AY433" i="5" s="1"/>
  <c r="AZ433" i="5" s="1"/>
  <c r="BA433" i="5" s="1"/>
  <c r="BB433" i="5" s="1"/>
  <c r="BC433" i="5" s="1"/>
  <c r="BD433" i="5" s="1"/>
  <c r="BE433" i="5" s="1"/>
  <c r="BF433" i="5" s="1"/>
  <c r="AT2" i="5"/>
  <c r="AU2" i="5" s="1"/>
  <c r="AT78" i="5"/>
  <c r="AU78" i="5" s="1"/>
  <c r="AV78" i="5" s="1"/>
  <c r="AW78" i="5" s="1"/>
  <c r="AX78" i="5" s="1"/>
  <c r="AY78" i="5" s="1"/>
  <c r="AZ78" i="5" s="1"/>
  <c r="BA78" i="5" s="1"/>
  <c r="BB78" i="5" s="1"/>
  <c r="BC78" i="5" s="1"/>
  <c r="BD78" i="5" s="1"/>
  <c r="BE78" i="5" s="1"/>
  <c r="AT137" i="5"/>
  <c r="AU137" i="5" s="1"/>
  <c r="AV137" i="5" s="1"/>
  <c r="AW137" i="5" s="1"/>
  <c r="AX137" i="5" s="1"/>
  <c r="AY137" i="5" s="1"/>
  <c r="AZ137" i="5" s="1"/>
  <c r="BA137" i="5" s="1"/>
  <c r="BB137" i="5" s="1"/>
  <c r="BC137" i="5" s="1"/>
  <c r="BD137" i="5" s="1"/>
  <c r="BE137" i="5" s="1"/>
  <c r="BF137" i="5" s="1"/>
  <c r="AT153" i="5"/>
  <c r="AU153" i="5" s="1"/>
  <c r="AV153" i="5" s="1"/>
  <c r="AW153" i="5" s="1"/>
  <c r="AX153" i="5" s="1"/>
  <c r="AY153" i="5" s="1"/>
  <c r="AZ153" i="5" s="1"/>
  <c r="BA153" i="5" s="1"/>
  <c r="BB153" i="5" s="1"/>
  <c r="BC153" i="5" s="1"/>
  <c r="BD153" i="5" s="1"/>
  <c r="BE153" i="5" s="1"/>
  <c r="BF153" i="5" s="1"/>
  <c r="AT185" i="5"/>
  <c r="AU185" i="5" s="1"/>
  <c r="AV185" i="5" s="1"/>
  <c r="AW185" i="5" s="1"/>
  <c r="AX185" i="5" s="1"/>
  <c r="AY185" i="5" s="1"/>
  <c r="AZ185" i="5" s="1"/>
  <c r="BA185" i="5" s="1"/>
  <c r="BB185" i="5" s="1"/>
  <c r="BC185" i="5" s="1"/>
  <c r="BD185" i="5" s="1"/>
  <c r="BE185" i="5" s="1"/>
  <c r="BF185" i="5" s="1"/>
  <c r="AT217" i="5"/>
  <c r="AU217" i="5" s="1"/>
  <c r="AV217" i="5" s="1"/>
  <c r="AW217" i="5" s="1"/>
  <c r="AX217" i="5" s="1"/>
  <c r="AY217" i="5" s="1"/>
  <c r="AZ217" i="5" s="1"/>
  <c r="BA217" i="5" s="1"/>
  <c r="BB217" i="5" s="1"/>
  <c r="BC217" i="5" s="1"/>
  <c r="BD217" i="5" s="1"/>
  <c r="BE217" i="5" s="1"/>
  <c r="BF217" i="5" s="1"/>
  <c r="AT249" i="5"/>
  <c r="AU249" i="5" s="1"/>
  <c r="AV249" i="5" s="1"/>
  <c r="AW249" i="5" s="1"/>
  <c r="AX249" i="5" s="1"/>
  <c r="AY249" i="5" s="1"/>
  <c r="AZ249" i="5" s="1"/>
  <c r="BA249" i="5" s="1"/>
  <c r="BB249" i="5" s="1"/>
  <c r="BC249" i="5" s="1"/>
  <c r="BD249" i="5" s="1"/>
  <c r="BE249" i="5" s="1"/>
  <c r="BF249" i="5" s="1"/>
  <c r="AT281" i="5"/>
  <c r="AU281" i="5" s="1"/>
  <c r="AV281" i="5" s="1"/>
  <c r="AW281" i="5" s="1"/>
  <c r="AX281" i="5" s="1"/>
  <c r="AY281" i="5" s="1"/>
  <c r="AZ281" i="5" s="1"/>
  <c r="BA281" i="5" s="1"/>
  <c r="BB281" i="5" s="1"/>
  <c r="BC281" i="5" s="1"/>
  <c r="BD281" i="5" s="1"/>
  <c r="BE281" i="5" s="1"/>
  <c r="BF281" i="5" s="1"/>
  <c r="AT313" i="5"/>
  <c r="AU313" i="5" s="1"/>
  <c r="AV313" i="5" s="1"/>
  <c r="AW313" i="5" s="1"/>
  <c r="AX313" i="5" s="1"/>
  <c r="AY313" i="5" s="1"/>
  <c r="AZ313" i="5" s="1"/>
  <c r="BA313" i="5" s="1"/>
  <c r="BB313" i="5" s="1"/>
  <c r="BC313" i="5" s="1"/>
  <c r="BD313" i="5" s="1"/>
  <c r="BE313" i="5" s="1"/>
  <c r="AT357" i="5"/>
  <c r="AU357" i="5" s="1"/>
  <c r="AV357" i="5" s="1"/>
  <c r="AW357" i="5" s="1"/>
  <c r="AX357" i="5" s="1"/>
  <c r="AY357" i="5" s="1"/>
  <c r="AZ357" i="5" s="1"/>
  <c r="BA357" i="5" s="1"/>
  <c r="BB357" i="5" s="1"/>
  <c r="BC357" i="5" s="1"/>
  <c r="BD357" i="5" s="1"/>
  <c r="BE357" i="5" s="1"/>
  <c r="AT373" i="5"/>
  <c r="AU373" i="5" s="1"/>
  <c r="AV373" i="5" s="1"/>
  <c r="AW373" i="5" s="1"/>
  <c r="AX373" i="5" s="1"/>
  <c r="AY373" i="5" s="1"/>
  <c r="AZ373" i="5" s="1"/>
  <c r="BA373" i="5" s="1"/>
  <c r="BB373" i="5" s="1"/>
  <c r="BC373" i="5" s="1"/>
  <c r="BD373" i="5" s="1"/>
  <c r="BE373" i="5" s="1"/>
  <c r="BF373" i="5" s="1"/>
  <c r="AT389" i="5"/>
  <c r="AU389" i="5" s="1"/>
  <c r="AV389" i="5" s="1"/>
  <c r="AW389" i="5" s="1"/>
  <c r="AX389" i="5" s="1"/>
  <c r="AY389" i="5" s="1"/>
  <c r="AZ389" i="5" s="1"/>
  <c r="BA389" i="5" s="1"/>
  <c r="BB389" i="5" s="1"/>
  <c r="BC389" i="5" s="1"/>
  <c r="BD389" i="5" s="1"/>
  <c r="BE389" i="5" s="1"/>
  <c r="BF389" i="5" s="1"/>
  <c r="AT405" i="5"/>
  <c r="AU405" i="5" s="1"/>
  <c r="AV405" i="5" s="1"/>
  <c r="AW405" i="5" s="1"/>
  <c r="AX405" i="5" s="1"/>
  <c r="AY405" i="5" s="1"/>
  <c r="AZ405" i="5" s="1"/>
  <c r="BA405" i="5" s="1"/>
  <c r="BB405" i="5" s="1"/>
  <c r="BC405" i="5" s="1"/>
  <c r="BD405" i="5" s="1"/>
  <c r="BE405" i="5" s="1"/>
  <c r="AT421" i="5"/>
  <c r="AU421" i="5" s="1"/>
  <c r="AV421" i="5" s="1"/>
  <c r="AW421" i="5" s="1"/>
  <c r="AX421" i="5" s="1"/>
  <c r="AY421" i="5" s="1"/>
  <c r="AZ421" i="5" s="1"/>
  <c r="BA421" i="5" s="1"/>
  <c r="BB421" i="5" s="1"/>
  <c r="BC421" i="5" s="1"/>
  <c r="BD421" i="5" s="1"/>
  <c r="BE421" i="5" s="1"/>
  <c r="BF421" i="5" s="1"/>
  <c r="AT437" i="5"/>
  <c r="AU437" i="5" s="1"/>
  <c r="AV437" i="5" s="1"/>
  <c r="AW437" i="5" s="1"/>
  <c r="AX437" i="5" s="1"/>
  <c r="AY437" i="5" s="1"/>
  <c r="AZ437" i="5" s="1"/>
  <c r="BA437" i="5" s="1"/>
  <c r="BB437" i="5" s="1"/>
  <c r="BC437" i="5" s="1"/>
  <c r="BD437" i="5" s="1"/>
  <c r="BE437" i="5" s="1"/>
  <c r="BF437" i="5" s="1"/>
  <c r="AT62" i="5"/>
  <c r="AU62" i="5" s="1"/>
  <c r="AV62" i="5" s="1"/>
  <c r="AW62" i="5" s="1"/>
  <c r="AX62" i="5" s="1"/>
  <c r="AY62" i="5" s="1"/>
  <c r="AZ62" i="5" s="1"/>
  <c r="BA62" i="5" s="1"/>
  <c r="BB62" i="5" s="1"/>
  <c r="BC62" i="5" s="1"/>
  <c r="BD62" i="5" s="1"/>
  <c r="BE62" i="5" s="1"/>
  <c r="BF62" i="5" s="1"/>
  <c r="AT114" i="5"/>
  <c r="AU114" i="5" s="1"/>
  <c r="AV114" i="5" s="1"/>
  <c r="AW114" i="5" s="1"/>
  <c r="AX114" i="5" s="1"/>
  <c r="AY114" i="5" s="1"/>
  <c r="AZ114" i="5" s="1"/>
  <c r="BA114" i="5" s="1"/>
  <c r="BB114" i="5" s="1"/>
  <c r="BC114" i="5" s="1"/>
  <c r="BD114" i="5" s="1"/>
  <c r="BE114" i="5" s="1"/>
  <c r="BF114" i="5" s="1"/>
  <c r="AT133" i="5"/>
  <c r="AU133" i="5" s="1"/>
  <c r="AV133" i="5" s="1"/>
  <c r="AW133" i="5" s="1"/>
  <c r="AX133" i="5" s="1"/>
  <c r="AY133" i="5" s="1"/>
  <c r="AZ133" i="5" s="1"/>
  <c r="BA133" i="5" s="1"/>
  <c r="BB133" i="5" s="1"/>
  <c r="BC133" i="5" s="1"/>
  <c r="BD133" i="5" s="1"/>
  <c r="BE133" i="5" s="1"/>
  <c r="BF133" i="5" s="1"/>
  <c r="AT149" i="5"/>
  <c r="AU149" i="5" s="1"/>
  <c r="AV149" i="5" s="1"/>
  <c r="AW149" i="5" s="1"/>
  <c r="AX149" i="5" s="1"/>
  <c r="AY149" i="5" s="1"/>
  <c r="AZ149" i="5" s="1"/>
  <c r="BA149" i="5" s="1"/>
  <c r="BB149" i="5" s="1"/>
  <c r="BC149" i="5" s="1"/>
  <c r="BD149" i="5" s="1"/>
  <c r="BE149" i="5" s="1"/>
  <c r="BF149" i="5" s="1"/>
  <c r="AT165" i="5"/>
  <c r="AU165" i="5" s="1"/>
  <c r="AV165" i="5" s="1"/>
  <c r="AW165" i="5" s="1"/>
  <c r="AX165" i="5" s="1"/>
  <c r="AY165" i="5" s="1"/>
  <c r="AZ165" i="5" s="1"/>
  <c r="BA165" i="5" s="1"/>
  <c r="BB165" i="5" s="1"/>
  <c r="BC165" i="5" s="1"/>
  <c r="BD165" i="5" s="1"/>
  <c r="BE165" i="5" s="1"/>
  <c r="BF165" i="5" s="1"/>
  <c r="AT181" i="5"/>
  <c r="AU181" i="5" s="1"/>
  <c r="AV181" i="5" s="1"/>
  <c r="AW181" i="5" s="1"/>
  <c r="AX181" i="5" s="1"/>
  <c r="AY181" i="5" s="1"/>
  <c r="AZ181" i="5" s="1"/>
  <c r="BA181" i="5" s="1"/>
  <c r="BB181" i="5" s="1"/>
  <c r="BC181" i="5" s="1"/>
  <c r="BD181" i="5" s="1"/>
  <c r="BE181" i="5" s="1"/>
  <c r="AT197" i="5"/>
  <c r="AU197" i="5" s="1"/>
  <c r="AV197" i="5" s="1"/>
  <c r="AW197" i="5" s="1"/>
  <c r="AX197" i="5" s="1"/>
  <c r="AY197" i="5" s="1"/>
  <c r="AZ197" i="5" s="1"/>
  <c r="BA197" i="5" s="1"/>
  <c r="BB197" i="5" s="1"/>
  <c r="BC197" i="5" s="1"/>
  <c r="BD197" i="5" s="1"/>
  <c r="BE197" i="5" s="1"/>
  <c r="BF197" i="5" s="1"/>
  <c r="AT213" i="5"/>
  <c r="AU213" i="5" s="1"/>
  <c r="AV213" i="5" s="1"/>
  <c r="AW213" i="5" s="1"/>
  <c r="AX213" i="5" s="1"/>
  <c r="AY213" i="5" s="1"/>
  <c r="AZ213" i="5" s="1"/>
  <c r="BA213" i="5" s="1"/>
  <c r="BB213" i="5" s="1"/>
  <c r="BC213" i="5" s="1"/>
  <c r="BD213" i="5" s="1"/>
  <c r="BE213" i="5" s="1"/>
  <c r="BF213" i="5" s="1"/>
  <c r="AT229" i="5"/>
  <c r="AU229" i="5" s="1"/>
  <c r="AV229" i="5" s="1"/>
  <c r="AW229" i="5" s="1"/>
  <c r="AX229" i="5" s="1"/>
  <c r="AY229" i="5" s="1"/>
  <c r="AZ229" i="5" s="1"/>
  <c r="BA229" i="5" s="1"/>
  <c r="BB229" i="5" s="1"/>
  <c r="BC229" i="5" s="1"/>
  <c r="BD229" i="5" s="1"/>
  <c r="BE229" i="5" s="1"/>
  <c r="BF229" i="5" s="1"/>
  <c r="AT245" i="5"/>
  <c r="AU245" i="5" s="1"/>
  <c r="AV245" i="5" s="1"/>
  <c r="AW245" i="5" s="1"/>
  <c r="AX245" i="5" s="1"/>
  <c r="AY245" i="5" s="1"/>
  <c r="AZ245" i="5" s="1"/>
  <c r="BA245" i="5" s="1"/>
  <c r="BB245" i="5" s="1"/>
  <c r="BC245" i="5" s="1"/>
  <c r="BD245" i="5" s="1"/>
  <c r="BE245" i="5" s="1"/>
  <c r="BF245" i="5" s="1"/>
  <c r="AT261" i="5"/>
  <c r="AU261" i="5" s="1"/>
  <c r="AV261" i="5" s="1"/>
  <c r="AW261" i="5" s="1"/>
  <c r="AX261" i="5" s="1"/>
  <c r="AY261" i="5" s="1"/>
  <c r="AZ261" i="5" s="1"/>
  <c r="BA261" i="5" s="1"/>
  <c r="BB261" i="5" s="1"/>
  <c r="BC261" i="5" s="1"/>
  <c r="BD261" i="5" s="1"/>
  <c r="BE261" i="5" s="1"/>
  <c r="BF261" i="5" s="1"/>
  <c r="AT277" i="5"/>
  <c r="AU277" i="5" s="1"/>
  <c r="AV277" i="5" s="1"/>
  <c r="AW277" i="5" s="1"/>
  <c r="AX277" i="5" s="1"/>
  <c r="AY277" i="5" s="1"/>
  <c r="AZ277" i="5" s="1"/>
  <c r="BA277" i="5" s="1"/>
  <c r="BB277" i="5" s="1"/>
  <c r="BC277" i="5" s="1"/>
  <c r="BD277" i="5" s="1"/>
  <c r="BE277" i="5" s="1"/>
  <c r="BF277" i="5" s="1"/>
  <c r="AT293" i="5"/>
  <c r="AU293" i="5" s="1"/>
  <c r="AV293" i="5" s="1"/>
  <c r="AW293" i="5" s="1"/>
  <c r="AX293" i="5" s="1"/>
  <c r="AY293" i="5" s="1"/>
  <c r="AZ293" i="5" s="1"/>
  <c r="BA293" i="5" s="1"/>
  <c r="BB293" i="5" s="1"/>
  <c r="BC293" i="5" s="1"/>
  <c r="BD293" i="5" s="1"/>
  <c r="BE293" i="5" s="1"/>
  <c r="BF293" i="5" s="1"/>
  <c r="AT309" i="5"/>
  <c r="AU309" i="5" s="1"/>
  <c r="AV309" i="5" s="1"/>
  <c r="AW309" i="5" s="1"/>
  <c r="AX309" i="5" s="1"/>
  <c r="AY309" i="5" s="1"/>
  <c r="AZ309" i="5" s="1"/>
  <c r="BA309" i="5" s="1"/>
  <c r="BB309" i="5" s="1"/>
  <c r="BC309" i="5" s="1"/>
  <c r="BD309" i="5" s="1"/>
  <c r="BE309" i="5" s="1"/>
  <c r="BF309" i="5" s="1"/>
  <c r="AT325" i="5"/>
  <c r="AU325" i="5" s="1"/>
  <c r="AV325" i="5" s="1"/>
  <c r="AW325" i="5" s="1"/>
  <c r="AX325" i="5" s="1"/>
  <c r="AY325" i="5" s="1"/>
  <c r="AZ325" i="5" s="1"/>
  <c r="BA325" i="5" s="1"/>
  <c r="BB325" i="5" s="1"/>
  <c r="BC325" i="5" s="1"/>
  <c r="BD325" i="5" s="1"/>
  <c r="BE325" i="5" s="1"/>
  <c r="BF325" i="5" s="1"/>
  <c r="AT341" i="5"/>
  <c r="AU341" i="5" s="1"/>
  <c r="AV341" i="5" s="1"/>
  <c r="AW341" i="5" s="1"/>
  <c r="AX341" i="5" s="1"/>
  <c r="AY341" i="5" s="1"/>
  <c r="AZ341" i="5" s="1"/>
  <c r="BA341" i="5" s="1"/>
  <c r="BB341" i="5" s="1"/>
  <c r="BC341" i="5" s="1"/>
  <c r="BD341" i="5" s="1"/>
  <c r="BE341" i="5" s="1"/>
  <c r="AT355" i="5"/>
  <c r="AU355" i="5" s="1"/>
  <c r="AV355" i="5" s="1"/>
  <c r="AW355" i="5" s="1"/>
  <c r="AX355" i="5" s="1"/>
  <c r="AY355" i="5" s="1"/>
  <c r="AZ355" i="5" s="1"/>
  <c r="BA355" i="5" s="1"/>
  <c r="BB355" i="5" s="1"/>
  <c r="BC355" i="5" s="1"/>
  <c r="BD355" i="5" s="1"/>
  <c r="BE355" i="5" s="1"/>
  <c r="BF355" i="5" s="1"/>
  <c r="AT363" i="5"/>
  <c r="AU363" i="5" s="1"/>
  <c r="AV363" i="5" s="1"/>
  <c r="AW363" i="5" s="1"/>
  <c r="AX363" i="5" s="1"/>
  <c r="AY363" i="5" s="1"/>
  <c r="AZ363" i="5" s="1"/>
  <c r="BA363" i="5" s="1"/>
  <c r="BB363" i="5" s="1"/>
  <c r="BC363" i="5" s="1"/>
  <c r="BD363" i="5" s="1"/>
  <c r="BE363" i="5" s="1"/>
  <c r="BF363" i="5" s="1"/>
  <c r="AT371" i="5"/>
  <c r="AU371" i="5" s="1"/>
  <c r="AV371" i="5" s="1"/>
  <c r="AW371" i="5" s="1"/>
  <c r="AX371" i="5" s="1"/>
  <c r="AY371" i="5" s="1"/>
  <c r="AZ371" i="5" s="1"/>
  <c r="BA371" i="5" s="1"/>
  <c r="BB371" i="5" s="1"/>
  <c r="BC371" i="5" s="1"/>
  <c r="BD371" i="5" s="1"/>
  <c r="BE371" i="5" s="1"/>
  <c r="BF371" i="5" s="1"/>
  <c r="AT379" i="5"/>
  <c r="AU379" i="5" s="1"/>
  <c r="AV379" i="5" s="1"/>
  <c r="AW379" i="5" s="1"/>
  <c r="AX379" i="5" s="1"/>
  <c r="AY379" i="5" s="1"/>
  <c r="AZ379" i="5" s="1"/>
  <c r="BA379" i="5" s="1"/>
  <c r="BB379" i="5" s="1"/>
  <c r="BC379" i="5" s="1"/>
  <c r="BD379" i="5" s="1"/>
  <c r="BE379" i="5" s="1"/>
  <c r="BF379" i="5" s="1"/>
  <c r="AT387" i="5"/>
  <c r="AU387" i="5" s="1"/>
  <c r="AV387" i="5" s="1"/>
  <c r="AW387" i="5" s="1"/>
  <c r="AX387" i="5" s="1"/>
  <c r="AY387" i="5" s="1"/>
  <c r="AZ387" i="5" s="1"/>
  <c r="BA387" i="5" s="1"/>
  <c r="BB387" i="5" s="1"/>
  <c r="BC387" i="5" s="1"/>
  <c r="BD387" i="5" s="1"/>
  <c r="BE387" i="5" s="1"/>
  <c r="BF387" i="5" s="1"/>
  <c r="AT395" i="5"/>
  <c r="AU395" i="5" s="1"/>
  <c r="AV395" i="5" s="1"/>
  <c r="AW395" i="5" s="1"/>
  <c r="AX395" i="5" s="1"/>
  <c r="AY395" i="5" s="1"/>
  <c r="AZ395" i="5" s="1"/>
  <c r="BA395" i="5" s="1"/>
  <c r="BB395" i="5" s="1"/>
  <c r="BC395" i="5" s="1"/>
  <c r="BD395" i="5" s="1"/>
  <c r="BE395" i="5" s="1"/>
  <c r="BF395" i="5" s="1"/>
  <c r="AT403" i="5"/>
  <c r="AU403" i="5" s="1"/>
  <c r="AV403" i="5" s="1"/>
  <c r="AW403" i="5" s="1"/>
  <c r="AX403" i="5" s="1"/>
  <c r="AY403" i="5" s="1"/>
  <c r="AZ403" i="5" s="1"/>
  <c r="BA403" i="5" s="1"/>
  <c r="BB403" i="5" s="1"/>
  <c r="BC403" i="5" s="1"/>
  <c r="BD403" i="5" s="1"/>
  <c r="BE403" i="5" s="1"/>
  <c r="BF403" i="5" s="1"/>
  <c r="AT411" i="5"/>
  <c r="AU411" i="5" s="1"/>
  <c r="AV411" i="5" s="1"/>
  <c r="AW411" i="5" s="1"/>
  <c r="AX411" i="5" s="1"/>
  <c r="AY411" i="5" s="1"/>
  <c r="AZ411" i="5" s="1"/>
  <c r="BA411" i="5" s="1"/>
  <c r="BB411" i="5" s="1"/>
  <c r="BC411" i="5" s="1"/>
  <c r="BD411" i="5" s="1"/>
  <c r="BE411" i="5" s="1"/>
  <c r="BF411" i="5" s="1"/>
  <c r="AT419" i="5"/>
  <c r="AU419" i="5" s="1"/>
  <c r="AV419" i="5" s="1"/>
  <c r="AW419" i="5" s="1"/>
  <c r="AX419" i="5" s="1"/>
  <c r="AY419" i="5" s="1"/>
  <c r="AZ419" i="5" s="1"/>
  <c r="BA419" i="5" s="1"/>
  <c r="BB419" i="5" s="1"/>
  <c r="BC419" i="5" s="1"/>
  <c r="BD419" i="5" s="1"/>
  <c r="BE419" i="5" s="1"/>
  <c r="BF419" i="5" s="1"/>
  <c r="AT427" i="5"/>
  <c r="AU427" i="5" s="1"/>
  <c r="AV427" i="5" s="1"/>
  <c r="AW427" i="5" s="1"/>
  <c r="AX427" i="5" s="1"/>
  <c r="AY427" i="5" s="1"/>
  <c r="AZ427" i="5" s="1"/>
  <c r="BA427" i="5" s="1"/>
  <c r="BB427" i="5" s="1"/>
  <c r="BC427" i="5" s="1"/>
  <c r="BD427" i="5" s="1"/>
  <c r="BE427" i="5" s="1"/>
  <c r="BF427" i="5" s="1"/>
  <c r="AT435" i="5"/>
  <c r="AU435" i="5" s="1"/>
  <c r="AV435" i="5" s="1"/>
  <c r="AW435" i="5" s="1"/>
  <c r="AX435" i="5" s="1"/>
  <c r="AY435" i="5" s="1"/>
  <c r="AZ435" i="5" s="1"/>
  <c r="BA435" i="5" s="1"/>
  <c r="BB435" i="5" s="1"/>
  <c r="BC435" i="5" s="1"/>
  <c r="BD435" i="5" s="1"/>
  <c r="BE435" i="5" s="1"/>
  <c r="BF435" i="5" s="1"/>
  <c r="N3" i="5"/>
  <c r="N4" i="5" s="1"/>
  <c r="BF425" i="5" l="1"/>
  <c r="BF241" i="5"/>
  <c r="BF397" i="5"/>
  <c r="BF201" i="5"/>
  <c r="BF269" i="5"/>
  <c r="BF440" i="5"/>
  <c r="BF424" i="5"/>
  <c r="BF408" i="5"/>
  <c r="BF392" i="5"/>
  <c r="BF376" i="5"/>
  <c r="BF360" i="5"/>
  <c r="BF344" i="5"/>
  <c r="BF328" i="5"/>
  <c r="BF312" i="5"/>
  <c r="BF296" i="5"/>
  <c r="BF280" i="5"/>
  <c r="BF264" i="5"/>
  <c r="BF248" i="5"/>
  <c r="BF232" i="5"/>
  <c r="BF216" i="5"/>
  <c r="BF200" i="5"/>
  <c r="BF184" i="5"/>
  <c r="BF168" i="5"/>
  <c r="BF152" i="5"/>
  <c r="BF136" i="5"/>
  <c r="BF120" i="5"/>
  <c r="BF422" i="5"/>
  <c r="BF406" i="5"/>
  <c r="BF390" i="5"/>
  <c r="BF374" i="5"/>
  <c r="BF358" i="5"/>
  <c r="BF246" i="5"/>
  <c r="BF230" i="5"/>
  <c r="BF341" i="5"/>
  <c r="BF357" i="5"/>
  <c r="BF78" i="5"/>
  <c r="BF381" i="5"/>
  <c r="BF431" i="5"/>
  <c r="BF399" i="5"/>
  <c r="BF367" i="5"/>
  <c r="BF125" i="5"/>
  <c r="BF351" i="5"/>
  <c r="BF335" i="5"/>
  <c r="BF319" i="5"/>
  <c r="BF303" i="5"/>
  <c r="BF287" i="5"/>
  <c r="BF271" i="5"/>
  <c r="BF255" i="5"/>
  <c r="BF239" i="5"/>
  <c r="BF223" i="5"/>
  <c r="BF207" i="5"/>
  <c r="BF191" i="5"/>
  <c r="BF175" i="5"/>
  <c r="BF159" i="5"/>
  <c r="BF143" i="5"/>
  <c r="BF127" i="5"/>
  <c r="BF102" i="5"/>
  <c r="BF27" i="5"/>
  <c r="BF181" i="5"/>
  <c r="BF405" i="5"/>
  <c r="BF313" i="5"/>
  <c r="BF337" i="5"/>
  <c r="BF237" i="5"/>
  <c r="BF173" i="5"/>
  <c r="BF104" i="5"/>
  <c r="BF334" i="5"/>
  <c r="BF318" i="5"/>
  <c r="AV2" i="5"/>
  <c r="F6" i="14" s="1"/>
  <c r="E6" i="14"/>
  <c r="AV14" i="5"/>
  <c r="F18" i="14" s="1"/>
  <c r="AV6" i="5"/>
  <c r="F10" i="14" s="1"/>
  <c r="AV18" i="5"/>
  <c r="F22" i="14" s="1"/>
  <c r="AV9" i="5"/>
  <c r="F13" i="14" s="1"/>
  <c r="AV12" i="5"/>
  <c r="F16" i="14" s="1"/>
  <c r="AV19" i="5"/>
  <c r="F23" i="14" s="1"/>
  <c r="AV3" i="5"/>
  <c r="F7" i="14" s="1"/>
  <c r="AV10" i="5"/>
  <c r="F14" i="14" s="1"/>
  <c r="AV21" i="5"/>
  <c r="F25" i="14" s="1"/>
  <c r="AV5" i="5"/>
  <c r="F9" i="14" s="1"/>
  <c r="AV8" i="5"/>
  <c r="F12" i="14" s="1"/>
  <c r="AV15" i="5"/>
  <c r="F19" i="14" s="1"/>
  <c r="AV17" i="5"/>
  <c r="F21" i="14" s="1"/>
  <c r="AV20" i="5"/>
  <c r="F24" i="14" s="1"/>
  <c r="AV4" i="5"/>
  <c r="F8" i="14" s="1"/>
  <c r="AV11" i="5"/>
  <c r="F15" i="14" s="1"/>
  <c r="AV13" i="5"/>
  <c r="F17" i="14" s="1"/>
  <c r="AV16" i="5"/>
  <c r="F20" i="14" s="1"/>
  <c r="AV7" i="5"/>
  <c r="F11" i="14" s="1"/>
  <c r="AV60" i="5"/>
  <c r="AV44" i="5"/>
  <c r="AV51" i="5"/>
  <c r="AV54" i="5"/>
  <c r="AV53" i="5"/>
  <c r="AV56" i="5"/>
  <c r="AV47" i="5"/>
  <c r="AV46" i="5"/>
  <c r="AV58" i="5"/>
  <c r="AV50" i="5"/>
  <c r="AV49" i="5"/>
  <c r="AV52" i="5"/>
  <c r="AV59" i="5"/>
  <c r="AV43" i="5"/>
  <c r="AV57" i="5"/>
  <c r="AV42" i="5"/>
  <c r="AV61" i="5"/>
  <c r="AV45" i="5"/>
  <c r="AV48" i="5"/>
  <c r="AV55" i="5"/>
  <c r="BF69" i="5"/>
  <c r="BF88" i="5"/>
  <c r="BF72" i="5"/>
  <c r="BF111" i="5"/>
  <c r="BF95" i="5"/>
  <c r="BF79" i="5"/>
  <c r="BF210" i="5"/>
  <c r="BF302" i="5"/>
  <c r="BF286" i="5"/>
  <c r="BF190" i="5"/>
  <c r="BF174" i="5"/>
  <c r="BF158" i="5"/>
  <c r="BF142" i="5"/>
  <c r="BF37" i="5"/>
  <c r="BF36" i="5"/>
  <c r="BF39" i="5"/>
  <c r="BF23" i="5"/>
  <c r="BF31" i="5"/>
  <c r="P3" i="5"/>
  <c r="Q3" i="5" s="1"/>
  <c r="R3" i="5" s="1"/>
  <c r="P4" i="5"/>
  <c r="Q4" i="5" s="1"/>
  <c r="R4" i="5" s="1"/>
  <c r="P2" i="5"/>
  <c r="Q2" i="5" s="1"/>
  <c r="R2" i="5" s="1"/>
  <c r="AW2" i="5" l="1"/>
  <c r="G6" i="14" s="1"/>
  <c r="AW7" i="5"/>
  <c r="G11" i="14" s="1"/>
  <c r="AW20" i="5"/>
  <c r="G24" i="14" s="1"/>
  <c r="AW19" i="5"/>
  <c r="G23" i="14" s="1"/>
  <c r="AW6" i="5"/>
  <c r="G10" i="14" s="1"/>
  <c r="AW11" i="5"/>
  <c r="G15" i="14" s="1"/>
  <c r="AW5" i="5"/>
  <c r="G9" i="14" s="1"/>
  <c r="AW13" i="5"/>
  <c r="G17" i="14" s="1"/>
  <c r="AW15" i="5"/>
  <c r="G19" i="14" s="1"/>
  <c r="AW10" i="5"/>
  <c r="G14" i="14" s="1"/>
  <c r="AW9" i="5"/>
  <c r="G13" i="14" s="1"/>
  <c r="AW16" i="5"/>
  <c r="G20" i="14" s="1"/>
  <c r="AX2" i="5"/>
  <c r="H6" i="14" s="1"/>
  <c r="AW4" i="5"/>
  <c r="G8" i="14" s="1"/>
  <c r="AW17" i="5"/>
  <c r="G21" i="14" s="1"/>
  <c r="AW8" i="5"/>
  <c r="G12" i="14" s="1"/>
  <c r="AW21" i="5"/>
  <c r="G25" i="14" s="1"/>
  <c r="AW3" i="5"/>
  <c r="G7" i="14" s="1"/>
  <c r="AW12" i="5"/>
  <c r="G16" i="14" s="1"/>
  <c r="AW18" i="5"/>
  <c r="G22" i="14" s="1"/>
  <c r="AW14" i="5"/>
  <c r="G18" i="14" s="1"/>
  <c r="AW55" i="5"/>
  <c r="AW45" i="5"/>
  <c r="AW42" i="5"/>
  <c r="AW43" i="5"/>
  <c r="AW52" i="5"/>
  <c r="AW50" i="5"/>
  <c r="AW46" i="5"/>
  <c r="AW56" i="5"/>
  <c r="AW54" i="5"/>
  <c r="AW44" i="5"/>
  <c r="AW48" i="5"/>
  <c r="AW61" i="5"/>
  <c r="AW57" i="5"/>
  <c r="AW59" i="5"/>
  <c r="AW49" i="5"/>
  <c r="AW58" i="5"/>
  <c r="AW47" i="5"/>
  <c r="AW53" i="5"/>
  <c r="AW51" i="5"/>
  <c r="AW60" i="5"/>
  <c r="AX14" i="5" l="1"/>
  <c r="H18" i="14" s="1"/>
  <c r="AX12" i="5"/>
  <c r="H16" i="14" s="1"/>
  <c r="AX21" i="5"/>
  <c r="H25" i="14" s="1"/>
  <c r="AX17" i="5"/>
  <c r="H21" i="14" s="1"/>
  <c r="AY2" i="5"/>
  <c r="I6" i="14" s="1"/>
  <c r="AX9" i="5"/>
  <c r="H13" i="14" s="1"/>
  <c r="AX15" i="5"/>
  <c r="H19" i="14" s="1"/>
  <c r="AX5" i="5"/>
  <c r="H9" i="14" s="1"/>
  <c r="AX6" i="5"/>
  <c r="H10" i="14" s="1"/>
  <c r="AX20" i="5"/>
  <c r="H24" i="14" s="1"/>
  <c r="AX18" i="5"/>
  <c r="H22" i="14" s="1"/>
  <c r="AX3" i="5"/>
  <c r="H7" i="14" s="1"/>
  <c r="AX8" i="5"/>
  <c r="H12" i="14" s="1"/>
  <c r="AX4" i="5"/>
  <c r="H8" i="14" s="1"/>
  <c r="AX16" i="5"/>
  <c r="H20" i="14" s="1"/>
  <c r="AX10" i="5"/>
  <c r="H14" i="14" s="1"/>
  <c r="AX13" i="5"/>
  <c r="H17" i="14" s="1"/>
  <c r="AX11" i="5"/>
  <c r="H15" i="14" s="1"/>
  <c r="AX19" i="5"/>
  <c r="H23" i="14" s="1"/>
  <c r="AX7" i="5"/>
  <c r="H11" i="14" s="1"/>
  <c r="AX60" i="5"/>
  <c r="AX53" i="5"/>
  <c r="AX58" i="5"/>
  <c r="AX59" i="5"/>
  <c r="AX61" i="5"/>
  <c r="AX44" i="5"/>
  <c r="AX56" i="5"/>
  <c r="AX50" i="5"/>
  <c r="AX43" i="5"/>
  <c r="AX45" i="5"/>
  <c r="AX51" i="5"/>
  <c r="AX47" i="5"/>
  <c r="AX49" i="5"/>
  <c r="AX57" i="5"/>
  <c r="AX48" i="5"/>
  <c r="AX54" i="5"/>
  <c r="AX46" i="5"/>
  <c r="AX52" i="5"/>
  <c r="AX42" i="5"/>
  <c r="AX55" i="5"/>
  <c r="AY7" i="5" l="1"/>
  <c r="I11" i="14" s="1"/>
  <c r="AY11" i="5"/>
  <c r="I15" i="14" s="1"/>
  <c r="AY10" i="5"/>
  <c r="I14" i="14" s="1"/>
  <c r="AY4" i="5"/>
  <c r="I8" i="14" s="1"/>
  <c r="AY3" i="5"/>
  <c r="I7" i="14" s="1"/>
  <c r="AY20" i="5"/>
  <c r="I24" i="14" s="1"/>
  <c r="AY5" i="5"/>
  <c r="I9" i="14" s="1"/>
  <c r="AY9" i="5"/>
  <c r="I13" i="14" s="1"/>
  <c r="AY17" i="5"/>
  <c r="I21" i="14" s="1"/>
  <c r="AY12" i="5"/>
  <c r="I16" i="14" s="1"/>
  <c r="AY19" i="5"/>
  <c r="I23" i="14" s="1"/>
  <c r="AY13" i="5"/>
  <c r="I17" i="14" s="1"/>
  <c r="AY16" i="5"/>
  <c r="I20" i="14" s="1"/>
  <c r="AY8" i="5"/>
  <c r="I12" i="14" s="1"/>
  <c r="AY18" i="5"/>
  <c r="I22" i="14" s="1"/>
  <c r="AY6" i="5"/>
  <c r="I10" i="14" s="1"/>
  <c r="AY15" i="5"/>
  <c r="I19" i="14" s="1"/>
  <c r="AZ2" i="5"/>
  <c r="J6" i="14" s="1"/>
  <c r="AY21" i="5"/>
  <c r="I25" i="14" s="1"/>
  <c r="AY14" i="5"/>
  <c r="I18" i="14" s="1"/>
  <c r="AY55" i="5"/>
  <c r="AY52" i="5"/>
  <c r="AY54" i="5"/>
  <c r="AY57" i="5"/>
  <c r="AY47" i="5"/>
  <c r="AY45" i="5"/>
  <c r="AY50" i="5"/>
  <c r="AY44" i="5"/>
  <c r="AY59" i="5"/>
  <c r="AY53" i="5"/>
  <c r="AY42" i="5"/>
  <c r="AY46" i="5"/>
  <c r="AY48" i="5"/>
  <c r="AY49" i="5"/>
  <c r="AY51" i="5"/>
  <c r="AY43" i="5"/>
  <c r="AY56" i="5"/>
  <c r="AY61" i="5"/>
  <c r="AY58" i="5"/>
  <c r="AY60" i="5"/>
  <c r="X2" i="5"/>
  <c r="Y2" i="5" s="1"/>
  <c r="X3" i="5"/>
  <c r="Y3" i="5" s="1"/>
  <c r="X4" i="5"/>
  <c r="Y4" i="5" s="1"/>
  <c r="X5" i="5"/>
  <c r="Y5" i="5" s="1"/>
  <c r="X6" i="5"/>
  <c r="Y6" i="5" s="1"/>
  <c r="X7" i="5"/>
  <c r="Y7" i="5" s="1"/>
  <c r="X8" i="5"/>
  <c r="Y8" i="5" s="1"/>
  <c r="X9" i="5"/>
  <c r="Y9" i="5" s="1"/>
  <c r="X10" i="5"/>
  <c r="Y10" i="5" s="1"/>
  <c r="X11" i="5"/>
  <c r="Y11" i="5" s="1"/>
  <c r="X12" i="5"/>
  <c r="Y12" i="5" s="1"/>
  <c r="X13" i="5"/>
  <c r="Y13" i="5" s="1"/>
  <c r="X14" i="5"/>
  <c r="Y14" i="5" s="1"/>
  <c r="X15" i="5"/>
  <c r="Y15" i="5" s="1"/>
  <c r="X16" i="5"/>
  <c r="Y16" i="5" s="1"/>
  <c r="X17" i="5"/>
  <c r="Y17" i="5" s="1"/>
  <c r="X18" i="5"/>
  <c r="Y18" i="5" s="1"/>
  <c r="X19" i="5"/>
  <c r="Y19" i="5" s="1"/>
  <c r="X20" i="5"/>
  <c r="Y20" i="5" s="1"/>
  <c r="X21" i="5"/>
  <c r="Y21" i="5" s="1"/>
  <c r="X22" i="5"/>
  <c r="Y22" i="5" s="1"/>
  <c r="X23" i="5"/>
  <c r="Y23" i="5" s="1"/>
  <c r="X24" i="5"/>
  <c r="Y24" i="5" s="1"/>
  <c r="X25" i="5"/>
  <c r="Y25" i="5" s="1"/>
  <c r="X26" i="5"/>
  <c r="Y26" i="5" s="1"/>
  <c r="X27" i="5"/>
  <c r="Y27" i="5" s="1"/>
  <c r="X28" i="5"/>
  <c r="Y28" i="5" s="1"/>
  <c r="X29" i="5"/>
  <c r="Y29" i="5" s="1"/>
  <c r="X30" i="5"/>
  <c r="Y30" i="5" s="1"/>
  <c r="X31" i="5"/>
  <c r="Y31" i="5" s="1"/>
  <c r="X32" i="5"/>
  <c r="Y32" i="5" s="1"/>
  <c r="X33" i="5"/>
  <c r="Y33" i="5" s="1"/>
  <c r="X34" i="5"/>
  <c r="Y34" i="5" s="1"/>
  <c r="X35" i="5"/>
  <c r="Y35" i="5" s="1"/>
  <c r="X36" i="5"/>
  <c r="Y36" i="5" s="1"/>
  <c r="X37" i="5"/>
  <c r="Y37" i="5" s="1"/>
  <c r="X38" i="5"/>
  <c r="Y38" i="5" s="1"/>
  <c r="X39" i="5"/>
  <c r="Y39" i="5" s="1"/>
  <c r="X40" i="5"/>
  <c r="Y40" i="5" s="1"/>
  <c r="X41" i="5"/>
  <c r="Y41" i="5" s="1"/>
  <c r="X42" i="5"/>
  <c r="Y42" i="5" s="1"/>
  <c r="X43" i="5"/>
  <c r="Y43" i="5" s="1"/>
  <c r="X44" i="5"/>
  <c r="Y44" i="5" s="1"/>
  <c r="X45" i="5"/>
  <c r="Y45" i="5" s="1"/>
  <c r="N5" i="5"/>
  <c r="AZ14" i="5" l="1"/>
  <c r="J18" i="14" s="1"/>
  <c r="BA2" i="5"/>
  <c r="K6" i="14" s="1"/>
  <c r="AZ6" i="5"/>
  <c r="J10" i="14" s="1"/>
  <c r="AZ8" i="5"/>
  <c r="J12" i="14" s="1"/>
  <c r="AZ13" i="5"/>
  <c r="J17" i="14" s="1"/>
  <c r="AZ12" i="5"/>
  <c r="J16" i="14" s="1"/>
  <c r="AZ9" i="5"/>
  <c r="J13" i="14" s="1"/>
  <c r="AZ20" i="5"/>
  <c r="J24" i="14" s="1"/>
  <c r="AZ4" i="5"/>
  <c r="J8" i="14" s="1"/>
  <c r="AZ11" i="5"/>
  <c r="J15" i="14" s="1"/>
  <c r="AZ21" i="5"/>
  <c r="J25" i="14" s="1"/>
  <c r="AZ15" i="5"/>
  <c r="J19" i="14" s="1"/>
  <c r="AZ18" i="5"/>
  <c r="J22" i="14" s="1"/>
  <c r="AZ16" i="5"/>
  <c r="J20" i="14" s="1"/>
  <c r="AZ19" i="5"/>
  <c r="J23" i="14" s="1"/>
  <c r="AZ17" i="5"/>
  <c r="J21" i="14" s="1"/>
  <c r="AZ5" i="5"/>
  <c r="J9" i="14" s="1"/>
  <c r="AZ3" i="5"/>
  <c r="J7" i="14" s="1"/>
  <c r="AZ10" i="5"/>
  <c r="J14" i="14" s="1"/>
  <c r="AZ7" i="5"/>
  <c r="J11" i="14" s="1"/>
  <c r="AZ60" i="5"/>
  <c r="AZ61" i="5"/>
  <c r="AZ43" i="5"/>
  <c r="AZ49" i="5"/>
  <c r="AZ46" i="5"/>
  <c r="AZ53" i="5"/>
  <c r="AZ44" i="5"/>
  <c r="AZ45" i="5"/>
  <c r="AZ57" i="5"/>
  <c r="AZ52" i="5"/>
  <c r="AZ58" i="5"/>
  <c r="AZ56" i="5"/>
  <c r="AZ51" i="5"/>
  <c r="AZ48" i="5"/>
  <c r="AZ42" i="5"/>
  <c r="AZ59" i="5"/>
  <c r="AZ50" i="5"/>
  <c r="AZ47" i="5"/>
  <c r="AZ54" i="5"/>
  <c r="AZ55" i="5"/>
  <c r="N6" i="5"/>
  <c r="P6" i="5" s="1"/>
  <c r="Q6" i="5" s="1"/>
  <c r="R6" i="5" s="1"/>
  <c r="P5" i="5"/>
  <c r="Q5" i="5" s="1"/>
  <c r="R5" i="5" s="1"/>
  <c r="Z29" i="5"/>
  <c r="Z10" i="5"/>
  <c r="Z18" i="5"/>
  <c r="Z2" i="5"/>
  <c r="Z9" i="5"/>
  <c r="Z44" i="5"/>
  <c r="Z38" i="5"/>
  <c r="Z36" i="5"/>
  <c r="Z42" i="5"/>
  <c r="Z7" i="5"/>
  <c r="Z37" i="5"/>
  <c r="Z16" i="5"/>
  <c r="Z5" i="5"/>
  <c r="Z43" i="5"/>
  <c r="Z32" i="5"/>
  <c r="Z35" i="5"/>
  <c r="Z45" i="5"/>
  <c r="Z28" i="5"/>
  <c r="Z25" i="5"/>
  <c r="Z17" i="5"/>
  <c r="Z8" i="5"/>
  <c r="Z41" i="5"/>
  <c r="Z20" i="5"/>
  <c r="Z11" i="5"/>
  <c r="Z34" i="5"/>
  <c r="Z31" i="5"/>
  <c r="Z13" i="5"/>
  <c r="Z3" i="5"/>
  <c r="Z22" i="5"/>
  <c r="Z27" i="5"/>
  <c r="Z12" i="5"/>
  <c r="Z4" i="5"/>
  <c r="Z24" i="5"/>
  <c r="Z15" i="5"/>
  <c r="Z33" i="5"/>
  <c r="Z23" i="5"/>
  <c r="Z21" i="5"/>
  <c r="Z40" i="5"/>
  <c r="Z30" i="5"/>
  <c r="Z6" i="5"/>
  <c r="Z14" i="5"/>
  <c r="Z39" i="5"/>
  <c r="Z26" i="5"/>
  <c r="N7" i="5"/>
  <c r="Z19" i="5"/>
  <c r="BA7" i="5" l="1"/>
  <c r="K11" i="14" s="1"/>
  <c r="BA3" i="5"/>
  <c r="K7" i="14" s="1"/>
  <c r="BA17" i="5"/>
  <c r="K21" i="14" s="1"/>
  <c r="BA16" i="5"/>
  <c r="K20" i="14" s="1"/>
  <c r="BA15" i="5"/>
  <c r="K19" i="14" s="1"/>
  <c r="BA11" i="5"/>
  <c r="K15" i="14" s="1"/>
  <c r="BA20" i="5"/>
  <c r="K24" i="14" s="1"/>
  <c r="BA12" i="5"/>
  <c r="K16" i="14" s="1"/>
  <c r="BA8" i="5"/>
  <c r="K12" i="14" s="1"/>
  <c r="BB2" i="5"/>
  <c r="L6" i="14" s="1"/>
  <c r="BA10" i="5"/>
  <c r="K14" i="14" s="1"/>
  <c r="BA5" i="5"/>
  <c r="K9" i="14" s="1"/>
  <c r="BA19" i="5"/>
  <c r="K23" i="14" s="1"/>
  <c r="BA18" i="5"/>
  <c r="K22" i="14" s="1"/>
  <c r="BA21" i="5"/>
  <c r="K25" i="14" s="1"/>
  <c r="BA4" i="5"/>
  <c r="K8" i="14" s="1"/>
  <c r="BA9" i="5"/>
  <c r="K13" i="14" s="1"/>
  <c r="BA13" i="5"/>
  <c r="K17" i="14" s="1"/>
  <c r="BA6" i="5"/>
  <c r="K10" i="14" s="1"/>
  <c r="BA14" i="5"/>
  <c r="K18" i="14" s="1"/>
  <c r="BA55" i="5"/>
  <c r="BA47" i="5"/>
  <c r="BA59" i="5"/>
  <c r="BA48" i="5"/>
  <c r="BA56" i="5"/>
  <c r="BA52" i="5"/>
  <c r="BA45" i="5"/>
  <c r="BA53" i="5"/>
  <c r="BA49" i="5"/>
  <c r="BA61" i="5"/>
  <c r="BA54" i="5"/>
  <c r="BA50" i="5"/>
  <c r="BA42" i="5"/>
  <c r="BA51" i="5"/>
  <c r="BA58" i="5"/>
  <c r="BA57" i="5"/>
  <c r="BA44" i="5"/>
  <c r="BA46" i="5"/>
  <c r="BA43" i="5"/>
  <c r="BA60" i="5"/>
  <c r="P7" i="5"/>
  <c r="Q7" i="5" s="1"/>
  <c r="R7" i="5" s="1"/>
  <c r="N8" i="5"/>
  <c r="BB14" i="5" l="1"/>
  <c r="L18" i="14" s="1"/>
  <c r="BB13" i="5"/>
  <c r="L17" i="14" s="1"/>
  <c r="BB4" i="5"/>
  <c r="L8" i="14" s="1"/>
  <c r="BB18" i="5"/>
  <c r="L22" i="14" s="1"/>
  <c r="BB5" i="5"/>
  <c r="L9" i="14" s="1"/>
  <c r="BC2" i="5"/>
  <c r="M6" i="14" s="1"/>
  <c r="BB12" i="5"/>
  <c r="L16" i="14" s="1"/>
  <c r="BB11" i="5"/>
  <c r="L15" i="14" s="1"/>
  <c r="BB16" i="5"/>
  <c r="L20" i="14" s="1"/>
  <c r="BB3" i="5"/>
  <c r="L7" i="14" s="1"/>
  <c r="BB6" i="5"/>
  <c r="L10" i="14" s="1"/>
  <c r="BB9" i="5"/>
  <c r="L13" i="14" s="1"/>
  <c r="BB21" i="5"/>
  <c r="L25" i="14" s="1"/>
  <c r="BB19" i="5"/>
  <c r="L23" i="14" s="1"/>
  <c r="BB10" i="5"/>
  <c r="L14" i="14" s="1"/>
  <c r="BB8" i="5"/>
  <c r="L12" i="14" s="1"/>
  <c r="BB20" i="5"/>
  <c r="L24" i="14" s="1"/>
  <c r="BB15" i="5"/>
  <c r="L19" i="14" s="1"/>
  <c r="BB17" i="5"/>
  <c r="L21" i="14" s="1"/>
  <c r="BB7" i="5"/>
  <c r="L11" i="14" s="1"/>
  <c r="BB60" i="5"/>
  <c r="BB46" i="5"/>
  <c r="BB57" i="5"/>
  <c r="BB51" i="5"/>
  <c r="BB50" i="5"/>
  <c r="BB61" i="5"/>
  <c r="BB53" i="5"/>
  <c r="BB52" i="5"/>
  <c r="BB48" i="5"/>
  <c r="BB47" i="5"/>
  <c r="BB43" i="5"/>
  <c r="BB44" i="5"/>
  <c r="BB58" i="5"/>
  <c r="BB42" i="5"/>
  <c r="BB54" i="5"/>
  <c r="BB49" i="5"/>
  <c r="BB45" i="5"/>
  <c r="BB56" i="5"/>
  <c r="BB59" i="5"/>
  <c r="BB55" i="5"/>
  <c r="P8" i="5"/>
  <c r="Q8" i="5" s="1"/>
  <c r="R8" i="5" s="1"/>
  <c r="N9" i="5"/>
  <c r="BC7" i="5" l="1"/>
  <c r="M11" i="14" s="1"/>
  <c r="BC15" i="5"/>
  <c r="M19" i="14" s="1"/>
  <c r="BC8" i="5"/>
  <c r="M12" i="14" s="1"/>
  <c r="BC19" i="5"/>
  <c r="M23" i="14" s="1"/>
  <c r="BC9" i="5"/>
  <c r="M13" i="14" s="1"/>
  <c r="BC3" i="5"/>
  <c r="M7" i="14" s="1"/>
  <c r="BC11" i="5"/>
  <c r="M15" i="14" s="1"/>
  <c r="BD2" i="5"/>
  <c r="N6" i="14" s="1"/>
  <c r="BC18" i="5"/>
  <c r="M22" i="14" s="1"/>
  <c r="BC13" i="5"/>
  <c r="M17" i="14" s="1"/>
  <c r="BC17" i="5"/>
  <c r="M21" i="14" s="1"/>
  <c r="BC20" i="5"/>
  <c r="M24" i="14" s="1"/>
  <c r="BC10" i="5"/>
  <c r="M14" i="14" s="1"/>
  <c r="BC21" i="5"/>
  <c r="M25" i="14" s="1"/>
  <c r="BC6" i="5"/>
  <c r="M10" i="14" s="1"/>
  <c r="BC16" i="5"/>
  <c r="M20" i="14" s="1"/>
  <c r="BC12" i="5"/>
  <c r="M16" i="14" s="1"/>
  <c r="BC5" i="5"/>
  <c r="M9" i="14" s="1"/>
  <c r="BC4" i="5"/>
  <c r="M8" i="14" s="1"/>
  <c r="BC14" i="5"/>
  <c r="M18" i="14" s="1"/>
  <c r="BC55" i="5"/>
  <c r="BC56" i="5"/>
  <c r="BC49" i="5"/>
  <c r="BC42" i="5"/>
  <c r="BC44" i="5"/>
  <c r="BC47" i="5"/>
  <c r="BC52" i="5"/>
  <c r="BC61" i="5"/>
  <c r="BC51" i="5"/>
  <c r="BC46" i="5"/>
  <c r="BC59" i="5"/>
  <c r="BC45" i="5"/>
  <c r="BC54" i="5"/>
  <c r="BC58" i="5"/>
  <c r="BC43" i="5"/>
  <c r="BC48" i="5"/>
  <c r="BC53" i="5"/>
  <c r="BC50" i="5"/>
  <c r="BC57" i="5"/>
  <c r="BC60" i="5"/>
  <c r="P9" i="5"/>
  <c r="Q9" i="5" s="1"/>
  <c r="R9" i="5" s="1"/>
  <c r="N10" i="5"/>
  <c r="BD14" i="5" l="1"/>
  <c r="N18" i="14" s="1"/>
  <c r="BD5" i="5"/>
  <c r="N9" i="14" s="1"/>
  <c r="BD16" i="5"/>
  <c r="N20" i="14" s="1"/>
  <c r="BD21" i="5"/>
  <c r="N25" i="14" s="1"/>
  <c r="BD20" i="5"/>
  <c r="N24" i="14" s="1"/>
  <c r="BD13" i="5"/>
  <c r="N17" i="14" s="1"/>
  <c r="BE2" i="5"/>
  <c r="O6" i="14" s="1"/>
  <c r="BD3" i="5"/>
  <c r="N7" i="14" s="1"/>
  <c r="BD19" i="5"/>
  <c r="N23" i="14" s="1"/>
  <c r="BD15" i="5"/>
  <c r="N19" i="14" s="1"/>
  <c r="BD4" i="5"/>
  <c r="N8" i="14" s="1"/>
  <c r="BD12" i="5"/>
  <c r="N16" i="14" s="1"/>
  <c r="BD6" i="5"/>
  <c r="N10" i="14" s="1"/>
  <c r="BD10" i="5"/>
  <c r="N14" i="14" s="1"/>
  <c r="BD17" i="5"/>
  <c r="N21" i="14" s="1"/>
  <c r="BD18" i="5"/>
  <c r="N22" i="14" s="1"/>
  <c r="BD11" i="5"/>
  <c r="N15" i="14" s="1"/>
  <c r="BD9" i="5"/>
  <c r="N13" i="14" s="1"/>
  <c r="BD8" i="5"/>
  <c r="N12" i="14" s="1"/>
  <c r="BD7" i="5"/>
  <c r="N11" i="14" s="1"/>
  <c r="BD60" i="5"/>
  <c r="BD50" i="5"/>
  <c r="BD48" i="5"/>
  <c r="BD58" i="5"/>
  <c r="BD45" i="5"/>
  <c r="BD46" i="5"/>
  <c r="BD61" i="5"/>
  <c r="BD47" i="5"/>
  <c r="BD42" i="5"/>
  <c r="BD56" i="5"/>
  <c r="BD57" i="5"/>
  <c r="BD53" i="5"/>
  <c r="BD43" i="5"/>
  <c r="BD54" i="5"/>
  <c r="BD59" i="5"/>
  <c r="BD51" i="5"/>
  <c r="BD52" i="5"/>
  <c r="BD44" i="5"/>
  <c r="BD49" i="5"/>
  <c r="BD55" i="5"/>
  <c r="N11" i="5"/>
  <c r="BE7" i="5" l="1"/>
  <c r="O11" i="14" s="1"/>
  <c r="BE9" i="5"/>
  <c r="O13" i="14" s="1"/>
  <c r="BE18" i="5"/>
  <c r="O22" i="14" s="1"/>
  <c r="BE10" i="5"/>
  <c r="O14" i="14" s="1"/>
  <c r="BE12" i="5"/>
  <c r="O16" i="14" s="1"/>
  <c r="BE15" i="5"/>
  <c r="O19" i="14" s="1"/>
  <c r="BE3" i="5"/>
  <c r="O7" i="14" s="1"/>
  <c r="BE13" i="5"/>
  <c r="O17" i="14" s="1"/>
  <c r="BE21" i="5"/>
  <c r="O25" i="14" s="1"/>
  <c r="BE5" i="5"/>
  <c r="O9" i="14" s="1"/>
  <c r="BE8" i="5"/>
  <c r="O12" i="14" s="1"/>
  <c r="BE11" i="5"/>
  <c r="O15" i="14" s="1"/>
  <c r="BE17" i="5"/>
  <c r="O21" i="14" s="1"/>
  <c r="BE6" i="5"/>
  <c r="O10" i="14" s="1"/>
  <c r="BE4" i="5"/>
  <c r="O8" i="14" s="1"/>
  <c r="BE19" i="5"/>
  <c r="O23" i="14" s="1"/>
  <c r="BF2" i="5"/>
  <c r="P6" i="14" s="1"/>
  <c r="BE20" i="5"/>
  <c r="O24" i="14" s="1"/>
  <c r="BE16" i="5"/>
  <c r="O20" i="14" s="1"/>
  <c r="BE14" i="5"/>
  <c r="O18" i="14" s="1"/>
  <c r="BE50" i="5"/>
  <c r="BE55" i="5"/>
  <c r="BE51" i="5"/>
  <c r="BE53" i="5"/>
  <c r="BE47" i="5"/>
  <c r="BE58" i="5"/>
  <c r="BE44" i="5"/>
  <c r="BE54" i="5"/>
  <c r="BE56" i="5"/>
  <c r="BE46" i="5"/>
  <c r="BE49" i="5"/>
  <c r="BE52" i="5"/>
  <c r="BE59" i="5"/>
  <c r="BE43" i="5"/>
  <c r="BE57" i="5"/>
  <c r="BE42" i="5"/>
  <c r="BE61" i="5"/>
  <c r="BE45" i="5"/>
  <c r="BE48" i="5"/>
  <c r="BE60" i="5"/>
  <c r="N12" i="5"/>
  <c r="BF14" i="5" l="1"/>
  <c r="P18" i="14" s="1"/>
  <c r="BF20" i="5"/>
  <c r="P24" i="14" s="1"/>
  <c r="BF19" i="5"/>
  <c r="P23" i="14" s="1"/>
  <c r="BF6" i="5"/>
  <c r="P10" i="14" s="1"/>
  <c r="BF11" i="5"/>
  <c r="P15" i="14" s="1"/>
  <c r="BF5" i="5"/>
  <c r="P9" i="14" s="1"/>
  <c r="BF13" i="5"/>
  <c r="P17" i="14" s="1"/>
  <c r="BF15" i="5"/>
  <c r="P19" i="14" s="1"/>
  <c r="BF10" i="5"/>
  <c r="P14" i="14" s="1"/>
  <c r="BF9" i="5"/>
  <c r="P13" i="14" s="1"/>
  <c r="BF16" i="5"/>
  <c r="P20" i="14" s="1"/>
  <c r="BF4" i="5"/>
  <c r="P8" i="14" s="1"/>
  <c r="BF17" i="5"/>
  <c r="P21" i="14" s="1"/>
  <c r="BF8" i="5"/>
  <c r="P12" i="14" s="1"/>
  <c r="BF21" i="5"/>
  <c r="P25" i="14" s="1"/>
  <c r="BF3" i="5"/>
  <c r="P7" i="14" s="1"/>
  <c r="BF12" i="5"/>
  <c r="P16" i="14" s="1"/>
  <c r="BF18" i="5"/>
  <c r="P22" i="14" s="1"/>
  <c r="BF7" i="5"/>
  <c r="P11" i="14" s="1"/>
  <c r="BF60" i="5"/>
  <c r="BF45" i="5"/>
  <c r="BF42" i="5"/>
  <c r="BF43" i="5"/>
  <c r="BF52" i="5"/>
  <c r="BF46" i="5"/>
  <c r="BF54" i="5"/>
  <c r="BF58" i="5"/>
  <c r="BF53" i="5"/>
  <c r="BF55" i="5"/>
  <c r="BF48" i="5"/>
  <c r="BF61" i="5"/>
  <c r="BF57" i="5"/>
  <c r="BF59" i="5"/>
  <c r="BF49" i="5"/>
  <c r="BF56" i="5"/>
  <c r="BF44" i="5"/>
  <c r="BF47" i="5"/>
  <c r="BF51" i="5"/>
  <c r="BF50" i="5"/>
  <c r="N13" i="5"/>
  <c r="N14" i="5" l="1"/>
  <c r="N15" i="5" l="1"/>
  <c r="N16" i="5" l="1"/>
  <c r="N17" i="5" l="1"/>
  <c r="N18" i="5" l="1"/>
  <c r="N19" i="5" l="1"/>
  <c r="N20" i="5" l="1"/>
  <c r="N21" i="5" l="1"/>
  <c r="N22" i="5" l="1"/>
  <c r="N23" i="5" l="1"/>
  <c r="N24" i="5" l="1"/>
  <c r="N25" i="5" l="1"/>
  <c r="N26" i="5" l="1"/>
  <c r="N27" i="5" l="1"/>
  <c r="N28" i="5" l="1"/>
  <c r="N29" i="5" l="1"/>
  <c r="N30" i="5" l="1"/>
  <c r="N31" i="5" l="1"/>
  <c r="N32" i="5" l="1"/>
  <c r="N33" i="5" l="1"/>
  <c r="N34" i="5" l="1"/>
  <c r="N35" i="5" l="1"/>
  <c r="N36" i="5" l="1"/>
  <c r="N37" i="5" l="1"/>
  <c r="N38" i="5" l="1"/>
  <c r="N39" i="5" l="1"/>
  <c r="N40" i="5" l="1"/>
  <c r="N41" i="5" l="1"/>
  <c r="N42" i="5" l="1"/>
  <c r="N43" i="5" l="1"/>
  <c r="N44" i="5" l="1"/>
  <c r="N45" i="5" l="1"/>
  <c r="N46" i="5" l="1"/>
  <c r="N47" i="5" l="1"/>
  <c r="N48" i="5" l="1"/>
  <c r="N49" i="5" l="1"/>
  <c r="N50" i="5" l="1"/>
  <c r="N51" i="5" l="1"/>
  <c r="N52" i="5" l="1"/>
  <c r="N53" i="5" l="1"/>
  <c r="N54" i="5" l="1"/>
  <c r="N55" i="5" l="1"/>
  <c r="N56" i="5" l="1"/>
  <c r="N57" i="5" l="1"/>
  <c r="N58" i="5" l="1"/>
  <c r="N59" i="5" l="1"/>
  <c r="N60" i="5" l="1"/>
  <c r="N61" i="5" l="1"/>
  <c r="N62" i="5" l="1"/>
  <c r="N63" i="5" l="1"/>
  <c r="N64" i="5" l="1"/>
  <c r="N65" i="5" l="1"/>
  <c r="N66" i="5" l="1"/>
  <c r="N67" i="5" l="1"/>
  <c r="N68" i="5" l="1"/>
  <c r="N69" i="5" l="1"/>
  <c r="N70" i="5" l="1"/>
  <c r="N71" i="5" l="1"/>
  <c r="N72" i="5" l="1"/>
  <c r="N73" i="5" l="1"/>
  <c r="N74" i="5" l="1"/>
  <c r="N75" i="5" l="1"/>
  <c r="N76" i="5" l="1"/>
  <c r="N77" i="5" l="1"/>
  <c r="N78" i="5" l="1"/>
  <c r="N79" i="5" l="1"/>
  <c r="N80" i="5" l="1"/>
  <c r="N81" i="5" l="1"/>
  <c r="N82" i="5" l="1"/>
  <c r="N83" i="5" l="1"/>
  <c r="N84" i="5" l="1"/>
  <c r="N85" i="5" l="1"/>
  <c r="N86" i="5" l="1"/>
  <c r="N87" i="5" l="1"/>
  <c r="N88" i="5" l="1"/>
  <c r="N89" i="5" l="1"/>
  <c r="N90" i="5" l="1"/>
  <c r="N91" i="5" l="1"/>
  <c r="N92" i="5" l="1"/>
  <c r="N93" i="5" l="1"/>
  <c r="N94" i="5" l="1"/>
  <c r="N95" i="5" l="1"/>
  <c r="N96" i="5" l="1"/>
  <c r="N97" i="5" l="1"/>
  <c r="N98" i="5" l="1"/>
  <c r="N99" i="5" l="1"/>
  <c r="N100" i="5" l="1"/>
  <c r="N101" i="5" l="1"/>
  <c r="N102" i="5" l="1"/>
  <c r="N103" i="5" l="1"/>
  <c r="N104" i="5" l="1"/>
  <c r="N105" i="5" l="1"/>
  <c r="N106" i="5" l="1"/>
  <c r="N107" i="5" l="1"/>
  <c r="N108" i="5" l="1"/>
  <c r="N109" i="5" l="1"/>
  <c r="N110" i="5" l="1"/>
  <c r="N111" i="5" l="1"/>
  <c r="N112" i="5" l="1"/>
  <c r="N113" i="5" l="1"/>
  <c r="N114" i="5" l="1"/>
  <c r="N115" i="5" l="1"/>
  <c r="N116" i="5" l="1"/>
  <c r="N117" i="5" l="1"/>
  <c r="N118" i="5" l="1"/>
  <c r="N119" i="5" l="1"/>
  <c r="N120" i="5" l="1"/>
  <c r="N121" i="5" l="1"/>
  <c r="N122" i="5" l="1"/>
  <c r="N123" i="5" l="1"/>
  <c r="N124" i="5" l="1"/>
  <c r="N125" i="5" l="1"/>
  <c r="N126" i="5" l="1"/>
  <c r="N127" i="5" l="1"/>
  <c r="N128" i="5" l="1"/>
  <c r="N129" i="5" l="1"/>
  <c r="N130" i="5" l="1"/>
  <c r="N131" i="5" l="1"/>
  <c r="N132" i="5" l="1"/>
  <c r="N133" i="5" l="1"/>
  <c r="N134" i="5" l="1"/>
  <c r="N135" i="5" l="1"/>
  <c r="N136" i="5" l="1"/>
  <c r="N137" i="5" l="1"/>
  <c r="N138" i="5" l="1"/>
  <c r="N139" i="5" l="1"/>
  <c r="N140" i="5" l="1"/>
  <c r="N141" i="5" l="1"/>
  <c r="N142" i="5" l="1"/>
  <c r="N143" i="5" l="1"/>
  <c r="N144" i="5" l="1"/>
  <c r="N145" i="5" l="1"/>
  <c r="N146" i="5" l="1"/>
  <c r="N147" i="5" l="1"/>
  <c r="N148" i="5" l="1"/>
  <c r="N149" i="5" l="1"/>
  <c r="N150" i="5" l="1"/>
  <c r="N151" i="5" l="1"/>
  <c r="N152" i="5" l="1"/>
  <c r="N153" i="5" l="1"/>
  <c r="N154" i="5" l="1"/>
  <c r="N155" i="5" l="1"/>
  <c r="N156" i="5" l="1"/>
  <c r="N157" i="5" l="1"/>
  <c r="N158" i="5" l="1"/>
  <c r="N159" i="5" l="1"/>
  <c r="N160" i="5" l="1"/>
  <c r="N161" i="5" l="1"/>
  <c r="N162" i="5" l="1"/>
  <c r="N163" i="5" l="1"/>
  <c r="N164" i="5" l="1"/>
  <c r="N165" i="5" l="1"/>
  <c r="N166" i="5" l="1"/>
  <c r="N167" i="5" l="1"/>
  <c r="N168" i="5" l="1"/>
  <c r="N169" i="5" l="1"/>
  <c r="N170" i="5" l="1"/>
  <c r="N171" i="5" l="1"/>
  <c r="N172" i="5" l="1"/>
  <c r="N173" i="5" l="1"/>
  <c r="N174" i="5" l="1"/>
  <c r="N175" i="5" l="1"/>
  <c r="N176" i="5" l="1"/>
  <c r="N177" i="5" l="1"/>
  <c r="N178" i="5" l="1"/>
  <c r="N179" i="5" l="1"/>
  <c r="N180" i="5" l="1"/>
  <c r="N181" i="5" l="1"/>
  <c r="N182" i="5" l="1"/>
  <c r="N183" i="5" l="1"/>
  <c r="N184" i="5" l="1"/>
  <c r="N185" i="5" l="1"/>
  <c r="N186" i="5" l="1"/>
  <c r="N187" i="5" l="1"/>
  <c r="N188" i="5" l="1"/>
  <c r="N189" i="5" l="1"/>
  <c r="N190" i="5" l="1"/>
  <c r="N191" i="5" l="1"/>
  <c r="N192" i="5" l="1"/>
  <c r="N193" i="5" l="1"/>
  <c r="N194" i="5" l="1"/>
  <c r="N195" i="5" l="1"/>
  <c r="N196" i="5" l="1"/>
  <c r="N197" i="5" l="1"/>
  <c r="N198" i="5" l="1"/>
  <c r="N199" i="5" l="1"/>
  <c r="N200" i="5" l="1"/>
  <c r="N201" i="5" l="1"/>
  <c r="N202" i="5" l="1"/>
  <c r="N203" i="5" l="1"/>
  <c r="N204" i="5" l="1"/>
  <c r="N205" i="5" l="1"/>
  <c r="N206" i="5" l="1"/>
  <c r="N207" i="5" l="1"/>
  <c r="N208" i="5" l="1"/>
  <c r="N209" i="5" l="1"/>
  <c r="N210" i="5" l="1"/>
  <c r="N211" i="5" l="1"/>
  <c r="N212" i="5" l="1"/>
  <c r="N213" i="5" l="1"/>
  <c r="N214" i="5" l="1"/>
  <c r="N215" i="5" l="1"/>
  <c r="N216" i="5" l="1"/>
  <c r="N217" i="5" l="1"/>
  <c r="N218" i="5" l="1"/>
  <c r="N219" i="5" l="1"/>
  <c r="N220" i="5" l="1"/>
  <c r="N221" i="5" l="1"/>
  <c r="N222" i="5" l="1"/>
  <c r="N223" i="5" l="1"/>
  <c r="N224" i="5" l="1"/>
  <c r="N225" i="5" l="1"/>
  <c r="N226" i="5" l="1"/>
  <c r="N227" i="5" l="1"/>
  <c r="N228" i="5" l="1"/>
  <c r="N229" i="5" l="1"/>
  <c r="N230" i="5" l="1"/>
  <c r="N231" i="5" l="1"/>
  <c r="N232" i="5" l="1"/>
  <c r="N233" i="5" l="1"/>
  <c r="N234" i="5" l="1"/>
  <c r="N235" i="5" l="1"/>
  <c r="N236" i="5" l="1"/>
  <c r="N237" i="5" l="1"/>
  <c r="N238" i="5" l="1"/>
  <c r="N239" i="5" l="1"/>
  <c r="N240" i="5" l="1"/>
  <c r="N241" i="5" l="1"/>
  <c r="N242" i="5" l="1"/>
  <c r="N243" i="5" l="1"/>
  <c r="N244" i="5" l="1"/>
  <c r="N245" i="5" l="1"/>
  <c r="N246" i="5" l="1"/>
  <c r="N247" i="5" l="1"/>
  <c r="N248" i="5" l="1"/>
  <c r="N249" i="5" l="1"/>
  <c r="N250" i="5" l="1"/>
  <c r="N251" i="5" l="1"/>
  <c r="N252" i="5" l="1"/>
  <c r="N253" i="5" l="1"/>
  <c r="N254" i="5" l="1"/>
  <c r="N255" i="5" l="1"/>
  <c r="N256" i="5" l="1"/>
  <c r="N257" i="5" l="1"/>
  <c r="N258" i="5" l="1"/>
  <c r="N259" i="5" l="1"/>
  <c r="N260" i="5" l="1"/>
  <c r="N261" i="5" l="1"/>
  <c r="N262" i="5" l="1"/>
  <c r="N263" i="5" l="1"/>
  <c r="N264" i="5" l="1"/>
  <c r="N265" i="5" l="1"/>
  <c r="N266" i="5" l="1"/>
  <c r="N267" i="5" l="1"/>
  <c r="N268" i="5" l="1"/>
  <c r="N269" i="5" l="1"/>
  <c r="N270" i="5" l="1"/>
  <c r="N271" i="5" l="1"/>
  <c r="N272" i="5" l="1"/>
  <c r="N273" i="5" l="1"/>
  <c r="N274" i="5" l="1"/>
  <c r="N275" i="5" l="1"/>
  <c r="N276" i="5" l="1"/>
  <c r="N277" i="5" l="1"/>
  <c r="N278" i="5" l="1"/>
  <c r="N279" i="5" l="1"/>
  <c r="N280" i="5" l="1"/>
  <c r="N281" i="5" l="1"/>
  <c r="N282" i="5" l="1"/>
  <c r="N283" i="5" l="1"/>
  <c r="N284" i="5" l="1"/>
  <c r="N285" i="5" l="1"/>
  <c r="N286" i="5" l="1"/>
  <c r="N287" i="5" l="1"/>
  <c r="N288" i="5" l="1"/>
  <c r="N289" i="5" l="1"/>
  <c r="N290" i="5" l="1"/>
  <c r="N291" i="5" l="1"/>
  <c r="N292" i="5" l="1"/>
  <c r="N293" i="5" l="1"/>
  <c r="N294" i="5" l="1"/>
  <c r="N295" i="5" l="1"/>
  <c r="N296" i="5" l="1"/>
  <c r="N297" i="5" l="1"/>
  <c r="N298" i="5" l="1"/>
  <c r="N299" i="5" l="1"/>
  <c r="N300" i="5" l="1"/>
  <c r="N301" i="5" l="1"/>
  <c r="N302" i="5" l="1"/>
  <c r="N303" i="5" l="1"/>
  <c r="N304" i="5" l="1"/>
  <c r="N305" i="5" l="1"/>
  <c r="N306" i="5" l="1"/>
  <c r="N307" i="5" l="1"/>
  <c r="N308" i="5" l="1"/>
  <c r="N309" i="5" l="1"/>
  <c r="N310" i="5" l="1"/>
  <c r="N311" i="5" l="1"/>
  <c r="N312" i="5" l="1"/>
  <c r="N313" i="5" l="1"/>
  <c r="N314" i="5" l="1"/>
  <c r="N315" i="5" l="1"/>
  <c r="N316" i="5" l="1"/>
  <c r="N317" i="5" l="1"/>
  <c r="N318" i="5" l="1"/>
  <c r="N319" i="5" l="1"/>
  <c r="N320" i="5" l="1"/>
  <c r="N321" i="5" l="1"/>
  <c r="N322" i="5" l="1"/>
  <c r="N323" i="5" l="1"/>
  <c r="N324" i="5" l="1"/>
  <c r="N325" i="5" l="1"/>
  <c r="N326" i="5" l="1"/>
  <c r="N327" i="5" l="1"/>
  <c r="N328" i="5" l="1"/>
  <c r="N329" i="5" l="1"/>
  <c r="N330" i="5" l="1"/>
  <c r="N331" i="5" l="1"/>
  <c r="N332" i="5" l="1"/>
  <c r="N333" i="5" l="1"/>
  <c r="N334" i="5" l="1"/>
  <c r="N335" i="5" l="1"/>
  <c r="N336" i="5" l="1"/>
  <c r="N337" i="5" l="1"/>
  <c r="N338" i="5" l="1"/>
  <c r="N339" i="5" l="1"/>
  <c r="N340" i="5" l="1"/>
  <c r="N341" i="5" l="1"/>
  <c r="N342" i="5" l="1"/>
  <c r="N343" i="5" l="1"/>
  <c r="N344" i="5" l="1"/>
  <c r="N345" i="5" l="1"/>
  <c r="N346" i="5" l="1"/>
  <c r="N347" i="5" l="1"/>
  <c r="N348" i="5" l="1"/>
  <c r="N349" i="5" l="1"/>
  <c r="N350" i="5" l="1"/>
  <c r="N351" i="5" l="1"/>
  <c r="N352" i="5" l="1"/>
  <c r="N353" i="5" l="1"/>
  <c r="N354" i="5" l="1"/>
  <c r="N355" i="5" l="1"/>
  <c r="N356" i="5" l="1"/>
  <c r="N357" i="5" l="1"/>
  <c r="N358" i="5" l="1"/>
  <c r="N359" i="5" l="1"/>
  <c r="N360" i="5" l="1"/>
  <c r="N361" i="5" l="1"/>
  <c r="N362" i="5" l="1"/>
  <c r="N363" i="5" l="1"/>
  <c r="N364" i="5" l="1"/>
  <c r="N365" i="5" l="1"/>
  <c r="N366" i="5" l="1"/>
  <c r="N367" i="5" l="1"/>
  <c r="N368" i="5" l="1"/>
  <c r="N369" i="5" l="1"/>
  <c r="N370" i="5" l="1"/>
  <c r="N371" i="5" l="1"/>
  <c r="N372" i="5" l="1"/>
  <c r="N373" i="5" l="1"/>
  <c r="N374" i="5" l="1"/>
  <c r="N375" i="5" l="1"/>
  <c r="N376" i="5" l="1"/>
  <c r="N377" i="5" l="1"/>
  <c r="N378" i="5" l="1"/>
  <c r="N379" i="5" l="1"/>
  <c r="N380" i="5" l="1"/>
  <c r="N381" i="5" l="1"/>
  <c r="N382" i="5" l="1"/>
  <c r="N383" i="5" l="1"/>
  <c r="N384" i="5" l="1"/>
  <c r="N385" i="5" l="1"/>
  <c r="N386" i="5" l="1"/>
  <c r="N387" i="5" l="1"/>
  <c r="N388" i="5" l="1"/>
  <c r="N389" i="5" l="1"/>
  <c r="N390" i="5" l="1"/>
  <c r="N391" i="5" l="1"/>
  <c r="N392" i="5" l="1"/>
  <c r="N393" i="5" l="1"/>
  <c r="N394" i="5" l="1"/>
  <c r="N395" i="5" l="1"/>
  <c r="N396" i="5" l="1"/>
  <c r="N397" i="5" l="1"/>
  <c r="N398" i="5" l="1"/>
  <c r="N399" i="5" l="1"/>
  <c r="N400" i="5" l="1"/>
  <c r="N401" i="5" l="1"/>
  <c r="N402" i="5" l="1"/>
  <c r="N403" i="5" l="1"/>
  <c r="N404" i="5" l="1"/>
  <c r="N405" i="5" l="1"/>
  <c r="N406" i="5" l="1"/>
  <c r="N407" i="5" l="1"/>
  <c r="N408" i="5" l="1"/>
  <c r="N409" i="5" l="1"/>
  <c r="N410" i="5" l="1"/>
  <c r="N411" i="5" l="1"/>
  <c r="N412" i="5" l="1"/>
  <c r="N413" i="5" l="1"/>
  <c r="N414" i="5" l="1"/>
  <c r="N415" i="5" l="1"/>
  <c r="N416" i="5" l="1"/>
  <c r="N417" i="5" l="1"/>
  <c r="N418" i="5" l="1"/>
  <c r="N419" i="5" l="1"/>
  <c r="N420" i="5" l="1"/>
  <c r="N421" i="5" l="1"/>
  <c r="N422" i="5" l="1"/>
  <c r="N423" i="5" l="1"/>
  <c r="N424" i="5" l="1"/>
  <c r="N425" i="5" l="1"/>
  <c r="N426" i="5" l="1"/>
  <c r="N427" i="5" l="1"/>
  <c r="N428" i="5" l="1"/>
  <c r="N429" i="5" l="1"/>
  <c r="N430" i="5" l="1"/>
  <c r="N431" i="5" l="1"/>
  <c r="N432" i="5" l="1"/>
  <c r="N433" i="5" l="1"/>
  <c r="N434" i="5" l="1"/>
  <c r="N435" i="5" l="1"/>
  <c r="N436" i="5" l="1"/>
  <c r="N437" i="5" l="1"/>
  <c r="N438" i="5" l="1"/>
  <c r="N439" i="5" l="1"/>
  <c r="N440" i="5" l="1"/>
  <c r="N441" i="5" l="1"/>
  <c r="P21" i="5" l="1"/>
  <c r="Q21" i="5" s="1"/>
  <c r="R21" i="5" s="1"/>
  <c r="P89" i="5"/>
  <c r="Q89" i="5" s="1"/>
  <c r="R89" i="5" s="1"/>
  <c r="P53" i="5"/>
  <c r="Q53" i="5" s="1"/>
  <c r="R53" i="5" s="1"/>
  <c r="P165" i="5"/>
  <c r="Q165" i="5" s="1"/>
  <c r="R165" i="5" s="1"/>
  <c r="P392" i="5"/>
  <c r="Q392" i="5" s="1"/>
  <c r="R392" i="5" s="1"/>
  <c r="P300" i="5"/>
  <c r="Q300" i="5" s="1"/>
  <c r="R300" i="5" s="1"/>
  <c r="P112" i="5"/>
  <c r="Q112" i="5" s="1"/>
  <c r="R112" i="5" s="1"/>
  <c r="P118" i="5"/>
  <c r="Q118" i="5" s="1"/>
  <c r="R118" i="5" s="1"/>
  <c r="P428" i="5"/>
  <c r="Q428" i="5" s="1"/>
  <c r="R428" i="5" s="1"/>
  <c r="P182" i="5"/>
  <c r="Q182" i="5" s="1"/>
  <c r="R182" i="5" s="1"/>
  <c r="P359" i="5"/>
  <c r="Q359" i="5" s="1"/>
  <c r="R359" i="5" s="1"/>
  <c r="P258" i="5"/>
  <c r="Q258" i="5" s="1"/>
  <c r="R258" i="5" s="1"/>
  <c r="P352" i="5"/>
  <c r="Q352" i="5" s="1"/>
  <c r="R352" i="5" s="1"/>
  <c r="P122" i="5"/>
  <c r="Q122" i="5" s="1"/>
  <c r="R122" i="5" s="1"/>
  <c r="P283" i="5"/>
  <c r="Q283" i="5" s="1"/>
  <c r="R283" i="5" s="1"/>
  <c r="P128" i="5"/>
  <c r="Q128" i="5" s="1"/>
  <c r="R128" i="5" s="1"/>
  <c r="P149" i="5"/>
  <c r="Q149" i="5" s="1"/>
  <c r="R149" i="5" s="1"/>
  <c r="P308" i="5"/>
  <c r="Q308" i="5" s="1"/>
  <c r="R308" i="5" s="1"/>
  <c r="P210" i="5"/>
  <c r="Q210" i="5" s="1"/>
  <c r="R210" i="5" s="1"/>
  <c r="P291" i="5"/>
  <c r="Q291" i="5" s="1"/>
  <c r="R291" i="5" s="1"/>
  <c r="P409" i="5"/>
  <c r="Q409" i="5" s="1"/>
  <c r="R409" i="5" s="1"/>
  <c r="P150" i="5"/>
  <c r="Q150" i="5" s="1"/>
  <c r="R150" i="5" s="1"/>
  <c r="P85" i="5"/>
  <c r="Q85" i="5" s="1"/>
  <c r="R85" i="5" s="1"/>
  <c r="P306" i="5"/>
  <c r="Q306" i="5" s="1"/>
  <c r="R306" i="5" s="1"/>
  <c r="P295" i="5"/>
  <c r="Q295" i="5" s="1"/>
  <c r="R295" i="5" s="1"/>
  <c r="P289" i="5"/>
  <c r="Q289" i="5" s="1"/>
  <c r="R289" i="5" s="1"/>
  <c r="P345" i="5"/>
  <c r="Q345" i="5" s="1"/>
  <c r="R345" i="5" s="1"/>
  <c r="P249" i="5"/>
  <c r="Q249" i="5" s="1"/>
  <c r="R249" i="5" s="1"/>
  <c r="P125" i="5"/>
  <c r="Q125" i="5" s="1"/>
  <c r="R125" i="5" s="1"/>
  <c r="P382" i="5"/>
  <c r="Q382" i="5" s="1"/>
  <c r="R382" i="5" s="1"/>
  <c r="P294" i="5"/>
  <c r="Q294" i="5" s="1"/>
  <c r="R294" i="5" s="1"/>
  <c r="P314" i="5"/>
  <c r="Q314" i="5" s="1"/>
  <c r="R314" i="5" s="1"/>
  <c r="P123" i="5"/>
  <c r="Q123" i="5" s="1"/>
  <c r="R123" i="5" s="1"/>
  <c r="P285" i="5"/>
  <c r="Q285" i="5" s="1"/>
  <c r="R285" i="5" s="1"/>
  <c r="P15" i="5"/>
  <c r="Q15" i="5" s="1"/>
  <c r="R15" i="5" s="1"/>
  <c r="P131" i="5"/>
  <c r="Q131" i="5" s="1"/>
  <c r="R131" i="5" s="1"/>
  <c r="P422" i="5"/>
  <c r="Q422" i="5" s="1"/>
  <c r="R422" i="5" s="1"/>
  <c r="P134" i="5"/>
  <c r="Q134" i="5" s="1"/>
  <c r="R134" i="5" s="1"/>
  <c r="P101" i="5"/>
  <c r="Q101" i="5" s="1"/>
  <c r="R101" i="5" s="1"/>
  <c r="P97" i="5"/>
  <c r="Q97" i="5" s="1"/>
  <c r="R97" i="5" s="1"/>
  <c r="P438" i="5"/>
  <c r="Q438" i="5" s="1"/>
  <c r="R438" i="5" s="1"/>
  <c r="P288" i="5"/>
  <c r="Q288" i="5" s="1"/>
  <c r="R288" i="5" s="1"/>
  <c r="P406" i="5"/>
  <c r="Q406" i="5" s="1"/>
  <c r="R406" i="5" s="1"/>
  <c r="P272" i="5"/>
  <c r="Q272" i="5" s="1"/>
  <c r="R272" i="5" s="1"/>
  <c r="P37" i="5"/>
  <c r="Q37" i="5" s="1"/>
  <c r="R37" i="5" s="1"/>
  <c r="P290" i="5"/>
  <c r="Q290" i="5" s="1"/>
  <c r="R290" i="5" s="1"/>
  <c r="P310" i="5"/>
  <c r="Q310" i="5" s="1"/>
  <c r="R310" i="5" s="1"/>
  <c r="P18" i="5"/>
  <c r="Q18" i="5" s="1"/>
  <c r="R18" i="5" s="1"/>
  <c r="P260" i="5"/>
  <c r="Q260" i="5" s="1"/>
  <c r="R260" i="5" s="1"/>
  <c r="P245" i="5"/>
  <c r="Q245" i="5" s="1"/>
  <c r="R245" i="5" s="1"/>
  <c r="P60" i="5"/>
  <c r="Q60" i="5" s="1"/>
  <c r="R60" i="5" s="1"/>
  <c r="P213" i="5"/>
  <c r="Q213" i="5" s="1"/>
  <c r="R213" i="5" s="1"/>
  <c r="P340" i="5"/>
  <c r="Q340" i="5" s="1"/>
  <c r="R340" i="5" s="1"/>
  <c r="P192" i="5"/>
  <c r="Q192" i="5" s="1"/>
  <c r="R192" i="5" s="1"/>
  <c r="P147" i="5"/>
  <c r="Q147" i="5" s="1"/>
  <c r="R147" i="5" s="1"/>
  <c r="P347" i="5"/>
  <c r="Q347" i="5" s="1"/>
  <c r="R347" i="5" s="1"/>
  <c r="P163" i="5"/>
  <c r="Q163" i="5" s="1"/>
  <c r="R163" i="5" s="1"/>
  <c r="P299" i="5"/>
  <c r="Q299" i="5" s="1"/>
  <c r="R299" i="5" s="1"/>
  <c r="P262" i="5"/>
  <c r="Q262" i="5" s="1"/>
  <c r="R262" i="5" s="1"/>
  <c r="P267" i="5"/>
  <c r="Q267" i="5" s="1"/>
  <c r="R267" i="5" s="1"/>
  <c r="P375" i="5"/>
  <c r="Q375" i="5" s="1"/>
  <c r="R375" i="5" s="1"/>
  <c r="P323" i="5"/>
  <c r="Q323" i="5" s="1"/>
  <c r="R323" i="5" s="1"/>
  <c r="P427" i="5"/>
  <c r="Q427" i="5" s="1"/>
  <c r="R427" i="5" s="1"/>
  <c r="P318" i="5"/>
  <c r="Q318" i="5" s="1"/>
  <c r="R318" i="5" s="1"/>
  <c r="P135" i="5"/>
  <c r="Q135" i="5" s="1"/>
  <c r="R135" i="5" s="1"/>
  <c r="P162" i="5"/>
  <c r="Q162" i="5" s="1"/>
  <c r="R162" i="5" s="1"/>
  <c r="P103" i="5"/>
  <c r="Q103" i="5" s="1"/>
  <c r="R103" i="5" s="1"/>
  <c r="P20" i="5"/>
  <c r="Q20" i="5" s="1"/>
  <c r="R20" i="5" s="1"/>
  <c r="P156" i="5"/>
  <c r="Q156" i="5" s="1"/>
  <c r="R156" i="5" s="1"/>
  <c r="P72" i="5"/>
  <c r="Q72" i="5" s="1"/>
  <c r="R72" i="5" s="1"/>
  <c r="P132" i="5"/>
  <c r="Q132" i="5" s="1"/>
  <c r="R132" i="5" s="1"/>
  <c r="P174" i="5"/>
  <c r="Q174" i="5" s="1"/>
  <c r="R174" i="5" s="1"/>
  <c r="P385" i="5"/>
  <c r="Q385" i="5" s="1"/>
  <c r="R385" i="5" s="1"/>
  <c r="P417" i="5"/>
  <c r="Q417" i="5" s="1"/>
  <c r="R417" i="5" s="1"/>
  <c r="P196" i="5"/>
  <c r="Q196" i="5" s="1"/>
  <c r="R196" i="5" s="1"/>
  <c r="P114" i="5"/>
  <c r="Q114" i="5" s="1"/>
  <c r="R114" i="5" s="1"/>
  <c r="P43" i="5"/>
  <c r="Q43" i="5" s="1"/>
  <c r="R43" i="5" s="1"/>
  <c r="P81" i="5"/>
  <c r="Q81" i="5" s="1"/>
  <c r="R81" i="5" s="1"/>
  <c r="P214" i="5"/>
  <c r="Q214" i="5" s="1"/>
  <c r="R214" i="5" s="1"/>
  <c r="P401" i="5"/>
  <c r="Q401" i="5" s="1"/>
  <c r="R401" i="5" s="1"/>
  <c r="P171" i="5"/>
  <c r="Q171" i="5" s="1"/>
  <c r="R171" i="5" s="1"/>
  <c r="P50" i="5"/>
  <c r="Q50" i="5" s="1"/>
  <c r="R50" i="5" s="1"/>
  <c r="P168" i="5"/>
  <c r="Q168" i="5" s="1"/>
  <c r="R168" i="5" s="1"/>
  <c r="P339" i="5"/>
  <c r="Q339" i="5" s="1"/>
  <c r="R339" i="5" s="1"/>
  <c r="P216" i="5"/>
  <c r="Q216" i="5" s="1"/>
  <c r="R216" i="5" s="1"/>
  <c r="P266" i="5"/>
  <c r="Q266" i="5" s="1"/>
  <c r="R266" i="5" s="1"/>
  <c r="P195" i="5"/>
  <c r="Q195" i="5" s="1"/>
  <c r="R195" i="5" s="1"/>
  <c r="P229" i="5"/>
  <c r="Q229" i="5" s="1"/>
  <c r="R229" i="5" s="1"/>
  <c r="P329" i="5"/>
  <c r="Q329" i="5" s="1"/>
  <c r="R329" i="5" s="1"/>
  <c r="P22" i="5"/>
  <c r="Q22" i="5" s="1"/>
  <c r="R22" i="5" s="1"/>
  <c r="P408" i="5"/>
  <c r="Q408" i="5" s="1"/>
  <c r="R408" i="5" s="1"/>
  <c r="P24" i="5"/>
  <c r="Q24" i="5" s="1"/>
  <c r="R24" i="5" s="1"/>
  <c r="P177" i="5"/>
  <c r="Q177" i="5" s="1"/>
  <c r="R177" i="5" s="1"/>
  <c r="P419" i="5"/>
  <c r="Q419" i="5" s="1"/>
  <c r="R419" i="5" s="1"/>
  <c r="P395" i="5"/>
  <c r="Q395" i="5" s="1"/>
  <c r="R395" i="5" s="1"/>
  <c r="P311" i="5"/>
  <c r="Q311" i="5" s="1"/>
  <c r="R311" i="5" s="1"/>
  <c r="P255" i="5"/>
  <c r="Q255" i="5" s="1"/>
  <c r="R255" i="5" s="1"/>
  <c r="P412" i="5"/>
  <c r="Q412" i="5" s="1"/>
  <c r="R412" i="5" s="1"/>
  <c r="P219" i="5"/>
  <c r="Q219" i="5" s="1"/>
  <c r="R219" i="5" s="1"/>
  <c r="P211" i="5"/>
  <c r="Q211" i="5" s="1"/>
  <c r="R211" i="5" s="1"/>
  <c r="P61" i="5"/>
  <c r="Q61" i="5" s="1"/>
  <c r="R61" i="5" s="1"/>
  <c r="P388" i="5"/>
  <c r="Q388" i="5" s="1"/>
  <c r="R388" i="5" s="1"/>
  <c r="P208" i="5"/>
  <c r="Q208" i="5" s="1"/>
  <c r="R208" i="5" s="1"/>
  <c r="P109" i="5"/>
  <c r="Q109" i="5" s="1"/>
  <c r="R109" i="5" s="1"/>
  <c r="P108" i="5"/>
  <c r="Q108" i="5" s="1"/>
  <c r="R108" i="5" s="1"/>
  <c r="P142" i="5"/>
  <c r="Q142" i="5" s="1"/>
  <c r="R142" i="5" s="1"/>
  <c r="P391" i="5"/>
  <c r="Q391" i="5" s="1"/>
  <c r="R391" i="5" s="1"/>
  <c r="P324" i="5"/>
  <c r="Q324" i="5" s="1"/>
  <c r="R324" i="5" s="1"/>
  <c r="P203" i="5"/>
  <c r="Q203" i="5" s="1"/>
  <c r="R203" i="5" s="1"/>
  <c r="P228" i="5"/>
  <c r="Q228" i="5" s="1"/>
  <c r="R228" i="5" s="1"/>
  <c r="P100" i="5"/>
  <c r="Q100" i="5" s="1"/>
  <c r="R100" i="5" s="1"/>
  <c r="P14" i="5"/>
  <c r="Q14" i="5" s="1"/>
  <c r="R14" i="5" s="1"/>
  <c r="P138" i="5"/>
  <c r="Q138" i="5" s="1"/>
  <c r="R138" i="5" s="1"/>
  <c r="P94" i="5"/>
  <c r="Q94" i="5" s="1"/>
  <c r="R94" i="5" s="1"/>
  <c r="P286" i="5"/>
  <c r="Q286" i="5" s="1"/>
  <c r="R286" i="5" s="1"/>
  <c r="P414" i="5"/>
  <c r="Q414" i="5" s="1"/>
  <c r="R414" i="5" s="1"/>
  <c r="P237" i="5"/>
  <c r="Q237" i="5" s="1"/>
  <c r="R237" i="5" s="1"/>
  <c r="P441" i="5"/>
  <c r="Q441" i="5" s="1"/>
  <c r="R441" i="5" s="1"/>
  <c r="P186" i="5"/>
  <c r="Q186" i="5" s="1"/>
  <c r="R186" i="5" s="1"/>
  <c r="P425" i="5"/>
  <c r="Q425" i="5" s="1"/>
  <c r="R425" i="5" s="1"/>
  <c r="P116" i="5"/>
  <c r="Q116" i="5" s="1"/>
  <c r="R116" i="5" s="1"/>
  <c r="P282" i="5"/>
  <c r="Q282" i="5" s="1"/>
  <c r="R282" i="5" s="1"/>
  <c r="P45" i="5"/>
  <c r="Q45" i="5" s="1"/>
  <c r="R45" i="5" s="1"/>
  <c r="P63" i="5"/>
  <c r="Q63" i="5" s="1"/>
  <c r="R63" i="5" s="1"/>
  <c r="P49" i="5"/>
  <c r="Q49" i="5" s="1"/>
  <c r="R49" i="5" s="1"/>
  <c r="P432" i="5"/>
  <c r="Q432" i="5" s="1"/>
  <c r="R432" i="5" s="1"/>
  <c r="P253" i="5"/>
  <c r="Q253" i="5" s="1"/>
  <c r="R253" i="5" s="1"/>
  <c r="P400" i="5"/>
  <c r="Q400" i="5" s="1"/>
  <c r="R400" i="5" s="1"/>
  <c r="P399" i="5"/>
  <c r="Q399" i="5" s="1"/>
  <c r="R399" i="5" s="1"/>
  <c r="P265" i="5"/>
  <c r="Q265" i="5" s="1"/>
  <c r="R265" i="5" s="1"/>
  <c r="P41" i="5"/>
  <c r="Q41" i="5" s="1"/>
  <c r="R41" i="5" s="1"/>
  <c r="P404" i="5"/>
  <c r="Q404" i="5" s="1"/>
  <c r="R404" i="5" s="1"/>
  <c r="P234" i="5"/>
  <c r="Q234" i="5" s="1"/>
  <c r="R234" i="5" s="1"/>
  <c r="P126" i="5"/>
  <c r="Q126" i="5" s="1"/>
  <c r="R126" i="5" s="1"/>
  <c r="P426" i="5"/>
  <c r="Q426" i="5" s="1"/>
  <c r="R426" i="5" s="1"/>
  <c r="P378" i="5"/>
  <c r="Q378" i="5" s="1"/>
  <c r="R378" i="5" s="1"/>
  <c r="P199" i="5"/>
  <c r="Q199" i="5" s="1"/>
  <c r="R199" i="5" s="1"/>
  <c r="P23" i="5"/>
  <c r="Q23" i="5" s="1"/>
  <c r="R23" i="5" s="1"/>
  <c r="P180" i="5"/>
  <c r="Q180" i="5" s="1"/>
  <c r="R180" i="5" s="1"/>
  <c r="P397" i="5"/>
  <c r="Q397" i="5" s="1"/>
  <c r="R397" i="5" s="1"/>
  <c r="P271" i="5"/>
  <c r="Q271" i="5" s="1"/>
  <c r="R271" i="5" s="1"/>
  <c r="P218" i="5"/>
  <c r="Q218" i="5" s="1"/>
  <c r="R218" i="5" s="1"/>
  <c r="P355" i="5"/>
  <c r="Q355" i="5" s="1"/>
  <c r="R355" i="5" s="1"/>
  <c r="P57" i="5"/>
  <c r="Q57" i="5" s="1"/>
  <c r="R57" i="5" s="1"/>
  <c r="P170" i="5"/>
  <c r="Q170" i="5" s="1"/>
  <c r="R170" i="5" s="1"/>
  <c r="P437" i="5"/>
  <c r="Q437" i="5" s="1"/>
  <c r="R437" i="5" s="1"/>
  <c r="P201" i="5"/>
  <c r="Q201" i="5" s="1"/>
  <c r="R201" i="5" s="1"/>
  <c r="P370" i="5"/>
  <c r="Q370" i="5" s="1"/>
  <c r="R370" i="5" s="1"/>
  <c r="P354" i="5"/>
  <c r="Q354" i="5" s="1"/>
  <c r="R354" i="5" s="1"/>
  <c r="P307" i="5"/>
  <c r="Q307" i="5" s="1"/>
  <c r="R307" i="5" s="1"/>
  <c r="P99" i="5"/>
  <c r="Q99" i="5" s="1"/>
  <c r="R99" i="5" s="1"/>
  <c r="P268" i="5"/>
  <c r="Q268" i="5" s="1"/>
  <c r="R268" i="5" s="1"/>
  <c r="P416" i="5"/>
  <c r="Q416" i="5" s="1"/>
  <c r="R416" i="5" s="1"/>
  <c r="P379" i="5"/>
  <c r="Q379" i="5" s="1"/>
  <c r="R379" i="5" s="1"/>
  <c r="P95" i="5"/>
  <c r="Q95" i="5" s="1"/>
  <c r="R95" i="5" s="1"/>
  <c r="P380" i="5"/>
  <c r="Q380" i="5" s="1"/>
  <c r="R380" i="5" s="1"/>
  <c r="P341" i="5"/>
  <c r="Q341" i="5" s="1"/>
  <c r="R341" i="5" s="1"/>
  <c r="P78" i="5"/>
  <c r="Q78" i="5" s="1"/>
  <c r="R78" i="5" s="1"/>
  <c r="P46" i="5"/>
  <c r="Q46" i="5" s="1"/>
  <c r="R46" i="5" s="1"/>
  <c r="P225" i="5"/>
  <c r="Q225" i="5" s="1"/>
  <c r="R225" i="5" s="1"/>
  <c r="P402" i="5"/>
  <c r="Q402" i="5" s="1"/>
  <c r="R402" i="5" s="1"/>
  <c r="P435" i="5"/>
  <c r="Q435" i="5" s="1"/>
  <c r="R435" i="5" s="1"/>
  <c r="P69" i="5"/>
  <c r="Q69" i="5" s="1"/>
  <c r="R69" i="5" s="1"/>
  <c r="P256" i="5"/>
  <c r="Q256" i="5" s="1"/>
  <c r="R256" i="5" s="1"/>
  <c r="P246" i="5"/>
  <c r="Q246" i="5" s="1"/>
  <c r="R246" i="5" s="1"/>
  <c r="P334" i="5"/>
  <c r="Q334" i="5" s="1"/>
  <c r="R334" i="5" s="1"/>
  <c r="P269" i="5"/>
  <c r="Q269" i="5" s="1"/>
  <c r="R269" i="5" s="1"/>
  <c r="P129" i="5"/>
  <c r="Q129" i="5" s="1"/>
  <c r="R129" i="5" s="1"/>
  <c r="P250" i="5"/>
  <c r="Q250" i="5" s="1"/>
  <c r="R250" i="5" s="1"/>
  <c r="P403" i="5"/>
  <c r="Q403" i="5" s="1"/>
  <c r="R403" i="5" s="1"/>
  <c r="P188" i="5"/>
  <c r="Q188" i="5" s="1"/>
  <c r="R188" i="5" s="1"/>
  <c r="P74" i="5"/>
  <c r="Q74" i="5" s="1"/>
  <c r="R74" i="5" s="1"/>
  <c r="P317" i="5"/>
  <c r="Q317" i="5" s="1"/>
  <c r="R317" i="5" s="1"/>
  <c r="P121" i="5"/>
  <c r="Q121" i="5" s="1"/>
  <c r="R121" i="5" s="1"/>
  <c r="P264" i="5"/>
  <c r="Q264" i="5" s="1"/>
  <c r="R264" i="5" s="1"/>
  <c r="P105" i="5"/>
  <c r="Q105" i="5" s="1"/>
  <c r="R105" i="5" s="1"/>
  <c r="P316" i="5"/>
  <c r="Q316" i="5" s="1"/>
  <c r="R316" i="5" s="1"/>
  <c r="P10" i="5"/>
  <c r="Q10" i="5" s="1"/>
  <c r="R10" i="5" s="1"/>
  <c r="P204" i="5"/>
  <c r="Q204" i="5" s="1"/>
  <c r="R204" i="5" s="1"/>
  <c r="P127" i="5"/>
  <c r="Q127" i="5" s="1"/>
  <c r="R127" i="5" s="1"/>
  <c r="P303" i="5"/>
  <c r="Q303" i="5" s="1"/>
  <c r="R303" i="5" s="1"/>
  <c r="P421" i="5"/>
  <c r="Q421" i="5" s="1"/>
  <c r="R421" i="5" s="1"/>
  <c r="P281" i="5"/>
  <c r="Q281" i="5" s="1"/>
  <c r="R281" i="5" s="1"/>
  <c r="P56" i="5"/>
  <c r="Q56" i="5" s="1"/>
  <c r="R56" i="5" s="1"/>
  <c r="P107" i="5"/>
  <c r="Q107" i="5" s="1"/>
  <c r="R107" i="5" s="1"/>
  <c r="P111" i="5"/>
  <c r="Q111" i="5" s="1"/>
  <c r="R111" i="5" s="1"/>
  <c r="P280" i="5"/>
  <c r="Q280" i="5" s="1"/>
  <c r="R280" i="5" s="1"/>
  <c r="P70" i="5"/>
  <c r="Q70" i="5" s="1"/>
  <c r="R70" i="5" s="1"/>
  <c r="P48" i="5"/>
  <c r="Q48" i="5" s="1"/>
  <c r="R48" i="5" s="1"/>
  <c r="P338" i="5"/>
  <c r="Q338" i="5" s="1"/>
  <c r="R338" i="5" s="1"/>
  <c r="P98" i="5"/>
  <c r="Q98" i="5" s="1"/>
  <c r="R98" i="5" s="1"/>
  <c r="P119" i="5"/>
  <c r="Q119" i="5" s="1"/>
  <c r="R119" i="5" s="1"/>
  <c r="P242" i="5"/>
  <c r="Q242" i="5" s="1"/>
  <c r="R242" i="5" s="1"/>
  <c r="P12" i="5"/>
  <c r="Q12" i="5" s="1"/>
  <c r="R12" i="5" s="1"/>
  <c r="P152" i="5"/>
  <c r="Q152" i="5" s="1"/>
  <c r="R152" i="5" s="1"/>
  <c r="P247" i="5"/>
  <c r="Q247" i="5" s="1"/>
  <c r="R247" i="5" s="1"/>
  <c r="P362" i="5"/>
  <c r="Q362" i="5" s="1"/>
  <c r="R362" i="5" s="1"/>
  <c r="P336" i="5"/>
  <c r="Q336" i="5" s="1"/>
  <c r="R336" i="5" s="1"/>
  <c r="P312" i="5"/>
  <c r="Q312" i="5" s="1"/>
  <c r="R312" i="5" s="1"/>
  <c r="P148" i="5"/>
  <c r="Q148" i="5" s="1"/>
  <c r="R148" i="5" s="1"/>
  <c r="P235" i="5"/>
  <c r="Q235" i="5" s="1"/>
  <c r="R235" i="5" s="1"/>
  <c r="P39" i="5"/>
  <c r="Q39" i="5" s="1"/>
  <c r="R39" i="5" s="1"/>
  <c r="P407" i="5"/>
  <c r="Q407" i="5" s="1"/>
  <c r="R407" i="5" s="1"/>
  <c r="P254" i="5"/>
  <c r="Q254" i="5" s="1"/>
  <c r="R254" i="5" s="1"/>
  <c r="P429" i="5"/>
  <c r="Q429" i="5" s="1"/>
  <c r="R429" i="5" s="1"/>
  <c r="P40" i="5"/>
  <c r="Q40" i="5" s="1"/>
  <c r="R40" i="5" s="1"/>
  <c r="P413" i="5"/>
  <c r="Q413" i="5" s="1"/>
  <c r="R413" i="5" s="1"/>
  <c r="P251" i="5"/>
  <c r="Q251" i="5" s="1"/>
  <c r="R251" i="5" s="1"/>
  <c r="P222" i="5"/>
  <c r="Q222" i="5" s="1"/>
  <c r="R222" i="5" s="1"/>
  <c r="P185" i="5"/>
  <c r="Q185" i="5" s="1"/>
  <c r="R185" i="5" s="1"/>
  <c r="P431" i="5"/>
  <c r="Q431" i="5" s="1"/>
  <c r="R431" i="5" s="1"/>
  <c r="P55" i="5"/>
  <c r="Q55" i="5" s="1"/>
  <c r="R55" i="5" s="1"/>
  <c r="P276" i="5"/>
  <c r="Q276" i="5" s="1"/>
  <c r="R276" i="5" s="1"/>
  <c r="P82" i="5"/>
  <c r="Q82" i="5" s="1"/>
  <c r="R82" i="5" s="1"/>
  <c r="P59" i="5"/>
  <c r="Q59" i="5" s="1"/>
  <c r="R59" i="5" s="1"/>
  <c r="P66" i="5"/>
  <c r="Q66" i="5" s="1"/>
  <c r="R66" i="5" s="1"/>
  <c r="P328" i="5"/>
  <c r="Q328" i="5" s="1"/>
  <c r="R328" i="5" s="1"/>
  <c r="P360" i="5"/>
  <c r="Q360" i="5" s="1"/>
  <c r="R360" i="5" s="1"/>
  <c r="P200" i="5"/>
  <c r="Q200" i="5" s="1"/>
  <c r="R200" i="5" s="1"/>
  <c r="P394" i="5"/>
  <c r="Q394" i="5" s="1"/>
  <c r="R394" i="5" s="1"/>
  <c r="P54" i="5"/>
  <c r="Q54" i="5" s="1"/>
  <c r="R54" i="5" s="1"/>
  <c r="P25" i="5"/>
  <c r="Q25" i="5" s="1"/>
  <c r="R25" i="5" s="1"/>
  <c r="P333" i="5"/>
  <c r="Q333" i="5" s="1"/>
  <c r="R333" i="5" s="1"/>
  <c r="P51" i="5"/>
  <c r="Q51" i="5" s="1"/>
  <c r="R51" i="5" s="1"/>
  <c r="P221" i="5"/>
  <c r="Q221" i="5" s="1"/>
  <c r="R221" i="5" s="1"/>
  <c r="P155" i="5"/>
  <c r="Q155" i="5" s="1"/>
  <c r="R155" i="5" s="1"/>
  <c r="P143" i="5"/>
  <c r="Q143" i="5" s="1"/>
  <c r="R143" i="5" s="1"/>
  <c r="P167" i="5"/>
  <c r="Q167" i="5" s="1"/>
  <c r="R167" i="5" s="1"/>
  <c r="P76" i="5"/>
  <c r="Q76" i="5" s="1"/>
  <c r="R76" i="5" s="1"/>
  <c r="P236" i="5"/>
  <c r="Q236" i="5" s="1"/>
  <c r="R236" i="5" s="1"/>
  <c r="P346" i="5"/>
  <c r="Q346" i="5" s="1"/>
  <c r="R346" i="5" s="1"/>
  <c r="P241" i="5"/>
  <c r="Q241" i="5" s="1"/>
  <c r="R241" i="5" s="1"/>
  <c r="P415" i="5"/>
  <c r="Q415" i="5" s="1"/>
  <c r="R415" i="5" s="1"/>
  <c r="P327" i="5"/>
  <c r="Q327" i="5" s="1"/>
  <c r="R327" i="5" s="1"/>
  <c r="P190" i="5"/>
  <c r="Q190" i="5" s="1"/>
  <c r="R190" i="5" s="1"/>
  <c r="P337" i="5"/>
  <c r="Q337" i="5" s="1"/>
  <c r="R337" i="5" s="1"/>
  <c r="P411" i="5"/>
  <c r="Q411" i="5" s="1"/>
  <c r="R411" i="5" s="1"/>
  <c r="P206" i="5"/>
  <c r="Q206" i="5" s="1"/>
  <c r="R206" i="5" s="1"/>
  <c r="P389" i="5"/>
  <c r="Q389" i="5" s="1"/>
  <c r="R389" i="5" s="1"/>
  <c r="P357" i="5"/>
  <c r="Q357" i="5" s="1"/>
  <c r="R357" i="5" s="1"/>
  <c r="P87" i="5"/>
  <c r="Q87" i="5" s="1"/>
  <c r="R87" i="5" s="1"/>
  <c r="P270" i="5"/>
  <c r="Q270" i="5" s="1"/>
  <c r="R270" i="5" s="1"/>
  <c r="P263" i="5"/>
  <c r="Q263" i="5" s="1"/>
  <c r="R263" i="5" s="1"/>
  <c r="P137" i="5"/>
  <c r="Q137" i="5" s="1"/>
  <c r="R137" i="5" s="1"/>
  <c r="P377" i="5"/>
  <c r="Q377" i="5" s="1"/>
  <c r="R377" i="5" s="1"/>
  <c r="P361" i="5"/>
  <c r="Q361" i="5" s="1"/>
  <c r="R361" i="5" s="1"/>
  <c r="P381" i="5"/>
  <c r="Q381" i="5" s="1"/>
  <c r="R381" i="5" s="1"/>
  <c r="P259" i="5"/>
  <c r="Q259" i="5" s="1"/>
  <c r="R259" i="5" s="1"/>
  <c r="P396" i="5"/>
  <c r="Q396" i="5" s="1"/>
  <c r="R396" i="5" s="1"/>
  <c r="P348" i="5"/>
  <c r="Q348" i="5" s="1"/>
  <c r="R348" i="5" s="1"/>
  <c r="P330" i="5"/>
  <c r="Q330" i="5" s="1"/>
  <c r="R330" i="5" s="1"/>
  <c r="P386" i="5"/>
  <c r="Q386" i="5" s="1"/>
  <c r="R386" i="5" s="1"/>
  <c r="P215" i="5"/>
  <c r="Q215" i="5" s="1"/>
  <c r="R215" i="5" s="1"/>
  <c r="P231" i="5"/>
  <c r="Q231" i="5" s="1"/>
  <c r="R231" i="5" s="1"/>
  <c r="P19" i="5"/>
  <c r="Q19" i="5" s="1"/>
  <c r="R19" i="5" s="1"/>
  <c r="P157" i="5"/>
  <c r="Q157" i="5" s="1"/>
  <c r="R157" i="5" s="1"/>
  <c r="P68" i="5"/>
  <c r="Q68" i="5" s="1"/>
  <c r="R68" i="5" s="1"/>
  <c r="P65" i="5"/>
  <c r="Q65" i="5" s="1"/>
  <c r="R65" i="5" s="1"/>
  <c r="P183" i="5"/>
  <c r="Q183" i="5" s="1"/>
  <c r="R183" i="5" s="1"/>
  <c r="P38" i="5"/>
  <c r="Q38" i="5" s="1"/>
  <c r="R38" i="5" s="1"/>
  <c r="P319" i="5"/>
  <c r="Q319" i="5" s="1"/>
  <c r="R319" i="5" s="1"/>
  <c r="P275" i="5"/>
  <c r="Q275" i="5" s="1"/>
  <c r="R275" i="5" s="1"/>
  <c r="P350" i="5"/>
  <c r="Q350" i="5" s="1"/>
  <c r="R350" i="5" s="1"/>
  <c r="P158" i="5"/>
  <c r="Q158" i="5" s="1"/>
  <c r="R158" i="5" s="1"/>
  <c r="P32" i="5"/>
  <c r="Q32" i="5" s="1"/>
  <c r="R32" i="5" s="1"/>
  <c r="P153" i="5"/>
  <c r="Q153" i="5" s="1"/>
  <c r="R153" i="5" s="1"/>
  <c r="P83" i="5"/>
  <c r="Q83" i="5" s="1"/>
  <c r="R83" i="5" s="1"/>
  <c r="P287" i="5"/>
  <c r="Q287" i="5" s="1"/>
  <c r="R287" i="5" s="1"/>
  <c r="P423" i="5"/>
  <c r="Q423" i="5" s="1"/>
  <c r="R423" i="5" s="1"/>
  <c r="P181" i="5"/>
  <c r="Q181" i="5" s="1"/>
  <c r="R181" i="5" s="1"/>
  <c r="P197" i="5"/>
  <c r="Q197" i="5" s="1"/>
  <c r="R197" i="5" s="1"/>
  <c r="P47" i="5"/>
  <c r="Q47" i="5" s="1"/>
  <c r="R47" i="5" s="1"/>
  <c r="P169" i="5"/>
  <c r="Q169" i="5" s="1"/>
  <c r="R169" i="5" s="1"/>
  <c r="P202" i="5"/>
  <c r="Q202" i="5" s="1"/>
  <c r="R202" i="5" s="1"/>
  <c r="P326" i="5"/>
  <c r="Q326" i="5" s="1"/>
  <c r="R326" i="5" s="1"/>
  <c r="P205" i="5"/>
  <c r="Q205" i="5" s="1"/>
  <c r="R205" i="5" s="1"/>
  <c r="P184" i="5"/>
  <c r="Q184" i="5" s="1"/>
  <c r="R184" i="5" s="1"/>
  <c r="P233" i="5"/>
  <c r="Q233" i="5" s="1"/>
  <c r="R233" i="5" s="1"/>
  <c r="P440" i="5"/>
  <c r="Q440" i="5" s="1"/>
  <c r="R440" i="5" s="1"/>
  <c r="P331" i="5"/>
  <c r="Q331" i="5" s="1"/>
  <c r="R331" i="5" s="1"/>
  <c r="P376" i="5"/>
  <c r="Q376" i="5" s="1"/>
  <c r="R376" i="5" s="1"/>
  <c r="P302" i="5"/>
  <c r="Q302" i="5" s="1"/>
  <c r="R302" i="5" s="1"/>
  <c r="P297" i="5"/>
  <c r="Q297" i="5" s="1"/>
  <c r="R297" i="5" s="1"/>
  <c r="P176" i="5"/>
  <c r="Q176" i="5" s="1"/>
  <c r="R176" i="5" s="1"/>
  <c r="P342" i="5"/>
  <c r="Q342" i="5" s="1"/>
  <c r="R342" i="5" s="1"/>
  <c r="P161" i="5"/>
  <c r="Q161" i="5" s="1"/>
  <c r="R161" i="5" s="1"/>
  <c r="P369" i="5"/>
  <c r="Q369" i="5" s="1"/>
  <c r="R369" i="5" s="1"/>
  <c r="P113" i="5"/>
  <c r="Q113" i="5" s="1"/>
  <c r="R113" i="5" s="1"/>
  <c r="P62" i="5"/>
  <c r="Q62" i="5" s="1"/>
  <c r="R62" i="5" s="1"/>
  <c r="P194" i="5"/>
  <c r="Q194" i="5" s="1"/>
  <c r="R194" i="5" s="1"/>
  <c r="P298" i="5"/>
  <c r="Q298" i="5" s="1"/>
  <c r="R298" i="5" s="1"/>
  <c r="P374" i="5"/>
  <c r="Q374" i="5" s="1"/>
  <c r="R374" i="5" s="1"/>
  <c r="P433" i="5"/>
  <c r="Q433" i="5" s="1"/>
  <c r="R433" i="5" s="1"/>
  <c r="P410" i="5"/>
  <c r="Q410" i="5" s="1"/>
  <c r="R410" i="5" s="1"/>
  <c r="P351" i="5"/>
  <c r="Q351" i="5" s="1"/>
  <c r="R351" i="5" s="1"/>
  <c r="P11" i="5"/>
  <c r="Q11" i="5" s="1"/>
  <c r="R11" i="5" s="1"/>
  <c r="P189" i="5"/>
  <c r="Q189" i="5" s="1"/>
  <c r="R189" i="5" s="1"/>
  <c r="P364" i="5"/>
  <c r="Q364" i="5" s="1"/>
  <c r="R364" i="5" s="1"/>
  <c r="P79" i="5"/>
  <c r="Q79" i="5" s="1"/>
  <c r="R79" i="5" s="1"/>
  <c r="P140" i="5"/>
  <c r="Q140" i="5" s="1"/>
  <c r="R140" i="5" s="1"/>
  <c r="P248" i="5"/>
  <c r="Q248" i="5" s="1"/>
  <c r="R248" i="5" s="1"/>
  <c r="P230" i="5"/>
  <c r="Q230" i="5" s="1"/>
  <c r="R230" i="5" s="1"/>
  <c r="P166" i="5"/>
  <c r="Q166" i="5" s="1"/>
  <c r="R166" i="5" s="1"/>
  <c r="P343" i="5"/>
  <c r="Q343" i="5" s="1"/>
  <c r="R343" i="5" s="1"/>
  <c r="P172" i="5"/>
  <c r="Q172" i="5" s="1"/>
  <c r="R172" i="5" s="1"/>
  <c r="P141" i="5"/>
  <c r="Q141" i="5" s="1"/>
  <c r="R141" i="5" s="1"/>
  <c r="P207" i="5"/>
  <c r="Q207" i="5" s="1"/>
  <c r="R207" i="5" s="1"/>
  <c r="P439" i="5"/>
  <c r="Q439" i="5" s="1"/>
  <c r="R439" i="5" s="1"/>
  <c r="P372" i="5"/>
  <c r="Q372" i="5" s="1"/>
  <c r="R372" i="5" s="1"/>
  <c r="P104" i="5"/>
  <c r="Q104" i="5" s="1"/>
  <c r="R104" i="5" s="1"/>
  <c r="P139" i="5"/>
  <c r="Q139" i="5" s="1"/>
  <c r="R139" i="5" s="1"/>
  <c r="P80" i="5"/>
  <c r="Q80" i="5" s="1"/>
  <c r="R80" i="5" s="1"/>
  <c r="P84" i="5"/>
  <c r="Q84" i="5" s="1"/>
  <c r="R84" i="5" s="1"/>
  <c r="P209" i="5"/>
  <c r="Q209" i="5" s="1"/>
  <c r="R209" i="5" s="1"/>
  <c r="P367" i="5"/>
  <c r="Q367" i="5" s="1"/>
  <c r="R367" i="5" s="1"/>
  <c r="P58" i="5"/>
  <c r="Q58" i="5" s="1"/>
  <c r="R58" i="5" s="1"/>
  <c r="P313" i="5"/>
  <c r="Q313" i="5" s="1"/>
  <c r="R313" i="5" s="1"/>
  <c r="P175" i="5"/>
  <c r="Q175" i="5" s="1"/>
  <c r="R175" i="5" s="1"/>
  <c r="P227" i="5"/>
  <c r="Q227" i="5" s="1"/>
  <c r="R227" i="5" s="1"/>
  <c r="P67" i="5"/>
  <c r="Q67" i="5" s="1"/>
  <c r="R67" i="5" s="1"/>
  <c r="P91" i="5"/>
  <c r="Q91" i="5" s="1"/>
  <c r="R91" i="5" s="1"/>
  <c r="P120" i="5"/>
  <c r="Q120" i="5" s="1"/>
  <c r="R120" i="5" s="1"/>
  <c r="P115" i="5"/>
  <c r="Q115" i="5" s="1"/>
  <c r="R115" i="5" s="1"/>
  <c r="P151" i="5"/>
  <c r="Q151" i="5" s="1"/>
  <c r="R151" i="5" s="1"/>
  <c r="P191" i="5"/>
  <c r="Q191" i="5" s="1"/>
  <c r="R191" i="5" s="1"/>
  <c r="P64" i="5"/>
  <c r="Q64" i="5" s="1"/>
  <c r="R64" i="5" s="1"/>
  <c r="P90" i="5"/>
  <c r="Q90" i="5" s="1"/>
  <c r="R90" i="5" s="1"/>
  <c r="P293" i="5"/>
  <c r="Q293" i="5" s="1"/>
  <c r="R293" i="5" s="1"/>
  <c r="P383" i="5"/>
  <c r="Q383" i="5" s="1"/>
  <c r="R383" i="5" s="1"/>
  <c r="P243" i="5"/>
  <c r="Q243" i="5" s="1"/>
  <c r="R243" i="5" s="1"/>
  <c r="P33" i="5"/>
  <c r="Q33" i="5" s="1"/>
  <c r="R33" i="5" s="1"/>
  <c r="P349" i="5"/>
  <c r="Q349" i="5" s="1"/>
  <c r="R349" i="5" s="1"/>
  <c r="P75" i="5"/>
  <c r="Q75" i="5" s="1"/>
  <c r="R75" i="5" s="1"/>
  <c r="P325" i="5"/>
  <c r="Q325" i="5" s="1"/>
  <c r="R325" i="5" s="1"/>
  <c r="P405" i="5"/>
  <c r="Q405" i="5" s="1"/>
  <c r="R405" i="5" s="1"/>
  <c r="P232" i="5"/>
  <c r="Q232" i="5" s="1"/>
  <c r="R232" i="5" s="1"/>
  <c r="P217" i="5"/>
  <c r="Q217" i="5" s="1"/>
  <c r="R217" i="5" s="1"/>
  <c r="P13" i="5"/>
  <c r="Q13" i="5" s="1"/>
  <c r="R13" i="5" s="1"/>
  <c r="P368" i="5"/>
  <c r="Q368" i="5" s="1"/>
  <c r="R368" i="5" s="1"/>
  <c r="P384" i="5"/>
  <c r="Q384" i="5" s="1"/>
  <c r="R384" i="5" s="1"/>
  <c r="P86" i="5"/>
  <c r="Q86" i="5" s="1"/>
  <c r="R86" i="5" s="1"/>
  <c r="P358" i="5"/>
  <c r="Q358" i="5" s="1"/>
  <c r="R358" i="5" s="1"/>
  <c r="P365" i="5"/>
  <c r="Q365" i="5" s="1"/>
  <c r="R365" i="5" s="1"/>
  <c r="P292" i="5"/>
  <c r="Q292" i="5" s="1"/>
  <c r="R292" i="5" s="1"/>
  <c r="P240" i="5"/>
  <c r="Q240" i="5" s="1"/>
  <c r="R240" i="5" s="1"/>
  <c r="P320" i="5"/>
  <c r="Q320" i="5" s="1"/>
  <c r="R320" i="5" s="1"/>
  <c r="P92" i="5"/>
  <c r="Q92" i="5" s="1"/>
  <c r="R92" i="5" s="1"/>
  <c r="P88" i="5"/>
  <c r="Q88" i="5" s="1"/>
  <c r="R88" i="5" s="1"/>
  <c r="P322" i="5"/>
  <c r="Q322" i="5" s="1"/>
  <c r="R322" i="5" s="1"/>
  <c r="P363" i="5"/>
  <c r="Q363" i="5" s="1"/>
  <c r="R363" i="5" s="1"/>
  <c r="P223" i="5"/>
  <c r="Q223" i="5" s="1"/>
  <c r="R223" i="5" s="1"/>
  <c r="P16" i="5"/>
  <c r="Q16" i="5" s="1"/>
  <c r="R16" i="5" s="1"/>
  <c r="P36" i="5"/>
  <c r="Q36" i="5" s="1"/>
  <c r="R36" i="5" s="1"/>
  <c r="P353" i="5"/>
  <c r="Q353" i="5" s="1"/>
  <c r="R353" i="5" s="1"/>
  <c r="P164" i="5"/>
  <c r="Q164" i="5" s="1"/>
  <c r="R164" i="5" s="1"/>
  <c r="P273" i="5"/>
  <c r="Q273" i="5" s="1"/>
  <c r="R273" i="5" s="1"/>
  <c r="P398" i="5"/>
  <c r="Q398" i="5" s="1"/>
  <c r="R398" i="5" s="1"/>
  <c r="P178" i="5"/>
  <c r="Q178" i="5" s="1"/>
  <c r="R178" i="5" s="1"/>
  <c r="P96" i="5"/>
  <c r="Q96" i="5" s="1"/>
  <c r="R96" i="5" s="1"/>
  <c r="P279" i="5"/>
  <c r="Q279" i="5" s="1"/>
  <c r="R279" i="5" s="1"/>
  <c r="P42" i="5"/>
  <c r="Q42" i="5" s="1"/>
  <c r="R42" i="5" s="1"/>
  <c r="P301" i="5"/>
  <c r="Q301" i="5" s="1"/>
  <c r="R301" i="5" s="1"/>
  <c r="P277" i="5"/>
  <c r="Q277" i="5" s="1"/>
  <c r="R277" i="5" s="1"/>
  <c r="P77" i="5"/>
  <c r="Q77" i="5" s="1"/>
  <c r="R77" i="5" s="1"/>
  <c r="P430" i="5"/>
  <c r="Q430" i="5" s="1"/>
  <c r="R430" i="5" s="1"/>
  <c r="P145" i="5"/>
  <c r="Q145" i="5" s="1"/>
  <c r="R145" i="5" s="1"/>
  <c r="P44" i="5"/>
  <c r="Q44" i="5" s="1"/>
  <c r="R44" i="5" s="1"/>
  <c r="P220" i="5"/>
  <c r="Q220" i="5" s="1"/>
  <c r="R220" i="5" s="1"/>
  <c r="P304" i="5"/>
  <c r="Q304" i="5" s="1"/>
  <c r="R304" i="5" s="1"/>
  <c r="P393" i="5"/>
  <c r="Q393" i="5" s="1"/>
  <c r="R393" i="5" s="1"/>
  <c r="P309" i="5"/>
  <c r="Q309" i="5" s="1"/>
  <c r="R309" i="5" s="1"/>
  <c r="P26" i="5"/>
  <c r="Q26" i="5" s="1"/>
  <c r="R26" i="5" s="1"/>
  <c r="P106" i="5"/>
  <c r="Q106" i="5" s="1"/>
  <c r="R106" i="5" s="1"/>
  <c r="P418" i="5"/>
  <c r="Q418" i="5" s="1"/>
  <c r="R418" i="5" s="1"/>
  <c r="P224" i="5"/>
  <c r="Q224" i="5" s="1"/>
  <c r="R224" i="5" s="1"/>
  <c r="P173" i="5"/>
  <c r="Q173" i="5" s="1"/>
  <c r="R173" i="5" s="1"/>
  <c r="P136" i="5"/>
  <c r="Q136" i="5" s="1"/>
  <c r="R136" i="5" s="1"/>
  <c r="P321" i="5"/>
  <c r="Q321" i="5" s="1"/>
  <c r="R321" i="5" s="1"/>
  <c r="P257" i="5"/>
  <c r="Q257" i="5" s="1"/>
  <c r="R257" i="5" s="1"/>
  <c r="P335" i="5"/>
  <c r="Q335" i="5" s="1"/>
  <c r="R335" i="5" s="1"/>
  <c r="P159" i="5"/>
  <c r="Q159" i="5" s="1"/>
  <c r="R159" i="5" s="1"/>
  <c r="P366" i="5"/>
  <c r="Q366" i="5" s="1"/>
  <c r="R366" i="5" s="1"/>
  <c r="P102" i="5"/>
  <c r="Q102" i="5" s="1"/>
  <c r="R102" i="5" s="1"/>
  <c r="P238" i="5"/>
  <c r="Q238" i="5" s="1"/>
  <c r="R238" i="5" s="1"/>
  <c r="P52" i="5"/>
  <c r="Q52" i="5" s="1"/>
  <c r="R52" i="5" s="1"/>
  <c r="P284" i="5"/>
  <c r="Q284" i="5" s="1"/>
  <c r="R284" i="5" s="1"/>
  <c r="P110" i="5"/>
  <c r="Q110" i="5" s="1"/>
  <c r="R110" i="5" s="1"/>
  <c r="P146" i="5"/>
  <c r="Q146" i="5" s="1"/>
  <c r="R146" i="5" s="1"/>
  <c r="P154" i="5"/>
  <c r="Q154" i="5" s="1"/>
  <c r="R154" i="5" s="1"/>
  <c r="P387" i="5"/>
  <c r="Q387" i="5" s="1"/>
  <c r="R387" i="5" s="1"/>
  <c r="P34" i="5"/>
  <c r="Q34" i="5" s="1"/>
  <c r="R34" i="5" s="1"/>
  <c r="P28" i="5"/>
  <c r="Q28" i="5" s="1"/>
  <c r="R28" i="5" s="1"/>
  <c r="P226" i="5"/>
  <c r="Q226" i="5" s="1"/>
  <c r="R226" i="5" s="1"/>
  <c r="P73" i="5"/>
  <c r="Q73" i="5" s="1"/>
  <c r="R73" i="5" s="1"/>
  <c r="P296" i="5"/>
  <c r="Q296" i="5" s="1"/>
  <c r="R296" i="5" s="1"/>
  <c r="P144" i="5"/>
  <c r="Q144" i="5" s="1"/>
  <c r="R144" i="5" s="1"/>
  <c r="P212" i="5"/>
  <c r="Q212" i="5" s="1"/>
  <c r="R212" i="5" s="1"/>
  <c r="P133" i="5"/>
  <c r="Q133" i="5" s="1"/>
  <c r="R133" i="5" s="1"/>
  <c r="P315" i="5"/>
  <c r="Q315" i="5" s="1"/>
  <c r="R315" i="5" s="1"/>
  <c r="P305" i="5"/>
  <c r="Q305" i="5" s="1"/>
  <c r="R305" i="5" s="1"/>
  <c r="P160" i="5"/>
  <c r="Q160" i="5" s="1"/>
  <c r="R160" i="5" s="1"/>
  <c r="P27" i="5"/>
  <c r="Q27" i="5" s="1"/>
  <c r="R27" i="5" s="1"/>
  <c r="P71" i="5"/>
  <c r="Q71" i="5" s="1"/>
  <c r="R71" i="5" s="1"/>
  <c r="P29" i="5"/>
  <c r="Q29" i="5" s="1"/>
  <c r="R29" i="5" s="1"/>
  <c r="P179" i="5"/>
  <c r="Q179" i="5" s="1"/>
  <c r="R179" i="5" s="1"/>
  <c r="P424" i="5"/>
  <c r="Q424" i="5" s="1"/>
  <c r="R424" i="5" s="1"/>
  <c r="P373" i="5"/>
  <c r="Q373" i="5" s="1"/>
  <c r="R373" i="5" s="1"/>
  <c r="P117" i="5"/>
  <c r="Q117" i="5" s="1"/>
  <c r="R117" i="5" s="1"/>
  <c r="P252" i="5"/>
  <c r="Q252" i="5" s="1"/>
  <c r="R252" i="5" s="1"/>
  <c r="P239" i="5"/>
  <c r="Q239" i="5" s="1"/>
  <c r="R239" i="5" s="1"/>
  <c r="P356" i="5"/>
  <c r="Q356" i="5" s="1"/>
  <c r="R356" i="5" s="1"/>
  <c r="P124" i="5"/>
  <c r="Q124" i="5" s="1"/>
  <c r="R124" i="5" s="1"/>
  <c r="P278" i="5"/>
  <c r="Q278" i="5" s="1"/>
  <c r="R278" i="5" s="1"/>
  <c r="P332" i="5"/>
  <c r="Q332" i="5" s="1"/>
  <c r="R332" i="5" s="1"/>
  <c r="P390" i="5"/>
  <c r="Q390" i="5" s="1"/>
  <c r="R390" i="5" s="1"/>
  <c r="P93" i="5"/>
  <c r="Q93" i="5" s="1"/>
  <c r="R93" i="5" s="1"/>
  <c r="P130" i="5"/>
  <c r="Q130" i="5" s="1"/>
  <c r="R130" i="5" s="1"/>
  <c r="P434" i="5"/>
  <c r="Q434" i="5" s="1"/>
  <c r="R434" i="5" s="1"/>
  <c r="P35" i="5"/>
  <c r="Q35" i="5" s="1"/>
  <c r="R35" i="5" s="1"/>
  <c r="P344" i="5"/>
  <c r="Q344" i="5" s="1"/>
  <c r="R344" i="5" s="1"/>
  <c r="P198" i="5"/>
  <c r="Q198" i="5" s="1"/>
  <c r="R198" i="5" s="1"/>
  <c r="P17" i="5"/>
  <c r="Q17" i="5" s="1"/>
  <c r="R17" i="5" s="1"/>
  <c r="P30" i="5"/>
  <c r="Q30" i="5" s="1"/>
  <c r="R30" i="5" s="1"/>
  <c r="P420" i="5"/>
  <c r="Q420" i="5" s="1"/>
  <c r="R420" i="5" s="1"/>
  <c r="P187" i="5"/>
  <c r="Q187" i="5" s="1"/>
  <c r="R187" i="5" s="1"/>
  <c r="P244" i="5"/>
  <c r="Q244" i="5" s="1"/>
  <c r="R244" i="5" s="1"/>
  <c r="P274" i="5"/>
  <c r="Q274" i="5" s="1"/>
  <c r="R274" i="5" s="1"/>
  <c r="P31" i="5"/>
  <c r="Q31" i="5" s="1"/>
  <c r="R31" i="5" s="1"/>
  <c r="P371" i="5"/>
  <c r="Q371" i="5" s="1"/>
  <c r="R371" i="5" s="1"/>
  <c r="P436" i="5"/>
  <c r="Q436" i="5" s="1"/>
  <c r="R436" i="5" s="1"/>
  <c r="P193" i="5"/>
  <c r="Q193" i="5" s="1"/>
  <c r="R193" i="5" s="1"/>
  <c r="P261" i="5"/>
  <c r="Q261" i="5" s="1"/>
  <c r="R261" i="5" s="1"/>
  <c r="S31" i="5" l="1"/>
  <c r="U31" i="5" s="1"/>
  <c r="T344" i="5"/>
  <c r="S344" i="5"/>
  <c r="U344" i="5" s="1"/>
  <c r="T93" i="5"/>
  <c r="S93" i="5"/>
  <c r="U93" i="5" s="1"/>
  <c r="S117" i="5"/>
  <c r="U117" i="5" s="1"/>
  <c r="T117" i="5"/>
  <c r="T305" i="5"/>
  <c r="S305" i="5"/>
  <c r="U305" i="5" s="1"/>
  <c r="S26" i="5"/>
  <c r="U26" i="5" s="1"/>
  <c r="T77" i="5"/>
  <c r="S77" i="5"/>
  <c r="U77" i="5" s="1"/>
  <c r="T273" i="5"/>
  <c r="S273" i="5"/>
  <c r="U273" i="5" s="1"/>
  <c r="S292" i="5"/>
  <c r="U292" i="5" s="1"/>
  <c r="T292" i="5"/>
  <c r="S232" i="5"/>
  <c r="U232" i="5" s="1"/>
  <c r="T232" i="5"/>
  <c r="T151" i="5"/>
  <c r="S151" i="5"/>
  <c r="U151" i="5" s="1"/>
  <c r="T58" i="5"/>
  <c r="S58" i="5"/>
  <c r="U58" i="5" s="1"/>
  <c r="T439" i="5"/>
  <c r="S439" i="5"/>
  <c r="U439" i="5" s="1"/>
  <c r="S140" i="5"/>
  <c r="U140" i="5" s="1"/>
  <c r="T140" i="5"/>
  <c r="T113" i="5"/>
  <c r="S113" i="5"/>
  <c r="U113" i="5" s="1"/>
  <c r="T176" i="5"/>
  <c r="S176" i="5"/>
  <c r="U176" i="5" s="1"/>
  <c r="S205" i="5"/>
  <c r="U205" i="5" s="1"/>
  <c r="T205" i="5"/>
  <c r="S287" i="5"/>
  <c r="U287" i="5" s="1"/>
  <c r="T287" i="5"/>
  <c r="T157" i="5"/>
  <c r="S157" i="5"/>
  <c r="U157" i="5" s="1"/>
  <c r="T137" i="5"/>
  <c r="S137" i="5"/>
  <c r="U137" i="5" s="1"/>
  <c r="T357" i="5"/>
  <c r="S357" i="5"/>
  <c r="U357" i="5" s="1"/>
  <c r="T167" i="5"/>
  <c r="S167" i="5"/>
  <c r="U167" i="5" s="1"/>
  <c r="T66" i="5"/>
  <c r="S66" i="5"/>
  <c r="U66" i="5" s="1"/>
  <c r="T254" i="5"/>
  <c r="S254" i="5"/>
  <c r="U254" i="5" s="1"/>
  <c r="T370" i="5"/>
  <c r="S370" i="5"/>
  <c r="U370" i="5" s="1"/>
  <c r="T397" i="5"/>
  <c r="S397" i="5"/>
  <c r="U397" i="5" s="1"/>
  <c r="T404" i="5"/>
  <c r="S404" i="5"/>
  <c r="U404" i="5" s="1"/>
  <c r="T63" i="5"/>
  <c r="S63" i="5"/>
  <c r="U63" i="5" s="1"/>
  <c r="S414" i="5"/>
  <c r="U414" i="5" s="1"/>
  <c r="T414" i="5"/>
  <c r="T324" i="5"/>
  <c r="S324" i="5"/>
  <c r="U324" i="5" s="1"/>
  <c r="T109" i="5"/>
  <c r="S109" i="5"/>
  <c r="U109" i="5" s="1"/>
  <c r="T311" i="5"/>
  <c r="S311" i="5"/>
  <c r="U311" i="5" s="1"/>
  <c r="T229" i="5"/>
  <c r="S229" i="5"/>
  <c r="U229" i="5" s="1"/>
  <c r="T401" i="5"/>
  <c r="S401" i="5"/>
  <c r="U401" i="5" s="1"/>
  <c r="T174" i="5"/>
  <c r="S174" i="5"/>
  <c r="U174" i="5" s="1"/>
  <c r="T318" i="5"/>
  <c r="S318" i="5"/>
  <c r="U318" i="5" s="1"/>
  <c r="T267" i="5"/>
  <c r="S267" i="5"/>
  <c r="U267" i="5" s="1"/>
  <c r="T213" i="5"/>
  <c r="S213" i="5"/>
  <c r="U213" i="5" s="1"/>
  <c r="T272" i="5"/>
  <c r="S272" i="5"/>
  <c r="U272" i="5" s="1"/>
  <c r="T97" i="5"/>
  <c r="S97" i="5"/>
  <c r="U97" i="5" s="1"/>
  <c r="T131" i="5"/>
  <c r="S131" i="5"/>
  <c r="U131" i="5" s="1"/>
  <c r="T314" i="5"/>
  <c r="S314" i="5"/>
  <c r="U314" i="5" s="1"/>
  <c r="T249" i="5"/>
  <c r="S249" i="5"/>
  <c r="U249" i="5" s="1"/>
  <c r="T306" i="5"/>
  <c r="S306" i="5"/>
  <c r="U306" i="5" s="1"/>
  <c r="T291" i="5"/>
  <c r="S291" i="5"/>
  <c r="U291" i="5" s="1"/>
  <c r="S128" i="5"/>
  <c r="U128" i="5" s="1"/>
  <c r="T128" i="5"/>
  <c r="T258" i="5"/>
  <c r="S258" i="5"/>
  <c r="U258" i="5" s="1"/>
  <c r="T118" i="5"/>
  <c r="S118" i="5"/>
  <c r="U118" i="5" s="1"/>
  <c r="T165" i="5"/>
  <c r="S165" i="5"/>
  <c r="U165" i="5" s="1"/>
  <c r="T193" i="5"/>
  <c r="S193" i="5"/>
  <c r="U193" i="5" s="1"/>
  <c r="T274" i="5"/>
  <c r="S274" i="5"/>
  <c r="U274" i="5" s="1"/>
  <c r="S30" i="5"/>
  <c r="U30" i="5" s="1"/>
  <c r="S35" i="5"/>
  <c r="U35" i="5" s="1"/>
  <c r="AB35" i="5" s="1"/>
  <c r="T390" i="5"/>
  <c r="S390" i="5"/>
  <c r="U390" i="5" s="1"/>
  <c r="T356" i="5"/>
  <c r="S356" i="5"/>
  <c r="U356" i="5" s="1"/>
  <c r="T373" i="5"/>
  <c r="S373" i="5"/>
  <c r="U373" i="5" s="1"/>
  <c r="T71" i="5"/>
  <c r="S71" i="5"/>
  <c r="U71" i="5" s="1"/>
  <c r="T315" i="5"/>
  <c r="S315" i="5"/>
  <c r="U315" i="5" s="1"/>
  <c r="T296" i="5"/>
  <c r="S296" i="5"/>
  <c r="U296" i="5" s="1"/>
  <c r="S34" i="5"/>
  <c r="U34" i="5" s="1"/>
  <c r="T110" i="5"/>
  <c r="S110" i="5"/>
  <c r="U110" i="5" s="1"/>
  <c r="T102" i="5"/>
  <c r="S102" i="5"/>
  <c r="U102" i="5" s="1"/>
  <c r="T257" i="5"/>
  <c r="S257" i="5"/>
  <c r="U257" i="5" s="1"/>
  <c r="T224" i="5"/>
  <c r="S224" i="5"/>
  <c r="U224" i="5" s="1"/>
  <c r="T309" i="5"/>
  <c r="S309" i="5"/>
  <c r="U309" i="5" s="1"/>
  <c r="S44" i="5"/>
  <c r="U44" i="5" s="1"/>
  <c r="T277" i="5"/>
  <c r="S277" i="5"/>
  <c r="U277" i="5" s="1"/>
  <c r="S96" i="5"/>
  <c r="U96" i="5" s="1"/>
  <c r="T96" i="5"/>
  <c r="S164" i="5"/>
  <c r="U164" i="5" s="1"/>
  <c r="T164" i="5"/>
  <c r="S223" i="5"/>
  <c r="U223" i="5" s="1"/>
  <c r="T223" i="5"/>
  <c r="S92" i="5"/>
  <c r="U92" i="5" s="1"/>
  <c r="T92" i="5"/>
  <c r="T365" i="5"/>
  <c r="S365" i="5"/>
  <c r="U365" i="5" s="1"/>
  <c r="T368" i="5"/>
  <c r="S368" i="5"/>
  <c r="U368" i="5" s="1"/>
  <c r="T405" i="5"/>
  <c r="S405" i="5"/>
  <c r="U405" i="5" s="1"/>
  <c r="S33" i="5"/>
  <c r="U33" i="5" s="1"/>
  <c r="T90" i="5"/>
  <c r="S90" i="5"/>
  <c r="U90" i="5" s="1"/>
  <c r="T115" i="5"/>
  <c r="S115" i="5"/>
  <c r="U115" i="5" s="1"/>
  <c r="T227" i="5"/>
  <c r="S227" i="5"/>
  <c r="U227" i="5" s="1"/>
  <c r="S367" i="5"/>
  <c r="U367" i="5" s="1"/>
  <c r="T367" i="5"/>
  <c r="T139" i="5"/>
  <c r="S139" i="5"/>
  <c r="U139" i="5" s="1"/>
  <c r="T207" i="5"/>
  <c r="S207" i="5"/>
  <c r="U207" i="5" s="1"/>
  <c r="T166" i="5"/>
  <c r="S166" i="5"/>
  <c r="U166" i="5" s="1"/>
  <c r="T79" i="5"/>
  <c r="S79" i="5"/>
  <c r="U79" i="5" s="1"/>
  <c r="T351" i="5"/>
  <c r="S351" i="5"/>
  <c r="U351" i="5" s="1"/>
  <c r="T298" i="5"/>
  <c r="S298" i="5"/>
  <c r="U298" i="5" s="1"/>
  <c r="S369" i="5"/>
  <c r="U369" i="5" s="1"/>
  <c r="T369" i="5"/>
  <c r="S297" i="5"/>
  <c r="U297" i="5" s="1"/>
  <c r="T297" i="5"/>
  <c r="T440" i="5"/>
  <c r="S440" i="5"/>
  <c r="U440" i="5" s="1"/>
  <c r="T326" i="5"/>
  <c r="S326" i="5"/>
  <c r="U326" i="5" s="1"/>
  <c r="T197" i="5"/>
  <c r="S197" i="5"/>
  <c r="U197" i="5" s="1"/>
  <c r="T83" i="5"/>
  <c r="S83" i="5"/>
  <c r="U83" i="5" s="1"/>
  <c r="T350" i="5"/>
  <c r="S350" i="5"/>
  <c r="U350" i="5" s="1"/>
  <c r="T183" i="5"/>
  <c r="S183" i="5"/>
  <c r="U183" i="5" s="1"/>
  <c r="S19" i="5"/>
  <c r="U19" i="5" s="1"/>
  <c r="T330" i="5"/>
  <c r="S330" i="5"/>
  <c r="U330" i="5" s="1"/>
  <c r="T381" i="5"/>
  <c r="S381" i="5"/>
  <c r="U381" i="5" s="1"/>
  <c r="T263" i="5"/>
  <c r="S263" i="5"/>
  <c r="U263" i="5" s="1"/>
  <c r="T389" i="5"/>
  <c r="S389" i="5"/>
  <c r="U389" i="5" s="1"/>
  <c r="T190" i="5"/>
  <c r="S190" i="5"/>
  <c r="U190" i="5" s="1"/>
  <c r="T346" i="5"/>
  <c r="S346" i="5"/>
  <c r="U346" i="5" s="1"/>
  <c r="T143" i="5"/>
  <c r="S143" i="5"/>
  <c r="U143" i="5" s="1"/>
  <c r="T333" i="5"/>
  <c r="S333" i="5"/>
  <c r="U333" i="5" s="1"/>
  <c r="S200" i="5"/>
  <c r="U200" i="5" s="1"/>
  <c r="T200" i="5"/>
  <c r="T59" i="5"/>
  <c r="S59" i="5"/>
  <c r="U59" i="5" s="1"/>
  <c r="T431" i="5"/>
  <c r="S431" i="5"/>
  <c r="U431" i="5" s="1"/>
  <c r="T413" i="5"/>
  <c r="S413" i="5"/>
  <c r="U413" i="5" s="1"/>
  <c r="T407" i="5"/>
  <c r="S407" i="5"/>
  <c r="U407" i="5" s="1"/>
  <c r="T312" i="5"/>
  <c r="S312" i="5"/>
  <c r="U312" i="5" s="1"/>
  <c r="S152" i="5"/>
  <c r="U152" i="5" s="1"/>
  <c r="T152" i="5"/>
  <c r="T98" i="5"/>
  <c r="S98" i="5"/>
  <c r="U98" i="5" s="1"/>
  <c r="S280" i="5"/>
  <c r="U280" i="5" s="1"/>
  <c r="T280" i="5"/>
  <c r="T281" i="5"/>
  <c r="S281" i="5"/>
  <c r="U281" i="5" s="1"/>
  <c r="S204" i="5"/>
  <c r="U204" i="5" s="1"/>
  <c r="T204" i="5"/>
  <c r="S264" i="5"/>
  <c r="U264" i="5" s="1"/>
  <c r="T264" i="5"/>
  <c r="S188" i="5"/>
  <c r="U188" i="5" s="1"/>
  <c r="T188" i="5"/>
  <c r="S269" i="5"/>
  <c r="U269" i="5" s="1"/>
  <c r="T269" i="5"/>
  <c r="T69" i="5"/>
  <c r="S69" i="5"/>
  <c r="U69" i="5" s="1"/>
  <c r="S46" i="5"/>
  <c r="U46" i="5" s="1"/>
  <c r="T46" i="5"/>
  <c r="T95" i="5"/>
  <c r="S95" i="5"/>
  <c r="U95" i="5" s="1"/>
  <c r="T99" i="5"/>
  <c r="S99" i="5"/>
  <c r="U99" i="5" s="1"/>
  <c r="S201" i="5"/>
  <c r="U201" i="5" s="1"/>
  <c r="T201" i="5"/>
  <c r="S355" i="5"/>
  <c r="U355" i="5" s="1"/>
  <c r="T355" i="5"/>
  <c r="S180" i="5"/>
  <c r="U180" i="5" s="1"/>
  <c r="T180" i="5"/>
  <c r="S426" i="5"/>
  <c r="U426" i="5" s="1"/>
  <c r="T426" i="5"/>
  <c r="S41" i="5"/>
  <c r="U41" i="5" s="1"/>
  <c r="T253" i="5"/>
  <c r="S253" i="5"/>
  <c r="U253" i="5" s="1"/>
  <c r="S45" i="5"/>
  <c r="U45" i="5" s="1"/>
  <c r="T186" i="5"/>
  <c r="S186" i="5"/>
  <c r="U186" i="5" s="1"/>
  <c r="T286" i="5"/>
  <c r="S286" i="5"/>
  <c r="U286" i="5" s="1"/>
  <c r="S100" i="5"/>
  <c r="U100" i="5" s="1"/>
  <c r="T100" i="5"/>
  <c r="S391" i="5"/>
  <c r="U391" i="5" s="1"/>
  <c r="T391" i="5"/>
  <c r="T208" i="5"/>
  <c r="S208" i="5"/>
  <c r="U208" i="5" s="1"/>
  <c r="T219" i="5"/>
  <c r="S219" i="5"/>
  <c r="U219" i="5" s="1"/>
  <c r="T395" i="5"/>
  <c r="S395" i="5"/>
  <c r="U395" i="5" s="1"/>
  <c r="T408" i="5"/>
  <c r="S408" i="5"/>
  <c r="U408" i="5" s="1"/>
  <c r="S195" i="5"/>
  <c r="U195" i="5" s="1"/>
  <c r="T195" i="5"/>
  <c r="S168" i="5"/>
  <c r="U168" i="5" s="1"/>
  <c r="T168" i="5"/>
  <c r="T214" i="5"/>
  <c r="S214" i="5"/>
  <c r="U214" i="5" s="1"/>
  <c r="S196" i="5"/>
  <c r="U196" i="5" s="1"/>
  <c r="T196" i="5"/>
  <c r="S132" i="5"/>
  <c r="U132" i="5" s="1"/>
  <c r="T132" i="5"/>
  <c r="T103" i="5"/>
  <c r="S103" i="5"/>
  <c r="U103" i="5" s="1"/>
  <c r="T427" i="5"/>
  <c r="S427" i="5"/>
  <c r="U427" i="5" s="1"/>
  <c r="T262" i="5"/>
  <c r="S262" i="5"/>
  <c r="U262" i="5" s="1"/>
  <c r="T147" i="5"/>
  <c r="S147" i="5"/>
  <c r="U147" i="5" s="1"/>
  <c r="S60" i="5"/>
  <c r="U60" i="5" s="1"/>
  <c r="T60" i="5"/>
  <c r="T310" i="5"/>
  <c r="S310" i="5"/>
  <c r="U310" i="5" s="1"/>
  <c r="T406" i="5"/>
  <c r="S406" i="5"/>
  <c r="U406" i="5" s="1"/>
  <c r="T101" i="5"/>
  <c r="S101" i="5"/>
  <c r="U101" i="5" s="1"/>
  <c r="S15" i="5"/>
  <c r="U15" i="5" s="1"/>
  <c r="T294" i="5"/>
  <c r="S294" i="5"/>
  <c r="U294" i="5" s="1"/>
  <c r="S345" i="5"/>
  <c r="U345" i="5" s="1"/>
  <c r="T345" i="5"/>
  <c r="S85" i="5"/>
  <c r="U85" i="5" s="1"/>
  <c r="T85" i="5"/>
  <c r="T210" i="5"/>
  <c r="S210" i="5"/>
  <c r="U210" i="5" s="1"/>
  <c r="T283" i="5"/>
  <c r="S283" i="5"/>
  <c r="U283" i="5" s="1"/>
  <c r="T359" i="5"/>
  <c r="S359" i="5"/>
  <c r="U359" i="5" s="1"/>
  <c r="S112" i="5"/>
  <c r="U112" i="5" s="1"/>
  <c r="T112" i="5"/>
  <c r="T53" i="5"/>
  <c r="S53" i="5"/>
  <c r="U53" i="5" s="1"/>
  <c r="T420" i="5"/>
  <c r="S420" i="5"/>
  <c r="U420" i="5" s="1"/>
  <c r="S124" i="5"/>
  <c r="U124" i="5" s="1"/>
  <c r="T124" i="5"/>
  <c r="S28" i="5"/>
  <c r="U28" i="5" s="1"/>
  <c r="T238" i="5"/>
  <c r="S238" i="5"/>
  <c r="U238" i="5" s="1"/>
  <c r="S173" i="5"/>
  <c r="U173" i="5" s="1"/>
  <c r="T173" i="5"/>
  <c r="S220" i="5"/>
  <c r="U220" i="5" s="1"/>
  <c r="T220" i="5"/>
  <c r="T279" i="5"/>
  <c r="S279" i="5"/>
  <c r="U279" i="5" s="1"/>
  <c r="S88" i="5"/>
  <c r="U88" i="5" s="1"/>
  <c r="T88" i="5"/>
  <c r="T349" i="5"/>
  <c r="S349" i="5"/>
  <c r="U349" i="5" s="1"/>
  <c r="T67" i="5"/>
  <c r="S67" i="5"/>
  <c r="U67" i="5" s="1"/>
  <c r="S80" i="5"/>
  <c r="U80" i="5" s="1"/>
  <c r="T80" i="5"/>
  <c r="T343" i="5"/>
  <c r="S343" i="5"/>
  <c r="U343" i="5" s="1"/>
  <c r="T374" i="5"/>
  <c r="S374" i="5"/>
  <c r="U374" i="5" s="1"/>
  <c r="T331" i="5"/>
  <c r="S331" i="5"/>
  <c r="U331" i="5" s="1"/>
  <c r="T47" i="5"/>
  <c r="S47" i="5"/>
  <c r="U47" i="5" s="1"/>
  <c r="T158" i="5"/>
  <c r="S158" i="5"/>
  <c r="U158" i="5" s="1"/>
  <c r="T386" i="5"/>
  <c r="S386" i="5"/>
  <c r="U386" i="5" s="1"/>
  <c r="T241" i="5"/>
  <c r="S241" i="5"/>
  <c r="U241" i="5" s="1"/>
  <c r="T394" i="5"/>
  <c r="S394" i="5"/>
  <c r="U394" i="5" s="1"/>
  <c r="T251" i="5"/>
  <c r="S251" i="5"/>
  <c r="U251" i="5" s="1"/>
  <c r="T247" i="5"/>
  <c r="S247" i="5"/>
  <c r="U247" i="5" s="1"/>
  <c r="T70" i="5"/>
  <c r="S70" i="5"/>
  <c r="U70" i="5" s="1"/>
  <c r="T127" i="5"/>
  <c r="S127" i="5"/>
  <c r="U127" i="5" s="1"/>
  <c r="T74" i="5"/>
  <c r="S74" i="5"/>
  <c r="U74" i="5" s="1"/>
  <c r="T256" i="5"/>
  <c r="S256" i="5"/>
  <c r="U256" i="5" s="1"/>
  <c r="T380" i="5"/>
  <c r="S380" i="5"/>
  <c r="U380" i="5" s="1"/>
  <c r="S14" i="5"/>
  <c r="U14" i="5" s="1"/>
  <c r="T211" i="5"/>
  <c r="S211" i="5"/>
  <c r="U211" i="5" s="1"/>
  <c r="S20" i="5"/>
  <c r="U20" i="5" s="1"/>
  <c r="T347" i="5"/>
  <c r="S347" i="5"/>
  <c r="U347" i="5" s="1"/>
  <c r="S17" i="5"/>
  <c r="U17" i="5" s="1"/>
  <c r="T332" i="5"/>
  <c r="S332" i="5"/>
  <c r="U332" i="5" s="1"/>
  <c r="T239" i="5"/>
  <c r="S239" i="5"/>
  <c r="U239" i="5" s="1"/>
  <c r="T424" i="5"/>
  <c r="S424" i="5"/>
  <c r="U424" i="5" s="1"/>
  <c r="T133" i="5"/>
  <c r="S133" i="5"/>
  <c r="U133" i="5" s="1"/>
  <c r="T387" i="5"/>
  <c r="S387" i="5"/>
  <c r="U387" i="5" s="1"/>
  <c r="T366" i="5"/>
  <c r="S366" i="5"/>
  <c r="U366" i="5" s="1"/>
  <c r="T393" i="5"/>
  <c r="S393" i="5"/>
  <c r="U393" i="5" s="1"/>
  <c r="S301" i="5"/>
  <c r="U301" i="5" s="1"/>
  <c r="T301" i="5"/>
  <c r="S353" i="5"/>
  <c r="U353" i="5" s="1"/>
  <c r="T353" i="5"/>
  <c r="T363" i="5"/>
  <c r="S363" i="5"/>
  <c r="U363" i="5" s="1"/>
  <c r="T320" i="5"/>
  <c r="S320" i="5"/>
  <c r="U320" i="5" s="1"/>
  <c r="T358" i="5"/>
  <c r="S358" i="5"/>
  <c r="U358" i="5" s="1"/>
  <c r="T243" i="5"/>
  <c r="S243" i="5"/>
  <c r="U243" i="5" s="1"/>
  <c r="T64" i="5"/>
  <c r="S64" i="5"/>
  <c r="U64" i="5" s="1"/>
  <c r="S120" i="5"/>
  <c r="U120" i="5" s="1"/>
  <c r="T120" i="5"/>
  <c r="T175" i="5"/>
  <c r="S175" i="5"/>
  <c r="U175" i="5" s="1"/>
  <c r="T209" i="5"/>
  <c r="S209" i="5"/>
  <c r="U209" i="5" s="1"/>
  <c r="S104" i="5"/>
  <c r="U104" i="5" s="1"/>
  <c r="T104" i="5"/>
  <c r="T141" i="5"/>
  <c r="S141" i="5"/>
  <c r="U141" i="5" s="1"/>
  <c r="T230" i="5"/>
  <c r="S230" i="5"/>
  <c r="U230" i="5" s="1"/>
  <c r="T364" i="5"/>
  <c r="S364" i="5"/>
  <c r="U364" i="5" s="1"/>
  <c r="T410" i="5"/>
  <c r="S410" i="5"/>
  <c r="U410" i="5" s="1"/>
  <c r="T194" i="5"/>
  <c r="S194" i="5"/>
  <c r="U194" i="5" s="1"/>
  <c r="T161" i="5"/>
  <c r="S161" i="5"/>
  <c r="U161" i="5" s="1"/>
  <c r="T302" i="5"/>
  <c r="S302" i="5"/>
  <c r="U302" i="5" s="1"/>
  <c r="T233" i="5"/>
  <c r="S233" i="5"/>
  <c r="U233" i="5" s="1"/>
  <c r="T202" i="5"/>
  <c r="S202" i="5"/>
  <c r="U202" i="5" s="1"/>
  <c r="T181" i="5"/>
  <c r="S181" i="5"/>
  <c r="U181" i="5" s="1"/>
  <c r="T153" i="5"/>
  <c r="S153" i="5"/>
  <c r="U153" i="5" s="1"/>
  <c r="T275" i="5"/>
  <c r="S275" i="5"/>
  <c r="U275" i="5" s="1"/>
  <c r="T65" i="5"/>
  <c r="S65" i="5"/>
  <c r="U65" i="5" s="1"/>
  <c r="T231" i="5"/>
  <c r="S231" i="5"/>
  <c r="U231" i="5" s="1"/>
  <c r="T348" i="5"/>
  <c r="S348" i="5"/>
  <c r="U348" i="5" s="1"/>
  <c r="T361" i="5"/>
  <c r="S361" i="5"/>
  <c r="U361" i="5" s="1"/>
  <c r="T270" i="5"/>
  <c r="S270" i="5"/>
  <c r="U270" i="5" s="1"/>
  <c r="T206" i="5"/>
  <c r="S206" i="5"/>
  <c r="U206" i="5" s="1"/>
  <c r="T327" i="5"/>
  <c r="S327" i="5"/>
  <c r="U327" i="5" s="1"/>
  <c r="S236" i="5"/>
  <c r="U236" i="5" s="1"/>
  <c r="T236" i="5"/>
  <c r="T155" i="5"/>
  <c r="S155" i="5"/>
  <c r="U155" i="5" s="1"/>
  <c r="S25" i="5"/>
  <c r="U25" i="5" s="1"/>
  <c r="AB25" i="5" s="1"/>
  <c r="T360" i="5"/>
  <c r="S360" i="5"/>
  <c r="U360" i="5" s="1"/>
  <c r="T82" i="5"/>
  <c r="S82" i="5"/>
  <c r="U82" i="5" s="1"/>
  <c r="T185" i="5"/>
  <c r="S185" i="5"/>
  <c r="U185" i="5" s="1"/>
  <c r="S40" i="5"/>
  <c r="U40" i="5" s="1"/>
  <c r="AB40" i="5" s="1"/>
  <c r="S39" i="5"/>
  <c r="U39" i="5" s="1"/>
  <c r="AB39" i="5" s="1"/>
  <c r="T336" i="5"/>
  <c r="S336" i="5"/>
  <c r="U336" i="5" s="1"/>
  <c r="S12" i="5"/>
  <c r="U12" i="5" s="1"/>
  <c r="T338" i="5"/>
  <c r="S338" i="5"/>
  <c r="U338" i="5" s="1"/>
  <c r="T111" i="5"/>
  <c r="S111" i="5"/>
  <c r="U111" i="5" s="1"/>
  <c r="T421" i="5"/>
  <c r="S421" i="5"/>
  <c r="U421" i="5" s="1"/>
  <c r="S10" i="5"/>
  <c r="U10" i="5" s="1"/>
  <c r="S6" i="5"/>
  <c r="S5" i="5"/>
  <c r="S3" i="5"/>
  <c r="S8" i="5"/>
  <c r="S7" i="5"/>
  <c r="S9" i="5"/>
  <c r="T121" i="5"/>
  <c r="S121" i="5"/>
  <c r="U121" i="5" s="1"/>
  <c r="S403" i="5"/>
  <c r="U403" i="5" s="1"/>
  <c r="T403" i="5"/>
  <c r="T334" i="5"/>
  <c r="S334" i="5"/>
  <c r="U334" i="5" s="1"/>
  <c r="T435" i="5"/>
  <c r="S435" i="5"/>
  <c r="U435" i="5" s="1"/>
  <c r="T78" i="5"/>
  <c r="S78" i="5"/>
  <c r="U78" i="5" s="1"/>
  <c r="T379" i="5"/>
  <c r="S379" i="5"/>
  <c r="U379" i="5" s="1"/>
  <c r="T307" i="5"/>
  <c r="S307" i="5"/>
  <c r="U307" i="5" s="1"/>
  <c r="S437" i="5"/>
  <c r="U437" i="5" s="1"/>
  <c r="T437" i="5"/>
  <c r="T218" i="5"/>
  <c r="S218" i="5"/>
  <c r="U218" i="5" s="1"/>
  <c r="S23" i="5"/>
  <c r="U23" i="5" s="1"/>
  <c r="AB23" i="5" s="1"/>
  <c r="T126" i="5"/>
  <c r="S126" i="5"/>
  <c r="U126" i="5" s="1"/>
  <c r="T265" i="5"/>
  <c r="S265" i="5"/>
  <c r="U265" i="5" s="1"/>
  <c r="T432" i="5"/>
  <c r="S432" i="5"/>
  <c r="U432" i="5" s="1"/>
  <c r="T282" i="5"/>
  <c r="S282" i="5"/>
  <c r="U282" i="5" s="1"/>
  <c r="T441" i="5"/>
  <c r="S441" i="5"/>
  <c r="U441" i="5" s="1"/>
  <c r="S4" i="5"/>
  <c r="T94" i="5"/>
  <c r="S94" i="5"/>
  <c r="U94" i="5" s="1"/>
  <c r="S228" i="5"/>
  <c r="U228" i="5" s="1"/>
  <c r="T228" i="5"/>
  <c r="T142" i="5"/>
  <c r="S142" i="5"/>
  <c r="U142" i="5" s="1"/>
  <c r="S388" i="5"/>
  <c r="U388" i="5" s="1"/>
  <c r="T388" i="5"/>
  <c r="S412" i="5"/>
  <c r="U412" i="5" s="1"/>
  <c r="T412" i="5"/>
  <c r="T419" i="5"/>
  <c r="S419" i="5"/>
  <c r="U419" i="5" s="1"/>
  <c r="S22" i="5"/>
  <c r="U22" i="5" s="1"/>
  <c r="T266" i="5"/>
  <c r="S266" i="5"/>
  <c r="U266" i="5" s="1"/>
  <c r="T50" i="5"/>
  <c r="S50" i="5"/>
  <c r="U50" i="5" s="1"/>
  <c r="T81" i="5"/>
  <c r="S81" i="5"/>
  <c r="U81" i="5" s="1"/>
  <c r="T417" i="5"/>
  <c r="S417" i="5"/>
  <c r="U417" i="5" s="1"/>
  <c r="T72" i="5"/>
  <c r="S72" i="5"/>
  <c r="U72" i="5" s="1"/>
  <c r="T162" i="5"/>
  <c r="S162" i="5"/>
  <c r="U162" i="5" s="1"/>
  <c r="S323" i="5"/>
  <c r="U323" i="5" s="1"/>
  <c r="T323" i="5"/>
  <c r="T299" i="5"/>
  <c r="S299" i="5"/>
  <c r="U299" i="5" s="1"/>
  <c r="T192" i="5"/>
  <c r="S192" i="5"/>
  <c r="U192" i="5" s="1"/>
  <c r="T245" i="5"/>
  <c r="S245" i="5"/>
  <c r="U245" i="5" s="1"/>
  <c r="T290" i="5"/>
  <c r="S290" i="5"/>
  <c r="U290" i="5" s="1"/>
  <c r="T288" i="5"/>
  <c r="S288" i="5"/>
  <c r="U288" i="5" s="1"/>
  <c r="T134" i="5"/>
  <c r="S134" i="5"/>
  <c r="U134" i="5" s="1"/>
  <c r="T285" i="5"/>
  <c r="S285" i="5"/>
  <c r="U285" i="5" s="1"/>
  <c r="T382" i="5"/>
  <c r="S382" i="5"/>
  <c r="U382" i="5" s="1"/>
  <c r="T289" i="5"/>
  <c r="S289" i="5"/>
  <c r="U289" i="5" s="1"/>
  <c r="T150" i="5"/>
  <c r="S150" i="5"/>
  <c r="U150" i="5" s="1"/>
  <c r="S308" i="5"/>
  <c r="U308" i="5" s="1"/>
  <c r="T308" i="5"/>
  <c r="T122" i="5"/>
  <c r="S122" i="5"/>
  <c r="U122" i="5" s="1"/>
  <c r="T182" i="5"/>
  <c r="S182" i="5"/>
  <c r="U182" i="5" s="1"/>
  <c r="T300" i="5"/>
  <c r="S300" i="5"/>
  <c r="U300" i="5" s="1"/>
  <c r="T89" i="5"/>
  <c r="S89" i="5"/>
  <c r="U89" i="5" s="1"/>
  <c r="T261" i="5"/>
  <c r="S261" i="5"/>
  <c r="U261" i="5" s="1"/>
  <c r="S29" i="5"/>
  <c r="U29" i="5" s="1"/>
  <c r="S144" i="5"/>
  <c r="U144" i="5" s="1"/>
  <c r="T144" i="5"/>
  <c r="T146" i="5"/>
  <c r="S146" i="5"/>
  <c r="U146" i="5" s="1"/>
  <c r="T335" i="5"/>
  <c r="S335" i="5"/>
  <c r="U335" i="5" s="1"/>
  <c r="S16" i="5"/>
  <c r="U16" i="5" s="1"/>
  <c r="T384" i="5"/>
  <c r="S384" i="5"/>
  <c r="U384" i="5" s="1"/>
  <c r="T293" i="5"/>
  <c r="S293" i="5"/>
  <c r="U293" i="5" s="1"/>
  <c r="S11" i="5"/>
  <c r="U11" i="5" s="1"/>
  <c r="S38" i="5"/>
  <c r="U38" i="5" s="1"/>
  <c r="S259" i="5"/>
  <c r="U259" i="5" s="1"/>
  <c r="T259" i="5"/>
  <c r="T337" i="5"/>
  <c r="S337" i="5"/>
  <c r="U337" i="5" s="1"/>
  <c r="T51" i="5"/>
  <c r="S51" i="5"/>
  <c r="U51" i="5" s="1"/>
  <c r="T55" i="5"/>
  <c r="S55" i="5"/>
  <c r="U55" i="5" s="1"/>
  <c r="S148" i="5"/>
  <c r="U148" i="5" s="1"/>
  <c r="T148" i="5"/>
  <c r="T119" i="5"/>
  <c r="S119" i="5"/>
  <c r="U119" i="5" s="1"/>
  <c r="S56" i="5"/>
  <c r="U56" i="5" s="1"/>
  <c r="T56" i="5"/>
  <c r="T105" i="5"/>
  <c r="S105" i="5"/>
  <c r="U105" i="5" s="1"/>
  <c r="T129" i="5"/>
  <c r="S129" i="5"/>
  <c r="U129" i="5" s="1"/>
  <c r="T225" i="5"/>
  <c r="S225" i="5"/>
  <c r="U225" i="5" s="1"/>
  <c r="S268" i="5"/>
  <c r="U268" i="5" s="1"/>
  <c r="T268" i="5"/>
  <c r="T57" i="5"/>
  <c r="S57" i="5"/>
  <c r="U57" i="5" s="1"/>
  <c r="T378" i="5"/>
  <c r="S378" i="5"/>
  <c r="U378" i="5" s="1"/>
  <c r="T400" i="5"/>
  <c r="S400" i="5"/>
  <c r="U400" i="5" s="1"/>
  <c r="T425" i="5"/>
  <c r="S425" i="5"/>
  <c r="U425" i="5" s="1"/>
  <c r="S24" i="5"/>
  <c r="U24" i="5" s="1"/>
  <c r="AB24" i="5" s="1"/>
  <c r="S339" i="5"/>
  <c r="U339" i="5" s="1"/>
  <c r="T339" i="5"/>
  <c r="T114" i="5"/>
  <c r="S114" i="5"/>
  <c r="U114" i="5" s="1"/>
  <c r="S18" i="5"/>
  <c r="U18" i="5" s="1"/>
  <c r="T436" i="5"/>
  <c r="S436" i="5"/>
  <c r="U436" i="5" s="1"/>
  <c r="S244" i="5"/>
  <c r="U244" i="5" s="1"/>
  <c r="T244" i="5"/>
  <c r="T434" i="5"/>
  <c r="S434" i="5"/>
  <c r="U434" i="5" s="1"/>
  <c r="S27" i="5"/>
  <c r="U27" i="5" s="1"/>
  <c r="AB27" i="5" s="1"/>
  <c r="T73" i="5"/>
  <c r="S73" i="5"/>
  <c r="U73" i="5" s="1"/>
  <c r="S284" i="5"/>
  <c r="U284" i="5" s="1"/>
  <c r="T284" i="5"/>
  <c r="T321" i="5"/>
  <c r="S321" i="5"/>
  <c r="U321" i="5" s="1"/>
  <c r="T418" i="5"/>
  <c r="S418" i="5"/>
  <c r="U418" i="5" s="1"/>
  <c r="T145" i="5"/>
  <c r="S145" i="5"/>
  <c r="U145" i="5" s="1"/>
  <c r="T178" i="5"/>
  <c r="S178" i="5"/>
  <c r="U178" i="5" s="1"/>
  <c r="S13" i="5"/>
  <c r="U13" i="5" s="1"/>
  <c r="T325" i="5"/>
  <c r="S325" i="5"/>
  <c r="U325" i="5" s="1"/>
  <c r="Q1" i="5"/>
  <c r="T371" i="5"/>
  <c r="S371" i="5"/>
  <c r="U371" i="5" s="1"/>
  <c r="T187" i="5"/>
  <c r="S187" i="5"/>
  <c r="U187" i="5" s="1"/>
  <c r="T198" i="5"/>
  <c r="S198" i="5"/>
  <c r="U198" i="5" s="1"/>
  <c r="T130" i="5"/>
  <c r="S130" i="5"/>
  <c r="U130" i="5" s="1"/>
  <c r="T278" i="5"/>
  <c r="S278" i="5"/>
  <c r="U278" i="5" s="1"/>
  <c r="S252" i="5"/>
  <c r="U252" i="5" s="1"/>
  <c r="T252" i="5"/>
  <c r="T179" i="5"/>
  <c r="S179" i="5"/>
  <c r="U179" i="5" s="1"/>
  <c r="T160" i="5"/>
  <c r="S160" i="5"/>
  <c r="U160" i="5" s="1"/>
  <c r="S212" i="5"/>
  <c r="U212" i="5" s="1"/>
  <c r="T212" i="5"/>
  <c r="T226" i="5"/>
  <c r="S226" i="5"/>
  <c r="U226" i="5" s="1"/>
  <c r="T154" i="5"/>
  <c r="S154" i="5"/>
  <c r="U154" i="5" s="1"/>
  <c r="T52" i="5"/>
  <c r="S52" i="5"/>
  <c r="U52" i="5" s="1"/>
  <c r="S159" i="5"/>
  <c r="U159" i="5" s="1"/>
  <c r="T159" i="5"/>
  <c r="S136" i="5"/>
  <c r="U136" i="5" s="1"/>
  <c r="T136" i="5"/>
  <c r="T106" i="5"/>
  <c r="S106" i="5"/>
  <c r="U106" i="5" s="1"/>
  <c r="T304" i="5"/>
  <c r="S304" i="5"/>
  <c r="U304" i="5" s="1"/>
  <c r="S430" i="5"/>
  <c r="U430" i="5" s="1"/>
  <c r="T430" i="5"/>
  <c r="S42" i="5"/>
  <c r="U42" i="5" s="1"/>
  <c r="T398" i="5"/>
  <c r="S398" i="5"/>
  <c r="U398" i="5" s="1"/>
  <c r="S36" i="5"/>
  <c r="U36" i="5" s="1"/>
  <c r="AB36" i="5" s="1"/>
  <c r="T322" i="5"/>
  <c r="S322" i="5"/>
  <c r="U322" i="5" s="1"/>
  <c r="T240" i="5"/>
  <c r="S240" i="5"/>
  <c r="U240" i="5" s="1"/>
  <c r="T86" i="5"/>
  <c r="S86" i="5"/>
  <c r="U86" i="5" s="1"/>
  <c r="T217" i="5"/>
  <c r="S217" i="5"/>
  <c r="U217" i="5" s="1"/>
  <c r="T75" i="5"/>
  <c r="S75" i="5"/>
  <c r="U75" i="5" s="1"/>
  <c r="S383" i="5"/>
  <c r="U383" i="5" s="1"/>
  <c r="T383" i="5"/>
  <c r="S191" i="5"/>
  <c r="U191" i="5" s="1"/>
  <c r="T191" i="5"/>
  <c r="T91" i="5"/>
  <c r="S91" i="5"/>
  <c r="U91" i="5" s="1"/>
  <c r="T313" i="5"/>
  <c r="S313" i="5"/>
  <c r="U313" i="5" s="1"/>
  <c r="S84" i="5"/>
  <c r="U84" i="5" s="1"/>
  <c r="T84" i="5"/>
  <c r="T372" i="5"/>
  <c r="S372" i="5"/>
  <c r="U372" i="5" s="1"/>
  <c r="S172" i="5"/>
  <c r="U172" i="5" s="1"/>
  <c r="T172" i="5"/>
  <c r="S248" i="5"/>
  <c r="U248" i="5" s="1"/>
  <c r="T248" i="5"/>
  <c r="T189" i="5"/>
  <c r="S189" i="5"/>
  <c r="U189" i="5" s="1"/>
  <c r="S433" i="5"/>
  <c r="U433" i="5" s="1"/>
  <c r="T433" i="5"/>
  <c r="T62" i="5"/>
  <c r="S62" i="5"/>
  <c r="U62" i="5" s="1"/>
  <c r="T342" i="5"/>
  <c r="S342" i="5"/>
  <c r="U342" i="5" s="1"/>
  <c r="T376" i="5"/>
  <c r="S376" i="5"/>
  <c r="U376" i="5" s="1"/>
  <c r="S184" i="5"/>
  <c r="U184" i="5" s="1"/>
  <c r="T184" i="5"/>
  <c r="T169" i="5"/>
  <c r="S169" i="5"/>
  <c r="U169" i="5" s="1"/>
  <c r="T423" i="5"/>
  <c r="S423" i="5"/>
  <c r="U423" i="5" s="1"/>
  <c r="S32" i="5"/>
  <c r="U32" i="5" s="1"/>
  <c r="AB32" i="5" s="1"/>
  <c r="S319" i="5"/>
  <c r="U319" i="5" s="1"/>
  <c r="T319" i="5"/>
  <c r="T68" i="5"/>
  <c r="S68" i="5"/>
  <c r="U68" i="5" s="1"/>
  <c r="T215" i="5"/>
  <c r="S215" i="5"/>
  <c r="U215" i="5" s="1"/>
  <c r="T396" i="5"/>
  <c r="S396" i="5"/>
  <c r="U396" i="5" s="1"/>
  <c r="T377" i="5"/>
  <c r="S377" i="5"/>
  <c r="U377" i="5" s="1"/>
  <c r="T87" i="5"/>
  <c r="S87" i="5"/>
  <c r="U87" i="5" s="1"/>
  <c r="T411" i="5"/>
  <c r="S411" i="5"/>
  <c r="U411" i="5" s="1"/>
  <c r="T415" i="5"/>
  <c r="S415" i="5"/>
  <c r="U415" i="5" s="1"/>
  <c r="S76" i="5"/>
  <c r="U76" i="5" s="1"/>
  <c r="T76" i="5"/>
  <c r="T221" i="5"/>
  <c r="S221" i="5"/>
  <c r="U221" i="5" s="1"/>
  <c r="T54" i="5"/>
  <c r="S54" i="5"/>
  <c r="U54" i="5" s="1"/>
  <c r="T328" i="5"/>
  <c r="S328" i="5"/>
  <c r="U328" i="5" s="1"/>
  <c r="S276" i="5"/>
  <c r="U276" i="5" s="1"/>
  <c r="T276" i="5"/>
  <c r="T222" i="5"/>
  <c r="S222" i="5"/>
  <c r="U222" i="5" s="1"/>
  <c r="T429" i="5"/>
  <c r="S429" i="5"/>
  <c r="U429" i="5" s="1"/>
  <c r="T235" i="5"/>
  <c r="S235" i="5"/>
  <c r="U235" i="5" s="1"/>
  <c r="T362" i="5"/>
  <c r="S362" i="5"/>
  <c r="U362" i="5" s="1"/>
  <c r="T242" i="5"/>
  <c r="S242" i="5"/>
  <c r="U242" i="5" s="1"/>
  <c r="T48" i="5"/>
  <c r="S48" i="5"/>
  <c r="U48" i="5" s="1"/>
  <c r="T107" i="5"/>
  <c r="S107" i="5"/>
  <c r="U107" i="5" s="1"/>
  <c r="T303" i="5"/>
  <c r="S303" i="5"/>
  <c r="U303" i="5" s="1"/>
  <c r="T316" i="5"/>
  <c r="S316" i="5"/>
  <c r="U316" i="5" s="1"/>
  <c r="T317" i="5"/>
  <c r="S317" i="5"/>
  <c r="U317" i="5" s="1"/>
  <c r="T250" i="5"/>
  <c r="S250" i="5"/>
  <c r="U250" i="5" s="1"/>
  <c r="T246" i="5"/>
  <c r="S246" i="5"/>
  <c r="U246" i="5" s="1"/>
  <c r="T402" i="5"/>
  <c r="S402" i="5"/>
  <c r="U402" i="5" s="1"/>
  <c r="T341" i="5"/>
  <c r="S341" i="5"/>
  <c r="U341" i="5" s="1"/>
  <c r="S416" i="5"/>
  <c r="U416" i="5" s="1"/>
  <c r="T416" i="5"/>
  <c r="T354" i="5"/>
  <c r="S354" i="5"/>
  <c r="U354" i="5" s="1"/>
  <c r="T170" i="5"/>
  <c r="S170" i="5"/>
  <c r="U170" i="5" s="1"/>
  <c r="T271" i="5"/>
  <c r="S271" i="5"/>
  <c r="U271" i="5" s="1"/>
  <c r="T199" i="5"/>
  <c r="S199" i="5"/>
  <c r="U199" i="5" s="1"/>
  <c r="T234" i="5"/>
  <c r="S234" i="5"/>
  <c r="U234" i="5" s="1"/>
  <c r="T399" i="5"/>
  <c r="S399" i="5"/>
  <c r="U399" i="5" s="1"/>
  <c r="T49" i="5"/>
  <c r="S49" i="5"/>
  <c r="U49" i="5" s="1"/>
  <c r="S116" i="5"/>
  <c r="U116" i="5" s="1"/>
  <c r="T116" i="5"/>
  <c r="S237" i="5"/>
  <c r="U237" i="5" s="1"/>
  <c r="T237" i="5"/>
  <c r="T138" i="5"/>
  <c r="S138" i="5"/>
  <c r="U138" i="5" s="1"/>
  <c r="T203" i="5"/>
  <c r="S203" i="5"/>
  <c r="U203" i="5" s="1"/>
  <c r="S108" i="5"/>
  <c r="U108" i="5" s="1"/>
  <c r="T108" i="5"/>
  <c r="T61" i="5"/>
  <c r="S61" i="5"/>
  <c r="U61" i="5" s="1"/>
  <c r="S255" i="5"/>
  <c r="U255" i="5" s="1"/>
  <c r="T255" i="5"/>
  <c r="T177" i="5"/>
  <c r="S177" i="5"/>
  <c r="U177" i="5" s="1"/>
  <c r="S329" i="5"/>
  <c r="U329" i="5" s="1"/>
  <c r="T329" i="5"/>
  <c r="S216" i="5"/>
  <c r="U216" i="5" s="1"/>
  <c r="T216" i="5"/>
  <c r="T171" i="5"/>
  <c r="S171" i="5"/>
  <c r="U171" i="5" s="1"/>
  <c r="S43" i="5"/>
  <c r="U43" i="5" s="1"/>
  <c r="AB43" i="5" s="1"/>
  <c r="T385" i="5"/>
  <c r="S385" i="5"/>
  <c r="U385" i="5" s="1"/>
  <c r="S156" i="5"/>
  <c r="U156" i="5" s="1"/>
  <c r="T156" i="5"/>
  <c r="T135" i="5"/>
  <c r="S135" i="5"/>
  <c r="U135" i="5" s="1"/>
  <c r="S375" i="5"/>
  <c r="U375" i="5" s="1"/>
  <c r="T375" i="5"/>
  <c r="T163" i="5"/>
  <c r="S163" i="5"/>
  <c r="U163" i="5" s="1"/>
  <c r="S340" i="5"/>
  <c r="U340" i="5" s="1"/>
  <c r="T340" i="5"/>
  <c r="S260" i="5"/>
  <c r="U260" i="5" s="1"/>
  <c r="T260" i="5"/>
  <c r="S37" i="5"/>
  <c r="U37" i="5" s="1"/>
  <c r="S438" i="5"/>
  <c r="U438" i="5" s="1"/>
  <c r="T438" i="5"/>
  <c r="S422" i="5"/>
  <c r="U422" i="5" s="1"/>
  <c r="T422" i="5"/>
  <c r="T123" i="5"/>
  <c r="S123" i="5"/>
  <c r="U123" i="5" s="1"/>
  <c r="T125" i="5"/>
  <c r="S125" i="5"/>
  <c r="U125" i="5" s="1"/>
  <c r="T295" i="5"/>
  <c r="S295" i="5"/>
  <c r="U295" i="5" s="1"/>
  <c r="S409" i="5"/>
  <c r="U409" i="5" s="1"/>
  <c r="T409" i="5"/>
  <c r="S149" i="5"/>
  <c r="U149" i="5" s="1"/>
  <c r="T149" i="5"/>
  <c r="T352" i="5"/>
  <c r="S352" i="5"/>
  <c r="U352" i="5" s="1"/>
  <c r="T428" i="5"/>
  <c r="S428" i="5"/>
  <c r="U428" i="5" s="1"/>
  <c r="T392" i="5"/>
  <c r="S392" i="5"/>
  <c r="U392" i="5" s="1"/>
  <c r="S21" i="5"/>
  <c r="U21" i="5" s="1"/>
  <c r="AB31" i="5"/>
  <c r="AB34" i="5"/>
  <c r="AB28" i="5"/>
  <c r="AB44" i="5"/>
  <c r="AB33" i="5"/>
  <c r="S2" i="5"/>
  <c r="T22" i="5" l="1"/>
  <c r="T27" i="5"/>
  <c r="AA27" i="5" s="1"/>
  <c r="T38" i="5"/>
  <c r="T16" i="5"/>
  <c r="T29" i="5"/>
  <c r="T12" i="5"/>
  <c r="T39" i="5"/>
  <c r="T44" i="5"/>
  <c r="AA44" i="5" s="1"/>
  <c r="T28" i="5"/>
  <c r="AA28" i="5" s="1"/>
  <c r="T13" i="5"/>
  <c r="T11" i="5"/>
  <c r="U9" i="5"/>
  <c r="T9" i="5"/>
  <c r="T21" i="5"/>
  <c r="T32" i="5"/>
  <c r="AA32" i="5" s="1"/>
  <c r="T36" i="5"/>
  <c r="AA36" i="5" s="1"/>
  <c r="T42" i="5"/>
  <c r="T18" i="5"/>
  <c r="AA18" i="5" s="1"/>
  <c r="U4" i="5"/>
  <c r="T4" i="5"/>
  <c r="T23" i="5"/>
  <c r="U7" i="5"/>
  <c r="T7" i="5"/>
  <c r="AA7" i="5" s="1"/>
  <c r="U6" i="5"/>
  <c r="T6" i="5"/>
  <c r="T40" i="5"/>
  <c r="AA40" i="5" s="1"/>
  <c r="T25" i="5"/>
  <c r="AA25" i="5" s="1"/>
  <c r="T17" i="5"/>
  <c r="T20" i="5"/>
  <c r="T14" i="5"/>
  <c r="AA14" i="5" s="1"/>
  <c r="T19" i="5"/>
  <c r="AA19" i="5" s="1"/>
  <c r="T34" i="5"/>
  <c r="T30" i="5"/>
  <c r="T26" i="5"/>
  <c r="U5" i="5"/>
  <c r="T5" i="5"/>
  <c r="U8" i="5"/>
  <c r="T8" i="5"/>
  <c r="T37" i="5"/>
  <c r="AA37" i="5" s="1"/>
  <c r="T43" i="5"/>
  <c r="AA43" i="5" s="1"/>
  <c r="T24" i="5"/>
  <c r="AA24" i="5" s="1"/>
  <c r="U3" i="5"/>
  <c r="AB3" i="5" s="1"/>
  <c r="T3" i="5"/>
  <c r="AA3" i="5" s="1"/>
  <c r="T10" i="5"/>
  <c r="T15" i="5"/>
  <c r="T45" i="5"/>
  <c r="T41" i="5"/>
  <c r="AA41" i="5" s="1"/>
  <c r="T33" i="5"/>
  <c r="AA33" i="5" s="1"/>
  <c r="T35" i="5"/>
  <c r="AA35" i="5" s="1"/>
  <c r="T31" i="5"/>
  <c r="AA31" i="5" s="1"/>
  <c r="AA34" i="5"/>
  <c r="AA39" i="5"/>
  <c r="AA23" i="5"/>
  <c r="AB41" i="5"/>
  <c r="AB37" i="5"/>
  <c r="AB14" i="5"/>
  <c r="AB10" i="5"/>
  <c r="C14" i="14" s="1"/>
  <c r="AA10" i="5"/>
  <c r="AB4" i="5"/>
  <c r="C8" i="14" s="1"/>
  <c r="AA4" i="5"/>
  <c r="AB6" i="5"/>
  <c r="AA6" i="5"/>
  <c r="AB29" i="5"/>
  <c r="C10" i="14" s="1"/>
  <c r="AA29" i="5"/>
  <c r="AB42" i="5"/>
  <c r="AA42" i="5"/>
  <c r="AB20" i="5"/>
  <c r="C24" i="14" s="1"/>
  <c r="AA20" i="5"/>
  <c r="AB17" i="5"/>
  <c r="C21" i="14" s="1"/>
  <c r="AA17" i="5"/>
  <c r="AB12" i="5"/>
  <c r="C16" i="14" s="1"/>
  <c r="AA12" i="5"/>
  <c r="AB9" i="5"/>
  <c r="C13" i="14" s="1"/>
  <c r="AA9" i="5"/>
  <c r="AB5" i="5"/>
  <c r="C9" i="14" s="1"/>
  <c r="AA5" i="5"/>
  <c r="AB38" i="5"/>
  <c r="AA38" i="5"/>
  <c r="AB30" i="5"/>
  <c r="AA30" i="5"/>
  <c r="AB26" i="5"/>
  <c r="AA26" i="5"/>
  <c r="AB22" i="5"/>
  <c r="AA22" i="5"/>
  <c r="AB19" i="5"/>
  <c r="AB16" i="5"/>
  <c r="C20" i="14" s="1"/>
  <c r="AA16" i="5"/>
  <c r="AB13" i="5"/>
  <c r="C17" i="14" s="1"/>
  <c r="AA13" i="5"/>
  <c r="U2" i="5"/>
  <c r="AB2" i="5" s="1"/>
  <c r="C6" i="14" s="1"/>
  <c r="T2" i="5"/>
  <c r="AA2" i="5" s="1"/>
  <c r="AB8" i="5"/>
  <c r="C12" i="14" s="1"/>
  <c r="AA8" i="5"/>
  <c r="AB18" i="5"/>
  <c r="AB45" i="5"/>
  <c r="C26" i="14" s="1"/>
  <c r="AA45" i="5"/>
  <c r="B26" i="14" s="1"/>
  <c r="AB15" i="5"/>
  <c r="AA15" i="5"/>
  <c r="AB11" i="5"/>
  <c r="C15" i="14" s="1"/>
  <c r="AA11" i="5"/>
  <c r="AB7" i="5"/>
  <c r="AB21" i="5"/>
  <c r="C25" i="14" s="1"/>
  <c r="AA21" i="5"/>
  <c r="B22" i="14" l="1"/>
  <c r="B18" i="14"/>
  <c r="C7" i="14"/>
  <c r="B11" i="14"/>
  <c r="B7" i="14"/>
  <c r="B23" i="14"/>
  <c r="B10" i="14"/>
  <c r="C11" i="14"/>
  <c r="C18" i="14"/>
  <c r="B15" i="14"/>
  <c r="B6" i="14"/>
  <c r="B13" i="14"/>
  <c r="B19" i="14"/>
  <c r="C22" i="14"/>
  <c r="B12" i="14"/>
  <c r="B21" i="14"/>
  <c r="B8" i="14"/>
  <c r="C19" i="14"/>
  <c r="C23" i="14"/>
  <c r="B16" i="14"/>
  <c r="B9" i="14"/>
  <c r="B20" i="14"/>
  <c r="B14" i="14"/>
  <c r="B24" i="14"/>
  <c r="B17" i="14"/>
  <c r="B25"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B2AECF-B727-4D49-A216-472581620BE1}" keepAlive="1" name="Query - Premier League 2021/22" description="Connection to the 'Premier League 2021/22' query in the workbook." type="5" refreshedVersion="0" background="1">
    <dbPr connection="Provider=Microsoft.Mashup.OleDb.1;Data Source=$Workbook$;Location=&quot;Premier League 2021/22&quot;;Extended Properties=&quot;&quot;" command="SELECT * FROM [Premier League 2021/22]"/>
  </connection>
  <connection id="2" xr16:uid="{209F9673-97A1-41FA-9AA5-2BBD63DE5BE2}"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<sst xmlns="http://schemas.openxmlformats.org/spreadsheetml/2006/main" count="1150" uniqueCount="92">
  <si>
    <t>Year</t>
  </si>
  <si>
    <t>#</t>
  </si>
  <si>
    <t>Team</t>
  </si>
  <si>
    <t>Pl</t>
  </si>
  <si>
    <t>W</t>
  </si>
  <si>
    <t>D</t>
  </si>
  <si>
    <t>L</t>
  </si>
  <si>
    <t>F</t>
  </si>
  <si>
    <t>A</t>
  </si>
  <si>
    <t>GD</t>
  </si>
  <si>
    <t>Pts</t>
  </si>
  <si>
    <t>Manchester United</t>
  </si>
  <si>
    <t>Arsenal</t>
  </si>
  <si>
    <t>Liverpool</t>
  </si>
  <si>
    <t>Leeds United</t>
  </si>
  <si>
    <t>Ipswich Town</t>
  </si>
  <si>
    <t>Chelsea</t>
  </si>
  <si>
    <t>Sunderland</t>
  </si>
  <si>
    <t>Aston Villa</t>
  </si>
  <si>
    <t>Charlton Athletic</t>
  </si>
  <si>
    <t>Southampton</t>
  </si>
  <si>
    <t>Newcastle United</t>
  </si>
  <si>
    <t>Tottenham Hotspur</t>
  </si>
  <si>
    <t>Leicester City</t>
  </si>
  <si>
    <t>Middlesbrough</t>
  </si>
  <si>
    <t>West Ham United</t>
  </si>
  <si>
    <t>Everton</t>
  </si>
  <si>
    <t>Derby County</t>
  </si>
  <si>
    <t>Manchester City</t>
  </si>
  <si>
    <t>Coventry City</t>
  </si>
  <si>
    <t>Bradford City</t>
  </si>
  <si>
    <t>Blackburn Rovers</t>
  </si>
  <si>
    <t>Fulham</t>
  </si>
  <si>
    <t>Bolton Wanderers</t>
  </si>
  <si>
    <t>Birmingham City</t>
  </si>
  <si>
    <t>West Bromwich Albion</t>
  </si>
  <si>
    <t>Portsmouth</t>
  </si>
  <si>
    <t>Wolverhampton Wanderers</t>
  </si>
  <si>
    <t>Crystal Palace</t>
  </si>
  <si>
    <t>Norwich City</t>
  </si>
  <si>
    <t>Wigan Athletic</t>
  </si>
  <si>
    <t>Reading</t>
  </si>
  <si>
    <t>Sheffield United</t>
  </si>
  <si>
    <t>Watford</t>
  </si>
  <si>
    <t>Stoke City</t>
  </si>
  <si>
    <t>Hull City</t>
  </si>
  <si>
    <t>Burnley</t>
  </si>
  <si>
    <t>Blackpool</t>
  </si>
  <si>
    <t>Swansea City</t>
  </si>
  <si>
    <t>Queens Park Rangers</t>
  </si>
  <si>
    <t>Cardiff City</t>
  </si>
  <si>
    <t>Bournemouth</t>
  </si>
  <si>
    <t>Huddersfield Town</t>
  </si>
  <si>
    <t>Brentford</t>
  </si>
  <si>
    <t>Column1</t>
  </si>
  <si>
    <t>Brighton And Hove Albion</t>
  </si>
  <si>
    <t>Appearance</t>
  </si>
  <si>
    <t>Teams</t>
  </si>
  <si>
    <t>Number of teams</t>
  </si>
  <si>
    <t>Points</t>
  </si>
  <si>
    <t>Champions details</t>
  </si>
  <si>
    <t>Relegation details</t>
  </si>
  <si>
    <t>22 year performance</t>
  </si>
  <si>
    <t>Column2</t>
  </si>
  <si>
    <t>Win_rate</t>
  </si>
  <si>
    <t>Relegated</t>
  </si>
  <si>
    <t>win rate</t>
  </si>
  <si>
    <t>Details</t>
  </si>
  <si>
    <t>Filter Details</t>
  </si>
  <si>
    <t>Mean</t>
  </si>
  <si>
    <t>Standard Error</t>
  </si>
  <si>
    <t>Median</t>
  </si>
  <si>
    <t>Mode</t>
  </si>
  <si>
    <t>Standard Deviation</t>
  </si>
  <si>
    <t>Sample Variance</t>
  </si>
  <si>
    <t>Kurtosis</t>
  </si>
  <si>
    <t>Skewness</t>
  </si>
  <si>
    <t>Range</t>
  </si>
  <si>
    <t>Minimum</t>
  </si>
  <si>
    <t>Maximum</t>
  </si>
  <si>
    <t>Sum</t>
  </si>
  <si>
    <t>Count</t>
  </si>
  <si>
    <t>Champions</t>
  </si>
  <si>
    <t>Relegation stats</t>
  </si>
  <si>
    <t>Champions stats</t>
  </si>
  <si>
    <t/>
  </si>
  <si>
    <t>Min</t>
  </si>
  <si>
    <t>Max</t>
  </si>
  <si>
    <t>lower Q</t>
  </si>
  <si>
    <t>Upper Q</t>
  </si>
  <si>
    <t>Lower Bound</t>
  </si>
  <si>
    <t>Upperbound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</si>
</sst>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12" x14ac:knownFonts="1">
    <font>
      <sz val="11"/>
      <color theme="1"/>
      <name val="Calibri"/>
      <family val="2"/>
      <scheme val="minor"/>
    </font>
    <font>
      <sz val="10"/>
      <color theme="1"/>
      <name val="Calibri"/>
      <family val="2"/>
      <scheme val="minor"/>
    </font>
    <font>
      <b/>
      <sz val="10"/>
      <color theme="0"/>
      <name val="Calibri"/>
      <family val="2"/>
      <scheme val="minor"/>
    </font>
    <font>
      <b/>
      <sz val="10"/>
      <color theme="1"/>
      <name val="Calibri"/>
      <family val="2"/>
      <scheme val="minor"/>
    </font>
    <font>
      <sz val="11"/>
      <color theme="1"/>
      <name val="Calibri"/>
      <family val="2"/>
      <scheme val="minor"/>
    </font>
    <font>
      <i/>
      <sz val="11"/>
      <color theme="1"/>
      <name val="Calibri"/>
      <family val="2"/>
      <scheme val="minor"/>
    </font>
    <font>
      <sz val="8"/>
      <name val="Calibri"/>
      <family val="2"/>
      <scheme val="minor"/>
    </font>
    <font>
      <sz val="10"/>
      <color rgb="FF00585C"/>
      <name val="Calibri"/>
      <family val="2"/>
      <scheme val="minor"/>
    </font>
    <font>
      <b/>
      <i/>
      <sz val="12"/>
      <color rgb="FFC00000"/>
      <name val="Calibri"/>
      <family val="2"/>
      <scheme val="minor"/>
    </font>
    <font>
      <b/>
      <i/>
      <sz val="11"/>
      <color rgb="FF00585C"/>
      <name val="Calibri"/>
      <family val="2"/>
      <scheme val="minor"/>
    </font>
    <font>
      <b/>
      <i/>
      <sz val="10"/>
      <color rgb="FF00585C"/>
      <name val="Calibri"/>
      <family val="2"/>
      <scheme val="minor"/>
    </font>
    <font>
      <b/>
      <sz val="10"/>
      <color rgb="FF00585C"/>
      <name val="Calibri"/>
      <family val="2"/>
      <scheme val="minor"/>
    </font>
  </fonts>
  <fills count="5">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rgb="FFD5FDFF"/>
        <bgColor indexed="64"/>
      </patternFill>
    </fill>
  </fills>
  <borders count="7">
    <border>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right/>
      <top/>
      <bottom style="medium">
        <color indexed="64"/>
      </bottom>
      <diagonal/>
    </border>
    <border>
      <left/>
      <right/>
      <top style="medium">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43" fontId="4" fillId="0" borderId="0" applyFont="0" applyFill="0" applyBorder="0" applyAlignment="0" applyProtection="0"/>
  </cellStyleXfs>
  <cellXfs count="33">
    <xf numFmtId="0" fontId="0" fillId="0" borderId="0" xfId="0"/>
    <xf numFmtId="0" fontId="1" fillId="0" borderId="0" xfId="0" applyFont="1"/>
    <xf numFmtId="0" fontId="1" fillId="0" borderId="0" xfId="0" applyFont="1" applyAlignment="1">
      <alignment horizontal="center"/>
    </xf>
    <xf numFmtId="0" fontId="1" fillId="3" borderId="1" xfId="0" applyFont="1" applyFill="1" applyBorder="1"/>
    <xf numFmtId="0" fontId="1" fillId="3" borderId="1" xfId="0" applyNumberFormat="1" applyFont="1" applyFill="1" applyBorder="1"/>
    <xf numFmtId="0" fontId="1" fillId="0" borderId="1" xfId="0" applyFont="1" applyBorder="1"/>
    <xf numFmtId="0" fontId="1" fillId="0" borderId="1" xfId="0" applyNumberFormat="1" applyFont="1" applyBorder="1"/>
    <xf numFmtId="0" fontId="2" fillId="2" borderId="2" xfId="0" applyFont="1" applyFill="1" applyBorder="1"/>
    <xf numFmtId="0" fontId="1" fillId="0" borderId="3" xfId="0" applyFont="1" applyBorder="1"/>
    <xf numFmtId="0" fontId="1" fillId="0" borderId="3" xfId="0" applyNumberFormat="1" applyFont="1" applyBorder="1"/>
    <xf numFmtId="0" fontId="1" fillId="0" borderId="2" xfId="0" applyFont="1" applyBorder="1"/>
    <xf numFmtId="2" fontId="0" fillId="0" borderId="0" xfId="0" applyNumberFormat="1"/>
    <xf numFmtId="0" fontId="3" fillId="0" borderId="0" xfId="0" applyFont="1"/>
    <xf numFmtId="0" fontId="1" fillId="3" borderId="2" xfId="0" applyFont="1" applyFill="1" applyBorder="1"/>
    <xf numFmtId="0" fontId="1" fillId="3" borderId="2" xfId="0" applyNumberFormat="1" applyFont="1" applyFill="1" applyBorder="1"/>
    <xf numFmtId="0" fontId="1" fillId="0" borderId="2" xfId="0" applyNumberFormat="1" applyFont="1" applyBorder="1"/>
    <xf numFmtId="0" fontId="0" fillId="0" borderId="0" xfId="0" applyBorder="1"/>
    <xf numFmtId="2" fontId="1" fillId="0" borderId="0" xfId="0" applyNumberFormat="1" applyFont="1"/>
    <xf numFmtId="1" fontId="1" fillId="0" borderId="0" xfId="0" applyNumberFormat="1" applyFont="1"/>
    <xf numFmtId="164" fontId="1" fillId="0" borderId="3" xfId="1" applyNumberFormat="1" applyFont="1" applyBorder="1"/>
    <xf numFmtId="164" fontId="0" fillId="0" borderId="0" xfId="0" applyNumberFormat="1"/>
    <xf numFmtId="0" fontId="5" fillId="0" borderId="5" xfId="0" applyFont="1" applyFill="1" applyBorder="1" applyAlignment="1">
      <alignment horizontal="centerContinuous"/>
    </xf>
    <xf numFmtId="0" fontId="7" fillId="0" borderId="0" xfId="0" applyFont="1"/>
    <xf numFmtId="0" fontId="7" fillId="0" borderId="6" xfId="0" applyFont="1" applyBorder="1"/>
    <xf numFmtId="0" fontId="8" fillId="0" borderId="6" xfId="0" applyFont="1" applyBorder="1"/>
    <xf numFmtId="0" fontId="7" fillId="0" borderId="0" xfId="0" applyFont="1" applyFill="1" applyBorder="1" applyAlignment="1"/>
    <xf numFmtId="0" fontId="7" fillId="0" borderId="4" xfId="0" applyFont="1" applyFill="1" applyBorder="1" applyAlignment="1"/>
    <xf numFmtId="0" fontId="9" fillId="0" borderId="5" xfId="0" applyFont="1" applyFill="1" applyBorder="1" applyAlignment="1">
      <alignment horizontal="centerContinuous"/>
    </xf>
    <xf numFmtId="0" fontId="10" fillId="0" borderId="5" xfId="0" applyFont="1" applyFill="1" applyBorder="1" applyAlignment="1">
      <alignment horizontal="centerContinuous"/>
    </xf>
    <xf numFmtId="0" fontId="9" fillId="4" borderId="6" xfId="0" applyFont="1" applyFill="1" applyBorder="1" applyAlignment="1">
      <alignment horizontal="center"/>
    </xf>
    <xf numFmtId="0" fontId="9" fillId="4" borderId="6" xfId="0" applyFont="1" applyFill="1" applyBorder="1"/>
    <xf numFmtId="0" fontId="11" fillId="0" borderId="0" xfId="0" applyFont="1"/>
    <xf numFmtId="0" fontId="10" fillId="0" borderId="0" xfId="0" applyFont="1" applyFill="1" applyBorder="1" applyAlignment="1">
      <alignment horizontal="centerContinuous"/>
    </xf>
  </cellXfs>
  <cellStyles count="2">
    <cellStyle name="Comma" xfId="1" builtinId="3"/>
    <cellStyle name="Normal" xfId="0" builtinId="0"/>
  </cellStyles>
  <dxfs count="50">
    <dxf>
      <font>
        <b val="0"/>
        <i val="0"/>
        <strike val="0"/>
        <condense val="0"/>
        <extend val="0"/>
        <outline val="0"/>
        <shadow val="0"/>
        <u val="none"/>
        <vertAlign val="baseline"/>
        <sz val="10"/>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dxf>
    <dxf>
      <border outline="0">
        <bottom style="thin">
          <color theme="9" tint="0.39997558519241921"/>
        </bottom>
      </border>
    </dxf>
    <dxf>
      <font>
        <b/>
        <i val="0"/>
        <strike val="0"/>
        <condense val="0"/>
        <extend val="0"/>
        <outline val="0"/>
        <shadow val="0"/>
        <u val="none"/>
        <vertAlign val="baseline"/>
        <sz val="10"/>
        <color theme="0"/>
        <name val="Calibri"/>
        <family val="2"/>
        <scheme val="minor"/>
      </font>
      <fill>
        <patternFill patternType="solid">
          <fgColor theme="9"/>
          <bgColor theme="9"/>
        </patternFill>
      </fill>
    </dxf>
    <dxf>
      <font>
        <b val="0"/>
        <i val="0"/>
        <strike val="0"/>
        <condense val="0"/>
        <extend val="0"/>
        <outline val="0"/>
        <shadow val="0"/>
        <u val="none"/>
        <vertAlign val="baseline"/>
        <sz val="10"/>
        <color theme="1"/>
        <name val="Calibri"/>
        <family val="2"/>
        <scheme val="minor"/>
      </font>
      <numFmt numFmtId="0" formatCode="General"/>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164" formatCode="_-* #,##0_-;\-* #,##0_-;_-* &quot;-&quot;??_-;_-@_-"/>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numFmt numFmtId="0" formatCode="General"/>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0"/>
        <color theme="1"/>
        <name val="Calibri"/>
        <family val="2"/>
        <scheme val="minor"/>
      </font>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dxf>
    <dxf>
      <border outline="0">
        <bottom style="thin">
          <color theme="9" tint="0.39997558519241921"/>
        </bottom>
      </border>
    </dxf>
    <dxf>
      <font>
        <b/>
        <i val="0"/>
        <strike val="0"/>
        <condense val="0"/>
        <extend val="0"/>
        <outline val="0"/>
        <shadow val="0"/>
        <u val="none"/>
        <vertAlign val="baseline"/>
        <sz val="10"/>
        <color theme="0"/>
        <name val="Calibri"/>
        <family val="2"/>
        <scheme val="minor"/>
      </font>
      <fill>
        <patternFill patternType="solid">
          <fgColor theme="9"/>
          <bgColor theme="9"/>
        </patternFill>
      </fill>
    </dxf>
    <dxf>
      <border>
        <left style="thin">
          <color rgb="FF71F8FF"/>
        </left>
        <right style="thin">
          <color rgb="FF71F8FF"/>
        </right>
        <top style="thin">
          <color rgb="FF71F8FF"/>
        </top>
        <bottom style="thin">
          <color rgb="FF71F8FF"/>
        </bottom>
        <vertical/>
        <horizontal/>
      </border>
    </dxf>
    <dxf>
      <border>
        <left style="thin">
          <color rgb="FFE5FEFF"/>
        </left>
        <right style="thin">
          <color rgb="FFE5FEFF"/>
        </right>
        <top style="thin">
          <color rgb="FFE5FEFF"/>
        </top>
        <bottom style="thin">
          <color rgb="FFE5FEFF"/>
        </bottom>
        <vertical/>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mruColors>
      <color rgb="FF71F8FF"/>
      <color rgb="FF00585C"/>
      <color rgb="FFFFFFFF"/>
      <color rgb="FFEFFEFF"/>
      <color rgb="FFD5FDFF"/>
      <color rgb="FF04F4FF"/>
      <color rgb="FFE5FEFF"/>
      <color rgb="FFE90052"/>
      <color rgb="FFFEF0F1"/>
      <color rgb="FFF856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plotSurface>
          <cx:spPr>
            <a:noFill/>
            <a:ln>
              <a:noFill/>
            </a:ln>
          </cx:spPr>
        </cx:plotSurface>
        <cx:series layoutId="boxWhisker" uniqueId="{A8885F7E-6B40-4334-AE41-60A8B3260B5F}">
          <cx:dataLabels>
            <cx:visibility seriesName="0" categoryName="0" value="1"/>
          </cx:dataLabels>
          <cx:dataId val="0"/>
          <cx:layoutPr>
            <cx:visibility meanLine="0" meanMarker="1" nonoutliers="0" outliers="1"/>
            <cx:statistics quartileMethod="exclusive"/>
          </cx:layoutPr>
        </cx:series>
      </cx:plotAreaRegion>
      <cx:axis id="0" hidden="1">
        <cx:catScaling gapWidth="1.92999995"/>
        <cx:tickLabels/>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26A32887-C5AA-4C29-91D8-0B2D619B1DA8}">
          <cx:dataId val="0"/>
          <cx:layoutPr>
            <cx:visibility meanLine="0" meanMarker="1" nonoutliers="0" outliers="1"/>
            <cx:statistics quartileMethod="exclusive"/>
          </cx:layoutPr>
        </cx:series>
      </cx:plotAreaRegion>
      <cx:axis id="0" hidden="1">
        <cx:catScaling gapWidth="1.69000006"/>
        <cx:tickLabels/>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croll" dx="22" fmlaLink="Data!$AD$1" max="383" min="1" page="20"/>
</file>

<file path=xl/ctrlProps/ctrlProp2.xml><?xml version="1.0" encoding="utf-8"?>
<formControlPr xmlns="http://schemas.microsoft.com/office/spreadsheetml/2009/9/main" objectType="Scroll" dx="22" fmlaLink="prem_analysis!$AB$1" max="24" min="1" page="10"/>
</file>

<file path=xl/ctrlProps/ctrlProp3.xml><?xml version="1.0" encoding="utf-8"?>
<formControlPr xmlns="http://schemas.microsoft.com/office/spreadsheetml/2009/9/main" objectType="Scroll" dx="22" fmlaLink="prem_analysis!$AV$1" max="420" min="1" page="10"/>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microsoft.com/office/2014/relationships/chartEx" Target="../charts/chartEx2.xml"/><Relationship Id="rId1" Type="http://schemas.microsoft.com/office/2014/relationships/chartEx" Target="../charts/chartEx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28575</xdr:colOff>
      <xdr:row>0</xdr:row>
      <xdr:rowOff>9524</xdr:rowOff>
    </xdr:from>
    <xdr:to>
      <xdr:col>24</xdr:col>
      <xdr:colOff>533400</xdr:colOff>
      <xdr:row>2</xdr:row>
      <xdr:rowOff>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28575" y="9524"/>
          <a:ext cx="12534900" cy="371476"/>
        </a:xfrm>
        <a:prstGeom prst="rect">
          <a:avLst/>
        </a:prstGeom>
        <a:solidFill>
          <a:srgbClr val="F856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00585C"/>
              </a:solidFill>
            </a:rPr>
            <a:t>Premier League 2000-2021</a:t>
          </a:r>
          <a:endParaRPr lang="en-KE" sz="2400" b="1">
            <a:solidFill>
              <a:srgbClr val="00585C"/>
            </a:solidFill>
          </a:endParaRPr>
        </a:p>
      </xdr:txBody>
    </xdr:sp>
    <xdr:clientData/>
  </xdr:twoCellAnchor>
  <xdr:twoCellAnchor editAs="absolute">
    <xdr:from>
      <xdr:col>1</xdr:col>
      <xdr:colOff>0</xdr:colOff>
      <xdr:row>2</xdr:row>
      <xdr:rowOff>66676</xdr:rowOff>
    </xdr:from>
    <xdr:to>
      <xdr:col>2</xdr:col>
      <xdr:colOff>152400</xdr:colOff>
      <xdr:row>4</xdr:row>
      <xdr:rowOff>180976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7150" y="447676"/>
          <a:ext cx="1209675" cy="495300"/>
        </a:xfrm>
        <a:prstGeom prst="rect">
          <a:avLst/>
        </a:prstGeom>
        <a:solidFill>
          <a:srgbClr val="FEF0F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en-US" sz="1200" b="1">
              <a:solidFill>
                <a:srgbClr val="00585C"/>
              </a:solidFill>
              <a:latin typeface="+mn-lt"/>
              <a:ea typeface="+mn-ea"/>
              <a:cs typeface="+mn-cs"/>
            </a:rPr>
            <a:t>Featured teams</a:t>
          </a:r>
          <a:endParaRPr lang="en-KE" sz="1200" b="1">
            <a:solidFill>
              <a:srgbClr val="00585C"/>
            </a:solidFill>
            <a:latin typeface="+mn-lt"/>
            <a:ea typeface="+mn-ea"/>
            <a:cs typeface="+mn-cs"/>
          </a:endParaRPr>
        </a:p>
      </xdr:txBody>
    </xdr:sp>
    <xdr:clientData/>
  </xdr:twoCellAnchor>
  <xdr:twoCellAnchor editAs="absolute">
    <xdr:from>
      <xdr:col>1</xdr:col>
      <xdr:colOff>323850</xdr:colOff>
      <xdr:row>3</xdr:row>
      <xdr:rowOff>114301</xdr:rowOff>
    </xdr:from>
    <xdr:to>
      <xdr:col>1</xdr:col>
      <xdr:colOff>733425</xdr:colOff>
      <xdr:row>4</xdr:row>
      <xdr:rowOff>180975</xdr:rowOff>
    </xdr:to>
    <xdr:sp macro="" textlink="prem_analysis!Q1">
      <xdr:nvSpPr>
        <xdr:cNvPr id="6" name="TextBox 5">
          <a:extLst>
            <a:ext uri="{FF2B5EF4-FFF2-40B4-BE49-F238E27FC236}">
              <a16:creationId xmlns:a16="http://schemas.microsoft.com/office/drawing/2014/main" id="{00000000-0008-0000-0000-000006000000}"/>
            </a:ext>
          </a:extLst>
        </xdr:cNvPr>
        <xdr:cNvSpPr txBox="1"/>
      </xdr:nvSpPr>
      <xdr:spPr>
        <a:xfrm>
          <a:off x="381000" y="685801"/>
          <a:ext cx="409575" cy="257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9CA5FBDC-17FE-4531-BDF2-44A8946AE6F9}" type="TxLink">
            <a:rPr lang="en-US" sz="1400" b="1">
              <a:solidFill>
                <a:srgbClr val="00585C"/>
              </a:solidFill>
              <a:latin typeface="+mn-lt"/>
              <a:ea typeface="+mn-ea"/>
              <a:cs typeface="+mn-cs"/>
            </a:rPr>
            <a:pPr marL="0" indent="0" algn="ctr"/>
            <a:t>44</a:t>
          </a:fld>
          <a:endParaRPr lang="en-KE" sz="1400" b="1">
            <a:solidFill>
              <a:srgbClr val="00585C"/>
            </a:solidFill>
            <a:latin typeface="+mn-lt"/>
            <a:ea typeface="+mn-ea"/>
            <a:cs typeface="+mn-cs"/>
          </a:endParaRPr>
        </a:p>
      </xdr:txBody>
    </xdr:sp>
    <xdr:clientData/>
  </xdr:twoCellAnchor>
  <xdr:twoCellAnchor editAs="absolute">
    <xdr:from>
      <xdr:col>2</xdr:col>
      <xdr:colOff>266700</xdr:colOff>
      <xdr:row>2</xdr:row>
      <xdr:rowOff>66676</xdr:rowOff>
    </xdr:from>
    <xdr:to>
      <xdr:col>5</xdr:col>
      <xdr:colOff>342900</xdr:colOff>
      <xdr:row>4</xdr:row>
      <xdr:rowOff>180976</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381125" y="447676"/>
          <a:ext cx="1209675" cy="495300"/>
        </a:xfrm>
        <a:prstGeom prst="rect">
          <a:avLst/>
        </a:prstGeom>
        <a:solidFill>
          <a:srgbClr val="FEF0F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200" b="1">
              <a:solidFill>
                <a:srgbClr val="00585C"/>
              </a:solidFill>
              <a:latin typeface="+mn-lt"/>
              <a:ea typeface="+mn-ea"/>
              <a:cs typeface="+mn-cs"/>
            </a:rPr>
            <a:t>Total games</a:t>
          </a:r>
          <a:endParaRPr lang="en-KE" sz="1200" b="1">
            <a:solidFill>
              <a:srgbClr val="00585C"/>
            </a:solidFill>
            <a:latin typeface="+mn-lt"/>
            <a:ea typeface="+mn-ea"/>
            <a:cs typeface="+mn-cs"/>
          </a:endParaRPr>
        </a:p>
      </xdr:txBody>
    </xdr:sp>
    <xdr:clientData/>
  </xdr:twoCellAnchor>
  <xdr:twoCellAnchor editAs="absolute">
    <xdr:from>
      <xdr:col>2</xdr:col>
      <xdr:colOff>285750</xdr:colOff>
      <xdr:row>3</xdr:row>
      <xdr:rowOff>95251</xdr:rowOff>
    </xdr:from>
    <xdr:to>
      <xdr:col>5</xdr:col>
      <xdr:colOff>209550</xdr:colOff>
      <xdr:row>4</xdr:row>
      <xdr:rowOff>180975</xdr:rowOff>
    </xdr:to>
    <xdr:sp macro="" textlink="prem_analysis!D443">
      <xdr:nvSpPr>
        <xdr:cNvPr id="8" name="TextBox 7">
          <a:extLst>
            <a:ext uri="{FF2B5EF4-FFF2-40B4-BE49-F238E27FC236}">
              <a16:creationId xmlns:a16="http://schemas.microsoft.com/office/drawing/2014/main" id="{00000000-0008-0000-0000-000008000000}"/>
            </a:ext>
          </a:extLst>
        </xdr:cNvPr>
        <xdr:cNvSpPr txBox="1"/>
      </xdr:nvSpPr>
      <xdr:spPr>
        <a:xfrm>
          <a:off x="1400175" y="666751"/>
          <a:ext cx="1057275" cy="2762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4B5B526C-97DF-43B1-8F38-ABE3340EA980}" type="TxLink">
            <a:rPr lang="en-US" sz="1400" b="1">
              <a:solidFill>
                <a:srgbClr val="00585C"/>
              </a:solidFill>
              <a:latin typeface="+mn-lt"/>
              <a:ea typeface="+mn-ea"/>
              <a:cs typeface="+mn-cs"/>
            </a:rPr>
            <a:pPr marL="0" indent="0" algn="ctr"/>
            <a:t> 16,720 </a:t>
          </a:fld>
          <a:endParaRPr lang="en-KE" sz="1400" b="1">
            <a:solidFill>
              <a:srgbClr val="00585C"/>
            </a:solidFill>
            <a:latin typeface="+mn-lt"/>
            <a:ea typeface="+mn-ea"/>
            <a:cs typeface="+mn-cs"/>
          </a:endParaRPr>
        </a:p>
      </xdr:txBody>
    </xdr:sp>
    <xdr:clientData/>
  </xdr:twoCellAnchor>
  <xdr:twoCellAnchor editAs="absolute">
    <xdr:from>
      <xdr:col>5</xdr:col>
      <xdr:colOff>457200</xdr:colOff>
      <xdr:row>2</xdr:row>
      <xdr:rowOff>66676</xdr:rowOff>
    </xdr:from>
    <xdr:to>
      <xdr:col>7</xdr:col>
      <xdr:colOff>114300</xdr:colOff>
      <xdr:row>4</xdr:row>
      <xdr:rowOff>180976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705100" y="447676"/>
          <a:ext cx="1209675" cy="495300"/>
        </a:xfrm>
        <a:prstGeom prst="rect">
          <a:avLst/>
        </a:prstGeom>
        <a:solidFill>
          <a:srgbClr val="FEF0F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200" b="1">
              <a:solidFill>
                <a:srgbClr val="00585C"/>
              </a:solidFill>
              <a:latin typeface="+mn-lt"/>
              <a:ea typeface="+mn-ea"/>
              <a:cs typeface="+mn-cs"/>
            </a:rPr>
            <a:t>Total goals</a:t>
          </a:r>
          <a:endParaRPr lang="en-KE" sz="1200" b="1">
            <a:solidFill>
              <a:srgbClr val="00585C"/>
            </a:solidFill>
            <a:latin typeface="+mn-lt"/>
            <a:ea typeface="+mn-ea"/>
            <a:cs typeface="+mn-cs"/>
          </a:endParaRPr>
        </a:p>
      </xdr:txBody>
    </xdr:sp>
    <xdr:clientData/>
  </xdr:twoCellAnchor>
  <xdr:twoCellAnchor editAs="absolute">
    <xdr:from>
      <xdr:col>5</xdr:col>
      <xdr:colOff>485775</xdr:colOff>
      <xdr:row>3</xdr:row>
      <xdr:rowOff>95251</xdr:rowOff>
    </xdr:from>
    <xdr:to>
      <xdr:col>6</xdr:col>
      <xdr:colOff>314325</xdr:colOff>
      <xdr:row>4</xdr:row>
      <xdr:rowOff>180975</xdr:rowOff>
    </xdr:to>
    <xdr:sp macro="" textlink="prem_analysis!E443">
      <xdr:nvSpPr>
        <xdr:cNvPr id="10" name="TextBox 9">
          <a:extLst>
            <a:ext uri="{FF2B5EF4-FFF2-40B4-BE49-F238E27FC236}">
              <a16:creationId xmlns:a16="http://schemas.microsoft.com/office/drawing/2014/main" id="{00000000-0008-0000-0000-00000A000000}"/>
            </a:ext>
          </a:extLst>
        </xdr:cNvPr>
        <xdr:cNvSpPr txBox="1"/>
      </xdr:nvSpPr>
      <xdr:spPr>
        <a:xfrm>
          <a:off x="2733675" y="666751"/>
          <a:ext cx="1057275" cy="2762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6AB4BF31-B46D-4421-8B35-87348A4CDE18}" type="TxLink">
            <a:rPr lang="en-US" sz="1400" b="1">
              <a:solidFill>
                <a:srgbClr val="00585C"/>
              </a:solidFill>
              <a:latin typeface="+mn-lt"/>
              <a:ea typeface="+mn-ea"/>
              <a:cs typeface="+mn-cs"/>
            </a:rPr>
            <a:pPr marL="0" indent="0" algn="ctr"/>
            <a:t> 5,993 </a:t>
          </a:fld>
          <a:endParaRPr lang="en-KE" sz="1400" b="1">
            <a:solidFill>
              <a:srgbClr val="00585C"/>
            </a:solidFill>
            <a:latin typeface="+mn-lt"/>
            <a:ea typeface="+mn-ea"/>
            <a:cs typeface="+mn-cs"/>
          </a:endParaRPr>
        </a:p>
      </xdr:txBody>
    </xdr:sp>
    <xdr:clientData/>
  </xdr:twoCellAnchor>
  <xdr:twoCellAnchor editAs="absolute">
    <xdr:from>
      <xdr:col>7</xdr:col>
      <xdr:colOff>228600</xdr:colOff>
      <xdr:row>2</xdr:row>
      <xdr:rowOff>66676</xdr:rowOff>
    </xdr:from>
    <xdr:to>
      <xdr:col>11</xdr:col>
      <xdr:colOff>142875</xdr:colOff>
      <xdr:row>4</xdr:row>
      <xdr:rowOff>180976</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4029075" y="447676"/>
          <a:ext cx="1209675" cy="495300"/>
        </a:xfrm>
        <a:prstGeom prst="rect">
          <a:avLst/>
        </a:prstGeom>
        <a:solidFill>
          <a:srgbClr val="FEF0F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200" b="1">
              <a:solidFill>
                <a:srgbClr val="00585C"/>
              </a:solidFill>
              <a:latin typeface="+mn-lt"/>
              <a:ea typeface="+mn-ea"/>
              <a:cs typeface="+mn-cs"/>
            </a:rPr>
            <a:t>Total points</a:t>
          </a:r>
          <a:endParaRPr lang="en-KE" sz="1200" b="1">
            <a:solidFill>
              <a:srgbClr val="00585C"/>
            </a:solidFill>
            <a:latin typeface="+mn-lt"/>
            <a:ea typeface="+mn-ea"/>
            <a:cs typeface="+mn-cs"/>
          </a:endParaRPr>
        </a:p>
      </xdr:txBody>
    </xdr:sp>
    <xdr:clientData/>
  </xdr:twoCellAnchor>
  <xdr:twoCellAnchor editAs="absolute">
    <xdr:from>
      <xdr:col>7</xdr:col>
      <xdr:colOff>285750</xdr:colOff>
      <xdr:row>3</xdr:row>
      <xdr:rowOff>114301</xdr:rowOff>
    </xdr:from>
    <xdr:to>
      <xdr:col>11</xdr:col>
      <xdr:colOff>47625</xdr:colOff>
      <xdr:row>5</xdr:row>
      <xdr:rowOff>9525</xdr:rowOff>
    </xdr:to>
    <xdr:sp macro="" textlink="prem_analysis!K443">
      <xdr:nvSpPr>
        <xdr:cNvPr id="13" name="TextBox 12">
          <a:extLst>
            <a:ext uri="{FF2B5EF4-FFF2-40B4-BE49-F238E27FC236}">
              <a16:creationId xmlns:a16="http://schemas.microsoft.com/office/drawing/2014/main" id="{00000000-0008-0000-0000-00000D000000}"/>
            </a:ext>
          </a:extLst>
        </xdr:cNvPr>
        <xdr:cNvSpPr txBox="1"/>
      </xdr:nvSpPr>
      <xdr:spPr>
        <a:xfrm>
          <a:off x="4086225" y="685801"/>
          <a:ext cx="1057275" cy="2762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0DFDAE80-4543-418D-8841-DEE9B94A4927}" type="TxLink">
            <a:rPr lang="en-US" sz="1400" b="1">
              <a:solidFill>
                <a:srgbClr val="00585C"/>
              </a:solidFill>
              <a:latin typeface="+mn-lt"/>
              <a:ea typeface="+mn-ea"/>
              <a:cs typeface="+mn-cs"/>
            </a:rPr>
            <a:pPr marL="0" indent="0" algn="ctr"/>
            <a:t> 22,986 </a:t>
          </a:fld>
          <a:endParaRPr lang="en-KE" sz="1400" b="1">
            <a:solidFill>
              <a:srgbClr val="00585C"/>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381000</xdr:colOff>
          <xdr:row>5</xdr:row>
          <xdr:rowOff>180975</xdr:rowOff>
        </xdr:from>
        <xdr:to>
          <xdr:col>2</xdr:col>
          <xdr:colOff>581025</xdr:colOff>
          <xdr:row>25</xdr:row>
          <xdr:rowOff>9525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95250</xdr:colOff>
          <xdr:row>6</xdr:row>
          <xdr:rowOff>19050</xdr:rowOff>
        </xdr:from>
        <xdr:to>
          <xdr:col>17</xdr:col>
          <xdr:colOff>323850</xdr:colOff>
          <xdr:row>20</xdr:row>
          <xdr:rowOff>47625</xdr:rowOff>
        </xdr:to>
        <xdr:pic>
          <xdr:nvPicPr>
            <xdr:cNvPr id="17" name="Picture 16">
              <a:extLst>
                <a:ext uri="{FF2B5EF4-FFF2-40B4-BE49-F238E27FC236}">
                  <a16:creationId xmlns:a16="http://schemas.microsoft.com/office/drawing/2014/main" id="{00000000-0008-0000-0000-000011000000}"/>
                </a:ext>
              </a:extLst>
            </xdr:cNvPr>
            <xdr:cNvPicPr>
              <a:picLocks noChangeAspect="1" noChangeArrowheads="1"/>
              <a:extLst>
                <a:ext uri="{84589F7E-364E-4C9E-8A38-B11213B215E9}">
                  <a14:cameraTool cellRange="prem_analysis!$BM$31:$BN$44" spid="_x0000_s1088"/>
                </a:ext>
              </a:extLst>
            </xdr:cNvPicPr>
          </xdr:nvPicPr>
          <xdr:blipFill>
            <a:blip xmlns:r="http://schemas.openxmlformats.org/officeDocument/2006/relationships" r:embed="rId1"/>
            <a:srcRect/>
            <a:stretch>
              <a:fillRect/>
            </a:stretch>
          </xdr:blipFill>
          <xdr:spPr bwMode="auto">
            <a:xfrm>
              <a:off x="6029325" y="1162050"/>
              <a:ext cx="2057400" cy="27051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absolute">
    <xdr:from>
      <xdr:col>14</xdr:col>
      <xdr:colOff>66675</xdr:colOff>
      <xdr:row>20</xdr:row>
      <xdr:rowOff>76201</xdr:rowOff>
    </xdr:from>
    <xdr:to>
      <xdr:col>17</xdr:col>
      <xdr:colOff>314325</xdr:colOff>
      <xdr:row>25</xdr:row>
      <xdr:rowOff>9525</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000750" y="3895726"/>
          <a:ext cx="2076450" cy="88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1">
              <a:solidFill>
                <a:srgbClr val="00585C"/>
              </a:solidFill>
            </a:rPr>
            <a:t>Summary statistics</a:t>
          </a:r>
          <a:r>
            <a:rPr lang="en-US" sz="1000" b="1" i="1" baseline="0">
              <a:solidFill>
                <a:srgbClr val="00585C"/>
              </a:solidFill>
            </a:rPr>
            <a:t> based on the champions from the last 22 years, calculation iperformed using the excel data analysis</a:t>
          </a:r>
          <a:endParaRPr lang="en-KE" sz="1000" b="1" i="1">
            <a:solidFill>
              <a:srgbClr val="00585C"/>
            </a:solidFill>
          </a:endParaRPr>
        </a:p>
      </xdr:txBody>
    </xdr:sp>
    <xdr:clientData/>
  </xdr:twoCellAnchor>
  <xdr:twoCellAnchor editAs="absolute">
    <xdr:from>
      <xdr:col>11</xdr:col>
      <xdr:colOff>219075</xdr:colOff>
      <xdr:row>2</xdr:row>
      <xdr:rowOff>66675</xdr:rowOff>
    </xdr:from>
    <xdr:to>
      <xdr:col>17</xdr:col>
      <xdr:colOff>333375</xdr:colOff>
      <xdr:row>5</xdr:row>
      <xdr:rowOff>57150</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5314950" y="447675"/>
          <a:ext cx="2781300"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i="1">
              <a:solidFill>
                <a:srgbClr val="00585C"/>
              </a:solidFill>
            </a:rPr>
            <a:t>87</a:t>
          </a:r>
          <a:r>
            <a:rPr lang="en-US" sz="800" b="1" i="1" baseline="0">
              <a:solidFill>
                <a:srgbClr val="00585C"/>
              </a:solidFill>
            </a:rPr>
            <a:t> is the most frequent number and was the magic number to lifting the title, but in the last 5 season apart from 2020, anything less than 90 points doesnt gurantee the title</a:t>
          </a:r>
          <a:endParaRPr lang="en-KE" sz="800" b="1" i="1">
            <a:solidFill>
              <a:srgbClr val="00585C"/>
            </a:solidFill>
          </a:endParaRPr>
        </a:p>
      </xdr:txBody>
    </xdr:sp>
    <xdr:clientData/>
  </xdr:twoCellAnchor>
  <mc:AlternateContent xmlns:mc="http://schemas.openxmlformats.org/markup-compatibility/2006">
    <mc:Choice xmlns:a14="http://schemas.microsoft.com/office/drawing/2010/main" Requires="a14">
      <xdr:twoCellAnchor editAs="absolute">
        <xdr:from>
          <xdr:col>17</xdr:col>
          <xdr:colOff>400050</xdr:colOff>
          <xdr:row>6</xdr:row>
          <xdr:rowOff>38100</xdr:rowOff>
        </xdr:from>
        <xdr:to>
          <xdr:col>21</xdr:col>
          <xdr:colOff>28575</xdr:colOff>
          <xdr:row>20</xdr:row>
          <xdr:rowOff>47625</xdr:rowOff>
        </xdr:to>
        <xdr:pic>
          <xdr:nvPicPr>
            <xdr:cNvPr id="20" name="Picture 19">
              <a:extLst>
                <a:ext uri="{FF2B5EF4-FFF2-40B4-BE49-F238E27FC236}">
                  <a16:creationId xmlns:a16="http://schemas.microsoft.com/office/drawing/2014/main" id="{00000000-0008-0000-0000-000014000000}"/>
                </a:ext>
              </a:extLst>
            </xdr:cNvPr>
            <xdr:cNvPicPr>
              <a:picLocks noChangeAspect="1" noChangeArrowheads="1"/>
              <a:extLst>
                <a:ext uri="{84589F7E-364E-4C9E-8A38-B11213B215E9}">
                  <a14:cameraTool cellRange="prem_analysis!$CI$2:$CJ$15" spid="_x0000_s1089"/>
                </a:ext>
              </a:extLst>
            </xdr:cNvPicPr>
          </xdr:nvPicPr>
          <xdr:blipFill>
            <a:blip xmlns:r="http://schemas.openxmlformats.org/officeDocument/2006/relationships" r:embed="rId2"/>
            <a:srcRect/>
            <a:stretch>
              <a:fillRect/>
            </a:stretch>
          </xdr:blipFill>
          <xdr:spPr bwMode="auto">
            <a:xfrm>
              <a:off x="8162925" y="1181100"/>
              <a:ext cx="2066925" cy="26860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17</xdr:col>
      <xdr:colOff>409575</xdr:colOff>
      <xdr:row>20</xdr:row>
      <xdr:rowOff>76201</xdr:rowOff>
    </xdr:from>
    <xdr:to>
      <xdr:col>21</xdr:col>
      <xdr:colOff>28575</xdr:colOff>
      <xdr:row>25</xdr:row>
      <xdr:rowOff>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172450" y="3895726"/>
          <a:ext cx="2057400" cy="87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1">
              <a:solidFill>
                <a:srgbClr val="00585C"/>
              </a:solidFill>
            </a:rPr>
            <a:t>Summary statistics</a:t>
          </a:r>
          <a:r>
            <a:rPr lang="en-US" sz="1000" b="1" i="1" baseline="0">
              <a:solidFill>
                <a:srgbClr val="00585C"/>
              </a:solidFill>
            </a:rPr>
            <a:t> based on the relegated teams from the last 22 years, calculation performed using the excel data analysis</a:t>
          </a:r>
          <a:endParaRPr lang="en-KE" sz="1000" b="1" i="1">
            <a:solidFill>
              <a:srgbClr val="00585C"/>
            </a:solidFill>
          </a:endParaRPr>
        </a:p>
      </xdr:txBody>
    </xdr:sp>
    <xdr:clientData/>
  </xdr:twoCellAnchor>
  <xdr:twoCellAnchor>
    <xdr:from>
      <xdr:col>17</xdr:col>
      <xdr:colOff>400051</xdr:colOff>
      <xdr:row>2</xdr:row>
      <xdr:rowOff>66674</xdr:rowOff>
    </xdr:from>
    <xdr:to>
      <xdr:col>21</xdr:col>
      <xdr:colOff>19051</xdr:colOff>
      <xdr:row>5</xdr:row>
      <xdr:rowOff>66675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8162926" y="447674"/>
          <a:ext cx="2057400"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i="1" baseline="0">
              <a:solidFill>
                <a:srgbClr val="00585C"/>
              </a:solidFill>
            </a:rPr>
            <a:t>34 is the most frequent number and is the magic number to being  relegated to  league one</a:t>
          </a:r>
          <a:endParaRPr lang="en-KE" sz="800" b="1" i="1">
            <a:solidFill>
              <a:srgbClr val="00585C"/>
            </a:solidFill>
          </a:endParaRPr>
        </a:p>
      </xdr:txBody>
    </xdr:sp>
    <xdr:clientData/>
  </xdr:twoCellAnchor>
  <xdr:twoCellAnchor>
    <xdr:from>
      <xdr:col>21</xdr:col>
      <xdr:colOff>104774</xdr:colOff>
      <xdr:row>2</xdr:row>
      <xdr:rowOff>66676</xdr:rowOff>
    </xdr:from>
    <xdr:to>
      <xdr:col>24</xdr:col>
      <xdr:colOff>533399</xdr:colOff>
      <xdr:row>25</xdr:row>
      <xdr:rowOff>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0306049" y="447676"/>
          <a:ext cx="2257425" cy="432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585C"/>
              </a:solidFill>
            </a:rPr>
            <a:t>Summary</a:t>
          </a:r>
        </a:p>
        <a:p>
          <a:endParaRPr lang="en-US" sz="1100" i="1">
            <a:solidFill>
              <a:srgbClr val="00585C"/>
            </a:solidFill>
          </a:endParaRPr>
        </a:p>
        <a:p>
          <a:r>
            <a:rPr lang="en-US" sz="1100" i="1">
              <a:solidFill>
                <a:srgbClr val="00585C"/>
              </a:solidFill>
            </a:rPr>
            <a:t>The</a:t>
          </a:r>
          <a:r>
            <a:rPr lang="en-US" sz="1100" i="1" baseline="0">
              <a:solidFill>
                <a:srgbClr val="00585C"/>
              </a:solidFill>
            </a:rPr>
            <a:t> idea is to dig deeper into the premier stats and understand details in the numbers.</a:t>
          </a:r>
        </a:p>
        <a:p>
          <a:endParaRPr lang="en-US" sz="1100" i="1" baseline="0">
            <a:solidFill>
              <a:srgbClr val="00585C"/>
            </a:solidFill>
          </a:endParaRPr>
        </a:p>
        <a:p>
          <a:r>
            <a:rPr lang="en-US" sz="1100" i="1" baseline="0">
              <a:solidFill>
                <a:srgbClr val="00585C"/>
              </a:solidFill>
            </a:rPr>
            <a:t>Alot can be summarized but the key focus has been on champions, relegations and feaured teams since 2001</a:t>
          </a: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r>
            <a:rPr lang="en-US" sz="1100" b="1" i="1" baseline="0">
              <a:solidFill>
                <a:srgbClr val="FF0000"/>
              </a:solidFill>
            </a:rPr>
            <a:t>**Data source: skysports website**</a:t>
          </a:r>
        </a:p>
        <a:p>
          <a:endParaRPr lang="en-US" sz="1100" i="1" baseline="0">
            <a:solidFill>
              <a:srgbClr val="00585C"/>
            </a:solidFill>
          </a:endParaRPr>
        </a:p>
        <a:p>
          <a:endParaRPr lang="en-US" sz="1100" i="1" baseline="0">
            <a:solidFill>
              <a:srgbClr val="00585C"/>
            </a:solidFill>
          </a:endParaRPr>
        </a:p>
        <a:p>
          <a:endParaRPr lang="en-US" sz="1100" i="1" baseline="0">
            <a:solidFill>
              <a:srgbClr val="00585C"/>
            </a:solidFill>
          </a:endParaRPr>
        </a:p>
        <a:p>
          <a:endParaRPr lang="en-KE" sz="1100" i="1">
            <a:solidFill>
              <a:srgbClr val="00585C"/>
            </a:solidFill>
          </a:endParaRPr>
        </a:p>
      </xdr:txBody>
    </xdr:sp>
    <xdr:clientData/>
  </xdr:twoCellAnchor>
  <xdr:twoCellAnchor>
    <xdr:from>
      <xdr:col>0</xdr:col>
      <xdr:colOff>47626</xdr:colOff>
      <xdr:row>13</xdr:row>
      <xdr:rowOff>28575</xdr:rowOff>
    </xdr:from>
    <xdr:to>
      <xdr:col>2</xdr:col>
      <xdr:colOff>0</xdr:colOff>
      <xdr:row>18</xdr:row>
      <xdr:rowOff>85725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7626" y="2514600"/>
          <a:ext cx="106679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rgbClr val="00585C"/>
              </a:solidFill>
            </a:rPr>
            <a:t>Double click on any  the filter details</a:t>
          </a:r>
          <a:r>
            <a:rPr lang="en-US" sz="1100" i="1" baseline="0">
              <a:solidFill>
                <a:srgbClr val="00585C"/>
              </a:solidFill>
            </a:rPr>
            <a:t> to learn more regarding the teams </a:t>
          </a:r>
          <a:endParaRPr lang="en-KE" sz="1100" i="1">
            <a:solidFill>
              <a:srgbClr val="00585C"/>
            </a:solidFill>
          </a:endParaRPr>
        </a:p>
      </xdr:txBody>
    </xdr:sp>
    <xdr:clientData/>
  </xdr:twoCellAnchor>
  <xdr:twoCellAnchor>
    <xdr:from>
      <xdr:col>1</xdr:col>
      <xdr:colOff>352426</xdr:colOff>
      <xdr:row>10</xdr:row>
      <xdr:rowOff>190499</xdr:rowOff>
    </xdr:from>
    <xdr:to>
      <xdr:col>1</xdr:col>
      <xdr:colOff>409576</xdr:colOff>
      <xdr:row>13</xdr:row>
      <xdr:rowOff>28574</xdr:rowOff>
    </xdr:to>
    <xdr:cxnSp macro="">
      <xdr:nvCxnSpPr>
        <xdr:cNvPr id="7" name="Connector: Curved 6">
          <a:extLst>
            <a:ext uri="{FF2B5EF4-FFF2-40B4-BE49-F238E27FC236}">
              <a16:creationId xmlns:a16="http://schemas.microsoft.com/office/drawing/2014/main" id="{00000000-0008-0000-0000-000007000000}"/>
            </a:ext>
          </a:extLst>
        </xdr:cNvPr>
        <xdr:cNvCxnSpPr/>
      </xdr:nvCxnSpPr>
      <xdr:spPr>
        <a:xfrm rot="16200000" flipH="1">
          <a:off x="233363" y="2281237"/>
          <a:ext cx="409575" cy="57150"/>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22</xdr:col>
      <xdr:colOff>9524</xdr:colOff>
      <xdr:row>1</xdr:row>
      <xdr:rowOff>180976</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0"/>
          <a:ext cx="12620624" cy="371476"/>
        </a:xfrm>
        <a:prstGeom prst="rect">
          <a:avLst/>
        </a:prstGeom>
        <a:solidFill>
          <a:srgbClr val="F856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00585C"/>
              </a:solidFill>
            </a:rPr>
            <a:t>Premier League 2000-2021</a:t>
          </a:r>
          <a:endParaRPr lang="en-KE" sz="2400" b="1">
            <a:solidFill>
              <a:srgbClr val="00585C"/>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200025</xdr:colOff>
          <xdr:row>4</xdr:row>
          <xdr:rowOff>0</xdr:rowOff>
        </xdr:from>
        <xdr:to>
          <xdr:col>0</xdr:col>
          <xdr:colOff>381000</xdr:colOff>
          <xdr:row>25</xdr:row>
          <xdr:rowOff>142875</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4</xdr:row>
          <xdr:rowOff>0</xdr:rowOff>
        </xdr:from>
        <xdr:to>
          <xdr:col>3</xdr:col>
          <xdr:colOff>590550</xdr:colOff>
          <xdr:row>25</xdr:row>
          <xdr:rowOff>9525</xdr:rowOff>
        </xdr:to>
        <xdr:sp macro="" textlink="">
          <xdr:nvSpPr>
            <xdr:cNvPr id="8194" name="Scroll Bar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2</xdr:row>
          <xdr:rowOff>28575</xdr:rowOff>
        </xdr:from>
        <xdr:to>
          <xdr:col>13</xdr:col>
          <xdr:colOff>238125</xdr:colOff>
          <xdr:row>3</xdr:row>
          <xdr:rowOff>104775</xdr:rowOff>
        </xdr:to>
        <xdr:sp macro="" textlink="">
          <xdr:nvSpPr>
            <xdr:cNvPr id="8195" name="TextBox1"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47626</xdr:colOff>
      <xdr:row>12</xdr:row>
      <xdr:rowOff>123825</xdr:rowOff>
    </xdr:from>
    <xdr:to>
      <xdr:col>18</xdr:col>
      <xdr:colOff>85726</xdr:colOff>
      <xdr:row>20</xdr:row>
      <xdr:rowOff>152401</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001126" y="2409825"/>
              <a:ext cx="1257300" cy="1552576"/>
            </a:xfrm>
            <a:prstGeom prst="rect">
              <a:avLst/>
            </a:prstGeom>
            <a:solidFill>
              <a:prstClr val="white"/>
            </a:solidFill>
            <a:ln w="1">
              <a:solidFill>
                <a:prstClr val="green"/>
              </a:solidFill>
            </a:ln>
          </xdr:spPr>
          <xdr:txBody>
            <a:bodyPr vertOverflow="clip" horzOverflow="clip"/>
            <a:lstStyle/>
            <a:p>
              <a:r>
                <a:rPr lang="en-K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219076</xdr:colOff>
      <xdr:row>12</xdr:row>
      <xdr:rowOff>161926</xdr:rowOff>
    </xdr:from>
    <xdr:to>
      <xdr:col>19</xdr:col>
      <xdr:colOff>419100</xdr:colOff>
      <xdr:row>19</xdr:row>
      <xdr:rowOff>57150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391776" y="2447926"/>
              <a:ext cx="809624" cy="1228724"/>
            </a:xfrm>
            <a:prstGeom prst="rect">
              <a:avLst/>
            </a:prstGeom>
            <a:solidFill>
              <a:prstClr val="white"/>
            </a:solidFill>
            <a:ln w="1">
              <a:solidFill>
                <a:prstClr val="green"/>
              </a:solidFill>
            </a:ln>
          </xdr:spPr>
          <xdr:txBody>
            <a:bodyPr vertOverflow="clip" horzOverflow="clip"/>
            <a:lstStyle/>
            <a:p>
              <a:r>
                <a:rPr lang="en-KE"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16</xdr:col>
          <xdr:colOff>66675</xdr:colOff>
          <xdr:row>4</xdr:row>
          <xdr:rowOff>57150</xdr:rowOff>
        </xdr:from>
        <xdr:to>
          <xdr:col>19</xdr:col>
          <xdr:colOff>304800</xdr:colOff>
          <xdr:row>12</xdr:row>
          <xdr:rowOff>66675</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heet5!$N$1:$P$8" spid="_x0000_s8209"/>
                </a:ext>
              </a:extLst>
            </xdr:cNvPicPr>
          </xdr:nvPicPr>
          <xdr:blipFill>
            <a:blip xmlns:r="http://schemas.openxmlformats.org/officeDocument/2006/relationships" r:embed="rId3"/>
            <a:srcRect/>
            <a:stretch>
              <a:fillRect/>
            </a:stretch>
          </xdr:blipFill>
          <xdr:spPr bwMode="auto">
            <a:xfrm>
              <a:off x="9020175" y="819150"/>
              <a:ext cx="2066925" cy="1533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absolute">
    <xdr:from>
      <xdr:col>16</xdr:col>
      <xdr:colOff>57149</xdr:colOff>
      <xdr:row>19</xdr:row>
      <xdr:rowOff>85725</xdr:rowOff>
    </xdr:from>
    <xdr:to>
      <xdr:col>20</xdr:col>
      <xdr:colOff>66675</xdr:colOff>
      <xdr:row>25</xdr:row>
      <xdr:rowOff>28574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010649" y="3705225"/>
          <a:ext cx="2447926" cy="1085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1">
              <a:solidFill>
                <a:srgbClr val="00585C"/>
              </a:solidFill>
            </a:rPr>
            <a:t>Interesting stats on</a:t>
          </a:r>
          <a:r>
            <a:rPr lang="en-US" sz="1050" b="1" i="1" baseline="0">
              <a:solidFill>
                <a:srgbClr val="00585C"/>
              </a:solidFill>
            </a:rPr>
            <a:t> both the champions and relegated teams, for latter the worst points achieved is 11 which is an outlier based on the box plot and for the champions the data is relatively normally distributed</a:t>
          </a:r>
          <a:endParaRPr lang="en-KE" sz="1050" b="1" i="1">
            <a:solidFill>
              <a:srgbClr val="00585C"/>
            </a:solidFill>
          </a:endParaRPr>
        </a:p>
      </xdr:txBody>
    </xdr:sp>
    <xdr:clientData/>
  </xdr:twoCellAnchor>
  <xdr:twoCellAnchor>
    <xdr:from>
      <xdr:col>19</xdr:col>
      <xdr:colOff>447675</xdr:colOff>
      <xdr:row>1</xdr:row>
      <xdr:rowOff>180975</xdr:rowOff>
    </xdr:from>
    <xdr:to>
      <xdr:col>22</xdr:col>
      <xdr:colOff>28574</xdr:colOff>
      <xdr:row>5</xdr:row>
      <xdr:rowOff>161925</xdr:rowOff>
    </xdr:to>
    <xdr:sp macro="" textlink="">
      <xdr:nvSpPr>
        <xdr:cNvPr id="7" name="Oval 6">
          <a:extLst>
            <a:ext uri="{FF2B5EF4-FFF2-40B4-BE49-F238E27FC236}">
              <a16:creationId xmlns:a16="http://schemas.microsoft.com/office/drawing/2014/main" id="{00000000-0008-0000-0100-000007000000}"/>
            </a:ext>
          </a:extLst>
        </xdr:cNvPr>
        <xdr:cNvSpPr/>
      </xdr:nvSpPr>
      <xdr:spPr>
        <a:xfrm>
          <a:off x="11229975" y="371475"/>
          <a:ext cx="1409699" cy="742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t>search your favorite team to compare</a:t>
          </a:r>
          <a:endParaRPr lang="en-KE" sz="900"/>
        </a:p>
      </xdr:txBody>
    </xdr:sp>
    <xdr:clientData/>
  </xdr:twoCellAnchor>
  <xdr:twoCellAnchor>
    <xdr:from>
      <xdr:col>13</xdr:col>
      <xdr:colOff>238125</xdr:colOff>
      <xdr:row>2</xdr:row>
      <xdr:rowOff>161925</xdr:rowOff>
    </xdr:from>
    <xdr:to>
      <xdr:col>19</xdr:col>
      <xdr:colOff>447675</xdr:colOff>
      <xdr:row>3</xdr:row>
      <xdr:rowOff>171450</xdr:rowOff>
    </xdr:to>
    <xdr:cxnSp macro="">
      <xdr:nvCxnSpPr>
        <xdr:cNvPr id="9" name="Connector: Curved 8">
          <a:extLst>
            <a:ext uri="{FF2B5EF4-FFF2-40B4-BE49-F238E27FC236}">
              <a16:creationId xmlns:a16="http://schemas.microsoft.com/office/drawing/2014/main" id="{00000000-0008-0000-0100-000009000000}"/>
            </a:ext>
          </a:extLst>
        </xdr:cNvPr>
        <xdr:cNvCxnSpPr>
          <a:endCxn id="7" idx="2"/>
        </xdr:cNvCxnSpPr>
      </xdr:nvCxnSpPr>
      <xdr:spPr>
        <a:xfrm>
          <a:off x="7762875" y="542925"/>
          <a:ext cx="3467100" cy="200025"/>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93831E-5AB6-4A8D-9AFB-D5D3EE5CA304}" name="Table2" displayName="Table2" ref="A1:L442" totalsRowCount="1" headerRowDxfId="46" dataDxfId="44" headerRowBorderDxfId="45" tableBorderDxfId="43" totalsRowBorderDxfId="42">
  <autoFilter ref="A1:L441" xr:uid="{8A93831E-5AB6-4A8D-9AFB-D5D3EE5CA304}"/>
  <tableColumns count="12">
    <tableColumn id="1" xr3:uid="{49FFF804-725D-453D-995D-D7F3C6EC48B0}" name="Year" dataDxfId="41" totalsRowDxfId="40"/>
    <tableColumn id="2" xr3:uid="{CC33789A-FE08-4938-A998-F6DB194E920D}" name="#" dataDxfId="39" totalsRowDxfId="38"/>
    <tableColumn id="3" xr3:uid="{D054BF05-DD8A-4F28-B7E7-1A669AC2820F}" name="Team" dataDxfId="37" totalsRowDxfId="36"/>
    <tableColumn id="4" xr3:uid="{0C7F8160-A611-452A-8159-ECCA762C575A}" name="Pl" totalsRowFunction="custom" dataDxfId="35" totalsRowDxfId="34" totalsRowCellStyle="Comma">
      <totalsRowFormula>SUBTOTAL(9,Table2[Pl])</totalsRowFormula>
    </tableColumn>
    <tableColumn id="5" xr3:uid="{06B3839B-C811-4961-A424-171536788943}" name="W" totalsRowFunction="custom" dataDxfId="33" totalsRowDxfId="32" totalsRowCellStyle="Comma">
      <totalsRowFormula>SUBTOTAL(9,Table2[W])</totalsRowFormula>
    </tableColumn>
    <tableColumn id="6" xr3:uid="{2A1200CE-91B6-4145-9D71-AAAD04B5892E}" name="D" totalsRowFunction="custom" dataDxfId="31" totalsRowDxfId="30" totalsRowCellStyle="Comma">
      <totalsRowFormula>SUBTOTAL(9,Table2[D])</totalsRowFormula>
    </tableColumn>
    <tableColumn id="7" xr3:uid="{BBF0B197-0C9E-4074-8382-1957EF96BE47}" name="L" totalsRowFunction="custom" dataDxfId="29" totalsRowDxfId="28" totalsRowCellStyle="Comma">
      <totalsRowFormula>SUBTOTAL(9,Table2[L])</totalsRowFormula>
    </tableColumn>
    <tableColumn id="8" xr3:uid="{D0871AF2-2B7D-4C9E-9E36-1E8E63F59F59}" name="F" totalsRowFunction="custom" dataDxfId="27" totalsRowDxfId="26" totalsRowCellStyle="Comma">
      <totalsRowFormula>SUBTOTAL(9,Table2[F])</totalsRowFormula>
    </tableColumn>
    <tableColumn id="9" xr3:uid="{45FEE00A-B434-4A10-B6A7-29A98B54545B}" name="A" totalsRowFunction="custom" dataDxfId="25" totalsRowDxfId="24" totalsRowCellStyle="Comma">
      <totalsRowFormula>SUBTOTAL(9,Table2[A])</totalsRowFormula>
    </tableColumn>
    <tableColumn id="10" xr3:uid="{57E98082-4EAD-4D63-9866-BFAB6AAF3461}" name="GD" totalsRowFunction="custom" dataDxfId="23" totalsRowDxfId="22" totalsRowCellStyle="Comma">
      <totalsRowFormula>SUBTOTAL(9,Table2[GD])</totalsRowFormula>
    </tableColumn>
    <tableColumn id="11" xr3:uid="{0A5B154D-8E50-4A58-97E7-67226794E64A}" name="Pts" totalsRowFunction="custom" dataDxfId="21" totalsRowDxfId="20" totalsRowCellStyle="Comma">
      <totalsRowFormula>SUBTOTAL(9,Table2[Pts])</totalsRowFormula>
    </tableColumn>
    <tableColumn id="12" xr3:uid="{6D2E4AC0-5695-40B8-9C76-25C2D1E022A3}" name="Column1" dataDxfId="19" totalsRowDxfId="18">
      <calculatedColumnFormula>IF(Table2[[#This Row],['#]]=1,"Champion", IF(Table2[[#This Row],['#]]&gt;=18,"Relegated",Table2[[#This Row],['#]]))</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3CCCE7-E8C8-4352-BAD3-951DF6A5ACAC}" name="Table24" displayName="Table24" ref="A1:M441" totalsRowShown="0" headerRowDxfId="17" dataDxfId="15" headerRowBorderDxfId="16" tableBorderDxfId="14" totalsRowBorderDxfId="13">
  <autoFilter ref="A1:M441" xr:uid="{FA3CCCE7-E8C8-4352-BAD3-951DF6A5ACAC}"/>
  <tableColumns count="13">
    <tableColumn id="1" xr3:uid="{5DC6425F-697B-479B-AD41-12A405EB852F}" name="Year" dataDxfId="12"/>
    <tableColumn id="2" xr3:uid="{307E6CF1-2E78-41CF-89DB-DACCF54B0156}" name="#" dataDxfId="11"/>
    <tableColumn id="3" xr3:uid="{D7F62C28-15E7-4A30-B773-7C931E0290DE}" name="Team" dataDxfId="10"/>
    <tableColumn id="4" xr3:uid="{977EE848-BE62-44B1-B886-54860A5DD3C2}" name="Pl" dataDxfId="9"/>
    <tableColumn id="5" xr3:uid="{F7439566-C28F-49D0-A4B8-9B3B381898B2}" name="W" dataDxfId="8"/>
    <tableColumn id="6" xr3:uid="{91655349-FB13-4CF0-817E-4666285DFE2E}" name="D" dataDxfId="7"/>
    <tableColumn id="7" xr3:uid="{570B0488-DD2E-490F-BFDD-D4B8F6FBE471}" name="L" dataDxfId="6"/>
    <tableColumn id="8" xr3:uid="{310A57D6-7D94-4C21-BA8A-D68B4B215FD0}" name="F" dataDxfId="5"/>
    <tableColumn id="9" xr3:uid="{8197E4B9-6011-4BEF-A3C5-75F156E6F071}" name="A" dataDxfId="4"/>
    <tableColumn id="10" xr3:uid="{4B088ADE-5670-4735-A285-1EFBF0FF4424}" name="GD" dataDxfId="3"/>
    <tableColumn id="11" xr3:uid="{DA003494-B30D-4CEB-9E3A-FDEF5A402EEF}" name="Pts" dataDxfId="2"/>
    <tableColumn id="12" xr3:uid="{899EC746-7325-4819-A95F-A5A8C54327CE}" name="Details" dataDxfId="1">
      <calculatedColumnFormula>IF(Table24[[#This Row],['#]]=1,"Champion", IF(Table24[[#This Row],['#]]&gt;=18,"Relegated",Table24[[#This Row],['#]]))</calculatedColumnFormula>
    </tableColumn>
    <tableColumn id="14" xr3:uid="{8A2F9583-D58A-41F6-BCCA-CC87CBE55A1F}" name="Column2" dataDxfId="0">
      <calculatedColumnFormula>IF(Table24[[#This Row],[Details]]=2,K1-Table24[[#This Row],[Pts]],IF(Table24[[#This Row],[Details]]=17,Table24[[#This Row],[Pts]]-K3,""))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21C3E1-6FB8-4A1B-922E-7806325D8B72}" name="Table1" displayName="Table1" ref="A2:A24" totalsRowShown="0">
  <autoFilter ref="A2:A24" xr:uid="{B421C3E1-6FB8-4A1B-922E-7806325D8B72}"/>
  <tableColumns count="1">
    <tableColumn id="1" xr3:uid="{63343B53-2F7B-4AE6-A0A0-5C3F4F2B723C}"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image" Target="../media/image5.emf"/></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EC530-6F8D-4231-995C-A0223F0F8419}">
  <sheetPr codeName="Sheet5"/>
  <dimension ref="B7:O25"/>
  <sheetViews>
    <sheetView showGridLines="0" tabSelected="1" workbookViewId="0">
      <selection activeCell="B22" sqref="B22"/>
    </sheetView>
  </sheetViews>
  <sheetFormatPr defaultRowHeight="15" x14ac:dyDescent="0.25"/>
  <cols>
    <col min="1" max="1" width="0.85546875" customWidth="1"/>
    <col min="2" max="2" width="15.85546875" bestFit="1" customWidth="1"/>
    <col min="3" max="3" width="9" customWidth="1"/>
    <col min="4" max="4" width="5" bestFit="1" customWidth="1"/>
    <col min="5" max="5" width="3" bestFit="1" customWidth="1"/>
    <col min="6" max="6" width="18.42578125" bestFit="1" customWidth="1"/>
    <col min="7" max="12" width="4.85546875" customWidth="1"/>
    <col min="13" max="13" width="3.7109375" bestFit="1" customWidth="1"/>
    <col min="14" max="14" width="4" bestFit="1" customWidth="1"/>
  </cols>
  <sheetData>
    <row r="7" spans="2:15" ht="15.75" x14ac:dyDescent="0.25">
      <c r="B7" s="24" t="s">
        <v>68</v>
      </c>
      <c r="D7" s="22" t="str">
        <f>INDEX(Data!$R$2:$AC$440,Data!$AD$1+ROWS(Data!$P$1:P1)-1,COLUMNS(Data!$P$1:P1))</f>
        <v>Year</v>
      </c>
      <c r="E7" s="22" t="str">
        <f>INDEX(Data!$R$2:$AC$440,Data!$AD$1+ROWS(Data!$P$1:Q1)-1,COLUMNS(Data!$P$1:Q1))</f>
        <v>#</v>
      </c>
      <c r="F7" s="22" t="str">
        <f>INDEX(Data!$R$2:$AC$440,Data!$AD$1+ROWS(Data!$P$1:R1)-1,COLUMNS(Data!$P$1:R1))</f>
        <v>Team</v>
      </c>
      <c r="G7" s="22" t="str">
        <f>INDEX(Data!$R$2:$AC$440,Data!$AD$1+ROWS(Data!$P$1:S1)-1,COLUMNS(Data!$P$1:S1))</f>
        <v>Pl</v>
      </c>
      <c r="H7" s="22" t="str">
        <f>INDEX(Data!$R$2:$AC$440,Data!$AD$1+ROWS(Data!$P$1:T1)-1,COLUMNS(Data!$P$1:T1))</f>
        <v>W</v>
      </c>
      <c r="I7" s="22" t="str">
        <f>INDEX(Data!$R$2:$AC$440,Data!$AD$1+ROWS(Data!$P$1:U1)-1,COLUMNS(Data!$P$1:U1))</f>
        <v>D</v>
      </c>
      <c r="J7" s="22" t="str">
        <f>INDEX(Data!$R$2:$AC$440,Data!$AD$1+ROWS(Data!$P$1:V1)-1,COLUMNS(Data!$P$1:V1))</f>
        <v>L</v>
      </c>
      <c r="K7" s="22" t="str">
        <f>INDEX(Data!$R$2:$AC$440,Data!$AD$1+ROWS(Data!$P$1:W1)-1,COLUMNS(Data!$P$1:W1))</f>
        <v>F</v>
      </c>
      <c r="L7" s="22" t="str">
        <f>INDEX(Data!$R$2:$AC$440,Data!$AD$1+ROWS(Data!$P$1:X1)-1,COLUMNS(Data!$P$1:X1))</f>
        <v>A</v>
      </c>
      <c r="M7" s="22" t="str">
        <f>INDEX(Data!$R$2:$AC$440,Data!$AD$1+ROWS(Data!$P$1:Y1)-1,COLUMNS(Data!$P$1:Y1))</f>
        <v>GD</v>
      </c>
      <c r="N7" s="22" t="str">
        <f>INDEX(Data!$R$2:$AC$440,Data!$AD$1+ROWS(Data!$P$1:Z1)-1,COLUMNS(Data!$P$1:Z1))</f>
        <v>Pts</v>
      </c>
      <c r="O7" s="1"/>
    </row>
    <row r="8" spans="2:15" x14ac:dyDescent="0.25">
      <c r="B8" s="23" t="s">
        <v>58</v>
      </c>
      <c r="D8" s="22">
        <f>INDEX(Data!$R$2:$AC$440,Data!$AD$1+ROWS(Data!$P$1:P2)-1,COLUMNS(Data!$P$1:P2))</f>
        <v>2000</v>
      </c>
      <c r="E8" s="22">
        <f>INDEX(Data!$R$2:$AC$440,Data!$AD$1+ROWS(Data!$P$1:Q2)-1,COLUMNS(Data!$P$1:Q2))</f>
        <v>1</v>
      </c>
      <c r="F8" s="22" t="str">
        <f>INDEX(Data!$R$2:$AC$440,Data!$AD$1+ROWS(Data!$P$1:R2)-1,COLUMNS(Data!$P$1:R2))</f>
        <v>Manchester United</v>
      </c>
      <c r="G8" s="22">
        <f>INDEX(Data!$R$2:$AC$440,Data!$AD$1+ROWS(Data!$P$1:S2)-1,COLUMNS(Data!$P$1:S2))</f>
        <v>38</v>
      </c>
      <c r="H8" s="22">
        <f>INDEX(Data!$R$2:$AC$440,Data!$AD$1+ROWS(Data!$P$1:T2)-1,COLUMNS(Data!$P$1:T2))</f>
        <v>24</v>
      </c>
      <c r="I8" s="22">
        <f>INDEX(Data!$R$2:$AC$440,Data!$AD$1+ROWS(Data!$P$1:U2)-1,COLUMNS(Data!$P$1:U2))</f>
        <v>8</v>
      </c>
      <c r="J8" s="22">
        <f>INDEX(Data!$R$2:$AC$440,Data!$AD$1+ROWS(Data!$P$1:V2)-1,COLUMNS(Data!$P$1:V2))</f>
        <v>6</v>
      </c>
      <c r="K8" s="22">
        <f>INDEX(Data!$R$2:$AC$440,Data!$AD$1+ROWS(Data!$P$1:W2)-1,COLUMNS(Data!$P$1:W2))</f>
        <v>79</v>
      </c>
      <c r="L8" s="22">
        <f>INDEX(Data!$R$2:$AC$440,Data!$AD$1+ROWS(Data!$P$1:X2)-1,COLUMNS(Data!$P$1:X2))</f>
        <v>31</v>
      </c>
      <c r="M8" s="22">
        <f>INDEX(Data!$R$2:$AC$440,Data!$AD$1+ROWS(Data!$P$1:Y2)-1,COLUMNS(Data!$P$1:Y2))</f>
        <v>48</v>
      </c>
      <c r="N8" s="22">
        <f>INDEX(Data!$R$2:$AC$440,Data!$AD$1+ROWS(Data!$P$1:Z2)-1,COLUMNS(Data!$P$1:Z2))</f>
        <v>80</v>
      </c>
      <c r="O8" s="1"/>
    </row>
    <row r="9" spans="2:15" x14ac:dyDescent="0.25">
      <c r="B9" s="23" t="s">
        <v>59</v>
      </c>
      <c r="D9" s="22">
        <f>INDEX(Data!$R$2:$AC$440,Data!$AD$1+ROWS(Data!$P$1:P3)-1,COLUMNS(Data!$P$1:P3))</f>
        <v>2001</v>
      </c>
      <c r="E9" s="22">
        <f>INDEX(Data!$R$2:$AC$440,Data!$AD$1+ROWS(Data!$P$1:Q3)-1,COLUMNS(Data!$P$1:Q3))</f>
        <v>1</v>
      </c>
      <c r="F9" s="22" t="str">
        <f>INDEX(Data!$R$2:$AC$440,Data!$AD$1+ROWS(Data!$P$1:R3)-1,COLUMNS(Data!$P$1:R3))</f>
        <v>Arsenal</v>
      </c>
      <c r="G9" s="22">
        <f>INDEX(Data!$R$2:$AC$440,Data!$AD$1+ROWS(Data!$P$1:S3)-1,COLUMNS(Data!$P$1:S3))</f>
        <v>38</v>
      </c>
      <c r="H9" s="22">
        <f>INDEX(Data!$R$2:$AC$440,Data!$AD$1+ROWS(Data!$P$1:T3)-1,COLUMNS(Data!$P$1:T3))</f>
        <v>26</v>
      </c>
      <c r="I9" s="22">
        <f>INDEX(Data!$R$2:$AC$440,Data!$AD$1+ROWS(Data!$P$1:U3)-1,COLUMNS(Data!$P$1:U3))</f>
        <v>9</v>
      </c>
      <c r="J9" s="22">
        <f>INDEX(Data!$R$2:$AC$440,Data!$AD$1+ROWS(Data!$P$1:V3)-1,COLUMNS(Data!$P$1:V3))</f>
        <v>3</v>
      </c>
      <c r="K9" s="22">
        <f>INDEX(Data!$R$2:$AC$440,Data!$AD$1+ROWS(Data!$P$1:W3)-1,COLUMNS(Data!$P$1:W3))</f>
        <v>79</v>
      </c>
      <c r="L9" s="22">
        <f>INDEX(Data!$R$2:$AC$440,Data!$AD$1+ROWS(Data!$P$1:X3)-1,COLUMNS(Data!$P$1:X3))</f>
        <v>36</v>
      </c>
      <c r="M9" s="22">
        <f>INDEX(Data!$R$2:$AC$440,Data!$AD$1+ROWS(Data!$P$1:Y3)-1,COLUMNS(Data!$P$1:Y3))</f>
        <v>43</v>
      </c>
      <c r="N9" s="22">
        <f>INDEX(Data!$R$2:$AC$440,Data!$AD$1+ROWS(Data!$P$1:Z3)-1,COLUMNS(Data!$P$1:Z3))</f>
        <v>87</v>
      </c>
      <c r="O9" s="1"/>
    </row>
    <row r="10" spans="2:15" x14ac:dyDescent="0.25">
      <c r="B10" s="23" t="s">
        <v>60</v>
      </c>
      <c r="D10" s="22">
        <f>INDEX(Data!$R$2:$AC$440,Data!$AD$1+ROWS(Data!$P$1:P4)-1,COLUMNS(Data!$P$1:P4))</f>
        <v>2002</v>
      </c>
      <c r="E10" s="22">
        <f>INDEX(Data!$R$2:$AC$440,Data!$AD$1+ROWS(Data!$P$1:Q4)-1,COLUMNS(Data!$P$1:Q4))</f>
        <v>1</v>
      </c>
      <c r="F10" s="22" t="str">
        <f>INDEX(Data!$R$2:$AC$440,Data!$AD$1+ROWS(Data!$P$1:R4)-1,COLUMNS(Data!$P$1:R4))</f>
        <v>Manchester United</v>
      </c>
      <c r="G10" s="22">
        <f>INDEX(Data!$R$2:$AC$440,Data!$AD$1+ROWS(Data!$P$1:S4)-1,COLUMNS(Data!$P$1:S4))</f>
        <v>38</v>
      </c>
      <c r="H10" s="22">
        <f>INDEX(Data!$R$2:$AC$440,Data!$AD$1+ROWS(Data!$P$1:T4)-1,COLUMNS(Data!$P$1:T4))</f>
        <v>25</v>
      </c>
      <c r="I10" s="22">
        <f>INDEX(Data!$R$2:$AC$440,Data!$AD$1+ROWS(Data!$P$1:U4)-1,COLUMNS(Data!$P$1:U4))</f>
        <v>8</v>
      </c>
      <c r="J10" s="22">
        <f>INDEX(Data!$R$2:$AC$440,Data!$AD$1+ROWS(Data!$P$1:V4)-1,COLUMNS(Data!$P$1:V4))</f>
        <v>5</v>
      </c>
      <c r="K10" s="22">
        <f>INDEX(Data!$R$2:$AC$440,Data!$AD$1+ROWS(Data!$P$1:W4)-1,COLUMNS(Data!$P$1:W4))</f>
        <v>74</v>
      </c>
      <c r="L10" s="22">
        <f>INDEX(Data!$R$2:$AC$440,Data!$AD$1+ROWS(Data!$P$1:X4)-1,COLUMNS(Data!$P$1:X4))</f>
        <v>34</v>
      </c>
      <c r="M10" s="22">
        <f>INDEX(Data!$R$2:$AC$440,Data!$AD$1+ROWS(Data!$P$1:Y4)-1,COLUMNS(Data!$P$1:Y4))</f>
        <v>40</v>
      </c>
      <c r="N10" s="22">
        <f>INDEX(Data!$R$2:$AC$440,Data!$AD$1+ROWS(Data!$P$1:Z4)-1,COLUMNS(Data!$P$1:Z4))</f>
        <v>83</v>
      </c>
      <c r="O10" s="1"/>
    </row>
    <row r="11" spans="2:15" x14ac:dyDescent="0.25">
      <c r="B11" s="23" t="s">
        <v>61</v>
      </c>
      <c r="D11" s="22">
        <f>INDEX(Data!$R$2:$AC$440,Data!$AD$1+ROWS(Data!$P$1:P5)-1,COLUMNS(Data!$P$1:P5))</f>
        <v>2003</v>
      </c>
      <c r="E11" s="22">
        <f>INDEX(Data!$R$2:$AC$440,Data!$AD$1+ROWS(Data!$P$1:Q5)-1,COLUMNS(Data!$P$1:Q5))</f>
        <v>1</v>
      </c>
      <c r="F11" s="22" t="str">
        <f>INDEX(Data!$R$2:$AC$440,Data!$AD$1+ROWS(Data!$P$1:R5)-1,COLUMNS(Data!$P$1:R5))</f>
        <v>Arsenal</v>
      </c>
      <c r="G11" s="22">
        <f>INDEX(Data!$R$2:$AC$440,Data!$AD$1+ROWS(Data!$P$1:S5)-1,COLUMNS(Data!$P$1:S5))</f>
        <v>38</v>
      </c>
      <c r="H11" s="22">
        <f>INDEX(Data!$R$2:$AC$440,Data!$AD$1+ROWS(Data!$P$1:T5)-1,COLUMNS(Data!$P$1:T5))</f>
        <v>26</v>
      </c>
      <c r="I11" s="22">
        <f>INDEX(Data!$R$2:$AC$440,Data!$AD$1+ROWS(Data!$P$1:U5)-1,COLUMNS(Data!$P$1:U5))</f>
        <v>12</v>
      </c>
      <c r="J11" s="22">
        <f>INDEX(Data!$R$2:$AC$440,Data!$AD$1+ROWS(Data!$P$1:V5)-1,COLUMNS(Data!$P$1:V5))</f>
        <v>0</v>
      </c>
      <c r="K11" s="22">
        <f>INDEX(Data!$R$2:$AC$440,Data!$AD$1+ROWS(Data!$P$1:W5)-1,COLUMNS(Data!$P$1:W5))</f>
        <v>73</v>
      </c>
      <c r="L11" s="22">
        <f>INDEX(Data!$R$2:$AC$440,Data!$AD$1+ROWS(Data!$P$1:X5)-1,COLUMNS(Data!$P$1:X5))</f>
        <v>26</v>
      </c>
      <c r="M11" s="22">
        <f>INDEX(Data!$R$2:$AC$440,Data!$AD$1+ROWS(Data!$P$1:Y5)-1,COLUMNS(Data!$P$1:Y5))</f>
        <v>47</v>
      </c>
      <c r="N11" s="22">
        <f>INDEX(Data!$R$2:$AC$440,Data!$AD$1+ROWS(Data!$P$1:Z5)-1,COLUMNS(Data!$P$1:Z5))</f>
        <v>90</v>
      </c>
      <c r="O11" s="1"/>
    </row>
    <row r="12" spans="2:15" x14ac:dyDescent="0.25">
      <c r="D12" s="22">
        <f>INDEX(Data!$R$2:$AC$440,Data!$AD$1+ROWS(Data!$P$1:P6)-1,COLUMNS(Data!$P$1:P6))</f>
        <v>2004</v>
      </c>
      <c r="E12" s="22">
        <f>INDEX(Data!$R$2:$AC$440,Data!$AD$1+ROWS(Data!$P$1:Q6)-1,COLUMNS(Data!$P$1:Q6))</f>
        <v>1</v>
      </c>
      <c r="F12" s="22" t="str">
        <f>INDEX(Data!$R$2:$AC$440,Data!$AD$1+ROWS(Data!$P$1:R6)-1,COLUMNS(Data!$P$1:R6))</f>
        <v>Chelsea</v>
      </c>
      <c r="G12" s="22">
        <f>INDEX(Data!$R$2:$AC$440,Data!$AD$1+ROWS(Data!$P$1:S6)-1,COLUMNS(Data!$P$1:S6))</f>
        <v>38</v>
      </c>
      <c r="H12" s="22">
        <f>INDEX(Data!$R$2:$AC$440,Data!$AD$1+ROWS(Data!$P$1:T6)-1,COLUMNS(Data!$P$1:T6))</f>
        <v>29</v>
      </c>
      <c r="I12" s="22">
        <f>INDEX(Data!$R$2:$AC$440,Data!$AD$1+ROWS(Data!$P$1:U6)-1,COLUMNS(Data!$P$1:U6))</f>
        <v>8</v>
      </c>
      <c r="J12" s="22">
        <f>INDEX(Data!$R$2:$AC$440,Data!$AD$1+ROWS(Data!$P$1:V6)-1,COLUMNS(Data!$P$1:V6))</f>
        <v>1</v>
      </c>
      <c r="K12" s="22">
        <f>INDEX(Data!$R$2:$AC$440,Data!$AD$1+ROWS(Data!$P$1:W6)-1,COLUMNS(Data!$P$1:W6))</f>
        <v>72</v>
      </c>
      <c r="L12" s="22">
        <f>INDEX(Data!$R$2:$AC$440,Data!$AD$1+ROWS(Data!$P$1:X6)-1,COLUMNS(Data!$P$1:X6))</f>
        <v>15</v>
      </c>
      <c r="M12" s="22">
        <f>INDEX(Data!$R$2:$AC$440,Data!$AD$1+ROWS(Data!$P$1:Y6)-1,COLUMNS(Data!$P$1:Y6))</f>
        <v>57</v>
      </c>
      <c r="N12" s="22">
        <f>INDEX(Data!$R$2:$AC$440,Data!$AD$1+ROWS(Data!$P$1:Z6)-1,COLUMNS(Data!$P$1:Z6))</f>
        <v>95</v>
      </c>
      <c r="O12" s="1"/>
    </row>
    <row r="13" spans="2:15" x14ac:dyDescent="0.25">
      <c r="D13" s="22">
        <f>INDEX(Data!$R$2:$AC$440,Data!$AD$1+ROWS(Data!$P$1:P7)-1,COLUMNS(Data!$P$1:P7))</f>
        <v>2005</v>
      </c>
      <c r="E13" s="22">
        <f>INDEX(Data!$R$2:$AC$440,Data!$AD$1+ROWS(Data!$P$1:Q7)-1,COLUMNS(Data!$P$1:Q7))</f>
        <v>1</v>
      </c>
      <c r="F13" s="22" t="str">
        <f>INDEX(Data!$R$2:$AC$440,Data!$AD$1+ROWS(Data!$P$1:R7)-1,COLUMNS(Data!$P$1:R7))</f>
        <v>Chelsea</v>
      </c>
      <c r="G13" s="22">
        <f>INDEX(Data!$R$2:$AC$440,Data!$AD$1+ROWS(Data!$P$1:S7)-1,COLUMNS(Data!$P$1:S7))</f>
        <v>38</v>
      </c>
      <c r="H13" s="22">
        <f>INDEX(Data!$R$2:$AC$440,Data!$AD$1+ROWS(Data!$P$1:T7)-1,COLUMNS(Data!$P$1:T7))</f>
        <v>29</v>
      </c>
      <c r="I13" s="22">
        <f>INDEX(Data!$R$2:$AC$440,Data!$AD$1+ROWS(Data!$P$1:U7)-1,COLUMNS(Data!$P$1:U7))</f>
        <v>4</v>
      </c>
      <c r="J13" s="22">
        <f>INDEX(Data!$R$2:$AC$440,Data!$AD$1+ROWS(Data!$P$1:V7)-1,COLUMNS(Data!$P$1:V7))</f>
        <v>5</v>
      </c>
      <c r="K13" s="22">
        <f>INDEX(Data!$R$2:$AC$440,Data!$AD$1+ROWS(Data!$P$1:W7)-1,COLUMNS(Data!$P$1:W7))</f>
        <v>72</v>
      </c>
      <c r="L13" s="22">
        <f>INDEX(Data!$R$2:$AC$440,Data!$AD$1+ROWS(Data!$P$1:X7)-1,COLUMNS(Data!$P$1:X7))</f>
        <v>22</v>
      </c>
      <c r="M13" s="22">
        <f>INDEX(Data!$R$2:$AC$440,Data!$AD$1+ROWS(Data!$P$1:Y7)-1,COLUMNS(Data!$P$1:Y7))</f>
        <v>50</v>
      </c>
      <c r="N13" s="22">
        <f>INDEX(Data!$R$2:$AC$440,Data!$AD$1+ROWS(Data!$P$1:Z7)-1,COLUMNS(Data!$P$1:Z7))</f>
        <v>91</v>
      </c>
      <c r="O13" s="1"/>
    </row>
    <row r="14" spans="2:15" x14ac:dyDescent="0.25">
      <c r="D14" s="22">
        <f>INDEX(Data!$R$2:$AC$440,Data!$AD$1+ROWS(Data!$P$1:P8)-1,COLUMNS(Data!$P$1:P8))</f>
        <v>2006</v>
      </c>
      <c r="E14" s="22">
        <f>INDEX(Data!$R$2:$AC$440,Data!$AD$1+ROWS(Data!$P$1:Q8)-1,COLUMNS(Data!$P$1:Q8))</f>
        <v>1</v>
      </c>
      <c r="F14" s="22" t="str">
        <f>INDEX(Data!$R$2:$AC$440,Data!$AD$1+ROWS(Data!$P$1:R8)-1,COLUMNS(Data!$P$1:R8))</f>
        <v>Manchester United</v>
      </c>
      <c r="G14" s="22">
        <f>INDEX(Data!$R$2:$AC$440,Data!$AD$1+ROWS(Data!$P$1:S8)-1,COLUMNS(Data!$P$1:S8))</f>
        <v>38</v>
      </c>
      <c r="H14" s="22">
        <f>INDEX(Data!$R$2:$AC$440,Data!$AD$1+ROWS(Data!$P$1:T8)-1,COLUMNS(Data!$P$1:T8))</f>
        <v>0</v>
      </c>
      <c r="I14" s="22">
        <f>INDEX(Data!$R$2:$AC$440,Data!$AD$1+ROWS(Data!$P$1:U8)-1,COLUMNS(Data!$P$1:U8))</f>
        <v>0</v>
      </c>
      <c r="J14" s="22">
        <f>INDEX(Data!$R$2:$AC$440,Data!$AD$1+ROWS(Data!$P$1:V8)-1,COLUMNS(Data!$P$1:V8))</f>
        <v>0</v>
      </c>
      <c r="K14" s="22">
        <f>INDEX(Data!$R$2:$AC$440,Data!$AD$1+ROWS(Data!$P$1:W8)-1,COLUMNS(Data!$P$1:W8))</f>
        <v>0</v>
      </c>
      <c r="L14" s="22">
        <f>INDEX(Data!$R$2:$AC$440,Data!$AD$1+ROWS(Data!$P$1:X8)-1,COLUMNS(Data!$P$1:X8))</f>
        <v>0</v>
      </c>
      <c r="M14" s="22">
        <f>INDEX(Data!$R$2:$AC$440,Data!$AD$1+ROWS(Data!$P$1:Y8)-1,COLUMNS(Data!$P$1:Y8))</f>
        <v>0</v>
      </c>
      <c r="N14" s="22">
        <f>INDEX(Data!$R$2:$AC$440,Data!$AD$1+ROWS(Data!$P$1:Z8)-1,COLUMNS(Data!$P$1:Z8))</f>
        <v>89</v>
      </c>
      <c r="O14" s="1"/>
    </row>
    <row r="15" spans="2:15" x14ac:dyDescent="0.25">
      <c r="D15" s="22">
        <f>INDEX(Data!$R$2:$AC$440,Data!$AD$1+ROWS(Data!$P$1:P9)-1,COLUMNS(Data!$P$1:P9))</f>
        <v>2007</v>
      </c>
      <c r="E15" s="22">
        <f>INDEX(Data!$R$2:$AC$440,Data!$AD$1+ROWS(Data!$P$1:Q9)-1,COLUMNS(Data!$P$1:Q9))</f>
        <v>1</v>
      </c>
      <c r="F15" s="22" t="str">
        <f>INDEX(Data!$R$2:$AC$440,Data!$AD$1+ROWS(Data!$P$1:R9)-1,COLUMNS(Data!$P$1:R9))</f>
        <v>Manchester United</v>
      </c>
      <c r="G15" s="22">
        <f>INDEX(Data!$R$2:$AC$440,Data!$AD$1+ROWS(Data!$P$1:S9)-1,COLUMNS(Data!$P$1:S9))</f>
        <v>38</v>
      </c>
      <c r="H15" s="22">
        <f>INDEX(Data!$R$2:$AC$440,Data!$AD$1+ROWS(Data!$P$1:T9)-1,COLUMNS(Data!$P$1:T9))</f>
        <v>27</v>
      </c>
      <c r="I15" s="22">
        <f>INDEX(Data!$R$2:$AC$440,Data!$AD$1+ROWS(Data!$P$1:U9)-1,COLUMNS(Data!$P$1:U9))</f>
        <v>6</v>
      </c>
      <c r="J15" s="22">
        <f>INDEX(Data!$R$2:$AC$440,Data!$AD$1+ROWS(Data!$P$1:V9)-1,COLUMNS(Data!$P$1:V9))</f>
        <v>5</v>
      </c>
      <c r="K15" s="22">
        <f>INDEX(Data!$R$2:$AC$440,Data!$AD$1+ROWS(Data!$P$1:W9)-1,COLUMNS(Data!$P$1:W9))</f>
        <v>80</v>
      </c>
      <c r="L15" s="22">
        <f>INDEX(Data!$R$2:$AC$440,Data!$AD$1+ROWS(Data!$P$1:X9)-1,COLUMNS(Data!$P$1:X9))</f>
        <v>22</v>
      </c>
      <c r="M15" s="22">
        <f>INDEX(Data!$R$2:$AC$440,Data!$AD$1+ROWS(Data!$P$1:Y9)-1,COLUMNS(Data!$P$1:Y9))</f>
        <v>58</v>
      </c>
      <c r="N15" s="22">
        <f>INDEX(Data!$R$2:$AC$440,Data!$AD$1+ROWS(Data!$P$1:Z9)-1,COLUMNS(Data!$P$1:Z9))</f>
        <v>87</v>
      </c>
      <c r="O15" s="1"/>
    </row>
    <row r="16" spans="2:15" x14ac:dyDescent="0.25">
      <c r="D16" s="22">
        <f>INDEX(Data!$R$2:$AC$440,Data!$AD$1+ROWS(Data!$P$1:P10)-1,COLUMNS(Data!$P$1:P10))</f>
        <v>2008</v>
      </c>
      <c r="E16" s="22">
        <f>INDEX(Data!$R$2:$AC$440,Data!$AD$1+ROWS(Data!$P$1:Q10)-1,COLUMNS(Data!$P$1:Q10))</f>
        <v>1</v>
      </c>
      <c r="F16" s="22" t="str">
        <f>INDEX(Data!$R$2:$AC$440,Data!$AD$1+ROWS(Data!$P$1:R10)-1,COLUMNS(Data!$P$1:R10))</f>
        <v>Manchester United</v>
      </c>
      <c r="G16" s="22">
        <f>INDEX(Data!$R$2:$AC$440,Data!$AD$1+ROWS(Data!$P$1:S10)-1,COLUMNS(Data!$P$1:S10))</f>
        <v>38</v>
      </c>
      <c r="H16" s="22">
        <f>INDEX(Data!$R$2:$AC$440,Data!$AD$1+ROWS(Data!$P$1:T10)-1,COLUMNS(Data!$P$1:T10))</f>
        <v>28</v>
      </c>
      <c r="I16" s="22">
        <f>INDEX(Data!$R$2:$AC$440,Data!$AD$1+ROWS(Data!$P$1:U10)-1,COLUMNS(Data!$P$1:U10))</f>
        <v>6</v>
      </c>
      <c r="J16" s="22">
        <f>INDEX(Data!$R$2:$AC$440,Data!$AD$1+ROWS(Data!$P$1:V10)-1,COLUMNS(Data!$P$1:V10))</f>
        <v>4</v>
      </c>
      <c r="K16" s="22">
        <f>INDEX(Data!$R$2:$AC$440,Data!$AD$1+ROWS(Data!$P$1:W10)-1,COLUMNS(Data!$P$1:W10))</f>
        <v>68</v>
      </c>
      <c r="L16" s="22">
        <f>INDEX(Data!$R$2:$AC$440,Data!$AD$1+ROWS(Data!$P$1:X10)-1,COLUMNS(Data!$P$1:X10))</f>
        <v>24</v>
      </c>
      <c r="M16" s="22">
        <f>INDEX(Data!$R$2:$AC$440,Data!$AD$1+ROWS(Data!$P$1:Y10)-1,COLUMNS(Data!$P$1:Y10))</f>
        <v>44</v>
      </c>
      <c r="N16" s="22">
        <f>INDEX(Data!$R$2:$AC$440,Data!$AD$1+ROWS(Data!$P$1:Z10)-1,COLUMNS(Data!$P$1:Z10))</f>
        <v>90</v>
      </c>
      <c r="O16" s="1"/>
    </row>
    <row r="17" spans="4:15" x14ac:dyDescent="0.25">
      <c r="D17" s="22">
        <f>INDEX(Data!$R$2:$AC$440,Data!$AD$1+ROWS(Data!$P$1:P11)-1,COLUMNS(Data!$P$1:P11))</f>
        <v>2009</v>
      </c>
      <c r="E17" s="22">
        <f>INDEX(Data!$R$2:$AC$440,Data!$AD$1+ROWS(Data!$P$1:Q11)-1,COLUMNS(Data!$P$1:Q11))</f>
        <v>1</v>
      </c>
      <c r="F17" s="22" t="str">
        <f>INDEX(Data!$R$2:$AC$440,Data!$AD$1+ROWS(Data!$P$1:R11)-1,COLUMNS(Data!$P$1:R11))</f>
        <v>Chelsea</v>
      </c>
      <c r="G17" s="22">
        <f>INDEX(Data!$R$2:$AC$440,Data!$AD$1+ROWS(Data!$P$1:S11)-1,COLUMNS(Data!$P$1:S11))</f>
        <v>38</v>
      </c>
      <c r="H17" s="22">
        <f>INDEX(Data!$R$2:$AC$440,Data!$AD$1+ROWS(Data!$P$1:T11)-1,COLUMNS(Data!$P$1:T11))</f>
        <v>27</v>
      </c>
      <c r="I17" s="22">
        <f>INDEX(Data!$R$2:$AC$440,Data!$AD$1+ROWS(Data!$P$1:U11)-1,COLUMNS(Data!$P$1:U11))</f>
        <v>5</v>
      </c>
      <c r="J17" s="22">
        <f>INDEX(Data!$R$2:$AC$440,Data!$AD$1+ROWS(Data!$P$1:V11)-1,COLUMNS(Data!$P$1:V11))</f>
        <v>6</v>
      </c>
      <c r="K17" s="22">
        <f>INDEX(Data!$R$2:$AC$440,Data!$AD$1+ROWS(Data!$P$1:W11)-1,COLUMNS(Data!$P$1:W11))</f>
        <v>103</v>
      </c>
      <c r="L17" s="22">
        <f>INDEX(Data!$R$2:$AC$440,Data!$AD$1+ROWS(Data!$P$1:X11)-1,COLUMNS(Data!$P$1:X11))</f>
        <v>32</v>
      </c>
      <c r="M17" s="22">
        <f>INDEX(Data!$R$2:$AC$440,Data!$AD$1+ROWS(Data!$P$1:Y11)-1,COLUMNS(Data!$P$1:Y11))</f>
        <v>71</v>
      </c>
      <c r="N17" s="22">
        <f>INDEX(Data!$R$2:$AC$440,Data!$AD$1+ROWS(Data!$P$1:Z11)-1,COLUMNS(Data!$P$1:Z11))</f>
        <v>86</v>
      </c>
      <c r="O17" s="1"/>
    </row>
    <row r="18" spans="4:15" x14ac:dyDescent="0.25">
      <c r="D18" s="22">
        <f>INDEX(Data!$R$2:$AC$440,Data!$AD$1+ROWS(Data!$P$1:P12)-1,COLUMNS(Data!$P$1:P12))</f>
        <v>2010</v>
      </c>
      <c r="E18" s="22">
        <f>INDEX(Data!$R$2:$AC$440,Data!$AD$1+ROWS(Data!$P$1:Q12)-1,COLUMNS(Data!$P$1:Q12))</f>
        <v>1</v>
      </c>
      <c r="F18" s="22" t="str">
        <f>INDEX(Data!$R$2:$AC$440,Data!$AD$1+ROWS(Data!$P$1:R12)-1,COLUMNS(Data!$P$1:R12))</f>
        <v>Manchester United</v>
      </c>
      <c r="G18" s="22">
        <f>INDEX(Data!$R$2:$AC$440,Data!$AD$1+ROWS(Data!$P$1:S12)-1,COLUMNS(Data!$P$1:S12))</f>
        <v>38</v>
      </c>
      <c r="H18" s="22">
        <f>INDEX(Data!$R$2:$AC$440,Data!$AD$1+ROWS(Data!$P$1:T12)-1,COLUMNS(Data!$P$1:T12))</f>
        <v>23</v>
      </c>
      <c r="I18" s="22">
        <f>INDEX(Data!$R$2:$AC$440,Data!$AD$1+ROWS(Data!$P$1:U12)-1,COLUMNS(Data!$P$1:U12))</f>
        <v>11</v>
      </c>
      <c r="J18" s="22">
        <f>INDEX(Data!$R$2:$AC$440,Data!$AD$1+ROWS(Data!$P$1:V12)-1,COLUMNS(Data!$P$1:V12))</f>
        <v>4</v>
      </c>
      <c r="K18" s="22">
        <f>INDEX(Data!$R$2:$AC$440,Data!$AD$1+ROWS(Data!$P$1:W12)-1,COLUMNS(Data!$P$1:W12))</f>
        <v>78</v>
      </c>
      <c r="L18" s="22">
        <f>INDEX(Data!$R$2:$AC$440,Data!$AD$1+ROWS(Data!$P$1:X12)-1,COLUMNS(Data!$P$1:X12))</f>
        <v>37</v>
      </c>
      <c r="M18" s="22">
        <f>INDEX(Data!$R$2:$AC$440,Data!$AD$1+ROWS(Data!$P$1:Y12)-1,COLUMNS(Data!$P$1:Y12))</f>
        <v>41</v>
      </c>
      <c r="N18" s="22">
        <f>INDEX(Data!$R$2:$AC$440,Data!$AD$1+ROWS(Data!$P$1:Z12)-1,COLUMNS(Data!$P$1:Z12))</f>
        <v>80</v>
      </c>
      <c r="O18" s="1"/>
    </row>
    <row r="19" spans="4:15" x14ac:dyDescent="0.25">
      <c r="D19" s="22">
        <f>INDEX(Data!$R$2:$AC$440,Data!$AD$1+ROWS(Data!$P$1:P13)-1,COLUMNS(Data!$P$1:P13))</f>
        <v>2011</v>
      </c>
      <c r="E19" s="22">
        <f>INDEX(Data!$R$2:$AC$440,Data!$AD$1+ROWS(Data!$P$1:Q13)-1,COLUMNS(Data!$P$1:Q13))</f>
        <v>1</v>
      </c>
      <c r="F19" s="22" t="str">
        <f>INDEX(Data!$R$2:$AC$440,Data!$AD$1+ROWS(Data!$P$1:R13)-1,COLUMNS(Data!$P$1:R13))</f>
        <v>Manchester City</v>
      </c>
      <c r="G19" s="22">
        <f>INDEX(Data!$R$2:$AC$440,Data!$AD$1+ROWS(Data!$P$1:S13)-1,COLUMNS(Data!$P$1:S13))</f>
        <v>38</v>
      </c>
      <c r="H19" s="22">
        <f>INDEX(Data!$R$2:$AC$440,Data!$AD$1+ROWS(Data!$P$1:T13)-1,COLUMNS(Data!$P$1:T13))</f>
        <v>28</v>
      </c>
      <c r="I19" s="22">
        <f>INDEX(Data!$R$2:$AC$440,Data!$AD$1+ROWS(Data!$P$1:U13)-1,COLUMNS(Data!$P$1:U13))</f>
        <v>5</v>
      </c>
      <c r="J19" s="22">
        <f>INDEX(Data!$R$2:$AC$440,Data!$AD$1+ROWS(Data!$P$1:V13)-1,COLUMNS(Data!$P$1:V13))</f>
        <v>5</v>
      </c>
      <c r="K19" s="22">
        <f>INDEX(Data!$R$2:$AC$440,Data!$AD$1+ROWS(Data!$P$1:W13)-1,COLUMNS(Data!$P$1:W13))</f>
        <v>93</v>
      </c>
      <c r="L19" s="22">
        <f>INDEX(Data!$R$2:$AC$440,Data!$AD$1+ROWS(Data!$P$1:X13)-1,COLUMNS(Data!$P$1:X13))</f>
        <v>29</v>
      </c>
      <c r="M19" s="22">
        <f>INDEX(Data!$R$2:$AC$440,Data!$AD$1+ROWS(Data!$P$1:Y13)-1,COLUMNS(Data!$P$1:Y13))</f>
        <v>64</v>
      </c>
      <c r="N19" s="22">
        <f>INDEX(Data!$R$2:$AC$440,Data!$AD$1+ROWS(Data!$P$1:Z13)-1,COLUMNS(Data!$P$1:Z13))</f>
        <v>89</v>
      </c>
      <c r="O19" s="1"/>
    </row>
    <row r="20" spans="4:15" x14ac:dyDescent="0.25">
      <c r="D20" s="22">
        <f>INDEX(Data!$R$2:$AC$440,Data!$AD$1+ROWS(Data!$P$1:P14)-1,COLUMNS(Data!$P$1:P14))</f>
        <v>2012</v>
      </c>
      <c r="E20" s="22">
        <f>INDEX(Data!$R$2:$AC$440,Data!$AD$1+ROWS(Data!$P$1:Q14)-1,COLUMNS(Data!$P$1:Q14))</f>
        <v>1</v>
      </c>
      <c r="F20" s="22" t="str">
        <f>INDEX(Data!$R$2:$AC$440,Data!$AD$1+ROWS(Data!$P$1:R14)-1,COLUMNS(Data!$P$1:R14))</f>
        <v>Manchester United</v>
      </c>
      <c r="G20" s="22">
        <f>INDEX(Data!$R$2:$AC$440,Data!$AD$1+ROWS(Data!$P$1:S14)-1,COLUMNS(Data!$P$1:S14))</f>
        <v>38</v>
      </c>
      <c r="H20" s="22">
        <f>INDEX(Data!$R$2:$AC$440,Data!$AD$1+ROWS(Data!$P$1:T14)-1,COLUMNS(Data!$P$1:T14))</f>
        <v>28</v>
      </c>
      <c r="I20" s="22">
        <f>INDEX(Data!$R$2:$AC$440,Data!$AD$1+ROWS(Data!$P$1:U14)-1,COLUMNS(Data!$P$1:U14))</f>
        <v>5</v>
      </c>
      <c r="J20" s="22">
        <f>INDEX(Data!$R$2:$AC$440,Data!$AD$1+ROWS(Data!$P$1:V14)-1,COLUMNS(Data!$P$1:V14))</f>
        <v>5</v>
      </c>
      <c r="K20" s="22">
        <f>INDEX(Data!$R$2:$AC$440,Data!$AD$1+ROWS(Data!$P$1:W14)-1,COLUMNS(Data!$P$1:W14))</f>
        <v>86</v>
      </c>
      <c r="L20" s="22">
        <f>INDEX(Data!$R$2:$AC$440,Data!$AD$1+ROWS(Data!$P$1:X14)-1,COLUMNS(Data!$P$1:X14))</f>
        <v>43</v>
      </c>
      <c r="M20" s="22">
        <f>INDEX(Data!$R$2:$AC$440,Data!$AD$1+ROWS(Data!$P$1:Y14)-1,COLUMNS(Data!$P$1:Y14))</f>
        <v>43</v>
      </c>
      <c r="N20" s="22">
        <f>INDEX(Data!$R$2:$AC$440,Data!$AD$1+ROWS(Data!$P$1:Z14)-1,COLUMNS(Data!$P$1:Z14))</f>
        <v>89</v>
      </c>
      <c r="O20" s="1"/>
    </row>
    <row r="21" spans="4:15" x14ac:dyDescent="0.25">
      <c r="D21" s="22">
        <f>INDEX(Data!$R$2:$AC$440,Data!$AD$1+ROWS(Data!$P$1:P15)-1,COLUMNS(Data!$P$1:P15))</f>
        <v>2013</v>
      </c>
      <c r="E21" s="22">
        <f>INDEX(Data!$R$2:$AC$440,Data!$AD$1+ROWS(Data!$P$1:Q15)-1,COLUMNS(Data!$P$1:Q15))</f>
        <v>1</v>
      </c>
      <c r="F21" s="22" t="str">
        <f>INDEX(Data!$R$2:$AC$440,Data!$AD$1+ROWS(Data!$P$1:R15)-1,COLUMNS(Data!$P$1:R15))</f>
        <v>Manchester City</v>
      </c>
      <c r="G21" s="22">
        <f>INDEX(Data!$R$2:$AC$440,Data!$AD$1+ROWS(Data!$P$1:S15)-1,COLUMNS(Data!$P$1:S15))</f>
        <v>38</v>
      </c>
      <c r="H21" s="22">
        <f>INDEX(Data!$R$2:$AC$440,Data!$AD$1+ROWS(Data!$P$1:T15)-1,COLUMNS(Data!$P$1:T15))</f>
        <v>27</v>
      </c>
      <c r="I21" s="22">
        <f>INDEX(Data!$R$2:$AC$440,Data!$AD$1+ROWS(Data!$P$1:U15)-1,COLUMNS(Data!$P$1:U15))</f>
        <v>5</v>
      </c>
      <c r="J21" s="22">
        <f>INDEX(Data!$R$2:$AC$440,Data!$AD$1+ROWS(Data!$P$1:V15)-1,COLUMNS(Data!$P$1:V15))</f>
        <v>6</v>
      </c>
      <c r="K21" s="22">
        <f>INDEX(Data!$R$2:$AC$440,Data!$AD$1+ROWS(Data!$P$1:W15)-1,COLUMNS(Data!$P$1:W15))</f>
        <v>102</v>
      </c>
      <c r="L21" s="22">
        <f>INDEX(Data!$R$2:$AC$440,Data!$AD$1+ROWS(Data!$P$1:X15)-1,COLUMNS(Data!$P$1:X15))</f>
        <v>37</v>
      </c>
      <c r="M21" s="22">
        <f>INDEX(Data!$R$2:$AC$440,Data!$AD$1+ROWS(Data!$P$1:Y15)-1,COLUMNS(Data!$P$1:Y15))</f>
        <v>65</v>
      </c>
      <c r="N21" s="22">
        <f>INDEX(Data!$R$2:$AC$440,Data!$AD$1+ROWS(Data!$P$1:Z15)-1,COLUMNS(Data!$P$1:Z15))</f>
        <v>86</v>
      </c>
      <c r="O21" s="1"/>
    </row>
    <row r="22" spans="4:15" x14ac:dyDescent="0.25">
      <c r="D22" s="22">
        <f>INDEX(Data!$R$2:$AC$440,Data!$AD$1+ROWS(Data!$P$1:P16)-1,COLUMNS(Data!$P$1:P16))</f>
        <v>2014</v>
      </c>
      <c r="E22" s="22">
        <f>INDEX(Data!$R$2:$AC$440,Data!$AD$1+ROWS(Data!$P$1:Q16)-1,COLUMNS(Data!$P$1:Q16))</f>
        <v>1</v>
      </c>
      <c r="F22" s="22" t="str">
        <f>INDEX(Data!$R$2:$AC$440,Data!$AD$1+ROWS(Data!$P$1:R16)-1,COLUMNS(Data!$P$1:R16))</f>
        <v>Chelsea</v>
      </c>
      <c r="G22" s="22">
        <f>INDEX(Data!$R$2:$AC$440,Data!$AD$1+ROWS(Data!$P$1:S16)-1,COLUMNS(Data!$P$1:S16))</f>
        <v>38</v>
      </c>
      <c r="H22" s="22">
        <f>INDEX(Data!$R$2:$AC$440,Data!$AD$1+ROWS(Data!$P$1:T16)-1,COLUMNS(Data!$P$1:T16))</f>
        <v>26</v>
      </c>
      <c r="I22" s="22">
        <f>INDEX(Data!$R$2:$AC$440,Data!$AD$1+ROWS(Data!$P$1:U16)-1,COLUMNS(Data!$P$1:U16))</f>
        <v>9</v>
      </c>
      <c r="J22" s="22">
        <f>INDEX(Data!$R$2:$AC$440,Data!$AD$1+ROWS(Data!$P$1:V16)-1,COLUMNS(Data!$P$1:V16))</f>
        <v>3</v>
      </c>
      <c r="K22" s="22">
        <f>INDEX(Data!$R$2:$AC$440,Data!$AD$1+ROWS(Data!$P$1:W16)-1,COLUMNS(Data!$P$1:W16))</f>
        <v>73</v>
      </c>
      <c r="L22" s="22">
        <f>INDEX(Data!$R$2:$AC$440,Data!$AD$1+ROWS(Data!$P$1:X16)-1,COLUMNS(Data!$P$1:X16))</f>
        <v>32</v>
      </c>
      <c r="M22" s="22">
        <f>INDEX(Data!$R$2:$AC$440,Data!$AD$1+ROWS(Data!$P$1:Y16)-1,COLUMNS(Data!$P$1:Y16))</f>
        <v>41</v>
      </c>
      <c r="N22" s="22">
        <f>INDEX(Data!$R$2:$AC$440,Data!$AD$1+ROWS(Data!$P$1:Z16)-1,COLUMNS(Data!$P$1:Z16))</f>
        <v>87</v>
      </c>
      <c r="O22" s="1"/>
    </row>
    <row r="23" spans="4:15" x14ac:dyDescent="0.25">
      <c r="D23" s="22">
        <f>INDEX(Data!$R$2:$AC$440,Data!$AD$1+ROWS(Data!$P$1:P17)-1,COLUMNS(Data!$P$1:P17))</f>
        <v>2015</v>
      </c>
      <c r="E23" s="22">
        <f>INDEX(Data!$R$2:$AC$440,Data!$AD$1+ROWS(Data!$P$1:Q17)-1,COLUMNS(Data!$P$1:Q17))</f>
        <v>1</v>
      </c>
      <c r="F23" s="22" t="str">
        <f>INDEX(Data!$R$2:$AC$440,Data!$AD$1+ROWS(Data!$P$1:R17)-1,COLUMNS(Data!$P$1:R17))</f>
        <v>Leicester City</v>
      </c>
      <c r="G23" s="22">
        <f>INDEX(Data!$R$2:$AC$440,Data!$AD$1+ROWS(Data!$P$1:S17)-1,COLUMNS(Data!$P$1:S17))</f>
        <v>38</v>
      </c>
      <c r="H23" s="22">
        <f>INDEX(Data!$R$2:$AC$440,Data!$AD$1+ROWS(Data!$P$1:T17)-1,COLUMNS(Data!$P$1:T17))</f>
        <v>23</v>
      </c>
      <c r="I23" s="22">
        <f>INDEX(Data!$R$2:$AC$440,Data!$AD$1+ROWS(Data!$P$1:U17)-1,COLUMNS(Data!$P$1:U17))</f>
        <v>12</v>
      </c>
      <c r="J23" s="22">
        <f>INDEX(Data!$R$2:$AC$440,Data!$AD$1+ROWS(Data!$P$1:V17)-1,COLUMNS(Data!$P$1:V17))</f>
        <v>3</v>
      </c>
      <c r="K23" s="22">
        <f>INDEX(Data!$R$2:$AC$440,Data!$AD$1+ROWS(Data!$P$1:W17)-1,COLUMNS(Data!$P$1:W17))</f>
        <v>68</v>
      </c>
      <c r="L23" s="22">
        <f>INDEX(Data!$R$2:$AC$440,Data!$AD$1+ROWS(Data!$P$1:X17)-1,COLUMNS(Data!$P$1:X17))</f>
        <v>36</v>
      </c>
      <c r="M23" s="22">
        <f>INDEX(Data!$R$2:$AC$440,Data!$AD$1+ROWS(Data!$P$1:Y17)-1,COLUMNS(Data!$P$1:Y17))</f>
        <v>32</v>
      </c>
      <c r="N23" s="22">
        <f>INDEX(Data!$R$2:$AC$440,Data!$AD$1+ROWS(Data!$P$1:Z17)-1,COLUMNS(Data!$P$1:Z17))</f>
        <v>81</v>
      </c>
      <c r="O23" s="1"/>
    </row>
    <row r="24" spans="4:15" x14ac:dyDescent="0.25">
      <c r="D24" s="22">
        <f>INDEX(Data!$R$2:$AC$440,Data!$AD$1+ROWS(Data!$P$1:P18)-1,COLUMNS(Data!$P$1:P18))</f>
        <v>2016</v>
      </c>
      <c r="E24" s="22">
        <f>INDEX(Data!$R$2:$AC$440,Data!$AD$1+ROWS(Data!$P$1:Q18)-1,COLUMNS(Data!$P$1:Q18))</f>
        <v>1</v>
      </c>
      <c r="F24" s="22" t="str">
        <f>INDEX(Data!$R$2:$AC$440,Data!$AD$1+ROWS(Data!$P$1:R18)-1,COLUMNS(Data!$P$1:R18))</f>
        <v>Chelsea</v>
      </c>
      <c r="G24" s="22">
        <f>INDEX(Data!$R$2:$AC$440,Data!$AD$1+ROWS(Data!$P$1:S18)-1,COLUMNS(Data!$P$1:S18))</f>
        <v>38</v>
      </c>
      <c r="H24" s="22">
        <f>INDEX(Data!$R$2:$AC$440,Data!$AD$1+ROWS(Data!$P$1:T18)-1,COLUMNS(Data!$P$1:T18))</f>
        <v>30</v>
      </c>
      <c r="I24" s="22">
        <f>INDEX(Data!$R$2:$AC$440,Data!$AD$1+ROWS(Data!$P$1:U18)-1,COLUMNS(Data!$P$1:U18))</f>
        <v>3</v>
      </c>
      <c r="J24" s="22">
        <f>INDEX(Data!$R$2:$AC$440,Data!$AD$1+ROWS(Data!$P$1:V18)-1,COLUMNS(Data!$P$1:V18))</f>
        <v>5</v>
      </c>
      <c r="K24" s="22">
        <f>INDEX(Data!$R$2:$AC$440,Data!$AD$1+ROWS(Data!$P$1:W18)-1,COLUMNS(Data!$P$1:W18))</f>
        <v>85</v>
      </c>
      <c r="L24" s="22">
        <f>INDEX(Data!$R$2:$AC$440,Data!$AD$1+ROWS(Data!$P$1:X18)-1,COLUMNS(Data!$P$1:X18))</f>
        <v>33</v>
      </c>
      <c r="M24" s="22">
        <f>INDEX(Data!$R$2:$AC$440,Data!$AD$1+ROWS(Data!$P$1:Y18)-1,COLUMNS(Data!$P$1:Y18))</f>
        <v>52</v>
      </c>
      <c r="N24" s="22">
        <f>INDEX(Data!$R$2:$AC$440,Data!$AD$1+ROWS(Data!$P$1:Z18)-1,COLUMNS(Data!$P$1:Z18))</f>
        <v>93</v>
      </c>
      <c r="O24" s="1"/>
    </row>
    <row r="25" spans="4:15" x14ac:dyDescent="0.25">
      <c r="D25" s="22">
        <f>INDEX(Data!$R$2:$AC$440,Data!$AD$1+ROWS(Data!$P$1:P19)-1,COLUMNS(Data!$P$1:P19))</f>
        <v>2017</v>
      </c>
      <c r="E25" s="22">
        <f>INDEX(Data!$R$2:$AC$440,Data!$AD$1+ROWS(Data!$P$1:Q19)-1,COLUMNS(Data!$P$1:Q19))</f>
        <v>1</v>
      </c>
      <c r="F25" s="22" t="str">
        <f>INDEX(Data!$R$2:$AC$440,Data!$AD$1+ROWS(Data!$P$1:R19)-1,COLUMNS(Data!$P$1:R19))</f>
        <v>Manchester City</v>
      </c>
      <c r="G25" s="22">
        <f>INDEX(Data!$R$2:$AC$440,Data!$AD$1+ROWS(Data!$P$1:S19)-1,COLUMNS(Data!$P$1:S19))</f>
        <v>38</v>
      </c>
      <c r="H25" s="22">
        <f>INDEX(Data!$R$2:$AC$440,Data!$AD$1+ROWS(Data!$P$1:T19)-1,COLUMNS(Data!$P$1:T19))</f>
        <v>32</v>
      </c>
      <c r="I25" s="22">
        <f>INDEX(Data!$R$2:$AC$440,Data!$AD$1+ROWS(Data!$P$1:U19)-1,COLUMNS(Data!$P$1:U19))</f>
        <v>4</v>
      </c>
      <c r="J25" s="22">
        <f>INDEX(Data!$R$2:$AC$440,Data!$AD$1+ROWS(Data!$P$1:V19)-1,COLUMNS(Data!$P$1:V19))</f>
        <v>2</v>
      </c>
      <c r="K25" s="22">
        <f>INDEX(Data!$R$2:$AC$440,Data!$AD$1+ROWS(Data!$P$1:W19)-1,COLUMNS(Data!$P$1:W19))</f>
        <v>106</v>
      </c>
      <c r="L25" s="22">
        <f>INDEX(Data!$R$2:$AC$440,Data!$AD$1+ROWS(Data!$P$1:X19)-1,COLUMNS(Data!$P$1:X19))</f>
        <v>27</v>
      </c>
      <c r="M25" s="22">
        <f>INDEX(Data!$R$2:$AC$440,Data!$AD$1+ROWS(Data!$P$1:Y19)-1,COLUMNS(Data!$P$1:Y19))</f>
        <v>79</v>
      </c>
      <c r="N25" s="22">
        <f>INDEX(Data!$R$2:$AC$440,Data!$AD$1+ROWS(Data!$P$1:Z19)-1,COLUMNS(Data!$P$1:Z19))</f>
        <v>100</v>
      </c>
      <c r="O25" s="1"/>
    </row>
  </sheetData>
  <sortState xmlns:xlrd2="http://schemas.microsoft.com/office/spreadsheetml/2017/richdata2" ref="D7:N25">
    <sortCondition descending="1" ref="E7:E25"/>
  </sortState>
  <conditionalFormatting sqref="D7:N25">
    <cfRule type="notContainsBlanks" dxfId="49" priority="1">
      <formula>LEN(TRIM(D7))&gt;0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croll Bar 1">
              <controlPr defaultSize="0" autoPict="0">
                <anchor moveWithCells="1">
                  <from>
                    <xdr:col>2</xdr:col>
                    <xdr:colOff>381000</xdr:colOff>
                    <xdr:row>5</xdr:row>
                    <xdr:rowOff>180975</xdr:rowOff>
                  </from>
                  <to>
                    <xdr:col>2</xdr:col>
                    <xdr:colOff>581025</xdr:colOff>
                    <xdr:row>25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DE205-DE6F-4F4D-8D76-521DA1E2C04F}">
  <sheetPr codeName="Sheet6"/>
  <dimension ref="B1:W26"/>
  <sheetViews>
    <sheetView showGridLines="0" topLeftCell="A2" workbookViewId="0">
      <selection sqref="A1:XFD1048576"/>
    </sheetView>
  </sheetViews>
  <sheetFormatPr defaultRowHeight="15" x14ac:dyDescent="0.25"/>
  <cols>
    <col min="1" max="1" width="5.85546875" customWidth="1"/>
    <col min="2" max="2" width="23.28515625" bestFit="1" customWidth="1"/>
    <col min="3" max="3" width="12.140625" bestFit="1" customWidth="1"/>
    <col min="5" max="5" width="6.7109375" customWidth="1"/>
    <col min="6" max="6" width="3" bestFit="1" customWidth="1"/>
    <col min="7" max="7" width="18.42578125" bestFit="1" customWidth="1"/>
    <col min="8" max="15" width="5.7109375" customWidth="1"/>
    <col min="16" max="16" width="10" bestFit="1" customWidth="1"/>
  </cols>
  <sheetData>
    <row r="1" spans="2:23" x14ac:dyDescent="0.25">
      <c r="W1" t="s">
        <v>85</v>
      </c>
    </row>
    <row r="5" spans="2:23" x14ac:dyDescent="0.25">
      <c r="B5" s="30" t="s">
        <v>2</v>
      </c>
      <c r="C5" s="30" t="s">
        <v>56</v>
      </c>
      <c r="E5" s="29" t="str">
        <f>Table24[[#Headers],[Year]]</f>
        <v>Year</v>
      </c>
      <c r="F5" s="29" t="str">
        <f>Table24[[#Headers],['#]]</f>
        <v>#</v>
      </c>
      <c r="G5" s="29" t="str">
        <f>Table24[[#Headers],[Team]]</f>
        <v>Team</v>
      </c>
      <c r="H5" s="29" t="str">
        <f>Table24[[#Headers],[Pl]]</f>
        <v>Pl</v>
      </c>
      <c r="I5" s="29" t="str">
        <f>Table24[[#Headers],[W]]</f>
        <v>W</v>
      </c>
      <c r="J5" s="29" t="str">
        <f>Table24[[#Headers],[D]]</f>
        <v>D</v>
      </c>
      <c r="K5" s="29" t="str">
        <f>Table24[[#Headers],[L]]</f>
        <v>L</v>
      </c>
      <c r="L5" s="29" t="str">
        <f>Table24[[#Headers],[F]]</f>
        <v>F</v>
      </c>
      <c r="M5" s="29" t="str">
        <f>Table24[[#Headers],[A]]</f>
        <v>A</v>
      </c>
      <c r="N5" s="29" t="str">
        <f>Table24[[#Headers],[GD]]</f>
        <v>GD</v>
      </c>
      <c r="O5" s="29" t="str">
        <f>Table24[[#Headers],[Pts]]</f>
        <v>Pts</v>
      </c>
      <c r="P5" s="29" t="str">
        <f>Table24[[#Headers],[Details]]</f>
        <v>Details</v>
      </c>
    </row>
    <row r="6" spans="2:23" x14ac:dyDescent="0.25">
      <c r="B6" s="22" t="str">
        <f>INDEX(prem_analysis!$AA$2:$AB$45,prem_analysis!$AB$1+ROWS(premier_league_details!$A$6:A6)-1,COLUMNS(premier_league_details!$A$6:A6))</f>
        <v>Everton</v>
      </c>
      <c r="C6" s="22">
        <f>INDEX(prem_analysis!$AA$2:$AB$45,prem_analysis!$AB$1+ROWS(premier_league_details!$A$6:B6)-1,COLUMNS(premier_league_details!$A$6:B6))</f>
        <v>22</v>
      </c>
      <c r="E6" s="22">
        <f>INDEX(prem_analysis!$AU$2:$BF$440,prem_analysis!$AV$1+ROWS(prem_analysis!$AV$1:AV1)-1,COLUMNS(premier_league_details!$D$6:D6))</f>
        <v>2000</v>
      </c>
      <c r="F6" s="22">
        <f>INDEX(prem_analysis!$AU$2:$BF$440,prem_analysis!$AV$1+ROWS(prem_analysis!$AV$1:AW1)-1,COLUMNS(premier_league_details!$D$6:E6))</f>
        <v>1</v>
      </c>
      <c r="G6" s="22" t="str">
        <f>INDEX(prem_analysis!$AU$2:$BF$440,prem_analysis!$AV$1+ROWS(prem_analysis!$AV$1:AX1)-1,COLUMNS(premier_league_details!$D$6:F6))</f>
        <v>Manchester United</v>
      </c>
      <c r="H6" s="22">
        <f>INDEX(prem_analysis!$AU$2:$BF$440,prem_analysis!$AV$1+ROWS(prem_analysis!$AV$1:AY1)-1,COLUMNS(premier_league_details!$D$6:G6))</f>
        <v>38</v>
      </c>
      <c r="I6" s="22">
        <f>INDEX(prem_analysis!$AU$2:$BF$440,prem_analysis!$AV$1+ROWS(prem_analysis!$AV$1:AZ1)-1,COLUMNS(premier_league_details!$D$6:H6))</f>
        <v>24</v>
      </c>
      <c r="J6" s="22">
        <f>INDEX(prem_analysis!$AU$2:$BF$440,prem_analysis!$AV$1+ROWS(prem_analysis!$AV$1:BA1)-1,COLUMNS(premier_league_details!$D$6:I6))</f>
        <v>8</v>
      </c>
      <c r="K6" s="22">
        <f>INDEX(prem_analysis!$AU$2:$BF$440,prem_analysis!$AV$1+ROWS(prem_analysis!$AV$1:BB1)-1,COLUMNS(premier_league_details!$D$6:J6))</f>
        <v>6</v>
      </c>
      <c r="L6" s="22">
        <f>INDEX(prem_analysis!$AU$2:$BF$440,prem_analysis!$AV$1+ROWS(prem_analysis!$AV$1:BC1)-1,COLUMNS(premier_league_details!$D$6:K6))</f>
        <v>79</v>
      </c>
      <c r="M6" s="22">
        <f>INDEX(prem_analysis!$AU$2:$BF$440,prem_analysis!$AV$1+ROWS(prem_analysis!$AV$1:BD1)-1,COLUMNS(premier_league_details!$D$6:L6))</f>
        <v>31</v>
      </c>
      <c r="N6" s="22">
        <f>INDEX(prem_analysis!$AU$2:$BF$440,prem_analysis!$AV$1+ROWS(prem_analysis!$AV$1:BE1)-1,COLUMNS(premier_league_details!$D$6:M6))</f>
        <v>48</v>
      </c>
      <c r="O6" s="22">
        <f>INDEX(prem_analysis!$AU$2:$BF$440,prem_analysis!$AV$1+ROWS(prem_analysis!$AV$1:BF1)-1,COLUMNS(premier_league_details!$D$6:N6))</f>
        <v>80</v>
      </c>
      <c r="P6" s="22" t="str">
        <f>INDEX(prem_analysis!$AU$2:$BF$440,prem_analysis!$AV$1+ROWS(prem_analysis!$AV$1:BG1)-1,COLUMNS(premier_league_details!$D$6:O6))</f>
        <v>Champion</v>
      </c>
    </row>
    <row r="7" spans="2:23" x14ac:dyDescent="0.25">
      <c r="B7" s="22" t="str">
        <f>INDEX(prem_analysis!$AA$2:$AB$45,prem_analysis!$AB$1+ROWS(premier_league_details!$A$6:A7)-1,COLUMNS(premier_league_details!$A$6:A7))</f>
        <v>Tottenham Hotspur</v>
      </c>
      <c r="C7" s="22">
        <f>INDEX(prem_analysis!$AA$2:$AB$45,prem_analysis!$AB$1+ROWS(premier_league_details!$A$6:B7)-1,COLUMNS(premier_league_details!$A$6:B7))</f>
        <v>22</v>
      </c>
      <c r="E7" s="22">
        <f>INDEX(prem_analysis!$AU$2:$BF$440,prem_analysis!$AV$1+ROWS(prem_analysis!$AV$1:AV2)-1,COLUMNS(premier_league_details!$D$6:D7))</f>
        <v>2000</v>
      </c>
      <c r="F7" s="22">
        <f>INDEX(prem_analysis!$AU$2:$BF$440,prem_analysis!$AV$1+ROWS(prem_analysis!$AV$1:AW2)-1,COLUMNS(premier_league_details!$D$6:E7))</f>
        <v>2</v>
      </c>
      <c r="G7" s="22" t="str">
        <f>INDEX(prem_analysis!$AU$2:$BF$440,prem_analysis!$AV$1+ROWS(prem_analysis!$AV$1:AX2)-1,COLUMNS(premier_league_details!$D$6:F7))</f>
        <v>Arsenal</v>
      </c>
      <c r="H7" s="22">
        <f>INDEX(prem_analysis!$AU$2:$BF$440,prem_analysis!$AV$1+ROWS(prem_analysis!$AV$1:AY2)-1,COLUMNS(premier_league_details!$D$6:G7))</f>
        <v>38</v>
      </c>
      <c r="I7" s="22">
        <f>INDEX(prem_analysis!$AU$2:$BF$440,prem_analysis!$AV$1+ROWS(prem_analysis!$AV$1:AZ2)-1,COLUMNS(premier_league_details!$D$6:H7))</f>
        <v>20</v>
      </c>
      <c r="J7" s="22">
        <f>INDEX(prem_analysis!$AU$2:$BF$440,prem_analysis!$AV$1+ROWS(prem_analysis!$AV$1:BA2)-1,COLUMNS(premier_league_details!$D$6:I7))</f>
        <v>10</v>
      </c>
      <c r="K7" s="22">
        <f>INDEX(prem_analysis!$AU$2:$BF$440,prem_analysis!$AV$1+ROWS(prem_analysis!$AV$1:BB2)-1,COLUMNS(premier_league_details!$D$6:J7))</f>
        <v>8</v>
      </c>
      <c r="L7" s="22">
        <f>INDEX(prem_analysis!$AU$2:$BF$440,prem_analysis!$AV$1+ROWS(prem_analysis!$AV$1:BC2)-1,COLUMNS(premier_league_details!$D$6:K7))</f>
        <v>63</v>
      </c>
      <c r="M7" s="22">
        <f>INDEX(prem_analysis!$AU$2:$BF$440,prem_analysis!$AV$1+ROWS(prem_analysis!$AV$1:BD2)-1,COLUMNS(premier_league_details!$D$6:L7))</f>
        <v>38</v>
      </c>
      <c r="N7" s="22">
        <f>INDEX(prem_analysis!$AU$2:$BF$440,prem_analysis!$AV$1+ROWS(prem_analysis!$AV$1:BE2)-1,COLUMNS(premier_league_details!$D$6:M7))</f>
        <v>25</v>
      </c>
      <c r="O7" s="22">
        <f>INDEX(prem_analysis!$AU$2:$BF$440,prem_analysis!$AV$1+ROWS(prem_analysis!$AV$1:BF2)-1,COLUMNS(premier_league_details!$D$6:N7))</f>
        <v>70</v>
      </c>
      <c r="P7" s="22">
        <f>INDEX(prem_analysis!$AU$2:$BF$440,prem_analysis!$AV$1+ROWS(prem_analysis!$AV$1:BG2)-1,COLUMNS(premier_league_details!$D$6:O7))</f>
        <v>2</v>
      </c>
    </row>
    <row r="8" spans="2:23" x14ac:dyDescent="0.25">
      <c r="B8" s="22" t="str">
        <f>INDEX(prem_analysis!$AA$2:$AB$45,prem_analysis!$AB$1+ROWS(premier_league_details!$A$6:A8)-1,COLUMNS(premier_league_details!$A$6:A8))</f>
        <v>Chelsea</v>
      </c>
      <c r="C8" s="22">
        <f>INDEX(prem_analysis!$AA$2:$AB$45,prem_analysis!$AB$1+ROWS(premier_league_details!$A$6:B8)-1,COLUMNS(premier_league_details!$A$6:B8))</f>
        <v>22</v>
      </c>
      <c r="E8" s="22">
        <f>INDEX(prem_analysis!$AU$2:$BF$440,prem_analysis!$AV$1+ROWS(prem_analysis!$AV$1:AV3)-1,COLUMNS(premier_league_details!$D$6:D8))</f>
        <v>2000</v>
      </c>
      <c r="F8" s="22">
        <f>INDEX(prem_analysis!$AU$2:$BF$440,prem_analysis!$AV$1+ROWS(prem_analysis!$AV$1:AW3)-1,COLUMNS(premier_league_details!$D$6:E8))</f>
        <v>3</v>
      </c>
      <c r="G8" s="22" t="str">
        <f>INDEX(prem_analysis!$AU$2:$BF$440,prem_analysis!$AV$1+ROWS(prem_analysis!$AV$1:AX3)-1,COLUMNS(premier_league_details!$D$6:F8))</f>
        <v>Liverpool</v>
      </c>
      <c r="H8" s="22">
        <f>INDEX(prem_analysis!$AU$2:$BF$440,prem_analysis!$AV$1+ROWS(prem_analysis!$AV$1:AY3)-1,COLUMNS(premier_league_details!$D$6:G8))</f>
        <v>38</v>
      </c>
      <c r="I8" s="22">
        <f>INDEX(prem_analysis!$AU$2:$BF$440,prem_analysis!$AV$1+ROWS(prem_analysis!$AV$1:AZ3)-1,COLUMNS(premier_league_details!$D$6:H8))</f>
        <v>20</v>
      </c>
      <c r="J8" s="22">
        <f>INDEX(prem_analysis!$AU$2:$BF$440,prem_analysis!$AV$1+ROWS(prem_analysis!$AV$1:BA3)-1,COLUMNS(premier_league_details!$D$6:I8))</f>
        <v>9</v>
      </c>
      <c r="K8" s="22">
        <f>INDEX(prem_analysis!$AU$2:$BF$440,prem_analysis!$AV$1+ROWS(prem_analysis!$AV$1:BB3)-1,COLUMNS(premier_league_details!$D$6:J8))</f>
        <v>9</v>
      </c>
      <c r="L8" s="22">
        <f>INDEX(prem_analysis!$AU$2:$BF$440,prem_analysis!$AV$1+ROWS(prem_analysis!$AV$1:BC3)-1,COLUMNS(premier_league_details!$D$6:K8))</f>
        <v>71</v>
      </c>
      <c r="M8" s="22">
        <f>INDEX(prem_analysis!$AU$2:$BF$440,prem_analysis!$AV$1+ROWS(prem_analysis!$AV$1:BD3)-1,COLUMNS(premier_league_details!$D$6:L8))</f>
        <v>39</v>
      </c>
      <c r="N8" s="22">
        <f>INDEX(prem_analysis!$AU$2:$BF$440,prem_analysis!$AV$1+ROWS(prem_analysis!$AV$1:BE3)-1,COLUMNS(premier_league_details!$D$6:M8))</f>
        <v>32</v>
      </c>
      <c r="O8" s="22">
        <f>INDEX(prem_analysis!$AU$2:$BF$440,prem_analysis!$AV$1+ROWS(prem_analysis!$AV$1:BF3)-1,COLUMNS(premier_league_details!$D$6:N8))</f>
        <v>69</v>
      </c>
      <c r="P8" s="22">
        <f>INDEX(prem_analysis!$AU$2:$BF$440,prem_analysis!$AV$1+ROWS(prem_analysis!$AV$1:BG3)-1,COLUMNS(premier_league_details!$D$6:O8))</f>
        <v>3</v>
      </c>
    </row>
    <row r="9" spans="2:23" x14ac:dyDescent="0.25">
      <c r="B9" s="22" t="str">
        <f>INDEX(prem_analysis!$AA$2:$AB$45,prem_analysis!$AB$1+ROWS(premier_league_details!$A$6:A9)-1,COLUMNS(premier_league_details!$A$6:A9))</f>
        <v>Liverpool</v>
      </c>
      <c r="C9" s="22">
        <f>INDEX(prem_analysis!$AA$2:$AB$45,prem_analysis!$AB$1+ROWS(premier_league_details!$A$6:B9)-1,COLUMNS(premier_league_details!$A$6:B9))</f>
        <v>22</v>
      </c>
      <c r="E9" s="22">
        <f>INDEX(prem_analysis!$AU$2:$BF$440,prem_analysis!$AV$1+ROWS(prem_analysis!$AV$1:AV4)-1,COLUMNS(premier_league_details!$D$6:D9))</f>
        <v>2000</v>
      </c>
      <c r="F9" s="22">
        <f>INDEX(prem_analysis!$AU$2:$BF$440,prem_analysis!$AV$1+ROWS(prem_analysis!$AV$1:AW4)-1,COLUMNS(premier_league_details!$D$6:E9))</f>
        <v>4</v>
      </c>
      <c r="G9" s="22" t="str">
        <f>INDEX(prem_analysis!$AU$2:$BF$440,prem_analysis!$AV$1+ROWS(prem_analysis!$AV$1:AX4)-1,COLUMNS(premier_league_details!$D$6:F9))</f>
        <v>Leeds United</v>
      </c>
      <c r="H9" s="22">
        <f>INDEX(prem_analysis!$AU$2:$BF$440,prem_analysis!$AV$1+ROWS(prem_analysis!$AV$1:AY4)-1,COLUMNS(premier_league_details!$D$6:G9))</f>
        <v>38</v>
      </c>
      <c r="I9" s="22">
        <f>INDEX(prem_analysis!$AU$2:$BF$440,prem_analysis!$AV$1+ROWS(prem_analysis!$AV$1:AZ4)-1,COLUMNS(premier_league_details!$D$6:H9))</f>
        <v>20</v>
      </c>
      <c r="J9" s="22">
        <f>INDEX(prem_analysis!$AU$2:$BF$440,prem_analysis!$AV$1+ROWS(prem_analysis!$AV$1:BA4)-1,COLUMNS(premier_league_details!$D$6:I9))</f>
        <v>8</v>
      </c>
      <c r="K9" s="22">
        <f>INDEX(prem_analysis!$AU$2:$BF$440,prem_analysis!$AV$1+ROWS(prem_analysis!$AV$1:BB4)-1,COLUMNS(premier_league_details!$D$6:J9))</f>
        <v>10</v>
      </c>
      <c r="L9" s="22">
        <f>INDEX(prem_analysis!$AU$2:$BF$440,prem_analysis!$AV$1+ROWS(prem_analysis!$AV$1:BC4)-1,COLUMNS(premier_league_details!$D$6:K9))</f>
        <v>64</v>
      </c>
      <c r="M9" s="22">
        <f>INDEX(prem_analysis!$AU$2:$BF$440,prem_analysis!$AV$1+ROWS(prem_analysis!$AV$1:BD4)-1,COLUMNS(premier_league_details!$D$6:L9))</f>
        <v>43</v>
      </c>
      <c r="N9" s="22">
        <f>INDEX(prem_analysis!$AU$2:$BF$440,prem_analysis!$AV$1+ROWS(prem_analysis!$AV$1:BE4)-1,COLUMNS(premier_league_details!$D$6:M9))</f>
        <v>21</v>
      </c>
      <c r="O9" s="22">
        <f>INDEX(prem_analysis!$AU$2:$BF$440,prem_analysis!$AV$1+ROWS(prem_analysis!$AV$1:BF4)-1,COLUMNS(premier_league_details!$D$6:N9))</f>
        <v>68</v>
      </c>
      <c r="P9" s="22">
        <f>INDEX(prem_analysis!$AU$2:$BF$440,prem_analysis!$AV$1+ROWS(prem_analysis!$AV$1:BG4)-1,COLUMNS(premier_league_details!$D$6:O9))</f>
        <v>4</v>
      </c>
    </row>
    <row r="10" spans="2:23" x14ac:dyDescent="0.25">
      <c r="B10" s="22" t="str">
        <f>INDEX(prem_analysis!$AA$2:$AB$45,prem_analysis!$AB$1+ROWS(premier_league_details!$A$6:A10)-1,COLUMNS(premier_league_details!$A$6:A10))</f>
        <v>Arsenal</v>
      </c>
      <c r="C10" s="22">
        <f>INDEX(prem_analysis!$AA$2:$AB$45,prem_analysis!$AB$1+ROWS(premier_league_details!$A$6:B10)-1,COLUMNS(premier_league_details!$A$6:B10))</f>
        <v>22</v>
      </c>
      <c r="E10" s="22">
        <f>INDEX(prem_analysis!$AU$2:$BF$440,prem_analysis!$AV$1+ROWS(prem_analysis!$AV$1:AV5)-1,COLUMNS(premier_league_details!$D$6:D10))</f>
        <v>2000</v>
      </c>
      <c r="F10" s="22">
        <f>INDEX(prem_analysis!$AU$2:$BF$440,prem_analysis!$AV$1+ROWS(prem_analysis!$AV$1:AW5)-1,COLUMNS(premier_league_details!$D$6:E10))</f>
        <v>5</v>
      </c>
      <c r="G10" s="22" t="str">
        <f>INDEX(prem_analysis!$AU$2:$BF$440,prem_analysis!$AV$1+ROWS(prem_analysis!$AV$1:AX5)-1,COLUMNS(premier_league_details!$D$6:F10))</f>
        <v>Ipswich Town</v>
      </c>
      <c r="H10" s="22">
        <f>INDEX(prem_analysis!$AU$2:$BF$440,prem_analysis!$AV$1+ROWS(prem_analysis!$AV$1:AY5)-1,COLUMNS(premier_league_details!$D$6:G10))</f>
        <v>38</v>
      </c>
      <c r="I10" s="22">
        <f>INDEX(prem_analysis!$AU$2:$BF$440,prem_analysis!$AV$1+ROWS(prem_analysis!$AV$1:AZ5)-1,COLUMNS(premier_league_details!$D$6:H10))</f>
        <v>20</v>
      </c>
      <c r="J10" s="22">
        <f>INDEX(prem_analysis!$AU$2:$BF$440,prem_analysis!$AV$1+ROWS(prem_analysis!$AV$1:BA5)-1,COLUMNS(premier_league_details!$D$6:I10))</f>
        <v>6</v>
      </c>
      <c r="K10" s="22">
        <f>INDEX(prem_analysis!$AU$2:$BF$440,prem_analysis!$AV$1+ROWS(prem_analysis!$AV$1:BB5)-1,COLUMNS(premier_league_details!$D$6:J10))</f>
        <v>12</v>
      </c>
      <c r="L10" s="22">
        <f>INDEX(prem_analysis!$AU$2:$BF$440,prem_analysis!$AV$1+ROWS(prem_analysis!$AV$1:BC5)-1,COLUMNS(premier_league_details!$D$6:K10))</f>
        <v>57</v>
      </c>
      <c r="M10" s="22">
        <f>INDEX(prem_analysis!$AU$2:$BF$440,prem_analysis!$AV$1+ROWS(prem_analysis!$AV$1:BD5)-1,COLUMNS(premier_league_details!$D$6:L10))</f>
        <v>42</v>
      </c>
      <c r="N10" s="22">
        <f>INDEX(prem_analysis!$AU$2:$BF$440,prem_analysis!$AV$1+ROWS(prem_analysis!$AV$1:BE5)-1,COLUMNS(premier_league_details!$D$6:M10))</f>
        <v>15</v>
      </c>
      <c r="O10" s="22">
        <f>INDEX(prem_analysis!$AU$2:$BF$440,prem_analysis!$AV$1+ROWS(prem_analysis!$AV$1:BF5)-1,COLUMNS(premier_league_details!$D$6:N10))</f>
        <v>66</v>
      </c>
      <c r="P10" s="22">
        <f>INDEX(prem_analysis!$AU$2:$BF$440,prem_analysis!$AV$1+ROWS(prem_analysis!$AV$1:BG5)-1,COLUMNS(premier_league_details!$D$6:O10))</f>
        <v>5</v>
      </c>
    </row>
    <row r="11" spans="2:23" x14ac:dyDescent="0.25">
      <c r="B11" s="22" t="str">
        <f>INDEX(prem_analysis!$AA$2:$AB$45,prem_analysis!$AB$1+ROWS(premier_league_details!$A$6:A11)-1,COLUMNS(premier_league_details!$A$6:A11))</f>
        <v>Manchester United</v>
      </c>
      <c r="C11" s="22">
        <f>INDEX(prem_analysis!$AA$2:$AB$45,prem_analysis!$AB$1+ROWS(premier_league_details!$A$6:B11)-1,COLUMNS(premier_league_details!$A$6:B11))</f>
        <v>22</v>
      </c>
      <c r="E11" s="22">
        <f>INDEX(prem_analysis!$AU$2:$BF$440,prem_analysis!$AV$1+ROWS(prem_analysis!$AV$1:AV6)-1,COLUMNS(premier_league_details!$D$6:D11))</f>
        <v>2000</v>
      </c>
      <c r="F11" s="22">
        <f>INDEX(prem_analysis!$AU$2:$BF$440,prem_analysis!$AV$1+ROWS(prem_analysis!$AV$1:AW6)-1,COLUMNS(premier_league_details!$D$6:E11))</f>
        <v>6</v>
      </c>
      <c r="G11" s="22" t="str">
        <f>INDEX(prem_analysis!$AU$2:$BF$440,prem_analysis!$AV$1+ROWS(prem_analysis!$AV$1:AX6)-1,COLUMNS(premier_league_details!$D$6:F11))</f>
        <v>Chelsea</v>
      </c>
      <c r="H11" s="22">
        <f>INDEX(prem_analysis!$AU$2:$BF$440,prem_analysis!$AV$1+ROWS(prem_analysis!$AV$1:AY6)-1,COLUMNS(premier_league_details!$D$6:G11))</f>
        <v>38</v>
      </c>
      <c r="I11" s="22">
        <f>INDEX(prem_analysis!$AU$2:$BF$440,prem_analysis!$AV$1+ROWS(prem_analysis!$AV$1:AZ6)-1,COLUMNS(premier_league_details!$D$6:H11))</f>
        <v>17</v>
      </c>
      <c r="J11" s="22">
        <f>INDEX(prem_analysis!$AU$2:$BF$440,prem_analysis!$AV$1+ROWS(prem_analysis!$AV$1:BA6)-1,COLUMNS(premier_league_details!$D$6:I11))</f>
        <v>10</v>
      </c>
      <c r="K11" s="22">
        <f>INDEX(prem_analysis!$AU$2:$BF$440,prem_analysis!$AV$1+ROWS(prem_analysis!$AV$1:BB6)-1,COLUMNS(premier_league_details!$D$6:J11))</f>
        <v>11</v>
      </c>
      <c r="L11" s="22">
        <f>INDEX(prem_analysis!$AU$2:$BF$440,prem_analysis!$AV$1+ROWS(prem_analysis!$AV$1:BC6)-1,COLUMNS(premier_league_details!$D$6:K11))</f>
        <v>68</v>
      </c>
      <c r="M11" s="22">
        <f>INDEX(prem_analysis!$AU$2:$BF$440,prem_analysis!$AV$1+ROWS(prem_analysis!$AV$1:BD6)-1,COLUMNS(premier_league_details!$D$6:L11))</f>
        <v>45</v>
      </c>
      <c r="N11" s="22">
        <f>INDEX(prem_analysis!$AU$2:$BF$440,prem_analysis!$AV$1+ROWS(prem_analysis!$AV$1:BE6)-1,COLUMNS(premier_league_details!$D$6:M11))</f>
        <v>23</v>
      </c>
      <c r="O11" s="22">
        <f>INDEX(prem_analysis!$AU$2:$BF$440,prem_analysis!$AV$1+ROWS(prem_analysis!$AV$1:BF6)-1,COLUMNS(premier_league_details!$D$6:N11))</f>
        <v>61</v>
      </c>
      <c r="P11" s="22">
        <f>INDEX(prem_analysis!$AU$2:$BF$440,prem_analysis!$AV$1+ROWS(prem_analysis!$AV$1:BG6)-1,COLUMNS(premier_league_details!$D$6:O11))</f>
        <v>6</v>
      </c>
    </row>
    <row r="12" spans="2:23" x14ac:dyDescent="0.25">
      <c r="B12" s="22" t="str">
        <f>INDEX(prem_analysis!$AA$2:$AB$45,prem_analysis!$AB$1+ROWS(premier_league_details!$A$6:A12)-1,COLUMNS(premier_league_details!$A$6:A12))</f>
        <v>Manchester City</v>
      </c>
      <c r="C12" s="22">
        <f>INDEX(prem_analysis!$AA$2:$AB$45,prem_analysis!$AB$1+ROWS(premier_league_details!$A$6:B12)-1,COLUMNS(premier_league_details!$A$6:B12))</f>
        <v>21</v>
      </c>
      <c r="E12" s="22">
        <f>INDEX(prem_analysis!$AU$2:$BF$440,prem_analysis!$AV$1+ROWS(prem_analysis!$AV$1:AV7)-1,COLUMNS(premier_league_details!$D$6:D12))</f>
        <v>2000</v>
      </c>
      <c r="F12" s="22">
        <f>INDEX(prem_analysis!$AU$2:$BF$440,prem_analysis!$AV$1+ROWS(prem_analysis!$AV$1:AW7)-1,COLUMNS(premier_league_details!$D$6:E12))</f>
        <v>7</v>
      </c>
      <c r="G12" s="22" t="str">
        <f>INDEX(prem_analysis!$AU$2:$BF$440,prem_analysis!$AV$1+ROWS(prem_analysis!$AV$1:AX7)-1,COLUMNS(premier_league_details!$D$6:F12))</f>
        <v>Sunderland</v>
      </c>
      <c r="H12" s="22">
        <f>INDEX(prem_analysis!$AU$2:$BF$440,prem_analysis!$AV$1+ROWS(prem_analysis!$AV$1:AY7)-1,COLUMNS(premier_league_details!$D$6:G12))</f>
        <v>38</v>
      </c>
      <c r="I12" s="22">
        <f>INDEX(prem_analysis!$AU$2:$BF$440,prem_analysis!$AV$1+ROWS(prem_analysis!$AV$1:AZ7)-1,COLUMNS(premier_league_details!$D$6:H12))</f>
        <v>15</v>
      </c>
      <c r="J12" s="22">
        <f>INDEX(prem_analysis!$AU$2:$BF$440,prem_analysis!$AV$1+ROWS(prem_analysis!$AV$1:BA7)-1,COLUMNS(premier_league_details!$D$6:I12))</f>
        <v>12</v>
      </c>
      <c r="K12" s="22">
        <f>INDEX(prem_analysis!$AU$2:$BF$440,prem_analysis!$AV$1+ROWS(prem_analysis!$AV$1:BB7)-1,COLUMNS(premier_league_details!$D$6:J12))</f>
        <v>11</v>
      </c>
      <c r="L12" s="22">
        <f>INDEX(prem_analysis!$AU$2:$BF$440,prem_analysis!$AV$1+ROWS(prem_analysis!$AV$1:BC7)-1,COLUMNS(premier_league_details!$D$6:K12))</f>
        <v>46</v>
      </c>
      <c r="M12" s="22">
        <f>INDEX(prem_analysis!$AU$2:$BF$440,prem_analysis!$AV$1+ROWS(prem_analysis!$AV$1:BD7)-1,COLUMNS(premier_league_details!$D$6:L12))</f>
        <v>41</v>
      </c>
      <c r="N12" s="22">
        <f>INDEX(prem_analysis!$AU$2:$BF$440,prem_analysis!$AV$1+ROWS(prem_analysis!$AV$1:BE7)-1,COLUMNS(premier_league_details!$D$6:M12))</f>
        <v>5</v>
      </c>
      <c r="O12" s="22">
        <f>INDEX(prem_analysis!$AU$2:$BF$440,prem_analysis!$AV$1+ROWS(prem_analysis!$AV$1:BF7)-1,COLUMNS(premier_league_details!$D$6:N12))</f>
        <v>57</v>
      </c>
      <c r="P12" s="22">
        <f>INDEX(prem_analysis!$AU$2:$BF$440,prem_analysis!$AV$1+ROWS(prem_analysis!$AV$1:BG7)-1,COLUMNS(premier_league_details!$D$6:O12))</f>
        <v>7</v>
      </c>
    </row>
    <row r="13" spans="2:23" x14ac:dyDescent="0.25">
      <c r="B13" s="22" t="str">
        <f>INDEX(prem_analysis!$AA$2:$AB$45,prem_analysis!$AB$1+ROWS(premier_league_details!$A$6:A13)-1,COLUMNS(premier_league_details!$A$6:A13))</f>
        <v>Newcastle United</v>
      </c>
      <c r="C13" s="22">
        <f>INDEX(prem_analysis!$AA$2:$AB$45,prem_analysis!$AB$1+ROWS(premier_league_details!$A$6:B13)-1,COLUMNS(premier_league_details!$A$6:B13))</f>
        <v>20</v>
      </c>
      <c r="E13" s="22">
        <f>INDEX(prem_analysis!$AU$2:$BF$440,prem_analysis!$AV$1+ROWS(prem_analysis!$AV$1:AV8)-1,COLUMNS(premier_league_details!$D$6:D13))</f>
        <v>2000</v>
      </c>
      <c r="F13" s="22">
        <f>INDEX(prem_analysis!$AU$2:$BF$440,prem_analysis!$AV$1+ROWS(prem_analysis!$AV$1:AW8)-1,COLUMNS(premier_league_details!$D$6:E13))</f>
        <v>8</v>
      </c>
      <c r="G13" s="22" t="str">
        <f>INDEX(prem_analysis!$AU$2:$BF$440,prem_analysis!$AV$1+ROWS(prem_analysis!$AV$1:AX8)-1,COLUMNS(premier_league_details!$D$6:F13))</f>
        <v>Aston Villa</v>
      </c>
      <c r="H13" s="22">
        <f>INDEX(prem_analysis!$AU$2:$BF$440,prem_analysis!$AV$1+ROWS(prem_analysis!$AV$1:AY8)-1,COLUMNS(premier_league_details!$D$6:G13))</f>
        <v>38</v>
      </c>
      <c r="I13" s="22">
        <f>INDEX(prem_analysis!$AU$2:$BF$440,prem_analysis!$AV$1+ROWS(prem_analysis!$AV$1:AZ8)-1,COLUMNS(premier_league_details!$D$6:H13))</f>
        <v>13</v>
      </c>
      <c r="J13" s="22">
        <f>INDEX(prem_analysis!$AU$2:$BF$440,prem_analysis!$AV$1+ROWS(prem_analysis!$AV$1:BA8)-1,COLUMNS(premier_league_details!$D$6:I13))</f>
        <v>15</v>
      </c>
      <c r="K13" s="22">
        <f>INDEX(prem_analysis!$AU$2:$BF$440,prem_analysis!$AV$1+ROWS(prem_analysis!$AV$1:BB8)-1,COLUMNS(premier_league_details!$D$6:J13))</f>
        <v>10</v>
      </c>
      <c r="L13" s="22">
        <f>INDEX(prem_analysis!$AU$2:$BF$440,prem_analysis!$AV$1+ROWS(prem_analysis!$AV$1:BC8)-1,COLUMNS(premier_league_details!$D$6:K13))</f>
        <v>46</v>
      </c>
      <c r="M13" s="22">
        <f>INDEX(prem_analysis!$AU$2:$BF$440,prem_analysis!$AV$1+ROWS(prem_analysis!$AV$1:BD8)-1,COLUMNS(premier_league_details!$D$6:L13))</f>
        <v>43</v>
      </c>
      <c r="N13" s="22">
        <f>INDEX(prem_analysis!$AU$2:$BF$440,prem_analysis!$AV$1+ROWS(prem_analysis!$AV$1:BE8)-1,COLUMNS(premier_league_details!$D$6:M13))</f>
        <v>3</v>
      </c>
      <c r="O13" s="22">
        <f>INDEX(prem_analysis!$AU$2:$BF$440,prem_analysis!$AV$1+ROWS(prem_analysis!$AV$1:BF8)-1,COLUMNS(premier_league_details!$D$6:N13))</f>
        <v>54</v>
      </c>
      <c r="P13" s="22">
        <f>INDEX(prem_analysis!$AU$2:$BF$440,prem_analysis!$AV$1+ROWS(prem_analysis!$AV$1:BG8)-1,COLUMNS(premier_league_details!$D$6:O13))</f>
        <v>8</v>
      </c>
    </row>
    <row r="14" spans="2:23" x14ac:dyDescent="0.25">
      <c r="B14" s="22" t="str">
        <f>INDEX(prem_analysis!$AA$2:$AB$45,prem_analysis!$AB$1+ROWS(premier_league_details!$A$6:A14)-1,COLUMNS(premier_league_details!$A$6:A14))</f>
        <v>West Ham United</v>
      </c>
      <c r="C14" s="22">
        <f>INDEX(prem_analysis!$AA$2:$AB$45,prem_analysis!$AB$1+ROWS(premier_league_details!$A$6:B14)-1,COLUMNS(premier_league_details!$A$6:B14))</f>
        <v>19</v>
      </c>
      <c r="E14" s="22">
        <f>INDEX(prem_analysis!$AU$2:$BF$440,prem_analysis!$AV$1+ROWS(prem_analysis!$AV$1:AV9)-1,COLUMNS(premier_league_details!$D$6:D14))</f>
        <v>2000</v>
      </c>
      <c r="F14" s="22">
        <f>INDEX(prem_analysis!$AU$2:$BF$440,prem_analysis!$AV$1+ROWS(prem_analysis!$AV$1:AW9)-1,COLUMNS(premier_league_details!$D$6:E14))</f>
        <v>9</v>
      </c>
      <c r="G14" s="22" t="str">
        <f>INDEX(prem_analysis!$AU$2:$BF$440,prem_analysis!$AV$1+ROWS(prem_analysis!$AV$1:AX9)-1,COLUMNS(premier_league_details!$D$6:F14))</f>
        <v>Charlton Athletic</v>
      </c>
      <c r="H14" s="22">
        <f>INDEX(prem_analysis!$AU$2:$BF$440,prem_analysis!$AV$1+ROWS(prem_analysis!$AV$1:AY9)-1,COLUMNS(premier_league_details!$D$6:G14))</f>
        <v>38</v>
      </c>
      <c r="I14" s="22">
        <f>INDEX(prem_analysis!$AU$2:$BF$440,prem_analysis!$AV$1+ROWS(prem_analysis!$AV$1:AZ9)-1,COLUMNS(premier_league_details!$D$6:H14))</f>
        <v>14</v>
      </c>
      <c r="J14" s="22">
        <f>INDEX(prem_analysis!$AU$2:$BF$440,prem_analysis!$AV$1+ROWS(prem_analysis!$AV$1:BA9)-1,COLUMNS(premier_league_details!$D$6:I14))</f>
        <v>10</v>
      </c>
      <c r="K14" s="22">
        <f>INDEX(prem_analysis!$AU$2:$BF$440,prem_analysis!$AV$1+ROWS(prem_analysis!$AV$1:BB9)-1,COLUMNS(premier_league_details!$D$6:J14))</f>
        <v>14</v>
      </c>
      <c r="L14" s="22">
        <f>INDEX(prem_analysis!$AU$2:$BF$440,prem_analysis!$AV$1+ROWS(prem_analysis!$AV$1:BC9)-1,COLUMNS(premier_league_details!$D$6:K14))</f>
        <v>50</v>
      </c>
      <c r="M14" s="22">
        <f>INDEX(prem_analysis!$AU$2:$BF$440,prem_analysis!$AV$1+ROWS(prem_analysis!$AV$1:BD9)-1,COLUMNS(premier_league_details!$D$6:L14))</f>
        <v>57</v>
      </c>
      <c r="N14" s="22">
        <f>INDEX(prem_analysis!$AU$2:$BF$440,prem_analysis!$AV$1+ROWS(prem_analysis!$AV$1:BE9)-1,COLUMNS(premier_league_details!$D$6:M14))</f>
        <v>-7</v>
      </c>
      <c r="O14" s="22">
        <f>INDEX(prem_analysis!$AU$2:$BF$440,prem_analysis!$AV$1+ROWS(prem_analysis!$AV$1:BF9)-1,COLUMNS(premier_league_details!$D$6:N14))</f>
        <v>52</v>
      </c>
      <c r="P14" s="22">
        <f>INDEX(prem_analysis!$AU$2:$BF$440,prem_analysis!$AV$1+ROWS(prem_analysis!$AV$1:BG9)-1,COLUMNS(premier_league_details!$D$6:O14))</f>
        <v>9</v>
      </c>
    </row>
    <row r="15" spans="2:23" x14ac:dyDescent="0.25">
      <c r="B15" s="22" t="str">
        <f>INDEX(prem_analysis!$AA$2:$AB$45,prem_analysis!$AB$1+ROWS(premier_league_details!$A$6:A15)-1,COLUMNS(premier_league_details!$A$6:A15))</f>
        <v>Aston Villa</v>
      </c>
      <c r="C15" s="22">
        <f>INDEX(prem_analysis!$AA$2:$AB$45,prem_analysis!$AB$1+ROWS(premier_league_details!$A$6:B15)-1,COLUMNS(premier_league_details!$A$6:B15))</f>
        <v>19</v>
      </c>
      <c r="E15" s="22">
        <f>INDEX(prem_analysis!$AU$2:$BF$440,prem_analysis!$AV$1+ROWS(prem_analysis!$AV$1:AV10)-1,COLUMNS(premier_league_details!$D$6:D15))</f>
        <v>2000</v>
      </c>
      <c r="F15" s="22">
        <f>INDEX(prem_analysis!$AU$2:$BF$440,prem_analysis!$AV$1+ROWS(prem_analysis!$AV$1:AW10)-1,COLUMNS(premier_league_details!$D$6:E15))</f>
        <v>10</v>
      </c>
      <c r="G15" s="22" t="str">
        <f>INDEX(prem_analysis!$AU$2:$BF$440,prem_analysis!$AV$1+ROWS(prem_analysis!$AV$1:AX10)-1,COLUMNS(premier_league_details!$D$6:F15))</f>
        <v>Southampton</v>
      </c>
      <c r="H15" s="22">
        <f>INDEX(prem_analysis!$AU$2:$BF$440,prem_analysis!$AV$1+ROWS(prem_analysis!$AV$1:AY10)-1,COLUMNS(premier_league_details!$D$6:G15))</f>
        <v>38</v>
      </c>
      <c r="I15" s="22">
        <f>INDEX(prem_analysis!$AU$2:$BF$440,prem_analysis!$AV$1+ROWS(prem_analysis!$AV$1:AZ10)-1,COLUMNS(premier_league_details!$D$6:H15))</f>
        <v>14</v>
      </c>
      <c r="J15" s="22">
        <f>INDEX(prem_analysis!$AU$2:$BF$440,prem_analysis!$AV$1+ROWS(prem_analysis!$AV$1:BA10)-1,COLUMNS(premier_league_details!$D$6:I15))</f>
        <v>10</v>
      </c>
      <c r="K15" s="22">
        <f>INDEX(prem_analysis!$AU$2:$BF$440,prem_analysis!$AV$1+ROWS(prem_analysis!$AV$1:BB10)-1,COLUMNS(premier_league_details!$D$6:J15))</f>
        <v>14</v>
      </c>
      <c r="L15" s="22">
        <f>INDEX(prem_analysis!$AU$2:$BF$440,prem_analysis!$AV$1+ROWS(prem_analysis!$AV$1:BC10)-1,COLUMNS(premier_league_details!$D$6:K15))</f>
        <v>40</v>
      </c>
      <c r="M15" s="22">
        <f>INDEX(prem_analysis!$AU$2:$BF$440,prem_analysis!$AV$1+ROWS(prem_analysis!$AV$1:BD10)-1,COLUMNS(premier_league_details!$D$6:L15))</f>
        <v>48</v>
      </c>
      <c r="N15" s="22">
        <f>INDEX(prem_analysis!$AU$2:$BF$440,prem_analysis!$AV$1+ROWS(prem_analysis!$AV$1:BE10)-1,COLUMNS(premier_league_details!$D$6:M15))</f>
        <v>-8</v>
      </c>
      <c r="O15" s="22">
        <f>INDEX(prem_analysis!$AU$2:$BF$440,prem_analysis!$AV$1+ROWS(prem_analysis!$AV$1:BF10)-1,COLUMNS(premier_league_details!$D$6:N15))</f>
        <v>52</v>
      </c>
      <c r="P15" s="22">
        <f>INDEX(prem_analysis!$AU$2:$BF$440,prem_analysis!$AV$1+ROWS(prem_analysis!$AV$1:BG10)-1,COLUMNS(premier_league_details!$D$6:O15))</f>
        <v>10</v>
      </c>
    </row>
    <row r="16" spans="2:23" x14ac:dyDescent="0.25">
      <c r="B16" s="22" t="str">
        <f>INDEX(prem_analysis!$AA$2:$AB$45,prem_analysis!$AB$1+ROWS(premier_league_details!$A$6:A16)-1,COLUMNS(premier_league_details!$A$6:A16))</f>
        <v>Fulham</v>
      </c>
      <c r="C16" s="22">
        <f>INDEX(prem_analysis!$AA$2:$AB$45,prem_analysis!$AB$1+ROWS(premier_league_details!$A$6:B16)-1,COLUMNS(premier_league_details!$A$6:B16))</f>
        <v>15</v>
      </c>
      <c r="E16" s="22">
        <f>INDEX(prem_analysis!$AU$2:$BF$440,prem_analysis!$AV$1+ROWS(prem_analysis!$AV$1:AV11)-1,COLUMNS(premier_league_details!$D$6:D16))</f>
        <v>2000</v>
      </c>
      <c r="F16" s="22">
        <f>INDEX(prem_analysis!$AU$2:$BF$440,prem_analysis!$AV$1+ROWS(prem_analysis!$AV$1:AW11)-1,COLUMNS(premier_league_details!$D$6:E16))</f>
        <v>11</v>
      </c>
      <c r="G16" s="22" t="str">
        <f>INDEX(prem_analysis!$AU$2:$BF$440,prem_analysis!$AV$1+ROWS(prem_analysis!$AV$1:AX11)-1,COLUMNS(premier_league_details!$D$6:F16))</f>
        <v>Newcastle United</v>
      </c>
      <c r="H16" s="22">
        <f>INDEX(prem_analysis!$AU$2:$BF$440,prem_analysis!$AV$1+ROWS(prem_analysis!$AV$1:AY11)-1,COLUMNS(premier_league_details!$D$6:G16))</f>
        <v>38</v>
      </c>
      <c r="I16" s="22">
        <f>INDEX(prem_analysis!$AU$2:$BF$440,prem_analysis!$AV$1+ROWS(prem_analysis!$AV$1:AZ11)-1,COLUMNS(premier_league_details!$D$6:H16))</f>
        <v>14</v>
      </c>
      <c r="J16" s="22">
        <f>INDEX(prem_analysis!$AU$2:$BF$440,prem_analysis!$AV$1+ROWS(prem_analysis!$AV$1:BA11)-1,COLUMNS(premier_league_details!$D$6:I16))</f>
        <v>9</v>
      </c>
      <c r="K16" s="22">
        <f>INDEX(prem_analysis!$AU$2:$BF$440,prem_analysis!$AV$1+ROWS(prem_analysis!$AV$1:BB11)-1,COLUMNS(premier_league_details!$D$6:J16))</f>
        <v>15</v>
      </c>
      <c r="L16" s="22">
        <f>INDEX(prem_analysis!$AU$2:$BF$440,prem_analysis!$AV$1+ROWS(prem_analysis!$AV$1:BC11)-1,COLUMNS(premier_league_details!$D$6:K16))</f>
        <v>44</v>
      </c>
      <c r="M16" s="22">
        <f>INDEX(prem_analysis!$AU$2:$BF$440,prem_analysis!$AV$1+ROWS(prem_analysis!$AV$1:BD11)-1,COLUMNS(premier_league_details!$D$6:L16))</f>
        <v>50</v>
      </c>
      <c r="N16" s="22">
        <f>INDEX(prem_analysis!$AU$2:$BF$440,prem_analysis!$AV$1+ROWS(prem_analysis!$AV$1:BE11)-1,COLUMNS(premier_league_details!$D$6:M16))</f>
        <v>-6</v>
      </c>
      <c r="O16" s="22">
        <f>INDEX(prem_analysis!$AU$2:$BF$440,prem_analysis!$AV$1+ROWS(prem_analysis!$AV$1:BF11)-1,COLUMNS(premier_league_details!$D$6:N16))</f>
        <v>51</v>
      </c>
      <c r="P16" s="22">
        <f>INDEX(prem_analysis!$AU$2:$BF$440,prem_analysis!$AV$1+ROWS(prem_analysis!$AV$1:BG11)-1,COLUMNS(premier_league_details!$D$6:O16))</f>
        <v>11</v>
      </c>
    </row>
    <row r="17" spans="2:16" x14ac:dyDescent="0.25">
      <c r="B17" s="22" t="str">
        <f>INDEX(prem_analysis!$AA$2:$AB$45,prem_analysis!$AB$1+ROWS(premier_league_details!$A$6:A17)-1,COLUMNS(premier_league_details!$A$6:A17))</f>
        <v>Southampton</v>
      </c>
      <c r="C17" s="22">
        <f>INDEX(prem_analysis!$AA$2:$AB$45,prem_analysis!$AB$1+ROWS(premier_league_details!$A$6:B17)-1,COLUMNS(premier_league_details!$A$6:B17))</f>
        <v>15</v>
      </c>
      <c r="E17" s="22">
        <f>INDEX(prem_analysis!$AU$2:$BF$440,prem_analysis!$AV$1+ROWS(prem_analysis!$AV$1:AV12)-1,COLUMNS(premier_league_details!$D$6:D17))</f>
        <v>2000</v>
      </c>
      <c r="F17" s="22">
        <f>INDEX(prem_analysis!$AU$2:$BF$440,prem_analysis!$AV$1+ROWS(prem_analysis!$AV$1:AW12)-1,COLUMNS(premier_league_details!$D$6:E17))</f>
        <v>12</v>
      </c>
      <c r="G17" s="22" t="str">
        <f>INDEX(prem_analysis!$AU$2:$BF$440,prem_analysis!$AV$1+ROWS(prem_analysis!$AV$1:AX12)-1,COLUMNS(premier_league_details!$D$6:F17))</f>
        <v>Tottenham Hotspur</v>
      </c>
      <c r="H17" s="22">
        <f>INDEX(prem_analysis!$AU$2:$BF$440,prem_analysis!$AV$1+ROWS(prem_analysis!$AV$1:AY12)-1,COLUMNS(premier_league_details!$D$6:G17))</f>
        <v>38</v>
      </c>
      <c r="I17" s="22">
        <f>INDEX(prem_analysis!$AU$2:$BF$440,prem_analysis!$AV$1+ROWS(prem_analysis!$AV$1:AZ12)-1,COLUMNS(premier_league_details!$D$6:H17))</f>
        <v>13</v>
      </c>
      <c r="J17" s="22">
        <f>INDEX(prem_analysis!$AU$2:$BF$440,prem_analysis!$AV$1+ROWS(prem_analysis!$AV$1:BA12)-1,COLUMNS(premier_league_details!$D$6:I17))</f>
        <v>10</v>
      </c>
      <c r="K17" s="22">
        <f>INDEX(prem_analysis!$AU$2:$BF$440,prem_analysis!$AV$1+ROWS(prem_analysis!$AV$1:BB12)-1,COLUMNS(premier_league_details!$D$6:J17))</f>
        <v>15</v>
      </c>
      <c r="L17" s="22">
        <f>INDEX(prem_analysis!$AU$2:$BF$440,prem_analysis!$AV$1+ROWS(prem_analysis!$AV$1:BC12)-1,COLUMNS(premier_league_details!$D$6:K17))</f>
        <v>47</v>
      </c>
      <c r="M17" s="22">
        <f>INDEX(prem_analysis!$AU$2:$BF$440,prem_analysis!$AV$1+ROWS(prem_analysis!$AV$1:BD12)-1,COLUMNS(premier_league_details!$D$6:L17))</f>
        <v>54</v>
      </c>
      <c r="N17" s="22">
        <f>INDEX(prem_analysis!$AU$2:$BF$440,prem_analysis!$AV$1+ROWS(prem_analysis!$AV$1:BE12)-1,COLUMNS(premier_league_details!$D$6:M17))</f>
        <v>-7</v>
      </c>
      <c r="O17" s="22">
        <f>INDEX(prem_analysis!$AU$2:$BF$440,prem_analysis!$AV$1+ROWS(prem_analysis!$AV$1:BF12)-1,COLUMNS(premier_league_details!$D$6:N17))</f>
        <v>49</v>
      </c>
      <c r="P17" s="22">
        <f>INDEX(prem_analysis!$AU$2:$BF$440,prem_analysis!$AV$1+ROWS(prem_analysis!$AV$1:BG12)-1,COLUMNS(premier_league_details!$D$6:O17))</f>
        <v>12</v>
      </c>
    </row>
    <row r="18" spans="2:16" x14ac:dyDescent="0.25">
      <c r="B18" s="22" t="str">
        <f>INDEX(prem_analysis!$AA$2:$AB$45,prem_analysis!$AB$1+ROWS(premier_league_details!$A$6:A18)-1,COLUMNS(premier_league_details!$A$6:A18))</f>
        <v>Sunderland</v>
      </c>
      <c r="C18" s="22">
        <f>INDEX(prem_analysis!$AA$2:$AB$45,prem_analysis!$AB$1+ROWS(premier_league_details!$A$6:B18)-1,COLUMNS(premier_league_details!$A$6:B18))</f>
        <v>14</v>
      </c>
      <c r="E18" s="22">
        <f>INDEX(prem_analysis!$AU$2:$BF$440,prem_analysis!$AV$1+ROWS(prem_analysis!$AV$1:AV13)-1,COLUMNS(premier_league_details!$D$6:D18))</f>
        <v>2000</v>
      </c>
      <c r="F18" s="22">
        <f>INDEX(prem_analysis!$AU$2:$BF$440,prem_analysis!$AV$1+ROWS(prem_analysis!$AV$1:AW13)-1,COLUMNS(premier_league_details!$D$6:E18))</f>
        <v>13</v>
      </c>
      <c r="G18" s="22" t="str">
        <f>INDEX(prem_analysis!$AU$2:$BF$440,prem_analysis!$AV$1+ROWS(prem_analysis!$AV$1:AX13)-1,COLUMNS(premier_league_details!$D$6:F18))</f>
        <v>Leicester City</v>
      </c>
      <c r="H18" s="22">
        <f>INDEX(prem_analysis!$AU$2:$BF$440,prem_analysis!$AV$1+ROWS(prem_analysis!$AV$1:AY13)-1,COLUMNS(premier_league_details!$D$6:G18))</f>
        <v>38</v>
      </c>
      <c r="I18" s="22">
        <f>INDEX(prem_analysis!$AU$2:$BF$440,prem_analysis!$AV$1+ROWS(prem_analysis!$AV$1:AZ13)-1,COLUMNS(premier_league_details!$D$6:H18))</f>
        <v>14</v>
      </c>
      <c r="J18" s="22">
        <f>INDEX(prem_analysis!$AU$2:$BF$440,prem_analysis!$AV$1+ROWS(prem_analysis!$AV$1:BA13)-1,COLUMNS(premier_league_details!$D$6:I18))</f>
        <v>6</v>
      </c>
      <c r="K18" s="22">
        <f>INDEX(prem_analysis!$AU$2:$BF$440,prem_analysis!$AV$1+ROWS(prem_analysis!$AV$1:BB13)-1,COLUMNS(premier_league_details!$D$6:J18))</f>
        <v>18</v>
      </c>
      <c r="L18" s="22">
        <f>INDEX(prem_analysis!$AU$2:$BF$440,prem_analysis!$AV$1+ROWS(prem_analysis!$AV$1:BC13)-1,COLUMNS(premier_league_details!$D$6:K18))</f>
        <v>39</v>
      </c>
      <c r="M18" s="22">
        <f>INDEX(prem_analysis!$AU$2:$BF$440,prem_analysis!$AV$1+ROWS(prem_analysis!$AV$1:BD13)-1,COLUMNS(premier_league_details!$D$6:L18))</f>
        <v>51</v>
      </c>
      <c r="N18" s="22">
        <f>INDEX(prem_analysis!$AU$2:$BF$440,prem_analysis!$AV$1+ROWS(prem_analysis!$AV$1:BE13)-1,COLUMNS(premier_league_details!$D$6:M18))</f>
        <v>-12</v>
      </c>
      <c r="O18" s="22">
        <f>INDEX(prem_analysis!$AU$2:$BF$440,prem_analysis!$AV$1+ROWS(prem_analysis!$AV$1:BF13)-1,COLUMNS(premier_league_details!$D$6:N18))</f>
        <v>48</v>
      </c>
      <c r="P18" s="22">
        <f>INDEX(prem_analysis!$AU$2:$BF$440,prem_analysis!$AV$1+ROWS(prem_analysis!$AV$1:BG13)-1,COLUMNS(premier_league_details!$D$6:O18))</f>
        <v>13</v>
      </c>
    </row>
    <row r="19" spans="2:16" x14ac:dyDescent="0.25">
      <c r="B19" s="22" t="str">
        <f>INDEX(prem_analysis!$AA$2:$AB$45,prem_analysis!$AB$1+ROWS(premier_league_details!$A$6:A19)-1,COLUMNS(premier_league_details!$A$6:A19))</f>
        <v>West Bromwich Albion</v>
      </c>
      <c r="C19" s="22">
        <f>INDEX(prem_analysis!$AA$2:$AB$45,prem_analysis!$AB$1+ROWS(premier_league_details!$A$6:B19)-1,COLUMNS(premier_league_details!$A$6:B19))</f>
        <v>13</v>
      </c>
      <c r="E19" s="22">
        <f>INDEX(prem_analysis!$AU$2:$BF$440,prem_analysis!$AV$1+ROWS(prem_analysis!$AV$1:AV14)-1,COLUMNS(premier_league_details!$D$6:D19))</f>
        <v>2000</v>
      </c>
      <c r="F19" s="22">
        <f>INDEX(prem_analysis!$AU$2:$BF$440,prem_analysis!$AV$1+ROWS(prem_analysis!$AV$1:AW14)-1,COLUMNS(premier_league_details!$D$6:E19))</f>
        <v>14</v>
      </c>
      <c r="G19" s="22" t="str">
        <f>INDEX(prem_analysis!$AU$2:$BF$440,prem_analysis!$AV$1+ROWS(prem_analysis!$AV$1:AX14)-1,COLUMNS(premier_league_details!$D$6:F19))</f>
        <v>Middlesbrough</v>
      </c>
      <c r="H19" s="22">
        <f>INDEX(prem_analysis!$AU$2:$BF$440,prem_analysis!$AV$1+ROWS(prem_analysis!$AV$1:AY14)-1,COLUMNS(premier_league_details!$D$6:G19))</f>
        <v>38</v>
      </c>
      <c r="I19" s="22">
        <f>INDEX(prem_analysis!$AU$2:$BF$440,prem_analysis!$AV$1+ROWS(prem_analysis!$AV$1:AZ14)-1,COLUMNS(premier_league_details!$D$6:H19))</f>
        <v>9</v>
      </c>
      <c r="J19" s="22">
        <f>INDEX(prem_analysis!$AU$2:$BF$440,prem_analysis!$AV$1+ROWS(prem_analysis!$AV$1:BA14)-1,COLUMNS(premier_league_details!$D$6:I19))</f>
        <v>15</v>
      </c>
      <c r="K19" s="22">
        <f>INDEX(prem_analysis!$AU$2:$BF$440,prem_analysis!$AV$1+ROWS(prem_analysis!$AV$1:BB14)-1,COLUMNS(premier_league_details!$D$6:J19))</f>
        <v>14</v>
      </c>
      <c r="L19" s="22">
        <f>INDEX(prem_analysis!$AU$2:$BF$440,prem_analysis!$AV$1+ROWS(prem_analysis!$AV$1:BC14)-1,COLUMNS(premier_league_details!$D$6:K19))</f>
        <v>44</v>
      </c>
      <c r="M19" s="22">
        <f>INDEX(prem_analysis!$AU$2:$BF$440,prem_analysis!$AV$1+ROWS(prem_analysis!$AV$1:BD14)-1,COLUMNS(premier_league_details!$D$6:L19))</f>
        <v>44</v>
      </c>
      <c r="N19" s="22">
        <f>INDEX(prem_analysis!$AU$2:$BF$440,prem_analysis!$AV$1+ROWS(prem_analysis!$AV$1:BE14)-1,COLUMNS(premier_league_details!$D$6:M19))</f>
        <v>0</v>
      </c>
      <c r="O19" s="22">
        <f>INDEX(prem_analysis!$AU$2:$BF$440,prem_analysis!$AV$1+ROWS(prem_analysis!$AV$1:BF14)-1,COLUMNS(premier_league_details!$D$6:N19))</f>
        <v>42</v>
      </c>
      <c r="P19" s="22">
        <f>INDEX(prem_analysis!$AU$2:$BF$440,prem_analysis!$AV$1+ROWS(prem_analysis!$AV$1:BG14)-1,COLUMNS(premier_league_details!$D$6:O19))</f>
        <v>14</v>
      </c>
    </row>
    <row r="20" spans="2:16" x14ac:dyDescent="0.25">
      <c r="B20" s="22" t="str">
        <f>INDEX(prem_analysis!$AA$2:$AB$45,prem_analysis!$AB$1+ROWS(premier_league_details!$A$6:A20)-1,COLUMNS(premier_league_details!$A$6:A20))</f>
        <v>Bolton Wanderers</v>
      </c>
      <c r="C20" s="22">
        <f>INDEX(prem_analysis!$AA$2:$AB$45,prem_analysis!$AB$1+ROWS(premier_league_details!$A$6:B20)-1,COLUMNS(premier_league_details!$A$6:B20))</f>
        <v>11</v>
      </c>
      <c r="E20" s="22">
        <f>INDEX(prem_analysis!$AU$2:$BF$440,prem_analysis!$AV$1+ROWS(prem_analysis!$AV$1:AV15)-1,COLUMNS(premier_league_details!$D$6:D20))</f>
        <v>2000</v>
      </c>
      <c r="F20" s="22">
        <f>INDEX(prem_analysis!$AU$2:$BF$440,prem_analysis!$AV$1+ROWS(prem_analysis!$AV$1:AW15)-1,COLUMNS(premier_league_details!$D$6:E20))</f>
        <v>15</v>
      </c>
      <c r="G20" s="22" t="str">
        <f>INDEX(prem_analysis!$AU$2:$BF$440,prem_analysis!$AV$1+ROWS(prem_analysis!$AV$1:AX15)-1,COLUMNS(premier_league_details!$D$6:F20))</f>
        <v>West Ham United</v>
      </c>
      <c r="H20" s="22">
        <f>INDEX(prem_analysis!$AU$2:$BF$440,prem_analysis!$AV$1+ROWS(prem_analysis!$AV$1:AY15)-1,COLUMNS(premier_league_details!$D$6:G20))</f>
        <v>38</v>
      </c>
      <c r="I20" s="22">
        <f>INDEX(prem_analysis!$AU$2:$BF$440,prem_analysis!$AV$1+ROWS(prem_analysis!$AV$1:AZ15)-1,COLUMNS(premier_league_details!$D$6:H20))</f>
        <v>10</v>
      </c>
      <c r="J20" s="22">
        <f>INDEX(prem_analysis!$AU$2:$BF$440,prem_analysis!$AV$1+ROWS(prem_analysis!$AV$1:BA15)-1,COLUMNS(premier_league_details!$D$6:I20))</f>
        <v>12</v>
      </c>
      <c r="K20" s="22">
        <f>INDEX(prem_analysis!$AU$2:$BF$440,prem_analysis!$AV$1+ROWS(prem_analysis!$AV$1:BB15)-1,COLUMNS(premier_league_details!$D$6:J20))</f>
        <v>16</v>
      </c>
      <c r="L20" s="22">
        <f>INDEX(prem_analysis!$AU$2:$BF$440,prem_analysis!$AV$1+ROWS(prem_analysis!$AV$1:BC15)-1,COLUMNS(premier_league_details!$D$6:K20))</f>
        <v>45</v>
      </c>
      <c r="M20" s="22">
        <f>INDEX(prem_analysis!$AU$2:$BF$440,prem_analysis!$AV$1+ROWS(prem_analysis!$AV$1:BD15)-1,COLUMNS(premier_league_details!$D$6:L20))</f>
        <v>50</v>
      </c>
      <c r="N20" s="22">
        <f>INDEX(prem_analysis!$AU$2:$BF$440,prem_analysis!$AV$1+ROWS(prem_analysis!$AV$1:BE15)-1,COLUMNS(premier_league_details!$D$6:M20))</f>
        <v>-5</v>
      </c>
      <c r="O20" s="22">
        <f>INDEX(prem_analysis!$AU$2:$BF$440,prem_analysis!$AV$1+ROWS(prem_analysis!$AV$1:BF15)-1,COLUMNS(premier_league_details!$D$6:N20))</f>
        <v>42</v>
      </c>
      <c r="P20" s="22">
        <f>INDEX(prem_analysis!$AU$2:$BF$440,prem_analysis!$AV$1+ROWS(prem_analysis!$AV$1:BG15)-1,COLUMNS(premier_league_details!$D$6:O20))</f>
        <v>15</v>
      </c>
    </row>
    <row r="21" spans="2:16" x14ac:dyDescent="0.25">
      <c r="B21" s="22" t="str">
        <f>INDEX(prem_analysis!$AA$2:$AB$45,prem_analysis!$AB$1+ROWS(premier_league_details!$A$6:A21)-1,COLUMNS(premier_league_details!$A$6:A21))</f>
        <v>Blackburn Rovers</v>
      </c>
      <c r="C21" s="22">
        <f>INDEX(prem_analysis!$AA$2:$AB$45,prem_analysis!$AB$1+ROWS(premier_league_details!$A$6:B21)-1,COLUMNS(premier_league_details!$A$6:B21))</f>
        <v>11</v>
      </c>
      <c r="E21" s="22">
        <f>INDEX(prem_analysis!$AU$2:$BF$440,prem_analysis!$AV$1+ROWS(prem_analysis!$AV$1:AV16)-1,COLUMNS(premier_league_details!$D$6:D21))</f>
        <v>2000</v>
      </c>
      <c r="F21" s="22">
        <f>INDEX(prem_analysis!$AU$2:$BF$440,prem_analysis!$AV$1+ROWS(prem_analysis!$AV$1:AW16)-1,COLUMNS(premier_league_details!$D$6:E21))</f>
        <v>16</v>
      </c>
      <c r="G21" s="22" t="str">
        <f>INDEX(prem_analysis!$AU$2:$BF$440,prem_analysis!$AV$1+ROWS(prem_analysis!$AV$1:AX16)-1,COLUMNS(premier_league_details!$D$6:F21))</f>
        <v>Everton</v>
      </c>
      <c r="H21" s="22">
        <f>INDEX(prem_analysis!$AU$2:$BF$440,prem_analysis!$AV$1+ROWS(prem_analysis!$AV$1:AY16)-1,COLUMNS(premier_league_details!$D$6:G21))</f>
        <v>38</v>
      </c>
      <c r="I21" s="22">
        <f>INDEX(prem_analysis!$AU$2:$BF$440,prem_analysis!$AV$1+ROWS(prem_analysis!$AV$1:AZ16)-1,COLUMNS(premier_league_details!$D$6:H21))</f>
        <v>11</v>
      </c>
      <c r="J21" s="22">
        <f>INDEX(prem_analysis!$AU$2:$BF$440,prem_analysis!$AV$1+ROWS(prem_analysis!$AV$1:BA16)-1,COLUMNS(premier_league_details!$D$6:I21))</f>
        <v>9</v>
      </c>
      <c r="K21" s="22">
        <f>INDEX(prem_analysis!$AU$2:$BF$440,prem_analysis!$AV$1+ROWS(prem_analysis!$AV$1:BB16)-1,COLUMNS(premier_league_details!$D$6:J21))</f>
        <v>18</v>
      </c>
      <c r="L21" s="22">
        <f>INDEX(prem_analysis!$AU$2:$BF$440,prem_analysis!$AV$1+ROWS(prem_analysis!$AV$1:BC16)-1,COLUMNS(premier_league_details!$D$6:K21))</f>
        <v>45</v>
      </c>
      <c r="M21" s="22">
        <f>INDEX(prem_analysis!$AU$2:$BF$440,prem_analysis!$AV$1+ROWS(prem_analysis!$AV$1:BD16)-1,COLUMNS(premier_league_details!$D$6:L21))</f>
        <v>59</v>
      </c>
      <c r="N21" s="22">
        <f>INDEX(prem_analysis!$AU$2:$BF$440,prem_analysis!$AV$1+ROWS(prem_analysis!$AV$1:BE16)-1,COLUMNS(premier_league_details!$D$6:M21))</f>
        <v>-14</v>
      </c>
      <c r="O21" s="22">
        <f>INDEX(prem_analysis!$AU$2:$BF$440,prem_analysis!$AV$1+ROWS(prem_analysis!$AV$1:BF16)-1,COLUMNS(premier_league_details!$D$6:N21))</f>
        <v>42</v>
      </c>
      <c r="P21" s="22">
        <f>INDEX(prem_analysis!$AU$2:$BF$440,prem_analysis!$AV$1+ROWS(prem_analysis!$AV$1:BG16)-1,COLUMNS(premier_league_details!$D$6:O21))</f>
        <v>16</v>
      </c>
    </row>
    <row r="22" spans="2:16" x14ac:dyDescent="0.25">
      <c r="B22" s="22" t="str">
        <f>INDEX(prem_analysis!$AA$2:$AB$45,prem_analysis!$AB$1+ROWS(premier_league_details!$A$6:A22)-1,COLUMNS(premier_league_details!$A$6:A22))</f>
        <v>Leicester City</v>
      </c>
      <c r="C22" s="22">
        <f>INDEX(prem_analysis!$AA$2:$AB$45,prem_analysis!$AB$1+ROWS(premier_league_details!$A$6:B22)-1,COLUMNS(premier_league_details!$A$6:B22))</f>
        <v>11</v>
      </c>
      <c r="E22" s="22">
        <f>INDEX(prem_analysis!$AU$2:$BF$440,prem_analysis!$AV$1+ROWS(prem_analysis!$AV$1:AV17)-1,COLUMNS(premier_league_details!$D$6:D22))</f>
        <v>2000</v>
      </c>
      <c r="F22" s="22">
        <f>INDEX(prem_analysis!$AU$2:$BF$440,prem_analysis!$AV$1+ROWS(prem_analysis!$AV$1:AW17)-1,COLUMNS(premier_league_details!$D$6:E22))</f>
        <v>17</v>
      </c>
      <c r="G22" s="22" t="str">
        <f>INDEX(prem_analysis!$AU$2:$BF$440,prem_analysis!$AV$1+ROWS(prem_analysis!$AV$1:AX17)-1,COLUMNS(premier_league_details!$D$6:F22))</f>
        <v>Derby County</v>
      </c>
      <c r="H22" s="22">
        <f>INDEX(prem_analysis!$AU$2:$BF$440,prem_analysis!$AV$1+ROWS(prem_analysis!$AV$1:AY17)-1,COLUMNS(premier_league_details!$D$6:G22))</f>
        <v>38</v>
      </c>
      <c r="I22" s="22">
        <f>INDEX(prem_analysis!$AU$2:$BF$440,prem_analysis!$AV$1+ROWS(prem_analysis!$AV$1:AZ17)-1,COLUMNS(premier_league_details!$D$6:H22))</f>
        <v>10</v>
      </c>
      <c r="J22" s="22">
        <f>INDEX(prem_analysis!$AU$2:$BF$440,prem_analysis!$AV$1+ROWS(prem_analysis!$AV$1:BA17)-1,COLUMNS(premier_league_details!$D$6:I22))</f>
        <v>12</v>
      </c>
      <c r="K22" s="22">
        <f>INDEX(prem_analysis!$AU$2:$BF$440,prem_analysis!$AV$1+ROWS(prem_analysis!$AV$1:BB17)-1,COLUMNS(premier_league_details!$D$6:J22))</f>
        <v>16</v>
      </c>
      <c r="L22" s="22">
        <f>INDEX(prem_analysis!$AU$2:$BF$440,prem_analysis!$AV$1+ROWS(prem_analysis!$AV$1:BC17)-1,COLUMNS(premier_league_details!$D$6:K22))</f>
        <v>37</v>
      </c>
      <c r="M22" s="22">
        <f>INDEX(prem_analysis!$AU$2:$BF$440,prem_analysis!$AV$1+ROWS(prem_analysis!$AV$1:BD17)-1,COLUMNS(premier_league_details!$D$6:L22))</f>
        <v>59</v>
      </c>
      <c r="N22" s="22">
        <f>INDEX(prem_analysis!$AU$2:$BF$440,prem_analysis!$AV$1+ROWS(prem_analysis!$AV$1:BE17)-1,COLUMNS(premier_league_details!$D$6:M22))</f>
        <v>-22</v>
      </c>
      <c r="O22" s="22">
        <f>INDEX(prem_analysis!$AU$2:$BF$440,prem_analysis!$AV$1+ROWS(prem_analysis!$AV$1:BF17)-1,COLUMNS(premier_league_details!$D$6:N22))</f>
        <v>42</v>
      </c>
      <c r="P22" s="22">
        <f>INDEX(prem_analysis!$AU$2:$BF$440,prem_analysis!$AV$1+ROWS(prem_analysis!$AV$1:BG17)-1,COLUMNS(premier_league_details!$D$6:O22))</f>
        <v>17</v>
      </c>
    </row>
    <row r="23" spans="2:16" x14ac:dyDescent="0.25">
      <c r="B23" s="22" t="str">
        <f>INDEX(prem_analysis!$AA$2:$AB$45,prem_analysis!$AB$1+ROWS(premier_league_details!$A$6:A23)-1,COLUMNS(premier_league_details!$A$6:A23))</f>
        <v>Stoke City</v>
      </c>
      <c r="C23" s="22">
        <f>INDEX(prem_analysis!$AA$2:$AB$45,prem_analysis!$AB$1+ROWS(premier_league_details!$A$6:B23)-1,COLUMNS(premier_league_details!$A$6:B23))</f>
        <v>10</v>
      </c>
      <c r="E23" s="22">
        <f>INDEX(prem_analysis!$AU$2:$BF$440,prem_analysis!$AV$1+ROWS(prem_analysis!$AV$1:AV18)-1,COLUMNS(premier_league_details!$D$6:D23))</f>
        <v>2000</v>
      </c>
      <c r="F23" s="22">
        <f>INDEX(prem_analysis!$AU$2:$BF$440,prem_analysis!$AV$1+ROWS(prem_analysis!$AV$1:AW18)-1,COLUMNS(premier_league_details!$D$6:E23))</f>
        <v>18</v>
      </c>
      <c r="G23" s="22" t="str">
        <f>INDEX(prem_analysis!$AU$2:$BF$440,prem_analysis!$AV$1+ROWS(prem_analysis!$AV$1:AX18)-1,COLUMNS(premier_league_details!$D$6:F23))</f>
        <v>Manchester City</v>
      </c>
      <c r="H23" s="22">
        <f>INDEX(prem_analysis!$AU$2:$BF$440,prem_analysis!$AV$1+ROWS(prem_analysis!$AV$1:AY18)-1,COLUMNS(premier_league_details!$D$6:G23))</f>
        <v>38</v>
      </c>
      <c r="I23" s="22">
        <f>INDEX(prem_analysis!$AU$2:$BF$440,prem_analysis!$AV$1+ROWS(prem_analysis!$AV$1:AZ18)-1,COLUMNS(premier_league_details!$D$6:H23))</f>
        <v>8</v>
      </c>
      <c r="J23" s="22">
        <f>INDEX(prem_analysis!$AU$2:$BF$440,prem_analysis!$AV$1+ROWS(prem_analysis!$AV$1:BA18)-1,COLUMNS(premier_league_details!$D$6:I23))</f>
        <v>10</v>
      </c>
      <c r="K23" s="22">
        <f>INDEX(prem_analysis!$AU$2:$BF$440,prem_analysis!$AV$1+ROWS(prem_analysis!$AV$1:BB18)-1,COLUMNS(premier_league_details!$D$6:J23))</f>
        <v>20</v>
      </c>
      <c r="L23" s="22">
        <f>INDEX(prem_analysis!$AU$2:$BF$440,prem_analysis!$AV$1+ROWS(prem_analysis!$AV$1:BC18)-1,COLUMNS(premier_league_details!$D$6:K23))</f>
        <v>41</v>
      </c>
      <c r="M23" s="22">
        <f>INDEX(prem_analysis!$AU$2:$BF$440,prem_analysis!$AV$1+ROWS(prem_analysis!$AV$1:BD18)-1,COLUMNS(premier_league_details!$D$6:L23))</f>
        <v>65</v>
      </c>
      <c r="N23" s="22">
        <f>INDEX(prem_analysis!$AU$2:$BF$440,prem_analysis!$AV$1+ROWS(prem_analysis!$AV$1:BE18)-1,COLUMNS(premier_league_details!$D$6:M23))</f>
        <v>-24</v>
      </c>
      <c r="O23" s="22">
        <f>INDEX(prem_analysis!$AU$2:$BF$440,prem_analysis!$AV$1+ROWS(prem_analysis!$AV$1:BF18)-1,COLUMNS(premier_league_details!$D$6:N23))</f>
        <v>34</v>
      </c>
      <c r="P23" s="22" t="str">
        <f>INDEX(prem_analysis!$AU$2:$BF$440,prem_analysis!$AV$1+ROWS(prem_analysis!$AV$1:BG18)-1,COLUMNS(premier_league_details!$D$6:O23))</f>
        <v>Relegated</v>
      </c>
    </row>
    <row r="24" spans="2:16" x14ac:dyDescent="0.25">
      <c r="B24" s="22" t="str">
        <f>INDEX(prem_analysis!$AA$2:$AB$45,prem_analysis!$AB$1+ROWS(premier_league_details!$A$6:A24)-1,COLUMNS(premier_league_details!$A$6:A24))</f>
        <v>Crystal Palace</v>
      </c>
      <c r="C24" s="22">
        <f>INDEX(prem_analysis!$AA$2:$AB$45,prem_analysis!$AB$1+ROWS(premier_league_details!$A$6:B24)-1,COLUMNS(premier_league_details!$A$6:B24))</f>
        <v>10</v>
      </c>
      <c r="E24" s="22">
        <f>INDEX(prem_analysis!$AU$2:$BF$440,prem_analysis!$AV$1+ROWS(prem_analysis!$AV$1:AV19)-1,COLUMNS(premier_league_details!$D$6:D24))</f>
        <v>2000</v>
      </c>
      <c r="F24" s="22">
        <f>INDEX(prem_analysis!$AU$2:$BF$440,prem_analysis!$AV$1+ROWS(prem_analysis!$AV$1:AW19)-1,COLUMNS(premier_league_details!$D$6:E24))</f>
        <v>19</v>
      </c>
      <c r="G24" s="22" t="str">
        <f>INDEX(prem_analysis!$AU$2:$BF$440,prem_analysis!$AV$1+ROWS(prem_analysis!$AV$1:AX19)-1,COLUMNS(premier_league_details!$D$6:F24))</f>
        <v>Coventry City</v>
      </c>
      <c r="H24" s="22">
        <f>INDEX(prem_analysis!$AU$2:$BF$440,prem_analysis!$AV$1+ROWS(prem_analysis!$AV$1:AY19)-1,COLUMNS(premier_league_details!$D$6:G24))</f>
        <v>38</v>
      </c>
      <c r="I24" s="22">
        <f>INDEX(prem_analysis!$AU$2:$BF$440,prem_analysis!$AV$1+ROWS(prem_analysis!$AV$1:AZ19)-1,COLUMNS(premier_league_details!$D$6:H24))</f>
        <v>8</v>
      </c>
      <c r="J24" s="22">
        <f>INDEX(prem_analysis!$AU$2:$BF$440,prem_analysis!$AV$1+ROWS(prem_analysis!$AV$1:BA19)-1,COLUMNS(premier_league_details!$D$6:I24))</f>
        <v>10</v>
      </c>
      <c r="K24" s="22">
        <f>INDEX(prem_analysis!$AU$2:$BF$440,prem_analysis!$AV$1+ROWS(prem_analysis!$AV$1:BB19)-1,COLUMNS(premier_league_details!$D$6:J24))</f>
        <v>20</v>
      </c>
      <c r="L24" s="22">
        <f>INDEX(prem_analysis!$AU$2:$BF$440,prem_analysis!$AV$1+ROWS(prem_analysis!$AV$1:BC19)-1,COLUMNS(premier_league_details!$D$6:K24))</f>
        <v>36</v>
      </c>
      <c r="M24" s="22">
        <f>INDEX(prem_analysis!$AU$2:$BF$440,prem_analysis!$AV$1+ROWS(prem_analysis!$AV$1:BD19)-1,COLUMNS(premier_league_details!$D$6:L24))</f>
        <v>63</v>
      </c>
      <c r="N24" s="22">
        <f>INDEX(prem_analysis!$AU$2:$BF$440,prem_analysis!$AV$1+ROWS(prem_analysis!$AV$1:BE19)-1,COLUMNS(premier_league_details!$D$6:M24))</f>
        <v>-27</v>
      </c>
      <c r="O24" s="22">
        <f>INDEX(prem_analysis!$AU$2:$BF$440,prem_analysis!$AV$1+ROWS(prem_analysis!$AV$1:BF19)-1,COLUMNS(premier_league_details!$D$6:N24))</f>
        <v>34</v>
      </c>
      <c r="P24" s="22" t="str">
        <f>INDEX(prem_analysis!$AU$2:$BF$440,prem_analysis!$AV$1+ROWS(prem_analysis!$AV$1:BG19)-1,COLUMNS(premier_league_details!$D$6:O24))</f>
        <v>Relegated</v>
      </c>
    </row>
    <row r="25" spans="2:16" x14ac:dyDescent="0.25">
      <c r="B25" s="22" t="str">
        <f>INDEX(prem_analysis!$AA$2:$AB$45,prem_analysis!$AB$1+ROWS(premier_league_details!$A$6:A25)-1,COLUMNS(premier_league_details!$A$6:A25))</f>
        <v>Middlesbrough</v>
      </c>
      <c r="C25" s="22">
        <f>INDEX(prem_analysis!$AA$2:$AB$45,prem_analysis!$AB$1+ROWS(premier_league_details!$A$6:B25)-1,COLUMNS(premier_league_details!$A$6:B25))</f>
        <v>10</v>
      </c>
      <c r="E25" s="22">
        <f>INDEX(prem_analysis!$AU$2:$BF$440,prem_analysis!$AV$1+ROWS(prem_analysis!$AV$1:AV20)-1,COLUMNS(premier_league_details!$D$6:D25))</f>
        <v>2000</v>
      </c>
      <c r="F25" s="22">
        <f>INDEX(prem_analysis!$AU$2:$BF$440,prem_analysis!$AV$1+ROWS(prem_analysis!$AV$1:AW20)-1,COLUMNS(premier_league_details!$D$6:E25))</f>
        <v>20</v>
      </c>
      <c r="G25" s="22" t="str">
        <f>INDEX(prem_analysis!$AU$2:$BF$440,prem_analysis!$AV$1+ROWS(prem_analysis!$AV$1:AX20)-1,COLUMNS(premier_league_details!$D$6:F25))</f>
        <v>Bradford City</v>
      </c>
      <c r="H25" s="22">
        <f>INDEX(prem_analysis!$AU$2:$BF$440,prem_analysis!$AV$1+ROWS(prem_analysis!$AV$1:AY20)-1,COLUMNS(premier_league_details!$D$6:G25))</f>
        <v>38</v>
      </c>
      <c r="I25" s="22">
        <f>INDEX(prem_analysis!$AU$2:$BF$440,prem_analysis!$AV$1+ROWS(prem_analysis!$AV$1:AZ20)-1,COLUMNS(premier_league_details!$D$6:H25))</f>
        <v>5</v>
      </c>
      <c r="J25" s="22">
        <f>INDEX(prem_analysis!$AU$2:$BF$440,prem_analysis!$AV$1+ROWS(prem_analysis!$AV$1:BA20)-1,COLUMNS(premier_league_details!$D$6:I25))</f>
        <v>11</v>
      </c>
      <c r="K25" s="22">
        <f>INDEX(prem_analysis!$AU$2:$BF$440,prem_analysis!$AV$1+ROWS(prem_analysis!$AV$1:BB20)-1,COLUMNS(premier_league_details!$D$6:J25))</f>
        <v>22</v>
      </c>
      <c r="L25" s="22">
        <f>INDEX(prem_analysis!$AU$2:$BF$440,prem_analysis!$AV$1+ROWS(prem_analysis!$AV$1:BC20)-1,COLUMNS(premier_league_details!$D$6:K25))</f>
        <v>30</v>
      </c>
      <c r="M25" s="22">
        <f>INDEX(prem_analysis!$AU$2:$BF$440,prem_analysis!$AV$1+ROWS(prem_analysis!$AV$1:BD20)-1,COLUMNS(premier_league_details!$D$6:L25))</f>
        <v>70</v>
      </c>
      <c r="N25" s="22">
        <f>INDEX(prem_analysis!$AU$2:$BF$440,prem_analysis!$AV$1+ROWS(prem_analysis!$AV$1:BE20)-1,COLUMNS(premier_league_details!$D$6:M25))</f>
        <v>-40</v>
      </c>
      <c r="O25" s="22">
        <f>INDEX(prem_analysis!$AU$2:$BF$440,prem_analysis!$AV$1+ROWS(prem_analysis!$AV$1:BF20)-1,COLUMNS(premier_league_details!$D$6:N25))</f>
        <v>26</v>
      </c>
      <c r="P25" s="22" t="str">
        <f>INDEX(prem_analysis!$AU$2:$BF$440,prem_analysis!$AV$1+ROWS(prem_analysis!$AV$1:BG20)-1,COLUMNS(premier_league_details!$D$6:O25))</f>
        <v>Relegated</v>
      </c>
    </row>
    <row r="26" spans="2:16" x14ac:dyDescent="0.25">
      <c r="B26" s="22" t="str">
        <f>INDEX(prem_analysis!$AA$2:$AB$45,prem_analysis!$AB$1+ROWS(premier_league_details!$A$6:A26)-1,COLUMNS(premier_league_details!$A$6:A26))</f>
        <v>Burnley</v>
      </c>
      <c r="C26" s="22">
        <f>INDEX(prem_analysis!$AA$2:$AB$45,prem_analysis!$AB$1+ROWS(premier_league_details!$A$6:B26)-1,COLUMNS(premier_league_details!$A$6:B26))</f>
        <v>8</v>
      </c>
    </row>
  </sheetData>
  <conditionalFormatting sqref="B6:C26">
    <cfRule type="notContainsBlanks" dxfId="48" priority="3">
      <formula>LEN(TRIM(B6))&gt;0</formula>
    </cfRule>
  </conditionalFormatting>
  <conditionalFormatting sqref="E6:P25">
    <cfRule type="notContainsBlanks" dxfId="47" priority="5">
      <formula>LEN(TRIM(E6))&gt;0</formula>
    </cfRule>
  </conditionalFormatting>
  <pageMargins left="0.7" right="0.7" top="0.75" bottom="0.75" header="0.3" footer="0.3"/>
  <drawing r:id="rId1"/>
  <legacyDrawing r:id="rId2"/>
  <controls>
    <mc:AlternateContent xmlns:mc="http://schemas.openxmlformats.org/markup-compatibility/2006">
      <mc:Choice Requires="x14">
        <control shapeId="8195" r:id="rId3" name="TextBox1">
          <controlPr defaultSize="0" autoLine="0" autoPict="0" linkedCell="prem_analysis!X1" r:id="rId4">
            <anchor moveWithCells="1">
              <from>
                <xdr:col>6</xdr:col>
                <xdr:colOff>390525</xdr:colOff>
                <xdr:row>2</xdr:row>
                <xdr:rowOff>28575</xdr:rowOff>
              </from>
              <to>
                <xdr:col>13</xdr:col>
                <xdr:colOff>238125</xdr:colOff>
                <xdr:row>3</xdr:row>
                <xdr:rowOff>104775</xdr:rowOff>
              </to>
            </anchor>
          </controlPr>
        </control>
      </mc:Choice>
      <mc:Fallback>
        <control shapeId="8195" r:id="rId3" name="TextBox1"/>
      </mc:Fallback>
    </mc:AlternateContent>
    <mc:AlternateContent xmlns:mc="http://schemas.openxmlformats.org/markup-compatibility/2006">
      <mc:Choice Requires="x14">
        <control shapeId="8193" r:id="rId5" name="Scroll Bar 1">
          <controlPr defaultSize="0" autoPict="0">
            <anchor moveWithCells="1">
              <from>
                <xdr:col>0</xdr:col>
                <xdr:colOff>200025</xdr:colOff>
                <xdr:row>4</xdr:row>
                <xdr:rowOff>0</xdr:rowOff>
              </from>
              <to>
                <xdr:col>0</xdr:col>
                <xdr:colOff>381000</xdr:colOff>
                <xdr:row>25</xdr:row>
                <xdr:rowOff>142875</xdr:rowOff>
              </to>
            </anchor>
          </controlPr>
        </control>
      </mc:Choice>
    </mc:AlternateContent>
    <mc:AlternateContent xmlns:mc="http://schemas.openxmlformats.org/markup-compatibility/2006">
      <mc:Choice Requires="x14">
        <control shapeId="8194" r:id="rId6" name="Scroll Bar 2">
          <controlPr defaultSize="0" autoPict="0">
            <anchor moveWithCells="1">
              <from>
                <xdr:col>3</xdr:col>
                <xdr:colOff>400050</xdr:colOff>
                <xdr:row>4</xdr:row>
                <xdr:rowOff>0</xdr:rowOff>
              </from>
              <to>
                <xdr:col>3</xdr:col>
                <xdr:colOff>590550</xdr:colOff>
                <xdr:row>25</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234B1-E6BE-4CD4-819B-A2656CC1C5DA}">
  <sheetPr codeName="Sheet1"/>
  <dimension ref="A1:CK443"/>
  <sheetViews>
    <sheetView workbookViewId="0">
      <selection activeCell="D5" sqref="D5"/>
    </sheetView>
  </sheetViews>
  <sheetFormatPr defaultRowHeight="15" x14ac:dyDescent="0.25"/>
  <cols>
    <col min="1" max="1" width="6.7109375" customWidth="1"/>
    <col min="2" max="2" width="4" customWidth="1"/>
    <col min="3" max="3" width="23.28515625" bestFit="1" customWidth="1"/>
    <col min="4" max="4" width="10" bestFit="1" customWidth="1"/>
    <col min="5" max="6" width="7" bestFit="1" customWidth="1"/>
    <col min="7" max="7" width="6.5703125" bestFit="1" customWidth="1"/>
    <col min="8" max="9" width="10" bestFit="1" customWidth="1"/>
    <col min="10" max="10" width="5.5703125" customWidth="1"/>
    <col min="11" max="11" width="10" bestFit="1" customWidth="1"/>
    <col min="13" max="13" width="18.140625" bestFit="1" customWidth="1"/>
    <col min="14" max="14" width="10.7109375" bestFit="1" customWidth="1"/>
    <col min="15" max="15" width="23.28515625" bestFit="1" customWidth="1"/>
    <col min="16" max="16" width="26.140625" style="1" bestFit="1" customWidth="1"/>
    <col min="17" max="17" width="9.140625" style="1"/>
    <col min="18" max="18" width="13.5703125" customWidth="1"/>
    <col min="20" max="20" width="23.28515625" style="1" bestFit="1" customWidth="1"/>
    <col min="21" max="21" width="9.140625" style="1"/>
    <col min="24" max="24" width="9.85546875" bestFit="1" customWidth="1"/>
    <col min="27" max="27" width="26.140625" bestFit="1" customWidth="1"/>
    <col min="31" max="31" width="7.28515625" style="1" customWidth="1"/>
    <col min="32" max="32" width="3" style="1" bestFit="1" customWidth="1"/>
    <col min="33" max="33" width="26.140625" style="1" bestFit="1" customWidth="1"/>
    <col min="34" max="41" width="5.28515625" style="1" customWidth="1"/>
    <col min="49" max="49" width="18.140625" bestFit="1" customWidth="1"/>
    <col min="58" max="58" width="10" bestFit="1" customWidth="1"/>
    <col min="59" max="59" width="10.28515625" customWidth="1"/>
    <col min="60" max="60" width="5" style="1" bestFit="1" customWidth="1"/>
    <col min="61" max="61" width="4.5703125" style="1" customWidth="1"/>
    <col min="62" max="62" width="18.140625" style="1" bestFit="1" customWidth="1"/>
    <col min="63" max="64" width="5" style="1" customWidth="1"/>
    <col min="65" max="65" width="18.140625" style="1" bestFit="1" customWidth="1"/>
    <col min="66" max="66" width="12.7109375" style="1" bestFit="1" customWidth="1"/>
    <col min="67" max="70" width="5" style="1" customWidth="1"/>
    <col min="71" max="71" width="8.28515625" bestFit="1" customWidth="1"/>
    <col min="74" max="74" width="5.28515625" customWidth="1"/>
    <col min="75" max="75" width="23.28515625" bestFit="1" customWidth="1"/>
    <col min="84" max="84" width="7.42578125" bestFit="1" customWidth="1"/>
    <col min="87" max="87" width="18.140625" bestFit="1" customWidth="1"/>
    <col min="88" max="88" width="12.7109375" bestFit="1" customWidth="1"/>
    <col min="89" max="89" width="12.7109375" customWidth="1"/>
  </cols>
  <sheetData>
    <row r="1" spans="1:89" ht="15.75" thickBot="1" x14ac:dyDescent="0.3">
      <c r="A1" s="7" t="s">
        <v>0</v>
      </c>
      <c r="B1" s="7" t="s">
        <v>1</v>
      </c>
      <c r="C1" s="7" t="s">
        <v>2</v>
      </c>
      <c r="D1" s="7" t="s">
        <v>3</v>
      </c>
      <c r="E1" s="7" t="s">
        <v>4</v>
      </c>
      <c r="F1" s="7" t="s">
        <v>5</v>
      </c>
      <c r="G1" s="7" t="s">
        <v>6</v>
      </c>
      <c r="H1" s="7" t="s">
        <v>7</v>
      </c>
      <c r="I1" s="7" t="s">
        <v>8</v>
      </c>
      <c r="J1" s="7" t="s">
        <v>9</v>
      </c>
      <c r="K1" s="7" t="s">
        <v>10</v>
      </c>
      <c r="L1" s="7" t="s">
        <v>54</v>
      </c>
      <c r="O1" s="16"/>
      <c r="Q1" s="1">
        <f>COUNT(Q2:Q441)</f>
        <v>44</v>
      </c>
      <c r="T1" s="12" t="s">
        <v>57</v>
      </c>
      <c r="U1" s="12" t="s">
        <v>56</v>
      </c>
      <c r="X1" s="1" t="s">
        <v>85</v>
      </c>
      <c r="AB1">
        <v>1</v>
      </c>
      <c r="AE1" s="1" t="str">
        <f>Table2[[#Headers],[Year]]</f>
        <v>Year</v>
      </c>
      <c r="AF1" s="2" t="str">
        <f>Table2[[#Headers],['#]]</f>
        <v>#</v>
      </c>
      <c r="AG1" s="1" t="str">
        <f>Table2[[#Headers],[Team]]</f>
        <v>Team</v>
      </c>
      <c r="AH1" s="1" t="str">
        <f>Table2[[#Headers],[Pl]]</f>
        <v>Pl</v>
      </c>
      <c r="AI1" s="1" t="str">
        <f>Table2[[#Headers],[W]]</f>
        <v>W</v>
      </c>
      <c r="AJ1" s="1" t="str">
        <f>Table2[[#Headers],[D]]</f>
        <v>D</v>
      </c>
      <c r="AK1" s="1" t="str">
        <f>Table2[[#Headers],[L]]</f>
        <v>L</v>
      </c>
      <c r="AL1" s="1" t="str">
        <f>Table2[[#Headers],[F]]</f>
        <v>F</v>
      </c>
      <c r="AM1" s="1" t="str">
        <f>Table2[[#Headers],[A]]</f>
        <v>A</v>
      </c>
      <c r="AN1" s="1" t="str">
        <f>Table2[[#Headers],[GD]]</f>
        <v>GD</v>
      </c>
      <c r="AO1" s="1" t="str">
        <f>Table2[[#Headers],[Pts]]</f>
        <v>Pts</v>
      </c>
      <c r="AP1" s="1" t="str">
        <f>Table2[[#Headers],[Column1]]</f>
        <v>Column1</v>
      </c>
      <c r="AV1">
        <v>1</v>
      </c>
      <c r="BH1" s="1" t="s">
        <v>0</v>
      </c>
      <c r="BI1" s="1" t="s">
        <v>1</v>
      </c>
      <c r="BJ1" s="1" t="s">
        <v>2</v>
      </c>
      <c r="BK1" s="1" t="s">
        <v>3</v>
      </c>
      <c r="BL1" s="1" t="s">
        <v>4</v>
      </c>
      <c r="BM1" s="1" t="s">
        <v>5</v>
      </c>
      <c r="BN1" s="1" t="s">
        <v>6</v>
      </c>
      <c r="BO1" s="1" t="s">
        <v>7</v>
      </c>
      <c r="BP1" s="1" t="s">
        <v>8</v>
      </c>
      <c r="BQ1" s="1" t="s">
        <v>9</v>
      </c>
      <c r="BR1" s="1" t="s">
        <v>10</v>
      </c>
      <c r="BS1" s="1" t="s">
        <v>64</v>
      </c>
      <c r="BT1">
        <f>MAX(BR2:BR23)</f>
        <v>100</v>
      </c>
      <c r="BU1" s="1" t="s">
        <v>0</v>
      </c>
      <c r="BV1" s="1" t="s">
        <v>1</v>
      </c>
      <c r="BW1" s="1" t="s">
        <v>2</v>
      </c>
      <c r="BX1" s="1" t="s">
        <v>3</v>
      </c>
      <c r="BY1" s="1" t="s">
        <v>4</v>
      </c>
      <c r="BZ1" s="1" t="s">
        <v>5</v>
      </c>
      <c r="CA1" s="1" t="s">
        <v>6</v>
      </c>
      <c r="CB1" s="1" t="s">
        <v>7</v>
      </c>
      <c r="CC1" s="1" t="s">
        <v>8</v>
      </c>
      <c r="CD1" s="1" t="s">
        <v>9</v>
      </c>
      <c r="CE1" s="1" t="s">
        <v>10</v>
      </c>
      <c r="CF1" s="1" t="s">
        <v>66</v>
      </c>
      <c r="CG1">
        <f>MAX(CE2:CE67)</f>
        <v>42</v>
      </c>
    </row>
    <row r="2" spans="1:89" x14ac:dyDescent="0.25">
      <c r="A2" s="13">
        <v>2000</v>
      </c>
      <c r="B2" s="13">
        <v>1</v>
      </c>
      <c r="C2" s="14" t="s">
        <v>11</v>
      </c>
      <c r="D2" s="13">
        <v>38</v>
      </c>
      <c r="E2" s="13">
        <v>24</v>
      </c>
      <c r="F2" s="13">
        <v>8</v>
      </c>
      <c r="G2" s="13">
        <v>6</v>
      </c>
      <c r="H2" s="13">
        <v>79</v>
      </c>
      <c r="I2" s="13">
        <v>31</v>
      </c>
      <c r="J2" s="13">
        <v>48</v>
      </c>
      <c r="K2" s="13">
        <v>80</v>
      </c>
      <c r="L2" s="15" t="str">
        <f>IF(Table2[[#This Row],['#]]=1,"Champion", IF(Table2[[#This Row],['#]]&gt;=18,"Relegated",Table2[[#This Row],['#]]))</f>
        <v>Champion</v>
      </c>
      <c r="N2">
        <f>IF(COUNTIF($O$2:O2,O2)=1,N1+1,N1)</f>
        <v>1</v>
      </c>
      <c r="O2" s="4" t="str">
        <f>Table2[[#This Row],[Team]]</f>
        <v>Manchester United</v>
      </c>
      <c r="P2" s="1" t="str">
        <f>IFERROR(VLOOKUP(ROWS($O$2:O2),$N$2:$O$441,2,0),"")</f>
        <v>Manchester United</v>
      </c>
      <c r="Q2" s="1">
        <f>IF(P2&lt;&gt;"",SUMPRODUCT(--(Table2[Team]=P2)),"")</f>
        <v>22</v>
      </c>
      <c r="R2" s="11">
        <f>IF(Q2&lt;&gt;"",Q2+ROWS($Q$2:Q2)/100,"")</f>
        <v>22.01</v>
      </c>
      <c r="S2">
        <f>IF(R2&lt;&gt;"",LARGE($R$2:$R$441,ROWS($R$2:R2)),"")</f>
        <v>22.16</v>
      </c>
      <c r="T2" s="1" t="str">
        <f>IF(R2&lt;&gt;"",INDEX($P$2:$Q$441,MATCH($S2,$R$2:$R$441,0),COLUMNS($S$2:S2)),"")</f>
        <v>Everton</v>
      </c>
      <c r="U2" s="1">
        <f>IF(S2&lt;&gt;"",INDEX($P$2:$Q$441,MATCH($S2,$R$2:$R$441,0),COLUMNS($S$2:T2)),"")</f>
        <v>22</v>
      </c>
      <c r="X2" t="b">
        <f>IF($X$1="",TRUE,ISNUMBER(SEARCH($X$1,T2)))</f>
        <v>1</v>
      </c>
      <c r="Y2">
        <f>IF(X2=TRUE,ROWS($X$2:X2))</f>
        <v>1</v>
      </c>
      <c r="Z2">
        <f>IFERROR(SMALL($Y$2:$Y$45,ROWS($Y$2:Y2)),"")</f>
        <v>1</v>
      </c>
      <c r="AA2" t="str">
        <f>IFERROR(INDEX($T$2:$U$441,MATCH($Z2,$Y$2:$Y$45,0),COLUMNS($Z$2:Z2)),"")</f>
        <v>Everton</v>
      </c>
      <c r="AB2">
        <f>IFERROR(INDEX($T$2:$U$441,MATCH($Z2,$Y$2:$Y$45,0),COLUMNS($Z$2:AA2)),"")</f>
        <v>22</v>
      </c>
      <c r="AE2" s="1">
        <f>Table2[[#This Row],[Year]]</f>
        <v>2000</v>
      </c>
      <c r="AF2" s="1">
        <f>Table2[[#This Row],['#]]</f>
        <v>1</v>
      </c>
      <c r="AG2" s="1" t="str">
        <f>Table2[[#This Row],[Team]]</f>
        <v>Manchester United</v>
      </c>
      <c r="AH2" s="1">
        <f>Table2[[#This Row],[Pl]]</f>
        <v>38</v>
      </c>
      <c r="AI2" s="1">
        <f>Table2[[#This Row],[W]]</f>
        <v>24</v>
      </c>
      <c r="AJ2" s="1">
        <f>Table2[[#This Row],[D]]</f>
        <v>8</v>
      </c>
      <c r="AK2" s="1">
        <f>Table2[[#This Row],[L]]</f>
        <v>6</v>
      </c>
      <c r="AL2" s="1">
        <f>Table2[[#This Row],[F]]</f>
        <v>79</v>
      </c>
      <c r="AM2" s="1">
        <f>Table2[[#This Row],[A]]</f>
        <v>31</v>
      </c>
      <c r="AN2" s="1">
        <f>Table2[[#This Row],[GD]]</f>
        <v>48</v>
      </c>
      <c r="AO2" s="1">
        <f>Table2[[#This Row],[Pts]]</f>
        <v>80</v>
      </c>
      <c r="AP2" s="1" t="str">
        <f>Table2[[#This Row],[Column1]]</f>
        <v>Champion</v>
      </c>
      <c r="AR2" t="b">
        <f>IF($X$1="",TRUE,ISNUMBER(SEARCH($X$1,AG2)))</f>
        <v>1</v>
      </c>
      <c r="AS2">
        <f>IF(AR2,ROWS($AR$2:AR2),"")</f>
        <v>1</v>
      </c>
      <c r="AT2">
        <f>IFERROR(SMALL($AS$2:$AS$440,ROWS($AS$2:AS2)),"")</f>
        <v>1</v>
      </c>
      <c r="AU2">
        <f>IF(AT2&lt;&gt;"",INDEX($AE$2:$AP$440,MATCH($AT2,$AS$2:$AS$440,0),COLUMNS($AT$2:AT2)),"")</f>
        <v>2000</v>
      </c>
      <c r="AV2">
        <f>IF(AU2&lt;&gt;"",INDEX($AE$2:$AP$440,MATCH($AT2,$AS$2:$AS$440,0),COLUMNS($AT$2:AU2)),"")</f>
        <v>1</v>
      </c>
      <c r="AW2" t="str">
        <f>IF(AV2&lt;&gt;"",INDEX($AE$2:$AP$440,MATCH($AT2,$AS$2:$AS$440,0),COLUMNS($AT$2:AV2)),"")</f>
        <v>Manchester United</v>
      </c>
      <c r="AX2">
        <f>IF(AW2&lt;&gt;"",INDEX($AE$2:$AP$440,MATCH($AT2,$AS$2:$AS$440,0),COLUMNS($AT$2:AW2)),"")</f>
        <v>38</v>
      </c>
      <c r="AY2">
        <f>IF(AX2&lt;&gt;"",INDEX($AE$2:$AP$440,MATCH($AT2,$AS$2:$AS$440,0),COLUMNS($AT$2:AX2)),"")</f>
        <v>24</v>
      </c>
      <c r="AZ2">
        <f>IF(AY2&lt;&gt;"",INDEX($AE$2:$AP$440,MATCH($AT2,$AS$2:$AS$440,0),COLUMNS($AT$2:AY2)),"")</f>
        <v>8</v>
      </c>
      <c r="BA2">
        <f>IF(AZ2&lt;&gt;"",INDEX($AE$2:$AP$440,MATCH($AT2,$AS$2:$AS$440,0),COLUMNS($AT$2:AZ2)),"")</f>
        <v>6</v>
      </c>
      <c r="BB2">
        <f>IF(BA2&lt;&gt;"",INDEX($AE$2:$AP$440,MATCH($AT2,$AS$2:$AS$440,0),COLUMNS($AT$2:BA2)),"")</f>
        <v>79</v>
      </c>
      <c r="BC2">
        <f>IF(BB2&lt;&gt;"",INDEX($AE$2:$AP$440,MATCH($AT2,$AS$2:$AS$440,0),COLUMNS($AT$2:BB2)),"")</f>
        <v>31</v>
      </c>
      <c r="BD2">
        <f>IF(BC2&lt;&gt;"",INDEX($AE$2:$AP$440,MATCH($AT2,$AS$2:$AS$440,0),COLUMNS($AT$2:BC2)),"")</f>
        <v>48</v>
      </c>
      <c r="BE2">
        <f>IF(BD2&lt;&gt;"",INDEX($AE$2:$AP$440,MATCH($AT2,$AS$2:$AS$440,0),COLUMNS($AT$2:BD2)),"")</f>
        <v>80</v>
      </c>
      <c r="BF2" t="str">
        <f>IF(BE2&lt;&gt;"",INDEX($AE$2:$AP$440,MATCH($AT2,$AS$2:$AS$440,0),COLUMNS($AT$2:BE2)),"")</f>
        <v>Champion</v>
      </c>
      <c r="BH2" s="1">
        <v>2000</v>
      </c>
      <c r="BI2" s="1">
        <v>1</v>
      </c>
      <c r="BJ2" s="1" t="s">
        <v>11</v>
      </c>
      <c r="BK2" s="1">
        <v>38</v>
      </c>
      <c r="BL2" s="1">
        <v>24</v>
      </c>
      <c r="BM2" s="1">
        <v>8</v>
      </c>
      <c r="BN2" s="1">
        <v>6</v>
      </c>
      <c r="BO2" s="1">
        <v>79</v>
      </c>
      <c r="BP2" s="1">
        <v>31</v>
      </c>
      <c r="BQ2" s="1">
        <v>48</v>
      </c>
      <c r="BR2" s="1">
        <v>80</v>
      </c>
      <c r="BS2" s="11">
        <f>BL2/BK2</f>
        <v>0.63157894736842102</v>
      </c>
      <c r="BU2" s="1">
        <v>2000</v>
      </c>
      <c r="BV2" s="1">
        <v>18</v>
      </c>
      <c r="BW2" s="1" t="s">
        <v>28</v>
      </c>
      <c r="BX2" s="1">
        <v>38</v>
      </c>
      <c r="BY2" s="1">
        <v>8</v>
      </c>
      <c r="BZ2" s="1">
        <v>10</v>
      </c>
      <c r="CA2" s="1">
        <v>20</v>
      </c>
      <c r="CB2" s="1">
        <v>41</v>
      </c>
      <c r="CC2" s="1">
        <v>65</v>
      </c>
      <c r="CD2" s="1">
        <v>-24</v>
      </c>
      <c r="CE2" s="1">
        <v>34</v>
      </c>
      <c r="CF2" s="17">
        <f>BY2/BX2</f>
        <v>0.21052631578947367</v>
      </c>
      <c r="CI2" s="28" t="s">
        <v>83</v>
      </c>
      <c r="CJ2" s="28"/>
      <c r="CK2" s="32"/>
    </row>
    <row r="3" spans="1:89" x14ac:dyDescent="0.25">
      <c r="A3" s="5">
        <v>2000</v>
      </c>
      <c r="B3" s="5">
        <v>2</v>
      </c>
      <c r="C3" s="6" t="s">
        <v>12</v>
      </c>
      <c r="D3" s="5">
        <v>38</v>
      </c>
      <c r="E3" s="5">
        <v>20</v>
      </c>
      <c r="F3" s="5">
        <v>10</v>
      </c>
      <c r="G3" s="5">
        <v>8</v>
      </c>
      <c r="H3" s="5">
        <v>63</v>
      </c>
      <c r="I3" s="5">
        <v>38</v>
      </c>
      <c r="J3" s="5">
        <v>25</v>
      </c>
      <c r="K3" s="5">
        <v>70</v>
      </c>
      <c r="L3" s="6">
        <f>IF(Table2[[#This Row],['#]]=1,"Champion", IF(Table2[[#This Row],['#]]&gt;=18,"Relegated",Table2[[#This Row],['#]]))</f>
        <v>2</v>
      </c>
      <c r="N3">
        <f>IF(COUNTIF($O$2:O3,O3)=1,N2+1,N2)</f>
        <v>2</v>
      </c>
      <c r="O3" s="4" t="str">
        <f>Table2[[#This Row],[Team]]</f>
        <v>Arsenal</v>
      </c>
      <c r="P3" s="1" t="str">
        <f>IFERROR(VLOOKUP(ROWS($O$2:O3),$N$2:$O$441,2,0),"")</f>
        <v>Arsenal</v>
      </c>
      <c r="Q3" s="1">
        <f>IF(P3&lt;&gt;"",SUMPRODUCT(--(Table2[Team]=P3)),"")</f>
        <v>22</v>
      </c>
      <c r="R3" s="11">
        <f>IF(Q3&lt;&gt;"",Q3+ROWS($Q$2:Q3)/100,"")</f>
        <v>22.02</v>
      </c>
      <c r="S3">
        <f>IF(R3&lt;&gt;"",LARGE($R$2:$R$441,ROWS($R$2:R3)),"")</f>
        <v>22.12</v>
      </c>
      <c r="T3" s="1" t="str">
        <f>IF(R3&lt;&gt;"",INDEX($P$2:$Q$441,MATCH($S3,$R$2:$R$441,0),COLUMNS($S$2:S3)),"")</f>
        <v>Tottenham Hotspur</v>
      </c>
      <c r="U3" s="1">
        <f>IF(S3&lt;&gt;"",INDEX($P$2:$Q$441,MATCH($S3,$R$2:$R$441,0),COLUMNS($S$2:T3)),"")</f>
        <v>22</v>
      </c>
      <c r="X3" t="b">
        <f t="shared" ref="X3:X45" si="0">IF($X$1="",TRUE,ISNUMBER(SEARCH($X$1,T3)))</f>
        <v>1</v>
      </c>
      <c r="Y3">
        <f>IF(X3=TRUE,ROWS($X$2:X3))</f>
        <v>2</v>
      </c>
      <c r="Z3">
        <f>IFERROR(SMALL($Y$2:$Y$45,ROWS($Y$2:Y3)),"")</f>
        <v>2</v>
      </c>
      <c r="AA3" t="str">
        <f>IFERROR(INDEX($T$2:$U$441,MATCH($Z3,$Y$2:$Y$45,0),COLUMNS($Z$2:Z3)),"")</f>
        <v>Tottenham Hotspur</v>
      </c>
      <c r="AB3">
        <f>IFERROR(INDEX($T$2:$U$441,MATCH($Z3,$Y$2:$Y$45,0),COLUMNS($Z$2:AA3)),"")</f>
        <v>22</v>
      </c>
      <c r="AE3" s="1">
        <f>Table2[[#This Row],[Year]]</f>
        <v>2000</v>
      </c>
      <c r="AF3" s="1">
        <f>Table2[[#This Row],['#]]</f>
        <v>2</v>
      </c>
      <c r="AG3" s="1" t="str">
        <f>Table2[[#This Row],[Team]]</f>
        <v>Arsenal</v>
      </c>
      <c r="AH3" s="1">
        <f>Table2[[#This Row],[Pl]]</f>
        <v>38</v>
      </c>
      <c r="AI3" s="1">
        <f>Table2[[#This Row],[W]]</f>
        <v>20</v>
      </c>
      <c r="AJ3" s="1">
        <f>Table2[[#This Row],[D]]</f>
        <v>10</v>
      </c>
      <c r="AK3" s="1">
        <f>Table2[[#This Row],[L]]</f>
        <v>8</v>
      </c>
      <c r="AL3" s="1">
        <f>Table2[[#This Row],[F]]</f>
        <v>63</v>
      </c>
      <c r="AM3" s="1">
        <f>Table2[[#This Row],[A]]</f>
        <v>38</v>
      </c>
      <c r="AN3" s="1">
        <f>Table2[[#This Row],[GD]]</f>
        <v>25</v>
      </c>
      <c r="AO3" s="1">
        <f>Table2[[#This Row],[Pts]]</f>
        <v>70</v>
      </c>
      <c r="AP3" s="1">
        <f>Table2[[#This Row],[Column1]]</f>
        <v>2</v>
      </c>
      <c r="AR3" t="b">
        <f t="shared" ref="AR3:AR66" si="1">IF($X$1="",TRUE,ISNUMBER(SEARCH($X$1,AG3)))</f>
        <v>1</v>
      </c>
      <c r="AS3">
        <f>IF(AR3,ROWS($AR$2:AR3),"")</f>
        <v>2</v>
      </c>
      <c r="AT3">
        <f>IFERROR(SMALL($AS$2:$AS$440,ROWS($AS$2:AS3)),"")</f>
        <v>2</v>
      </c>
      <c r="AU3">
        <f>IF(AT3&lt;&gt;"",INDEX($AE$2:$AP$440,MATCH($AT3,$AS$2:$AS$440,0),COLUMNS($AT$2:AT3)),"")</f>
        <v>2000</v>
      </c>
      <c r="AV3">
        <f>IF(AU3&lt;&gt;"",INDEX($AE$2:$AP$440,MATCH($AT3,$AS$2:$AS$440,0),COLUMNS($AT$2:AU3)),"")</f>
        <v>2</v>
      </c>
      <c r="AW3" t="str">
        <f>IF(AV3&lt;&gt;"",INDEX($AE$2:$AP$440,MATCH($AT3,$AS$2:$AS$440,0),COLUMNS($AT$2:AV3)),"")</f>
        <v>Arsenal</v>
      </c>
      <c r="AX3">
        <f>IF(AW3&lt;&gt;"",INDEX($AE$2:$AP$440,MATCH($AT3,$AS$2:$AS$440,0),COLUMNS($AT$2:AW3)),"")</f>
        <v>38</v>
      </c>
      <c r="AY3">
        <f>IF(AX3&lt;&gt;"",INDEX($AE$2:$AP$440,MATCH($AT3,$AS$2:$AS$440,0),COLUMNS($AT$2:AX3)),"")</f>
        <v>20</v>
      </c>
      <c r="AZ3">
        <f>IF(AY3&lt;&gt;"",INDEX($AE$2:$AP$440,MATCH($AT3,$AS$2:$AS$440,0),COLUMNS($AT$2:AY3)),"")</f>
        <v>10</v>
      </c>
      <c r="BA3">
        <f>IF(AZ3&lt;&gt;"",INDEX($AE$2:$AP$440,MATCH($AT3,$AS$2:$AS$440,0),COLUMNS($AT$2:AZ3)),"")</f>
        <v>8</v>
      </c>
      <c r="BB3">
        <f>IF(BA3&lt;&gt;"",INDEX($AE$2:$AP$440,MATCH($AT3,$AS$2:$AS$440,0),COLUMNS($AT$2:BA3)),"")</f>
        <v>63</v>
      </c>
      <c r="BC3">
        <f>IF(BB3&lt;&gt;"",INDEX($AE$2:$AP$440,MATCH($AT3,$AS$2:$AS$440,0),COLUMNS($AT$2:BB3)),"")</f>
        <v>38</v>
      </c>
      <c r="BD3">
        <f>IF(BC3&lt;&gt;"",INDEX($AE$2:$AP$440,MATCH($AT3,$AS$2:$AS$440,0),COLUMNS($AT$2:BC3)),"")</f>
        <v>25</v>
      </c>
      <c r="BE3">
        <f>IF(BD3&lt;&gt;"",INDEX($AE$2:$AP$440,MATCH($AT3,$AS$2:$AS$440,0),COLUMNS($AT$2:BD3)),"")</f>
        <v>70</v>
      </c>
      <c r="BF3">
        <f>IF(BE3&lt;&gt;"",INDEX($AE$2:$AP$440,MATCH($AT3,$AS$2:$AS$440,0),COLUMNS($AT$2:BE3)),"")</f>
        <v>2</v>
      </c>
      <c r="BH3" s="1">
        <v>2001</v>
      </c>
      <c r="BI3" s="1">
        <v>1</v>
      </c>
      <c r="BJ3" s="1" t="s">
        <v>12</v>
      </c>
      <c r="BK3" s="1">
        <v>38</v>
      </c>
      <c r="BL3" s="1">
        <v>26</v>
      </c>
      <c r="BM3" s="1">
        <v>9</v>
      </c>
      <c r="BN3" s="1">
        <v>3</v>
      </c>
      <c r="BO3" s="1">
        <v>79</v>
      </c>
      <c r="BP3" s="1">
        <v>36</v>
      </c>
      <c r="BQ3" s="1">
        <v>43</v>
      </c>
      <c r="BR3" s="1">
        <v>87</v>
      </c>
      <c r="BS3" s="11">
        <f t="shared" ref="BS3:BS23" si="2">BL3/BK3</f>
        <v>0.68421052631578949</v>
      </c>
      <c r="BU3" s="1">
        <v>2000</v>
      </c>
      <c r="BV3" s="1">
        <v>19</v>
      </c>
      <c r="BW3" s="1" t="s">
        <v>29</v>
      </c>
      <c r="BX3" s="1">
        <v>38</v>
      </c>
      <c r="BY3" s="1">
        <v>8</v>
      </c>
      <c r="BZ3" s="1">
        <v>10</v>
      </c>
      <c r="CA3" s="1">
        <v>20</v>
      </c>
      <c r="CB3" s="1">
        <v>36</v>
      </c>
      <c r="CC3" s="1">
        <v>63</v>
      </c>
      <c r="CD3" s="1">
        <v>-27</v>
      </c>
      <c r="CE3" s="1">
        <v>34</v>
      </c>
      <c r="CF3" s="17">
        <f t="shared" ref="CF3:CF66" si="3">BY3/BX3</f>
        <v>0.21052631578947367</v>
      </c>
      <c r="CI3" s="25" t="s">
        <v>69</v>
      </c>
      <c r="CJ3" s="25">
        <v>30.121212121212121</v>
      </c>
      <c r="CK3" s="25"/>
    </row>
    <row r="4" spans="1:89" x14ac:dyDescent="0.25">
      <c r="A4" s="3">
        <v>2000</v>
      </c>
      <c r="B4" s="3">
        <v>3</v>
      </c>
      <c r="C4" s="4" t="s">
        <v>13</v>
      </c>
      <c r="D4" s="3">
        <v>38</v>
      </c>
      <c r="E4" s="3">
        <v>20</v>
      </c>
      <c r="F4" s="3">
        <v>9</v>
      </c>
      <c r="G4" s="3">
        <v>9</v>
      </c>
      <c r="H4" s="3">
        <v>71</v>
      </c>
      <c r="I4" s="3">
        <v>39</v>
      </c>
      <c r="J4" s="3">
        <v>32</v>
      </c>
      <c r="K4" s="3">
        <v>69</v>
      </c>
      <c r="L4" s="6">
        <f>IF(Table2[[#This Row],['#]]=1,"Champion", IF(Table2[[#This Row],['#]]&gt;=18,"Relegated",Table2[[#This Row],['#]]))</f>
        <v>3</v>
      </c>
      <c r="N4">
        <f>IF(COUNTIF($O$2:O4,O4)=1,N3+1,N3)</f>
        <v>3</v>
      </c>
      <c r="O4" s="4" t="str">
        <f>Table2[[#This Row],[Team]]</f>
        <v>Liverpool</v>
      </c>
      <c r="P4" s="1" t="str">
        <f>IFERROR(VLOOKUP(ROWS($O$2:O4),$N$2:$O$441,2,0),"")</f>
        <v>Liverpool</v>
      </c>
      <c r="Q4" s="1">
        <f>IF(P4&lt;&gt;"",SUMPRODUCT(--(Table2[Team]=P4)),"")</f>
        <v>22</v>
      </c>
      <c r="R4" s="11">
        <f>IF(Q4&lt;&gt;"",Q4+ROWS($Q$2:Q4)/100,"")</f>
        <v>22.03</v>
      </c>
      <c r="S4">
        <f>IF(R4&lt;&gt;"",LARGE($R$2:$R$441,ROWS($R$2:R4)),"")</f>
        <v>22.06</v>
      </c>
      <c r="T4" s="1" t="str">
        <f>IF(R4&lt;&gt;"",INDEX($P$2:$Q$441,MATCH($S4,$R$2:$R$441,0),COLUMNS($S$2:S4)),"")</f>
        <v>Chelsea</v>
      </c>
      <c r="U4" s="1">
        <f>IF(S4&lt;&gt;"",INDEX($P$2:$Q$441,MATCH($S4,$R$2:$R$441,0),COLUMNS($S$2:T4)),"")</f>
        <v>22</v>
      </c>
      <c r="X4" t="b">
        <f t="shared" si="0"/>
        <v>1</v>
      </c>
      <c r="Y4">
        <f>IF(X4=TRUE,ROWS($X$2:X4))</f>
        <v>3</v>
      </c>
      <c r="Z4">
        <f>IFERROR(SMALL($Y$2:$Y$45,ROWS($Y$2:Y4)),"")</f>
        <v>3</v>
      </c>
      <c r="AA4" t="str">
        <f>IFERROR(INDEX($T$2:$U$441,MATCH($Z4,$Y$2:$Y$45,0),COLUMNS($Z$2:Z4)),"")</f>
        <v>Chelsea</v>
      </c>
      <c r="AB4">
        <f>IFERROR(INDEX($T$2:$U$441,MATCH($Z4,$Y$2:$Y$45,0),COLUMNS($Z$2:AA4)),"")</f>
        <v>22</v>
      </c>
      <c r="AE4" s="1">
        <f>Table2[[#This Row],[Year]]</f>
        <v>2000</v>
      </c>
      <c r="AF4" s="1">
        <f>Table2[[#This Row],['#]]</f>
        <v>3</v>
      </c>
      <c r="AG4" s="1" t="str">
        <f>Table2[[#This Row],[Team]]</f>
        <v>Liverpool</v>
      </c>
      <c r="AH4" s="1">
        <f>Table2[[#This Row],[Pl]]</f>
        <v>38</v>
      </c>
      <c r="AI4" s="1">
        <f>Table2[[#This Row],[W]]</f>
        <v>20</v>
      </c>
      <c r="AJ4" s="1">
        <f>Table2[[#This Row],[D]]</f>
        <v>9</v>
      </c>
      <c r="AK4" s="1">
        <f>Table2[[#This Row],[L]]</f>
        <v>9</v>
      </c>
      <c r="AL4" s="1">
        <f>Table2[[#This Row],[F]]</f>
        <v>71</v>
      </c>
      <c r="AM4" s="1">
        <f>Table2[[#This Row],[A]]</f>
        <v>39</v>
      </c>
      <c r="AN4" s="1">
        <f>Table2[[#This Row],[GD]]</f>
        <v>32</v>
      </c>
      <c r="AO4" s="1">
        <f>Table2[[#This Row],[Pts]]</f>
        <v>69</v>
      </c>
      <c r="AP4" s="1">
        <f>Table2[[#This Row],[Column1]]</f>
        <v>3</v>
      </c>
      <c r="AR4" t="b">
        <f t="shared" si="1"/>
        <v>1</v>
      </c>
      <c r="AS4">
        <f>IF(AR4,ROWS($AR$2:AR4),"")</f>
        <v>3</v>
      </c>
      <c r="AT4">
        <f>IFERROR(SMALL($AS$2:$AS$440,ROWS($AS$2:AS4)),"")</f>
        <v>3</v>
      </c>
      <c r="AU4">
        <f>IF(AT4&lt;&gt;"",INDEX($AE$2:$AP$440,MATCH($AT4,$AS$2:$AS$440,0),COLUMNS($AT$2:AT4)),"")</f>
        <v>2000</v>
      </c>
      <c r="AV4">
        <f>IF(AU4&lt;&gt;"",INDEX($AE$2:$AP$440,MATCH($AT4,$AS$2:$AS$440,0),COLUMNS($AT$2:AU4)),"")</f>
        <v>3</v>
      </c>
      <c r="AW4" t="str">
        <f>IF(AV4&lt;&gt;"",INDEX($AE$2:$AP$440,MATCH($AT4,$AS$2:$AS$440,0),COLUMNS($AT$2:AV4)),"")</f>
        <v>Liverpool</v>
      </c>
      <c r="AX4">
        <f>IF(AW4&lt;&gt;"",INDEX($AE$2:$AP$440,MATCH($AT4,$AS$2:$AS$440,0),COLUMNS($AT$2:AW4)),"")</f>
        <v>38</v>
      </c>
      <c r="AY4">
        <f>IF(AX4&lt;&gt;"",INDEX($AE$2:$AP$440,MATCH($AT4,$AS$2:$AS$440,0),COLUMNS($AT$2:AX4)),"")</f>
        <v>20</v>
      </c>
      <c r="AZ4">
        <f>IF(AY4&lt;&gt;"",INDEX($AE$2:$AP$440,MATCH($AT4,$AS$2:$AS$440,0),COLUMNS($AT$2:AY4)),"")</f>
        <v>9</v>
      </c>
      <c r="BA4">
        <f>IF(AZ4&lt;&gt;"",INDEX($AE$2:$AP$440,MATCH($AT4,$AS$2:$AS$440,0),COLUMNS($AT$2:AZ4)),"")</f>
        <v>9</v>
      </c>
      <c r="BB4">
        <f>IF(BA4&lt;&gt;"",INDEX($AE$2:$AP$440,MATCH($AT4,$AS$2:$AS$440,0),COLUMNS($AT$2:BA4)),"")</f>
        <v>71</v>
      </c>
      <c r="BC4">
        <f>IF(BB4&lt;&gt;"",INDEX($AE$2:$AP$440,MATCH($AT4,$AS$2:$AS$440,0),COLUMNS($AT$2:BB4)),"")</f>
        <v>39</v>
      </c>
      <c r="BD4">
        <f>IF(BC4&lt;&gt;"",INDEX($AE$2:$AP$440,MATCH($AT4,$AS$2:$AS$440,0),COLUMNS($AT$2:BC4)),"")</f>
        <v>32</v>
      </c>
      <c r="BE4">
        <f>IF(BD4&lt;&gt;"",INDEX($AE$2:$AP$440,MATCH($AT4,$AS$2:$AS$440,0),COLUMNS($AT$2:BD4)),"")</f>
        <v>69</v>
      </c>
      <c r="BF4">
        <f>IF(BE4&lt;&gt;"",INDEX($AE$2:$AP$440,MATCH($AT4,$AS$2:$AS$440,0),COLUMNS($AT$2:BE4)),"")</f>
        <v>3</v>
      </c>
      <c r="BH4" s="1">
        <v>2002</v>
      </c>
      <c r="BI4" s="1">
        <v>1</v>
      </c>
      <c r="BJ4" s="1" t="s">
        <v>11</v>
      </c>
      <c r="BK4" s="1">
        <v>38</v>
      </c>
      <c r="BL4" s="1">
        <v>25</v>
      </c>
      <c r="BM4" s="1">
        <v>8</v>
      </c>
      <c r="BN4" s="1">
        <v>5</v>
      </c>
      <c r="BO4" s="1">
        <v>74</v>
      </c>
      <c r="BP4" s="1">
        <v>34</v>
      </c>
      <c r="BQ4" s="1">
        <v>40</v>
      </c>
      <c r="BR4" s="1">
        <v>83</v>
      </c>
      <c r="BS4" s="11">
        <f t="shared" si="2"/>
        <v>0.65789473684210531</v>
      </c>
      <c r="BU4" s="1">
        <v>2000</v>
      </c>
      <c r="BV4" s="1">
        <v>20</v>
      </c>
      <c r="BW4" s="1" t="s">
        <v>30</v>
      </c>
      <c r="BX4" s="1">
        <v>38</v>
      </c>
      <c r="BY4" s="1">
        <v>5</v>
      </c>
      <c r="BZ4" s="1">
        <v>11</v>
      </c>
      <c r="CA4" s="1">
        <v>22</v>
      </c>
      <c r="CB4" s="1">
        <v>30</v>
      </c>
      <c r="CC4" s="1">
        <v>70</v>
      </c>
      <c r="CD4" s="1">
        <v>-40</v>
      </c>
      <c r="CE4" s="1">
        <v>26</v>
      </c>
      <c r="CF4" s="17">
        <f t="shared" si="3"/>
        <v>0.13157894736842105</v>
      </c>
      <c r="CI4" s="25" t="s">
        <v>70</v>
      </c>
      <c r="CJ4" s="25">
        <v>0.76506323199988679</v>
      </c>
      <c r="CK4" s="25"/>
    </row>
    <row r="5" spans="1:89" x14ac:dyDescent="0.25">
      <c r="A5" s="5">
        <v>2000</v>
      </c>
      <c r="B5" s="5">
        <v>4</v>
      </c>
      <c r="C5" s="6" t="s">
        <v>14</v>
      </c>
      <c r="D5" s="5">
        <v>38</v>
      </c>
      <c r="E5" s="5">
        <v>20</v>
      </c>
      <c r="F5" s="5">
        <v>8</v>
      </c>
      <c r="G5" s="5">
        <v>10</v>
      </c>
      <c r="H5" s="5">
        <v>64</v>
      </c>
      <c r="I5" s="5">
        <v>43</v>
      </c>
      <c r="J5" s="5">
        <v>21</v>
      </c>
      <c r="K5" s="5">
        <v>68</v>
      </c>
      <c r="L5" s="6">
        <f>IF(Table2[[#This Row],['#]]=1,"Champion", IF(Table2[[#This Row],['#]]&gt;=18,"Relegated",Table2[[#This Row],['#]]))</f>
        <v>4</v>
      </c>
      <c r="N5">
        <f>IF(COUNTIF($O$2:O5,O5)=1,N4+1,N4)</f>
        <v>4</v>
      </c>
      <c r="O5" s="4" t="str">
        <f>Table2[[#This Row],[Team]]</f>
        <v>Leeds United</v>
      </c>
      <c r="P5" s="1" t="str">
        <f>IFERROR(VLOOKUP(ROWS($O$2:O5),$N$2:$O$441,2,0),"")</f>
        <v>Leeds United</v>
      </c>
      <c r="Q5" s="1">
        <f>IF(P5&lt;&gt;"",SUMPRODUCT(--(Table2[Team]=P5)),"")</f>
        <v>6</v>
      </c>
      <c r="R5" s="11">
        <f>IF(Q5&lt;&gt;"",Q5+ROWS($Q$2:Q5)/100,"")</f>
        <v>6.04</v>
      </c>
      <c r="S5">
        <f>IF(R5&lt;&gt;"",LARGE($R$2:$R$441,ROWS($R$2:R5)),"")</f>
        <v>22.03</v>
      </c>
      <c r="T5" s="1" t="str">
        <f>IF(R5&lt;&gt;"",INDEX($P$2:$Q$441,MATCH($S5,$R$2:$R$441,0),COLUMNS($S$2:S5)),"")</f>
        <v>Liverpool</v>
      </c>
      <c r="U5" s="1">
        <f>IF(S5&lt;&gt;"",INDEX($P$2:$Q$441,MATCH($S5,$R$2:$R$441,0),COLUMNS($S$2:T5)),"")</f>
        <v>22</v>
      </c>
      <c r="X5" t="b">
        <f t="shared" si="0"/>
        <v>1</v>
      </c>
      <c r="Y5">
        <f>IF(X5=TRUE,ROWS($X$2:X5))</f>
        <v>4</v>
      </c>
      <c r="Z5">
        <f>IFERROR(SMALL($Y$2:$Y$45,ROWS($Y$2:Y5)),"")</f>
        <v>4</v>
      </c>
      <c r="AA5" t="str">
        <f>IFERROR(INDEX($T$2:$U$441,MATCH($Z5,$Y$2:$Y$45,0),COLUMNS($Z$2:Z5)),"")</f>
        <v>Liverpool</v>
      </c>
      <c r="AB5">
        <f>IFERROR(INDEX($T$2:$U$441,MATCH($Z5,$Y$2:$Y$45,0),COLUMNS($Z$2:AA5)),"")</f>
        <v>22</v>
      </c>
      <c r="AE5" s="1">
        <f>Table2[[#This Row],[Year]]</f>
        <v>2000</v>
      </c>
      <c r="AF5" s="1">
        <f>Table2[[#This Row],['#]]</f>
        <v>4</v>
      </c>
      <c r="AG5" s="1" t="str">
        <f>Table2[[#This Row],[Team]]</f>
        <v>Leeds United</v>
      </c>
      <c r="AH5" s="1">
        <f>Table2[[#This Row],[Pl]]</f>
        <v>38</v>
      </c>
      <c r="AI5" s="1">
        <f>Table2[[#This Row],[W]]</f>
        <v>20</v>
      </c>
      <c r="AJ5" s="1">
        <f>Table2[[#This Row],[D]]</f>
        <v>8</v>
      </c>
      <c r="AK5" s="1">
        <f>Table2[[#This Row],[L]]</f>
        <v>10</v>
      </c>
      <c r="AL5" s="1">
        <f>Table2[[#This Row],[F]]</f>
        <v>64</v>
      </c>
      <c r="AM5" s="1">
        <f>Table2[[#This Row],[A]]</f>
        <v>43</v>
      </c>
      <c r="AN5" s="1">
        <f>Table2[[#This Row],[GD]]</f>
        <v>21</v>
      </c>
      <c r="AO5" s="1">
        <f>Table2[[#This Row],[Pts]]</f>
        <v>68</v>
      </c>
      <c r="AP5" s="1">
        <f>Table2[[#This Row],[Column1]]</f>
        <v>4</v>
      </c>
      <c r="AR5" t="b">
        <f t="shared" si="1"/>
        <v>1</v>
      </c>
      <c r="AS5">
        <f>IF(AR5,ROWS($AR$2:AR5),"")</f>
        <v>4</v>
      </c>
      <c r="AT5">
        <f>IFERROR(SMALL($AS$2:$AS$440,ROWS($AS$2:AS5)),"")</f>
        <v>4</v>
      </c>
      <c r="AU5">
        <f>IF(AT5&lt;&gt;"",INDEX($AE$2:$AP$440,MATCH($AT5,$AS$2:$AS$440,0),COLUMNS($AT$2:AT5)),"")</f>
        <v>2000</v>
      </c>
      <c r="AV5">
        <f>IF(AU5&lt;&gt;"",INDEX($AE$2:$AP$440,MATCH($AT5,$AS$2:$AS$440,0),COLUMNS($AT$2:AU5)),"")</f>
        <v>4</v>
      </c>
      <c r="AW5" t="str">
        <f>IF(AV5&lt;&gt;"",INDEX($AE$2:$AP$440,MATCH($AT5,$AS$2:$AS$440,0),COLUMNS($AT$2:AV5)),"")</f>
        <v>Leeds United</v>
      </c>
      <c r="AX5">
        <f>IF(AW5&lt;&gt;"",INDEX($AE$2:$AP$440,MATCH($AT5,$AS$2:$AS$440,0),COLUMNS($AT$2:AW5)),"")</f>
        <v>38</v>
      </c>
      <c r="AY5">
        <f>IF(AX5&lt;&gt;"",INDEX($AE$2:$AP$440,MATCH($AT5,$AS$2:$AS$440,0),COLUMNS($AT$2:AX5)),"")</f>
        <v>20</v>
      </c>
      <c r="AZ5">
        <f>IF(AY5&lt;&gt;"",INDEX($AE$2:$AP$440,MATCH($AT5,$AS$2:$AS$440,0),COLUMNS($AT$2:AY5)),"")</f>
        <v>8</v>
      </c>
      <c r="BA5">
        <f>IF(AZ5&lt;&gt;"",INDEX($AE$2:$AP$440,MATCH($AT5,$AS$2:$AS$440,0),COLUMNS($AT$2:AZ5)),"")</f>
        <v>10</v>
      </c>
      <c r="BB5">
        <f>IF(BA5&lt;&gt;"",INDEX($AE$2:$AP$440,MATCH($AT5,$AS$2:$AS$440,0),COLUMNS($AT$2:BA5)),"")</f>
        <v>64</v>
      </c>
      <c r="BC5">
        <f>IF(BB5&lt;&gt;"",INDEX($AE$2:$AP$440,MATCH($AT5,$AS$2:$AS$440,0),COLUMNS($AT$2:BB5)),"")</f>
        <v>43</v>
      </c>
      <c r="BD5">
        <f>IF(BC5&lt;&gt;"",INDEX($AE$2:$AP$440,MATCH($AT5,$AS$2:$AS$440,0),COLUMNS($AT$2:BC5)),"")</f>
        <v>21</v>
      </c>
      <c r="BE5">
        <f>IF(BD5&lt;&gt;"",INDEX($AE$2:$AP$440,MATCH($AT5,$AS$2:$AS$440,0),COLUMNS($AT$2:BD5)),"")</f>
        <v>68</v>
      </c>
      <c r="BF5">
        <f>IF(BE5&lt;&gt;"",INDEX($AE$2:$AP$440,MATCH($AT5,$AS$2:$AS$440,0),COLUMNS($AT$2:BE5)),"")</f>
        <v>4</v>
      </c>
      <c r="BH5" s="1">
        <v>2003</v>
      </c>
      <c r="BI5" s="1">
        <v>1</v>
      </c>
      <c r="BJ5" s="1" t="s">
        <v>12</v>
      </c>
      <c r="BK5" s="1">
        <v>38</v>
      </c>
      <c r="BL5" s="1">
        <v>26</v>
      </c>
      <c r="BM5" s="1">
        <v>12</v>
      </c>
      <c r="BN5" s="1">
        <v>0</v>
      </c>
      <c r="BO5" s="1">
        <v>73</v>
      </c>
      <c r="BP5" s="1">
        <v>26</v>
      </c>
      <c r="BQ5" s="1">
        <v>47</v>
      </c>
      <c r="BR5" s="1">
        <v>90</v>
      </c>
      <c r="BS5" s="11">
        <f t="shared" si="2"/>
        <v>0.68421052631578949</v>
      </c>
      <c r="BU5" s="1">
        <v>2001</v>
      </c>
      <c r="BV5" s="1">
        <v>18</v>
      </c>
      <c r="BW5" s="1" t="s">
        <v>15</v>
      </c>
      <c r="BX5" s="1">
        <v>38</v>
      </c>
      <c r="BY5" s="1">
        <v>9</v>
      </c>
      <c r="BZ5" s="1">
        <v>9</v>
      </c>
      <c r="CA5" s="1">
        <v>20</v>
      </c>
      <c r="CB5" s="1">
        <v>41</v>
      </c>
      <c r="CC5" s="1">
        <v>64</v>
      </c>
      <c r="CD5" s="1">
        <v>-23</v>
      </c>
      <c r="CE5" s="1">
        <v>36</v>
      </c>
      <c r="CF5" s="17">
        <f t="shared" si="3"/>
        <v>0.23684210526315788</v>
      </c>
      <c r="CI5" s="25" t="s">
        <v>71</v>
      </c>
      <c r="CJ5" s="25">
        <v>32</v>
      </c>
      <c r="CK5" s="25"/>
    </row>
    <row r="6" spans="1:89" x14ac:dyDescent="0.25">
      <c r="A6" s="3">
        <v>2000</v>
      </c>
      <c r="B6" s="3">
        <v>5</v>
      </c>
      <c r="C6" s="4" t="s">
        <v>15</v>
      </c>
      <c r="D6" s="3">
        <v>38</v>
      </c>
      <c r="E6" s="3">
        <v>20</v>
      </c>
      <c r="F6" s="3">
        <v>6</v>
      </c>
      <c r="G6" s="3">
        <v>12</v>
      </c>
      <c r="H6" s="3">
        <v>57</v>
      </c>
      <c r="I6" s="3">
        <v>42</v>
      </c>
      <c r="J6" s="3">
        <v>15</v>
      </c>
      <c r="K6" s="3">
        <v>66</v>
      </c>
      <c r="L6" s="6">
        <f>IF(Table2[[#This Row],['#]]=1,"Champion", IF(Table2[[#This Row],['#]]&gt;=18,"Relegated",Table2[[#This Row],['#]]))</f>
        <v>5</v>
      </c>
      <c r="N6">
        <f>IF(COUNTIF($O$2:O6,O6)=1,N5+1,N5)</f>
        <v>5</v>
      </c>
      <c r="O6" s="4" t="str">
        <f>Table2[[#This Row],[Team]]</f>
        <v>Ipswich Town</v>
      </c>
      <c r="P6" s="1" t="str">
        <f>IFERROR(VLOOKUP(ROWS($O$2:O6),$N$2:$O$441,2,0),"")</f>
        <v>Ipswich Town</v>
      </c>
      <c r="Q6" s="1">
        <f>IF(P6&lt;&gt;"",SUMPRODUCT(--(Table2[Team]=P6)),"")</f>
        <v>2</v>
      </c>
      <c r="R6" s="11">
        <f>IF(Q6&lt;&gt;"",Q6+ROWS($Q$2:Q6)/100,"")</f>
        <v>2.0499999999999998</v>
      </c>
      <c r="S6">
        <f>IF(R6&lt;&gt;"",LARGE($R$2:$R$441,ROWS($R$2:R6)),"")</f>
        <v>22.02</v>
      </c>
      <c r="T6" s="1" t="str">
        <f>IF(R6&lt;&gt;"",INDEX($P$2:$Q$441,MATCH($S6,$R$2:$R$441,0),COLUMNS($S$2:S6)),"")</f>
        <v>Arsenal</v>
      </c>
      <c r="U6" s="1">
        <f>IF(S6&lt;&gt;"",INDEX($P$2:$Q$441,MATCH($S6,$R$2:$R$441,0),COLUMNS($S$2:T6)),"")</f>
        <v>22</v>
      </c>
      <c r="X6" t="b">
        <f t="shared" si="0"/>
        <v>1</v>
      </c>
      <c r="Y6">
        <f>IF(X6=TRUE,ROWS($X$2:X6))</f>
        <v>5</v>
      </c>
      <c r="Z6">
        <f>IFERROR(SMALL($Y$2:$Y$45,ROWS($Y$2:Y6)),"")</f>
        <v>5</v>
      </c>
      <c r="AA6" t="str">
        <f>IFERROR(INDEX($T$2:$U$441,MATCH($Z6,$Y$2:$Y$45,0),COLUMNS($Z$2:Z6)),"")</f>
        <v>Arsenal</v>
      </c>
      <c r="AB6">
        <f>IFERROR(INDEX($T$2:$U$441,MATCH($Z6,$Y$2:$Y$45,0),COLUMNS($Z$2:AA6)),"")</f>
        <v>22</v>
      </c>
      <c r="AE6" s="1">
        <f>Table2[[#This Row],[Year]]</f>
        <v>2000</v>
      </c>
      <c r="AF6" s="1">
        <f>Table2[[#This Row],['#]]</f>
        <v>5</v>
      </c>
      <c r="AG6" s="1" t="str">
        <f>Table2[[#This Row],[Team]]</f>
        <v>Ipswich Town</v>
      </c>
      <c r="AH6" s="1">
        <f>Table2[[#This Row],[Pl]]</f>
        <v>38</v>
      </c>
      <c r="AI6" s="1">
        <f>Table2[[#This Row],[W]]</f>
        <v>20</v>
      </c>
      <c r="AJ6" s="1">
        <f>Table2[[#This Row],[D]]</f>
        <v>6</v>
      </c>
      <c r="AK6" s="1">
        <f>Table2[[#This Row],[L]]</f>
        <v>12</v>
      </c>
      <c r="AL6" s="1">
        <f>Table2[[#This Row],[F]]</f>
        <v>57</v>
      </c>
      <c r="AM6" s="1">
        <f>Table2[[#This Row],[A]]</f>
        <v>42</v>
      </c>
      <c r="AN6" s="1">
        <f>Table2[[#This Row],[GD]]</f>
        <v>15</v>
      </c>
      <c r="AO6" s="1">
        <f>Table2[[#This Row],[Pts]]</f>
        <v>66</v>
      </c>
      <c r="AP6" s="1">
        <f>Table2[[#This Row],[Column1]]</f>
        <v>5</v>
      </c>
      <c r="AR6" t="b">
        <f t="shared" si="1"/>
        <v>1</v>
      </c>
      <c r="AS6">
        <f>IF(AR6,ROWS($AR$2:AR6),"")</f>
        <v>5</v>
      </c>
      <c r="AT6">
        <f>IFERROR(SMALL($AS$2:$AS$440,ROWS($AS$2:AS6)),"")</f>
        <v>5</v>
      </c>
      <c r="AU6">
        <f>IF(AT6&lt;&gt;"",INDEX($AE$2:$AP$440,MATCH($AT6,$AS$2:$AS$440,0),COLUMNS($AT$2:AT6)),"")</f>
        <v>2000</v>
      </c>
      <c r="AV6">
        <f>IF(AU6&lt;&gt;"",INDEX($AE$2:$AP$440,MATCH($AT6,$AS$2:$AS$440,0),COLUMNS($AT$2:AU6)),"")</f>
        <v>5</v>
      </c>
      <c r="AW6" t="str">
        <f>IF(AV6&lt;&gt;"",INDEX($AE$2:$AP$440,MATCH($AT6,$AS$2:$AS$440,0),COLUMNS($AT$2:AV6)),"")</f>
        <v>Ipswich Town</v>
      </c>
      <c r="AX6">
        <f>IF(AW6&lt;&gt;"",INDEX($AE$2:$AP$440,MATCH($AT6,$AS$2:$AS$440,0),COLUMNS($AT$2:AW6)),"")</f>
        <v>38</v>
      </c>
      <c r="AY6">
        <f>IF(AX6&lt;&gt;"",INDEX($AE$2:$AP$440,MATCH($AT6,$AS$2:$AS$440,0),COLUMNS($AT$2:AX6)),"")</f>
        <v>20</v>
      </c>
      <c r="AZ6">
        <f>IF(AY6&lt;&gt;"",INDEX($AE$2:$AP$440,MATCH($AT6,$AS$2:$AS$440,0),COLUMNS($AT$2:AY6)),"")</f>
        <v>6</v>
      </c>
      <c r="BA6">
        <f>IF(AZ6&lt;&gt;"",INDEX($AE$2:$AP$440,MATCH($AT6,$AS$2:$AS$440,0),COLUMNS($AT$2:AZ6)),"")</f>
        <v>12</v>
      </c>
      <c r="BB6">
        <f>IF(BA6&lt;&gt;"",INDEX($AE$2:$AP$440,MATCH($AT6,$AS$2:$AS$440,0),COLUMNS($AT$2:BA6)),"")</f>
        <v>57</v>
      </c>
      <c r="BC6">
        <f>IF(BB6&lt;&gt;"",INDEX($AE$2:$AP$440,MATCH($AT6,$AS$2:$AS$440,0),COLUMNS($AT$2:BB6)),"")</f>
        <v>42</v>
      </c>
      <c r="BD6">
        <f>IF(BC6&lt;&gt;"",INDEX($AE$2:$AP$440,MATCH($AT6,$AS$2:$AS$440,0),COLUMNS($AT$2:BC6)),"")</f>
        <v>15</v>
      </c>
      <c r="BE6">
        <f>IF(BD6&lt;&gt;"",INDEX($AE$2:$AP$440,MATCH($AT6,$AS$2:$AS$440,0),COLUMNS($AT$2:BD6)),"")</f>
        <v>66</v>
      </c>
      <c r="BF6">
        <f>IF(BE6&lt;&gt;"",INDEX($AE$2:$AP$440,MATCH($AT6,$AS$2:$AS$440,0),COLUMNS($AT$2:BE6)),"")</f>
        <v>5</v>
      </c>
      <c r="BH6" s="1">
        <v>2004</v>
      </c>
      <c r="BI6" s="1">
        <v>1</v>
      </c>
      <c r="BJ6" s="1" t="s">
        <v>16</v>
      </c>
      <c r="BK6" s="1">
        <v>38</v>
      </c>
      <c r="BL6" s="1">
        <v>29</v>
      </c>
      <c r="BM6" s="1">
        <v>8</v>
      </c>
      <c r="BN6" s="1">
        <v>1</v>
      </c>
      <c r="BO6" s="1">
        <v>72</v>
      </c>
      <c r="BP6" s="1">
        <v>15</v>
      </c>
      <c r="BQ6" s="1">
        <v>57</v>
      </c>
      <c r="BR6" s="1">
        <v>95</v>
      </c>
      <c r="BS6" s="11">
        <f t="shared" si="2"/>
        <v>0.76315789473684215</v>
      </c>
      <c r="BU6" s="1">
        <v>2001</v>
      </c>
      <c r="BV6" s="1">
        <v>19</v>
      </c>
      <c r="BW6" s="1" t="s">
        <v>27</v>
      </c>
      <c r="BX6" s="1">
        <v>38</v>
      </c>
      <c r="BY6" s="1">
        <v>8</v>
      </c>
      <c r="BZ6" s="1">
        <v>6</v>
      </c>
      <c r="CA6" s="1">
        <v>24</v>
      </c>
      <c r="CB6" s="1">
        <v>33</v>
      </c>
      <c r="CC6" s="1">
        <v>63</v>
      </c>
      <c r="CD6" s="1">
        <v>-30</v>
      </c>
      <c r="CE6" s="1">
        <v>30</v>
      </c>
      <c r="CF6" s="17">
        <f t="shared" si="3"/>
        <v>0.21052631578947367</v>
      </c>
      <c r="CI6" s="25" t="s">
        <v>72</v>
      </c>
      <c r="CJ6" s="25">
        <v>34</v>
      </c>
      <c r="CK6" s="25"/>
    </row>
    <row r="7" spans="1:89" x14ac:dyDescent="0.25">
      <c r="A7" s="5">
        <v>2000</v>
      </c>
      <c r="B7" s="5">
        <v>6</v>
      </c>
      <c r="C7" s="6" t="s">
        <v>16</v>
      </c>
      <c r="D7" s="5">
        <v>38</v>
      </c>
      <c r="E7" s="5">
        <v>17</v>
      </c>
      <c r="F7" s="5">
        <v>10</v>
      </c>
      <c r="G7" s="5">
        <v>11</v>
      </c>
      <c r="H7" s="5">
        <v>68</v>
      </c>
      <c r="I7" s="5">
        <v>45</v>
      </c>
      <c r="J7" s="5">
        <v>23</v>
      </c>
      <c r="K7" s="5">
        <v>61</v>
      </c>
      <c r="L7" s="6">
        <f>IF(Table2[[#This Row],['#]]=1,"Champion", IF(Table2[[#This Row],['#]]&gt;=18,"Relegated",Table2[[#This Row],['#]]))</f>
        <v>6</v>
      </c>
      <c r="N7">
        <f>IF(COUNTIF($O$2:O7,O7)=1,N6+1,N6)</f>
        <v>6</v>
      </c>
      <c r="O7" s="4" t="str">
        <f>Table2[[#This Row],[Team]]</f>
        <v>Chelsea</v>
      </c>
      <c r="P7" s="1" t="str">
        <f>IFERROR(VLOOKUP(ROWS($O$2:O7),$N$2:$O$441,2,0),"")</f>
        <v>Chelsea</v>
      </c>
      <c r="Q7" s="1">
        <f>IF(P7&lt;&gt;"",SUMPRODUCT(--(Table2[Team]=P7)),"")</f>
        <v>22</v>
      </c>
      <c r="R7" s="11">
        <f>IF(Q7&lt;&gt;"",Q7+ROWS($Q$2:Q7)/100,"")</f>
        <v>22.06</v>
      </c>
      <c r="S7">
        <f>IF(R7&lt;&gt;"",LARGE($R$2:$R$441,ROWS($R$2:R7)),"")</f>
        <v>22.01</v>
      </c>
      <c r="T7" s="1" t="str">
        <f>IF(R7&lt;&gt;"",INDEX($P$2:$Q$441,MATCH($S7,$R$2:$R$441,0),COLUMNS($S$2:S7)),"")</f>
        <v>Manchester United</v>
      </c>
      <c r="U7" s="1">
        <f>IF(S7&lt;&gt;"",INDEX($P$2:$Q$441,MATCH($S7,$R$2:$R$441,0),COLUMNS($S$2:T7)),"")</f>
        <v>22</v>
      </c>
      <c r="X7" t="b">
        <f t="shared" si="0"/>
        <v>1</v>
      </c>
      <c r="Y7">
        <f>IF(X7=TRUE,ROWS($X$2:X7))</f>
        <v>6</v>
      </c>
      <c r="Z7">
        <f>IFERROR(SMALL($Y$2:$Y$45,ROWS($Y$2:Y7)),"")</f>
        <v>6</v>
      </c>
      <c r="AA7" t="str">
        <f>IFERROR(INDEX($T$2:$U$441,MATCH($Z7,$Y$2:$Y$45,0),COLUMNS($Z$2:Z7)),"")</f>
        <v>Manchester United</v>
      </c>
      <c r="AB7">
        <f>IFERROR(INDEX($T$2:$U$441,MATCH($Z7,$Y$2:$Y$45,0),COLUMNS($Z$2:AA7)),"")</f>
        <v>22</v>
      </c>
      <c r="AE7" s="1">
        <f>Table2[[#This Row],[Year]]</f>
        <v>2000</v>
      </c>
      <c r="AF7" s="1">
        <f>Table2[[#This Row],['#]]</f>
        <v>6</v>
      </c>
      <c r="AG7" s="1" t="str">
        <f>Table2[[#This Row],[Team]]</f>
        <v>Chelsea</v>
      </c>
      <c r="AH7" s="1">
        <f>Table2[[#This Row],[Pl]]</f>
        <v>38</v>
      </c>
      <c r="AI7" s="1">
        <f>Table2[[#This Row],[W]]</f>
        <v>17</v>
      </c>
      <c r="AJ7" s="1">
        <f>Table2[[#This Row],[D]]</f>
        <v>10</v>
      </c>
      <c r="AK7" s="1">
        <f>Table2[[#This Row],[L]]</f>
        <v>11</v>
      </c>
      <c r="AL7" s="1">
        <f>Table2[[#This Row],[F]]</f>
        <v>68</v>
      </c>
      <c r="AM7" s="1">
        <f>Table2[[#This Row],[A]]</f>
        <v>45</v>
      </c>
      <c r="AN7" s="1">
        <f>Table2[[#This Row],[GD]]</f>
        <v>23</v>
      </c>
      <c r="AO7" s="1">
        <f>Table2[[#This Row],[Pts]]</f>
        <v>61</v>
      </c>
      <c r="AP7" s="1">
        <f>Table2[[#This Row],[Column1]]</f>
        <v>6</v>
      </c>
      <c r="AR7" t="b">
        <f t="shared" si="1"/>
        <v>1</v>
      </c>
      <c r="AS7">
        <f>IF(AR7,ROWS($AR$2:AR7),"")</f>
        <v>6</v>
      </c>
      <c r="AT7">
        <f>IFERROR(SMALL($AS$2:$AS$440,ROWS($AS$2:AS7)),"")</f>
        <v>6</v>
      </c>
      <c r="AU7">
        <f>IF(AT7&lt;&gt;"",INDEX($AE$2:$AP$440,MATCH($AT7,$AS$2:$AS$440,0),COLUMNS($AT$2:AT7)),"")</f>
        <v>2000</v>
      </c>
      <c r="AV7">
        <f>IF(AU7&lt;&gt;"",INDEX($AE$2:$AP$440,MATCH($AT7,$AS$2:$AS$440,0),COLUMNS($AT$2:AU7)),"")</f>
        <v>6</v>
      </c>
      <c r="AW7" t="str">
        <f>IF(AV7&lt;&gt;"",INDEX($AE$2:$AP$440,MATCH($AT7,$AS$2:$AS$440,0),COLUMNS($AT$2:AV7)),"")</f>
        <v>Chelsea</v>
      </c>
      <c r="AX7">
        <f>IF(AW7&lt;&gt;"",INDEX($AE$2:$AP$440,MATCH($AT7,$AS$2:$AS$440,0),COLUMNS($AT$2:AW7)),"")</f>
        <v>38</v>
      </c>
      <c r="AY7">
        <f>IF(AX7&lt;&gt;"",INDEX($AE$2:$AP$440,MATCH($AT7,$AS$2:$AS$440,0),COLUMNS($AT$2:AX7)),"")</f>
        <v>17</v>
      </c>
      <c r="AZ7">
        <f>IF(AY7&lt;&gt;"",INDEX($AE$2:$AP$440,MATCH($AT7,$AS$2:$AS$440,0),COLUMNS($AT$2:AY7)),"")</f>
        <v>10</v>
      </c>
      <c r="BA7">
        <f>IF(AZ7&lt;&gt;"",INDEX($AE$2:$AP$440,MATCH($AT7,$AS$2:$AS$440,0),COLUMNS($AT$2:AZ7)),"")</f>
        <v>11</v>
      </c>
      <c r="BB7">
        <f>IF(BA7&lt;&gt;"",INDEX($AE$2:$AP$440,MATCH($AT7,$AS$2:$AS$440,0),COLUMNS($AT$2:BA7)),"")</f>
        <v>68</v>
      </c>
      <c r="BC7">
        <f>IF(BB7&lt;&gt;"",INDEX($AE$2:$AP$440,MATCH($AT7,$AS$2:$AS$440,0),COLUMNS($AT$2:BB7)),"")</f>
        <v>45</v>
      </c>
      <c r="BD7">
        <f>IF(BC7&lt;&gt;"",INDEX($AE$2:$AP$440,MATCH($AT7,$AS$2:$AS$440,0),COLUMNS($AT$2:BC7)),"")</f>
        <v>23</v>
      </c>
      <c r="BE7">
        <f>IF(BD7&lt;&gt;"",INDEX($AE$2:$AP$440,MATCH($AT7,$AS$2:$AS$440,0),COLUMNS($AT$2:BD7)),"")</f>
        <v>61</v>
      </c>
      <c r="BF7">
        <f>IF(BE7&lt;&gt;"",INDEX($AE$2:$AP$440,MATCH($AT7,$AS$2:$AS$440,0),COLUMNS($AT$2:BE7)),"")</f>
        <v>6</v>
      </c>
      <c r="BH7" s="1">
        <v>2005</v>
      </c>
      <c r="BI7" s="1">
        <v>1</v>
      </c>
      <c r="BJ7" s="1" t="s">
        <v>16</v>
      </c>
      <c r="BK7" s="1">
        <v>38</v>
      </c>
      <c r="BL7" s="1">
        <v>29</v>
      </c>
      <c r="BM7" s="1">
        <v>4</v>
      </c>
      <c r="BN7" s="1">
        <v>5</v>
      </c>
      <c r="BO7" s="1">
        <v>72</v>
      </c>
      <c r="BP7" s="1">
        <v>22</v>
      </c>
      <c r="BQ7" s="1">
        <v>50</v>
      </c>
      <c r="BR7" s="1">
        <v>91</v>
      </c>
      <c r="BS7" s="11">
        <f t="shared" si="2"/>
        <v>0.76315789473684215</v>
      </c>
      <c r="BU7" s="1">
        <v>2001</v>
      </c>
      <c r="BV7" s="1">
        <v>20</v>
      </c>
      <c r="BW7" s="1" t="s">
        <v>23</v>
      </c>
      <c r="BX7" s="1">
        <v>38</v>
      </c>
      <c r="BY7" s="1">
        <v>5</v>
      </c>
      <c r="BZ7" s="1">
        <v>13</v>
      </c>
      <c r="CA7" s="1">
        <v>20</v>
      </c>
      <c r="CB7" s="1">
        <v>30</v>
      </c>
      <c r="CC7" s="1">
        <v>64</v>
      </c>
      <c r="CD7" s="1">
        <v>-34</v>
      </c>
      <c r="CE7" s="1">
        <v>28</v>
      </c>
      <c r="CF7" s="17">
        <f t="shared" si="3"/>
        <v>0.13157894736842105</v>
      </c>
      <c r="CI7" s="25" t="s">
        <v>73</v>
      </c>
      <c r="CJ7" s="25">
        <v>6.2154030787419927</v>
      </c>
      <c r="CK7" s="25"/>
    </row>
    <row r="8" spans="1:89" x14ac:dyDescent="0.25">
      <c r="A8" s="3">
        <v>2000</v>
      </c>
      <c r="B8" s="3">
        <v>7</v>
      </c>
      <c r="C8" s="4" t="s">
        <v>17</v>
      </c>
      <c r="D8" s="3">
        <v>38</v>
      </c>
      <c r="E8" s="3">
        <v>15</v>
      </c>
      <c r="F8" s="3">
        <v>12</v>
      </c>
      <c r="G8" s="3">
        <v>11</v>
      </c>
      <c r="H8" s="3">
        <v>46</v>
      </c>
      <c r="I8" s="3">
        <v>41</v>
      </c>
      <c r="J8" s="3">
        <v>5</v>
      </c>
      <c r="K8" s="3">
        <v>57</v>
      </c>
      <c r="L8" s="6">
        <f>IF(Table2[[#This Row],['#]]=1,"Champion", IF(Table2[[#This Row],['#]]&gt;=18,"Relegated",Table2[[#This Row],['#]]))</f>
        <v>7</v>
      </c>
      <c r="N8">
        <f>IF(COUNTIF($O$2:O8,O8)=1,N7+1,N7)</f>
        <v>7</v>
      </c>
      <c r="O8" s="4" t="str">
        <f>Table2[[#This Row],[Team]]</f>
        <v>Sunderland</v>
      </c>
      <c r="P8" s="1" t="str">
        <f>IFERROR(VLOOKUP(ROWS($O$2:O8),$N$2:$O$441,2,0),"")</f>
        <v>Sunderland</v>
      </c>
      <c r="Q8" s="1">
        <f>IF(P8&lt;&gt;"",SUMPRODUCT(--(Table2[Team]=P8)),"")</f>
        <v>14</v>
      </c>
      <c r="R8" s="11">
        <f>IF(Q8&lt;&gt;"",Q8+ROWS($Q$2:Q8)/100,"")</f>
        <v>14.07</v>
      </c>
      <c r="S8">
        <f>IF(R8&lt;&gt;"",LARGE($R$2:$R$441,ROWS($R$2:R8)),"")</f>
        <v>21.18</v>
      </c>
      <c r="T8" s="1" t="str">
        <f>IF(R8&lt;&gt;"",INDEX($P$2:$Q$441,MATCH($S8,$R$2:$R$441,0),COLUMNS($S$2:S8)),"")</f>
        <v>Manchester City</v>
      </c>
      <c r="U8" s="1">
        <f>IF(S8&lt;&gt;"",INDEX($P$2:$Q$441,MATCH($S8,$R$2:$R$441,0),COLUMNS($S$2:T8)),"")</f>
        <v>21</v>
      </c>
      <c r="X8" t="b">
        <f t="shared" si="0"/>
        <v>1</v>
      </c>
      <c r="Y8">
        <f>IF(X8=TRUE,ROWS($X$2:X8))</f>
        <v>7</v>
      </c>
      <c r="Z8">
        <f>IFERROR(SMALL($Y$2:$Y$45,ROWS($Y$2:Y8)),"")</f>
        <v>7</v>
      </c>
      <c r="AA8" t="str">
        <f>IFERROR(INDEX($T$2:$U$441,MATCH($Z8,$Y$2:$Y$45,0),COLUMNS($Z$2:Z8)),"")</f>
        <v>Manchester City</v>
      </c>
      <c r="AB8">
        <f>IFERROR(INDEX($T$2:$U$441,MATCH($Z8,$Y$2:$Y$45,0),COLUMNS($Z$2:AA8)),"")</f>
        <v>21</v>
      </c>
      <c r="AE8" s="1">
        <f>Table2[[#This Row],[Year]]</f>
        <v>2000</v>
      </c>
      <c r="AF8" s="1">
        <f>Table2[[#This Row],['#]]</f>
        <v>7</v>
      </c>
      <c r="AG8" s="1" t="str">
        <f>Table2[[#This Row],[Team]]</f>
        <v>Sunderland</v>
      </c>
      <c r="AH8" s="1">
        <f>Table2[[#This Row],[Pl]]</f>
        <v>38</v>
      </c>
      <c r="AI8" s="1">
        <f>Table2[[#This Row],[W]]</f>
        <v>15</v>
      </c>
      <c r="AJ8" s="1">
        <f>Table2[[#This Row],[D]]</f>
        <v>12</v>
      </c>
      <c r="AK8" s="1">
        <f>Table2[[#This Row],[L]]</f>
        <v>11</v>
      </c>
      <c r="AL8" s="1">
        <f>Table2[[#This Row],[F]]</f>
        <v>46</v>
      </c>
      <c r="AM8" s="1">
        <f>Table2[[#This Row],[A]]</f>
        <v>41</v>
      </c>
      <c r="AN8" s="1">
        <f>Table2[[#This Row],[GD]]</f>
        <v>5</v>
      </c>
      <c r="AO8" s="1">
        <f>Table2[[#This Row],[Pts]]</f>
        <v>57</v>
      </c>
      <c r="AP8" s="1">
        <f>Table2[[#This Row],[Column1]]</f>
        <v>7</v>
      </c>
      <c r="AR8" t="b">
        <f t="shared" si="1"/>
        <v>1</v>
      </c>
      <c r="AS8">
        <f>IF(AR8,ROWS($AR$2:AR8),"")</f>
        <v>7</v>
      </c>
      <c r="AT8">
        <f>IFERROR(SMALL($AS$2:$AS$440,ROWS($AS$2:AS8)),"")</f>
        <v>7</v>
      </c>
      <c r="AU8">
        <f>IF(AT8&lt;&gt;"",INDEX($AE$2:$AP$440,MATCH($AT8,$AS$2:$AS$440,0),COLUMNS($AT$2:AT8)),"")</f>
        <v>2000</v>
      </c>
      <c r="AV8">
        <f>IF(AU8&lt;&gt;"",INDEX($AE$2:$AP$440,MATCH($AT8,$AS$2:$AS$440,0),COLUMNS($AT$2:AU8)),"")</f>
        <v>7</v>
      </c>
      <c r="AW8" t="str">
        <f>IF(AV8&lt;&gt;"",INDEX($AE$2:$AP$440,MATCH($AT8,$AS$2:$AS$440,0),COLUMNS($AT$2:AV8)),"")</f>
        <v>Sunderland</v>
      </c>
      <c r="AX8">
        <f>IF(AW8&lt;&gt;"",INDEX($AE$2:$AP$440,MATCH($AT8,$AS$2:$AS$440,0),COLUMNS($AT$2:AW8)),"")</f>
        <v>38</v>
      </c>
      <c r="AY8">
        <f>IF(AX8&lt;&gt;"",INDEX($AE$2:$AP$440,MATCH($AT8,$AS$2:$AS$440,0),COLUMNS($AT$2:AX8)),"")</f>
        <v>15</v>
      </c>
      <c r="AZ8">
        <f>IF(AY8&lt;&gt;"",INDEX($AE$2:$AP$440,MATCH($AT8,$AS$2:$AS$440,0),COLUMNS($AT$2:AY8)),"")</f>
        <v>12</v>
      </c>
      <c r="BA8">
        <f>IF(AZ8&lt;&gt;"",INDEX($AE$2:$AP$440,MATCH($AT8,$AS$2:$AS$440,0),COLUMNS($AT$2:AZ8)),"")</f>
        <v>11</v>
      </c>
      <c r="BB8">
        <f>IF(BA8&lt;&gt;"",INDEX($AE$2:$AP$440,MATCH($AT8,$AS$2:$AS$440,0),COLUMNS($AT$2:BA8)),"")</f>
        <v>46</v>
      </c>
      <c r="BC8">
        <f>IF(BB8&lt;&gt;"",INDEX($AE$2:$AP$440,MATCH($AT8,$AS$2:$AS$440,0),COLUMNS($AT$2:BB8)),"")</f>
        <v>41</v>
      </c>
      <c r="BD8">
        <f>IF(BC8&lt;&gt;"",INDEX($AE$2:$AP$440,MATCH($AT8,$AS$2:$AS$440,0),COLUMNS($AT$2:BC8)),"")</f>
        <v>5</v>
      </c>
      <c r="BE8">
        <f>IF(BD8&lt;&gt;"",INDEX($AE$2:$AP$440,MATCH($AT8,$AS$2:$AS$440,0),COLUMNS($AT$2:BD8)),"")</f>
        <v>57</v>
      </c>
      <c r="BF8">
        <f>IF(BE8&lt;&gt;"",INDEX($AE$2:$AP$440,MATCH($AT8,$AS$2:$AS$440,0),COLUMNS($AT$2:BE8)),"")</f>
        <v>7</v>
      </c>
      <c r="BH8" s="1">
        <v>2006</v>
      </c>
      <c r="BI8" s="1">
        <v>1</v>
      </c>
      <c r="BJ8" s="1" t="s">
        <v>11</v>
      </c>
      <c r="BK8" s="1">
        <v>38</v>
      </c>
      <c r="BL8" s="1">
        <v>0</v>
      </c>
      <c r="BM8" s="1">
        <v>0</v>
      </c>
      <c r="BN8" s="1">
        <v>0</v>
      </c>
      <c r="BO8" s="1">
        <v>0</v>
      </c>
      <c r="BP8" s="1">
        <v>0</v>
      </c>
      <c r="BQ8" s="1">
        <v>0</v>
      </c>
      <c r="BR8" s="1">
        <v>89</v>
      </c>
      <c r="BS8" s="11">
        <f t="shared" si="2"/>
        <v>0</v>
      </c>
      <c r="BU8" s="1">
        <v>2002</v>
      </c>
      <c r="BV8" s="1">
        <v>18</v>
      </c>
      <c r="BW8" s="1" t="s">
        <v>25</v>
      </c>
      <c r="BX8" s="1">
        <v>38</v>
      </c>
      <c r="BY8" s="1">
        <v>10</v>
      </c>
      <c r="BZ8" s="1">
        <v>12</v>
      </c>
      <c r="CA8" s="1">
        <v>16</v>
      </c>
      <c r="CB8" s="1">
        <v>42</v>
      </c>
      <c r="CC8" s="1">
        <v>59</v>
      </c>
      <c r="CD8" s="1">
        <v>-17</v>
      </c>
      <c r="CE8" s="1">
        <v>42</v>
      </c>
      <c r="CF8" s="17">
        <f t="shared" si="3"/>
        <v>0.26315789473684209</v>
      </c>
      <c r="CI8" s="25" t="s">
        <v>74</v>
      </c>
      <c r="CJ8" s="25">
        <v>38.631235431235446</v>
      </c>
      <c r="CK8" s="25"/>
    </row>
    <row r="9" spans="1:89" x14ac:dyDescent="0.25">
      <c r="A9" s="5">
        <v>2000</v>
      </c>
      <c r="B9" s="5">
        <v>8</v>
      </c>
      <c r="C9" s="6" t="s">
        <v>18</v>
      </c>
      <c r="D9" s="5">
        <v>38</v>
      </c>
      <c r="E9" s="5">
        <v>13</v>
      </c>
      <c r="F9" s="5">
        <v>15</v>
      </c>
      <c r="G9" s="5">
        <v>10</v>
      </c>
      <c r="H9" s="5">
        <v>46</v>
      </c>
      <c r="I9" s="5">
        <v>43</v>
      </c>
      <c r="J9" s="5">
        <v>3</v>
      </c>
      <c r="K9" s="5">
        <v>54</v>
      </c>
      <c r="L9" s="6">
        <f>IF(Table2[[#This Row],['#]]=1,"Champion", IF(Table2[[#This Row],['#]]&gt;=18,"Relegated",Table2[[#This Row],['#]]))</f>
        <v>8</v>
      </c>
      <c r="N9">
        <f>IF(COUNTIF($O$2:O9,O9)=1,N8+1,N8)</f>
        <v>8</v>
      </c>
      <c r="O9" s="4" t="str">
        <f>Table2[[#This Row],[Team]]</f>
        <v>Aston Villa</v>
      </c>
      <c r="P9" s="1" t="str">
        <f>IFERROR(VLOOKUP(ROWS($O$2:O9),$N$2:$O$441,2,0),"")</f>
        <v>Aston Villa</v>
      </c>
      <c r="Q9" s="1">
        <f>IF(P9&lt;&gt;"",SUMPRODUCT(--(Table2[Team]=P9)),"")</f>
        <v>19</v>
      </c>
      <c r="R9" s="11">
        <f>IF(Q9&lt;&gt;"",Q9+ROWS($Q$2:Q9)/100,"")</f>
        <v>19.079999999999998</v>
      </c>
      <c r="S9">
        <f>IF(R9&lt;&gt;"",LARGE($R$2:$R$441,ROWS($R$2:R9)),"")</f>
        <v>20.11</v>
      </c>
      <c r="T9" s="1" t="str">
        <f>IF(R9&lt;&gt;"",INDEX($P$2:$Q$441,MATCH($S9,$R$2:$R$441,0),COLUMNS($S$2:S9)),"")</f>
        <v>Newcastle United</v>
      </c>
      <c r="U9" s="1">
        <f>IF(S9&lt;&gt;"",INDEX($P$2:$Q$441,MATCH($S9,$R$2:$R$441,0),COLUMNS($S$2:T9)),"")</f>
        <v>20</v>
      </c>
      <c r="X9" t="b">
        <f t="shared" si="0"/>
        <v>1</v>
      </c>
      <c r="Y9">
        <f>IF(X9=TRUE,ROWS($X$2:X9))</f>
        <v>8</v>
      </c>
      <c r="Z9">
        <f>IFERROR(SMALL($Y$2:$Y$45,ROWS($Y$2:Y9)),"")</f>
        <v>8</v>
      </c>
      <c r="AA9" t="str">
        <f>IFERROR(INDEX($T$2:$U$441,MATCH($Z9,$Y$2:$Y$45,0),COLUMNS($Z$2:Z9)),"")</f>
        <v>Newcastle United</v>
      </c>
      <c r="AB9">
        <f>IFERROR(INDEX($T$2:$U$441,MATCH($Z9,$Y$2:$Y$45,0),COLUMNS($Z$2:AA9)),"")</f>
        <v>20</v>
      </c>
      <c r="AE9" s="1">
        <f>Table2[[#This Row],[Year]]</f>
        <v>2000</v>
      </c>
      <c r="AF9" s="1">
        <f>Table2[[#This Row],['#]]</f>
        <v>8</v>
      </c>
      <c r="AG9" s="1" t="str">
        <f>Table2[[#This Row],[Team]]</f>
        <v>Aston Villa</v>
      </c>
      <c r="AH9" s="1">
        <f>Table2[[#This Row],[Pl]]</f>
        <v>38</v>
      </c>
      <c r="AI9" s="1">
        <f>Table2[[#This Row],[W]]</f>
        <v>13</v>
      </c>
      <c r="AJ9" s="1">
        <f>Table2[[#This Row],[D]]</f>
        <v>15</v>
      </c>
      <c r="AK9" s="1">
        <f>Table2[[#This Row],[L]]</f>
        <v>10</v>
      </c>
      <c r="AL9" s="1">
        <f>Table2[[#This Row],[F]]</f>
        <v>46</v>
      </c>
      <c r="AM9" s="1">
        <f>Table2[[#This Row],[A]]</f>
        <v>43</v>
      </c>
      <c r="AN9" s="1">
        <f>Table2[[#This Row],[GD]]</f>
        <v>3</v>
      </c>
      <c r="AO9" s="1">
        <f>Table2[[#This Row],[Pts]]</f>
        <v>54</v>
      </c>
      <c r="AP9" s="1">
        <f>Table2[[#This Row],[Column1]]</f>
        <v>8</v>
      </c>
      <c r="AR9" t="b">
        <f t="shared" si="1"/>
        <v>1</v>
      </c>
      <c r="AS9">
        <f>IF(AR9,ROWS($AR$2:AR9),"")</f>
        <v>8</v>
      </c>
      <c r="AT9">
        <f>IFERROR(SMALL($AS$2:$AS$440,ROWS($AS$2:AS9)),"")</f>
        <v>8</v>
      </c>
      <c r="AU9">
        <f>IF(AT9&lt;&gt;"",INDEX($AE$2:$AP$440,MATCH($AT9,$AS$2:$AS$440,0),COLUMNS($AT$2:AT9)),"")</f>
        <v>2000</v>
      </c>
      <c r="AV9">
        <f>IF(AU9&lt;&gt;"",INDEX($AE$2:$AP$440,MATCH($AT9,$AS$2:$AS$440,0),COLUMNS($AT$2:AU9)),"")</f>
        <v>8</v>
      </c>
      <c r="AW9" t="str">
        <f>IF(AV9&lt;&gt;"",INDEX($AE$2:$AP$440,MATCH($AT9,$AS$2:$AS$440,0),COLUMNS($AT$2:AV9)),"")</f>
        <v>Aston Villa</v>
      </c>
      <c r="AX9">
        <f>IF(AW9&lt;&gt;"",INDEX($AE$2:$AP$440,MATCH($AT9,$AS$2:$AS$440,0),COLUMNS($AT$2:AW9)),"")</f>
        <v>38</v>
      </c>
      <c r="AY9">
        <f>IF(AX9&lt;&gt;"",INDEX($AE$2:$AP$440,MATCH($AT9,$AS$2:$AS$440,0),COLUMNS($AT$2:AX9)),"")</f>
        <v>13</v>
      </c>
      <c r="AZ9">
        <f>IF(AY9&lt;&gt;"",INDEX($AE$2:$AP$440,MATCH($AT9,$AS$2:$AS$440,0),COLUMNS($AT$2:AY9)),"")</f>
        <v>15</v>
      </c>
      <c r="BA9">
        <f>IF(AZ9&lt;&gt;"",INDEX($AE$2:$AP$440,MATCH($AT9,$AS$2:$AS$440,0),COLUMNS($AT$2:AZ9)),"")</f>
        <v>10</v>
      </c>
      <c r="BB9">
        <f>IF(BA9&lt;&gt;"",INDEX($AE$2:$AP$440,MATCH($AT9,$AS$2:$AS$440,0),COLUMNS($AT$2:BA9)),"")</f>
        <v>46</v>
      </c>
      <c r="BC9">
        <f>IF(BB9&lt;&gt;"",INDEX($AE$2:$AP$440,MATCH($AT9,$AS$2:$AS$440,0),COLUMNS($AT$2:BB9)),"")</f>
        <v>43</v>
      </c>
      <c r="BD9">
        <f>IF(BC9&lt;&gt;"",INDEX($AE$2:$AP$440,MATCH($AT9,$AS$2:$AS$440,0),COLUMNS($AT$2:BC9)),"")</f>
        <v>3</v>
      </c>
      <c r="BE9">
        <f>IF(BD9&lt;&gt;"",INDEX($AE$2:$AP$440,MATCH($AT9,$AS$2:$AS$440,0),COLUMNS($AT$2:BD9)),"")</f>
        <v>54</v>
      </c>
      <c r="BF9">
        <f>IF(BE9&lt;&gt;"",INDEX($AE$2:$AP$440,MATCH($AT9,$AS$2:$AS$440,0),COLUMNS($AT$2:BE9)),"")</f>
        <v>8</v>
      </c>
      <c r="BH9" s="1">
        <v>2007</v>
      </c>
      <c r="BI9" s="1">
        <v>1</v>
      </c>
      <c r="BJ9" s="1" t="s">
        <v>11</v>
      </c>
      <c r="BK9" s="1">
        <v>38</v>
      </c>
      <c r="BL9" s="1">
        <v>27</v>
      </c>
      <c r="BM9" s="1">
        <v>6</v>
      </c>
      <c r="BN9" s="1">
        <v>5</v>
      </c>
      <c r="BO9" s="1">
        <v>80</v>
      </c>
      <c r="BP9" s="1">
        <v>22</v>
      </c>
      <c r="BQ9" s="1">
        <v>58</v>
      </c>
      <c r="BR9" s="1">
        <v>87</v>
      </c>
      <c r="BS9" s="11">
        <f t="shared" si="2"/>
        <v>0.71052631578947367</v>
      </c>
      <c r="BU9" s="1">
        <v>2002</v>
      </c>
      <c r="BV9" s="1">
        <v>19</v>
      </c>
      <c r="BW9" s="1" t="s">
        <v>35</v>
      </c>
      <c r="BX9" s="1">
        <v>38</v>
      </c>
      <c r="BY9" s="1">
        <v>6</v>
      </c>
      <c r="BZ9" s="1">
        <v>8</v>
      </c>
      <c r="CA9" s="1">
        <v>24</v>
      </c>
      <c r="CB9" s="1">
        <v>29</v>
      </c>
      <c r="CC9" s="1">
        <v>65</v>
      </c>
      <c r="CD9" s="1">
        <v>-36</v>
      </c>
      <c r="CE9" s="1">
        <v>26</v>
      </c>
      <c r="CF9" s="17">
        <f t="shared" si="3"/>
        <v>0.15789473684210525</v>
      </c>
      <c r="CI9" s="25" t="s">
        <v>75</v>
      </c>
      <c r="CJ9" s="25">
        <v>0.86232523037678011</v>
      </c>
      <c r="CK9" s="25"/>
    </row>
    <row r="10" spans="1:89" x14ac:dyDescent="0.25">
      <c r="A10" s="3">
        <v>2000</v>
      </c>
      <c r="B10" s="3">
        <v>9</v>
      </c>
      <c r="C10" s="4" t="s">
        <v>19</v>
      </c>
      <c r="D10" s="3">
        <v>38</v>
      </c>
      <c r="E10" s="3">
        <v>14</v>
      </c>
      <c r="F10" s="3">
        <v>10</v>
      </c>
      <c r="G10" s="3">
        <v>14</v>
      </c>
      <c r="H10" s="3">
        <v>50</v>
      </c>
      <c r="I10" s="3">
        <v>57</v>
      </c>
      <c r="J10" s="3">
        <v>-7</v>
      </c>
      <c r="K10" s="3">
        <v>52</v>
      </c>
      <c r="L10" s="6">
        <f>IF(Table2[[#This Row],['#]]=1,"Champion", IF(Table2[[#This Row],['#]]&gt;=18,"Relegated",Table2[[#This Row],['#]]))</f>
        <v>9</v>
      </c>
      <c r="N10">
        <f>IF(COUNTIF($O$2:O10,O10)=1,N9+1,N9)</f>
        <v>9</v>
      </c>
      <c r="O10" s="4" t="str">
        <f>Table2[[#This Row],[Team]]</f>
        <v>Charlton Athletic</v>
      </c>
      <c r="P10" s="1" t="str">
        <f>IFERROR(VLOOKUP(ROWS($O$2:O10),$N$2:$O$441,2,0),"")</f>
        <v>Charlton Athletic</v>
      </c>
      <c r="Q10" s="1">
        <f>IF(P10&lt;&gt;"",SUMPRODUCT(--(Table2[Team]=P10)),"")</f>
        <v>7</v>
      </c>
      <c r="R10" s="11">
        <f>IF(Q10&lt;&gt;"",Q10+ROWS($Q$2:Q10)/100,"")</f>
        <v>7.09</v>
      </c>
      <c r="S10">
        <f>IF(R10&lt;&gt;"",LARGE($R$2:$R$441,ROWS($R$2:R10)),"")</f>
        <v>19.149999999999999</v>
      </c>
      <c r="T10" s="1" t="str">
        <f>IF(R10&lt;&gt;"",INDEX($P$2:$Q$441,MATCH($S10,$R$2:$R$441,0),COLUMNS($S$2:S10)),"")</f>
        <v>West Ham United</v>
      </c>
      <c r="U10" s="1">
        <f>IF(S10&lt;&gt;"",INDEX($P$2:$Q$441,MATCH($S10,$R$2:$R$441,0),COLUMNS($S$2:T10)),"")</f>
        <v>19</v>
      </c>
      <c r="X10" t="b">
        <f t="shared" si="0"/>
        <v>1</v>
      </c>
      <c r="Y10">
        <f>IF(X10=TRUE,ROWS($X$2:X10))</f>
        <v>9</v>
      </c>
      <c r="Z10">
        <f>IFERROR(SMALL($Y$2:$Y$45,ROWS($Y$2:Y10)),"")</f>
        <v>9</v>
      </c>
      <c r="AA10" t="str">
        <f>IFERROR(INDEX($T$2:$U$441,MATCH($Z10,$Y$2:$Y$45,0),COLUMNS($Z$2:Z10)),"")</f>
        <v>West Ham United</v>
      </c>
      <c r="AB10">
        <f>IFERROR(INDEX($T$2:$U$441,MATCH($Z10,$Y$2:$Y$45,0),COLUMNS($Z$2:AA10)),"")</f>
        <v>19</v>
      </c>
      <c r="AE10" s="1">
        <f>Table2[[#This Row],[Year]]</f>
        <v>2000</v>
      </c>
      <c r="AF10" s="1">
        <f>Table2[[#This Row],['#]]</f>
        <v>9</v>
      </c>
      <c r="AG10" s="1" t="str">
        <f>Table2[[#This Row],[Team]]</f>
        <v>Charlton Athletic</v>
      </c>
      <c r="AH10" s="1">
        <f>Table2[[#This Row],[Pl]]</f>
        <v>38</v>
      </c>
      <c r="AI10" s="1">
        <f>Table2[[#This Row],[W]]</f>
        <v>14</v>
      </c>
      <c r="AJ10" s="1">
        <f>Table2[[#This Row],[D]]</f>
        <v>10</v>
      </c>
      <c r="AK10" s="1">
        <f>Table2[[#This Row],[L]]</f>
        <v>14</v>
      </c>
      <c r="AL10" s="1">
        <f>Table2[[#This Row],[F]]</f>
        <v>50</v>
      </c>
      <c r="AM10" s="1">
        <f>Table2[[#This Row],[A]]</f>
        <v>57</v>
      </c>
      <c r="AN10" s="1">
        <f>Table2[[#This Row],[GD]]</f>
        <v>-7</v>
      </c>
      <c r="AO10" s="1">
        <f>Table2[[#This Row],[Pts]]</f>
        <v>52</v>
      </c>
      <c r="AP10" s="1">
        <f>Table2[[#This Row],[Column1]]</f>
        <v>9</v>
      </c>
      <c r="AR10" t="b">
        <f t="shared" si="1"/>
        <v>1</v>
      </c>
      <c r="AS10">
        <f>IF(AR10,ROWS($AR$2:AR10),"")</f>
        <v>9</v>
      </c>
      <c r="AT10">
        <f>IFERROR(SMALL($AS$2:$AS$440,ROWS($AS$2:AS10)),"")</f>
        <v>9</v>
      </c>
      <c r="AU10">
        <f>IF(AT10&lt;&gt;"",INDEX($AE$2:$AP$440,MATCH($AT10,$AS$2:$AS$440,0),COLUMNS($AT$2:AT10)),"")</f>
        <v>2000</v>
      </c>
      <c r="AV10">
        <f>IF(AU10&lt;&gt;"",INDEX($AE$2:$AP$440,MATCH($AT10,$AS$2:$AS$440,0),COLUMNS($AT$2:AU10)),"")</f>
        <v>9</v>
      </c>
      <c r="AW10" t="str">
        <f>IF(AV10&lt;&gt;"",INDEX($AE$2:$AP$440,MATCH($AT10,$AS$2:$AS$440,0),COLUMNS($AT$2:AV10)),"")</f>
        <v>Charlton Athletic</v>
      </c>
      <c r="AX10">
        <f>IF(AW10&lt;&gt;"",INDEX($AE$2:$AP$440,MATCH($AT10,$AS$2:$AS$440,0),COLUMNS($AT$2:AW10)),"")</f>
        <v>38</v>
      </c>
      <c r="AY10">
        <f>IF(AX10&lt;&gt;"",INDEX($AE$2:$AP$440,MATCH($AT10,$AS$2:$AS$440,0),COLUMNS($AT$2:AX10)),"")</f>
        <v>14</v>
      </c>
      <c r="AZ10">
        <f>IF(AY10&lt;&gt;"",INDEX($AE$2:$AP$440,MATCH($AT10,$AS$2:$AS$440,0),COLUMNS($AT$2:AY10)),"")</f>
        <v>10</v>
      </c>
      <c r="BA10">
        <f>IF(AZ10&lt;&gt;"",INDEX($AE$2:$AP$440,MATCH($AT10,$AS$2:$AS$440,0),COLUMNS($AT$2:AZ10)),"")</f>
        <v>14</v>
      </c>
      <c r="BB10">
        <f>IF(BA10&lt;&gt;"",INDEX($AE$2:$AP$440,MATCH($AT10,$AS$2:$AS$440,0),COLUMNS($AT$2:BA10)),"")</f>
        <v>50</v>
      </c>
      <c r="BC10">
        <f>IF(BB10&lt;&gt;"",INDEX($AE$2:$AP$440,MATCH($AT10,$AS$2:$AS$440,0),COLUMNS($AT$2:BB10)),"")</f>
        <v>57</v>
      </c>
      <c r="BD10">
        <f>IF(BC10&lt;&gt;"",INDEX($AE$2:$AP$440,MATCH($AT10,$AS$2:$AS$440,0),COLUMNS($AT$2:BC10)),"")</f>
        <v>-7</v>
      </c>
      <c r="BE10">
        <f>IF(BD10&lt;&gt;"",INDEX($AE$2:$AP$440,MATCH($AT10,$AS$2:$AS$440,0),COLUMNS($AT$2:BD10)),"")</f>
        <v>52</v>
      </c>
      <c r="BF10">
        <f>IF(BE10&lt;&gt;"",INDEX($AE$2:$AP$440,MATCH($AT10,$AS$2:$AS$440,0),COLUMNS($AT$2:BE10)),"")</f>
        <v>9</v>
      </c>
      <c r="BH10" s="1">
        <v>2008</v>
      </c>
      <c r="BI10" s="1">
        <v>1</v>
      </c>
      <c r="BJ10" s="1" t="s">
        <v>11</v>
      </c>
      <c r="BK10" s="1">
        <v>38</v>
      </c>
      <c r="BL10" s="1">
        <v>28</v>
      </c>
      <c r="BM10" s="1">
        <v>6</v>
      </c>
      <c r="BN10" s="1">
        <v>4</v>
      </c>
      <c r="BO10" s="1">
        <v>68</v>
      </c>
      <c r="BP10" s="1">
        <v>24</v>
      </c>
      <c r="BQ10" s="1">
        <v>44</v>
      </c>
      <c r="BR10" s="1">
        <v>90</v>
      </c>
      <c r="BS10" s="11">
        <f t="shared" si="2"/>
        <v>0.73684210526315785</v>
      </c>
      <c r="BU10" s="1">
        <v>2002</v>
      </c>
      <c r="BV10" s="1">
        <v>20</v>
      </c>
      <c r="BW10" s="1" t="s">
        <v>17</v>
      </c>
      <c r="BX10" s="1">
        <v>38</v>
      </c>
      <c r="BY10" s="1">
        <v>4</v>
      </c>
      <c r="BZ10" s="1">
        <v>7</v>
      </c>
      <c r="CA10" s="1">
        <v>27</v>
      </c>
      <c r="CB10" s="1">
        <v>21</v>
      </c>
      <c r="CC10" s="1">
        <v>65</v>
      </c>
      <c r="CD10" s="1">
        <v>-44</v>
      </c>
      <c r="CE10" s="1">
        <v>19</v>
      </c>
      <c r="CF10" s="17">
        <f t="shared" si="3"/>
        <v>0.10526315789473684</v>
      </c>
      <c r="CI10" s="25" t="s">
        <v>76</v>
      </c>
      <c r="CJ10" s="25">
        <v>-1.0053584448412634</v>
      </c>
      <c r="CK10" s="25"/>
    </row>
    <row r="11" spans="1:89" x14ac:dyDescent="0.25">
      <c r="A11" s="5">
        <v>2000</v>
      </c>
      <c r="B11" s="5">
        <v>10</v>
      </c>
      <c r="C11" s="6" t="s">
        <v>20</v>
      </c>
      <c r="D11" s="5">
        <v>38</v>
      </c>
      <c r="E11" s="5">
        <v>14</v>
      </c>
      <c r="F11" s="5">
        <v>10</v>
      </c>
      <c r="G11" s="5">
        <v>14</v>
      </c>
      <c r="H11" s="5">
        <v>40</v>
      </c>
      <c r="I11" s="5">
        <v>48</v>
      </c>
      <c r="J11" s="5">
        <v>-8</v>
      </c>
      <c r="K11" s="5">
        <v>52</v>
      </c>
      <c r="L11" s="6">
        <f>IF(Table2[[#This Row],['#]]=1,"Champion", IF(Table2[[#This Row],['#]]&gt;=18,"Relegated",Table2[[#This Row],['#]]))</f>
        <v>10</v>
      </c>
      <c r="N11">
        <f>IF(COUNTIF($O$2:O11,O11)=1,N10+1,N10)</f>
        <v>10</v>
      </c>
      <c r="O11" s="4" t="str">
        <f>Table2[[#This Row],[Team]]</f>
        <v>Southampton</v>
      </c>
      <c r="P11" s="1" t="str">
        <f>IFERROR(VLOOKUP(ROWS($O$2:O11),$N$2:$O$441,2,0),"")</f>
        <v>Southampton</v>
      </c>
      <c r="Q11" s="1">
        <f>IF(P11&lt;&gt;"",SUMPRODUCT(--(Table2[Team]=P11)),"")</f>
        <v>15</v>
      </c>
      <c r="R11" s="11">
        <f>IF(Q11&lt;&gt;"",Q11+ROWS($Q$2:Q11)/100,"")</f>
        <v>15.1</v>
      </c>
      <c r="S11">
        <f>IF(R11&lt;&gt;"",LARGE($R$2:$R$441,ROWS($R$2:R11)),"")</f>
        <v>19.079999999999998</v>
      </c>
      <c r="T11" s="1" t="str">
        <f>IF(R11&lt;&gt;"",INDEX($P$2:$Q$441,MATCH($S11,$R$2:$R$441,0),COLUMNS($S$2:S11)),"")</f>
        <v>Aston Villa</v>
      </c>
      <c r="U11" s="1">
        <f>IF(S11&lt;&gt;"",INDEX($P$2:$Q$441,MATCH($S11,$R$2:$R$441,0),COLUMNS($S$2:T11)),"")</f>
        <v>19</v>
      </c>
      <c r="X11" t="b">
        <f t="shared" si="0"/>
        <v>1</v>
      </c>
      <c r="Y11">
        <f>IF(X11=TRUE,ROWS($X$2:X11))</f>
        <v>10</v>
      </c>
      <c r="Z11">
        <f>IFERROR(SMALL($Y$2:$Y$45,ROWS($Y$2:Y11)),"")</f>
        <v>10</v>
      </c>
      <c r="AA11" t="str">
        <f>IFERROR(INDEX($T$2:$U$441,MATCH($Z11,$Y$2:$Y$45,0),COLUMNS($Z$2:Z11)),"")</f>
        <v>Aston Villa</v>
      </c>
      <c r="AB11">
        <f>IFERROR(INDEX($T$2:$U$441,MATCH($Z11,$Y$2:$Y$45,0),COLUMNS($Z$2:AA11)),"")</f>
        <v>19</v>
      </c>
      <c r="AE11" s="1">
        <f>Table2[[#This Row],[Year]]</f>
        <v>2000</v>
      </c>
      <c r="AF11" s="1">
        <f>Table2[[#This Row],['#]]</f>
        <v>10</v>
      </c>
      <c r="AG11" s="1" t="str">
        <f>Table2[[#This Row],[Team]]</f>
        <v>Southampton</v>
      </c>
      <c r="AH11" s="1">
        <f>Table2[[#This Row],[Pl]]</f>
        <v>38</v>
      </c>
      <c r="AI11" s="1">
        <f>Table2[[#This Row],[W]]</f>
        <v>14</v>
      </c>
      <c r="AJ11" s="1">
        <f>Table2[[#This Row],[D]]</f>
        <v>10</v>
      </c>
      <c r="AK11" s="1">
        <f>Table2[[#This Row],[L]]</f>
        <v>14</v>
      </c>
      <c r="AL11" s="1">
        <f>Table2[[#This Row],[F]]</f>
        <v>40</v>
      </c>
      <c r="AM11" s="1">
        <f>Table2[[#This Row],[A]]</f>
        <v>48</v>
      </c>
      <c r="AN11" s="1">
        <f>Table2[[#This Row],[GD]]</f>
        <v>-8</v>
      </c>
      <c r="AO11" s="1">
        <f>Table2[[#This Row],[Pts]]</f>
        <v>52</v>
      </c>
      <c r="AP11" s="1">
        <f>Table2[[#This Row],[Column1]]</f>
        <v>10</v>
      </c>
      <c r="AR11" t="b">
        <f t="shared" si="1"/>
        <v>1</v>
      </c>
      <c r="AS11">
        <f>IF(AR11,ROWS($AR$2:AR11),"")</f>
        <v>10</v>
      </c>
      <c r="AT11">
        <f>IFERROR(SMALL($AS$2:$AS$440,ROWS($AS$2:AS11)),"")</f>
        <v>10</v>
      </c>
      <c r="AU11">
        <f>IF(AT11&lt;&gt;"",INDEX($AE$2:$AP$440,MATCH($AT11,$AS$2:$AS$440,0),COLUMNS($AT$2:AT11)),"")</f>
        <v>2000</v>
      </c>
      <c r="AV11">
        <f>IF(AU11&lt;&gt;"",INDEX($AE$2:$AP$440,MATCH($AT11,$AS$2:$AS$440,0),COLUMNS($AT$2:AU11)),"")</f>
        <v>10</v>
      </c>
      <c r="AW11" t="str">
        <f>IF(AV11&lt;&gt;"",INDEX($AE$2:$AP$440,MATCH($AT11,$AS$2:$AS$440,0),COLUMNS($AT$2:AV11)),"")</f>
        <v>Southampton</v>
      </c>
      <c r="AX11">
        <f>IF(AW11&lt;&gt;"",INDEX($AE$2:$AP$440,MATCH($AT11,$AS$2:$AS$440,0),COLUMNS($AT$2:AW11)),"")</f>
        <v>38</v>
      </c>
      <c r="AY11">
        <f>IF(AX11&lt;&gt;"",INDEX($AE$2:$AP$440,MATCH($AT11,$AS$2:$AS$440,0),COLUMNS($AT$2:AX11)),"")</f>
        <v>14</v>
      </c>
      <c r="AZ11">
        <f>IF(AY11&lt;&gt;"",INDEX($AE$2:$AP$440,MATCH($AT11,$AS$2:$AS$440,0),COLUMNS($AT$2:AY11)),"")</f>
        <v>10</v>
      </c>
      <c r="BA11">
        <f>IF(AZ11&lt;&gt;"",INDEX($AE$2:$AP$440,MATCH($AT11,$AS$2:$AS$440,0),COLUMNS($AT$2:AZ11)),"")</f>
        <v>14</v>
      </c>
      <c r="BB11">
        <f>IF(BA11&lt;&gt;"",INDEX($AE$2:$AP$440,MATCH($AT11,$AS$2:$AS$440,0),COLUMNS($AT$2:BA11)),"")</f>
        <v>40</v>
      </c>
      <c r="BC11">
        <f>IF(BB11&lt;&gt;"",INDEX($AE$2:$AP$440,MATCH($AT11,$AS$2:$AS$440,0),COLUMNS($AT$2:BB11)),"")</f>
        <v>48</v>
      </c>
      <c r="BD11">
        <f>IF(BC11&lt;&gt;"",INDEX($AE$2:$AP$440,MATCH($AT11,$AS$2:$AS$440,0),COLUMNS($AT$2:BC11)),"")</f>
        <v>-8</v>
      </c>
      <c r="BE11">
        <f>IF(BD11&lt;&gt;"",INDEX($AE$2:$AP$440,MATCH($AT11,$AS$2:$AS$440,0),COLUMNS($AT$2:BD11)),"")</f>
        <v>52</v>
      </c>
      <c r="BF11">
        <f>IF(BE11&lt;&gt;"",INDEX($AE$2:$AP$440,MATCH($AT11,$AS$2:$AS$440,0),COLUMNS($AT$2:BE11)),"")</f>
        <v>10</v>
      </c>
      <c r="BH11" s="1">
        <v>2009</v>
      </c>
      <c r="BI11" s="1">
        <v>1</v>
      </c>
      <c r="BJ11" s="1" t="s">
        <v>16</v>
      </c>
      <c r="BK11" s="1">
        <v>38</v>
      </c>
      <c r="BL11" s="1">
        <v>27</v>
      </c>
      <c r="BM11" s="1">
        <v>5</v>
      </c>
      <c r="BN11" s="1">
        <v>6</v>
      </c>
      <c r="BO11" s="1">
        <v>103</v>
      </c>
      <c r="BP11" s="1">
        <v>32</v>
      </c>
      <c r="BQ11" s="1">
        <v>71</v>
      </c>
      <c r="BR11" s="1">
        <v>86</v>
      </c>
      <c r="BS11" s="11">
        <f t="shared" si="2"/>
        <v>0.71052631578947367</v>
      </c>
      <c r="BU11" s="1">
        <v>2003</v>
      </c>
      <c r="BV11" s="1">
        <v>18</v>
      </c>
      <c r="BW11" s="1" t="s">
        <v>23</v>
      </c>
      <c r="BX11" s="1">
        <v>38</v>
      </c>
      <c r="BY11" s="1">
        <v>6</v>
      </c>
      <c r="BZ11" s="1">
        <v>15</v>
      </c>
      <c r="CA11" s="1">
        <v>17</v>
      </c>
      <c r="CB11" s="1">
        <v>48</v>
      </c>
      <c r="CC11" s="1">
        <v>65</v>
      </c>
      <c r="CD11" s="1">
        <v>-17</v>
      </c>
      <c r="CE11" s="1">
        <v>33</v>
      </c>
      <c r="CF11" s="17">
        <f t="shared" si="3"/>
        <v>0.15789473684210525</v>
      </c>
      <c r="CI11" s="25" t="s">
        <v>77</v>
      </c>
      <c r="CJ11" s="25">
        <v>31</v>
      </c>
      <c r="CK11" s="25"/>
    </row>
    <row r="12" spans="1:89" x14ac:dyDescent="0.25">
      <c r="A12" s="3">
        <v>2000</v>
      </c>
      <c r="B12" s="3">
        <v>11</v>
      </c>
      <c r="C12" s="4" t="s">
        <v>21</v>
      </c>
      <c r="D12" s="3">
        <v>38</v>
      </c>
      <c r="E12" s="3">
        <v>14</v>
      </c>
      <c r="F12" s="3">
        <v>9</v>
      </c>
      <c r="G12" s="3">
        <v>15</v>
      </c>
      <c r="H12" s="3">
        <v>44</v>
      </c>
      <c r="I12" s="3">
        <v>50</v>
      </c>
      <c r="J12" s="3">
        <v>-6</v>
      </c>
      <c r="K12" s="3">
        <v>51</v>
      </c>
      <c r="L12" s="6">
        <f>IF(Table2[[#This Row],['#]]=1,"Champion", IF(Table2[[#This Row],['#]]&gt;=18,"Relegated",Table2[[#This Row],['#]]))</f>
        <v>11</v>
      </c>
      <c r="N12">
        <f>IF(COUNTIF($O$2:O12,O12)=1,N11+1,N11)</f>
        <v>11</v>
      </c>
      <c r="O12" s="4" t="str">
        <f>Table2[[#This Row],[Team]]</f>
        <v>Newcastle United</v>
      </c>
      <c r="P12" s="1" t="str">
        <f>IFERROR(VLOOKUP(ROWS($O$2:O12),$N$2:$O$441,2,0),"")</f>
        <v>Newcastle United</v>
      </c>
      <c r="Q12" s="1">
        <f>IF(P12&lt;&gt;"",SUMPRODUCT(--(Table2[Team]=P12)),"")</f>
        <v>20</v>
      </c>
      <c r="R12" s="11">
        <f>IF(Q12&lt;&gt;"",Q12+ROWS($Q$2:Q12)/100,"")</f>
        <v>20.11</v>
      </c>
      <c r="S12">
        <f>IF(R12&lt;&gt;"",LARGE($R$2:$R$441,ROWS($R$2:R12)),"")</f>
        <v>15.22</v>
      </c>
      <c r="T12" s="1" t="str">
        <f>IF(R12&lt;&gt;"",INDEX($P$2:$Q$441,MATCH($S12,$R$2:$R$441,0),COLUMNS($S$2:S12)),"")</f>
        <v>Fulham</v>
      </c>
      <c r="U12" s="1">
        <f>IF(S12&lt;&gt;"",INDEX($P$2:$Q$441,MATCH($S12,$R$2:$R$441,0),COLUMNS($S$2:T12)),"")</f>
        <v>15</v>
      </c>
      <c r="X12" t="b">
        <f t="shared" si="0"/>
        <v>1</v>
      </c>
      <c r="Y12">
        <f>IF(X12=TRUE,ROWS($X$2:X12))</f>
        <v>11</v>
      </c>
      <c r="Z12">
        <f>IFERROR(SMALL($Y$2:$Y$45,ROWS($Y$2:Y12)),"")</f>
        <v>11</v>
      </c>
      <c r="AA12" t="str">
        <f>IFERROR(INDEX($T$2:$U$441,MATCH($Z12,$Y$2:$Y$45,0),COLUMNS($Z$2:Z12)),"")</f>
        <v>Fulham</v>
      </c>
      <c r="AB12">
        <f>IFERROR(INDEX($T$2:$U$441,MATCH($Z12,$Y$2:$Y$45,0),COLUMNS($Z$2:AA12)),"")</f>
        <v>15</v>
      </c>
      <c r="AE12" s="1">
        <f>Table2[[#This Row],[Year]]</f>
        <v>2000</v>
      </c>
      <c r="AF12" s="1">
        <f>Table2[[#This Row],['#]]</f>
        <v>11</v>
      </c>
      <c r="AG12" s="1" t="str">
        <f>Table2[[#This Row],[Team]]</f>
        <v>Newcastle United</v>
      </c>
      <c r="AH12" s="1">
        <f>Table2[[#This Row],[Pl]]</f>
        <v>38</v>
      </c>
      <c r="AI12" s="1">
        <f>Table2[[#This Row],[W]]</f>
        <v>14</v>
      </c>
      <c r="AJ12" s="1">
        <f>Table2[[#This Row],[D]]</f>
        <v>9</v>
      </c>
      <c r="AK12" s="1">
        <f>Table2[[#This Row],[L]]</f>
        <v>15</v>
      </c>
      <c r="AL12" s="1">
        <f>Table2[[#This Row],[F]]</f>
        <v>44</v>
      </c>
      <c r="AM12" s="1">
        <f>Table2[[#This Row],[A]]</f>
        <v>50</v>
      </c>
      <c r="AN12" s="1">
        <f>Table2[[#This Row],[GD]]</f>
        <v>-6</v>
      </c>
      <c r="AO12" s="1">
        <f>Table2[[#This Row],[Pts]]</f>
        <v>51</v>
      </c>
      <c r="AP12" s="1">
        <f>Table2[[#This Row],[Column1]]</f>
        <v>11</v>
      </c>
      <c r="AR12" t="b">
        <f t="shared" si="1"/>
        <v>1</v>
      </c>
      <c r="AS12">
        <f>IF(AR12,ROWS($AR$2:AR12),"")</f>
        <v>11</v>
      </c>
      <c r="AT12">
        <f>IFERROR(SMALL($AS$2:$AS$440,ROWS($AS$2:AS12)),"")</f>
        <v>11</v>
      </c>
      <c r="AU12">
        <f>IF(AT12&lt;&gt;"",INDEX($AE$2:$AP$440,MATCH($AT12,$AS$2:$AS$440,0),COLUMNS($AT$2:AT12)),"")</f>
        <v>2000</v>
      </c>
      <c r="AV12">
        <f>IF(AU12&lt;&gt;"",INDEX($AE$2:$AP$440,MATCH($AT12,$AS$2:$AS$440,0),COLUMNS($AT$2:AU12)),"")</f>
        <v>11</v>
      </c>
      <c r="AW12" t="str">
        <f>IF(AV12&lt;&gt;"",INDEX($AE$2:$AP$440,MATCH($AT12,$AS$2:$AS$440,0),COLUMNS($AT$2:AV12)),"")</f>
        <v>Newcastle United</v>
      </c>
      <c r="AX12">
        <f>IF(AW12&lt;&gt;"",INDEX($AE$2:$AP$440,MATCH($AT12,$AS$2:$AS$440,0),COLUMNS($AT$2:AW12)),"")</f>
        <v>38</v>
      </c>
      <c r="AY12">
        <f>IF(AX12&lt;&gt;"",INDEX($AE$2:$AP$440,MATCH($AT12,$AS$2:$AS$440,0),COLUMNS($AT$2:AX12)),"")</f>
        <v>14</v>
      </c>
      <c r="AZ12">
        <f>IF(AY12&lt;&gt;"",INDEX($AE$2:$AP$440,MATCH($AT12,$AS$2:$AS$440,0),COLUMNS($AT$2:AY12)),"")</f>
        <v>9</v>
      </c>
      <c r="BA12">
        <f>IF(AZ12&lt;&gt;"",INDEX($AE$2:$AP$440,MATCH($AT12,$AS$2:$AS$440,0),COLUMNS($AT$2:AZ12)),"")</f>
        <v>15</v>
      </c>
      <c r="BB12">
        <f>IF(BA12&lt;&gt;"",INDEX($AE$2:$AP$440,MATCH($AT12,$AS$2:$AS$440,0),COLUMNS($AT$2:BA12)),"")</f>
        <v>44</v>
      </c>
      <c r="BC12">
        <f>IF(BB12&lt;&gt;"",INDEX($AE$2:$AP$440,MATCH($AT12,$AS$2:$AS$440,0),COLUMNS($AT$2:BB12)),"")</f>
        <v>50</v>
      </c>
      <c r="BD12">
        <f>IF(BC12&lt;&gt;"",INDEX($AE$2:$AP$440,MATCH($AT12,$AS$2:$AS$440,0),COLUMNS($AT$2:BC12)),"")</f>
        <v>-6</v>
      </c>
      <c r="BE12">
        <f>IF(BD12&lt;&gt;"",INDEX($AE$2:$AP$440,MATCH($AT12,$AS$2:$AS$440,0),COLUMNS($AT$2:BD12)),"")</f>
        <v>51</v>
      </c>
      <c r="BF12">
        <f>IF(BE12&lt;&gt;"",INDEX($AE$2:$AP$440,MATCH($AT12,$AS$2:$AS$440,0),COLUMNS($AT$2:BE12)),"")</f>
        <v>11</v>
      </c>
      <c r="BH12" s="1">
        <v>2010</v>
      </c>
      <c r="BI12" s="1">
        <v>1</v>
      </c>
      <c r="BJ12" s="1" t="s">
        <v>11</v>
      </c>
      <c r="BK12" s="1">
        <v>38</v>
      </c>
      <c r="BL12" s="1">
        <v>23</v>
      </c>
      <c r="BM12" s="1">
        <v>11</v>
      </c>
      <c r="BN12" s="1">
        <v>4</v>
      </c>
      <c r="BO12" s="1">
        <v>78</v>
      </c>
      <c r="BP12" s="1">
        <v>37</v>
      </c>
      <c r="BQ12" s="1">
        <v>41</v>
      </c>
      <c r="BR12" s="1">
        <v>80</v>
      </c>
      <c r="BS12" s="11">
        <f t="shared" si="2"/>
        <v>0.60526315789473684</v>
      </c>
      <c r="BU12" s="1">
        <v>2003</v>
      </c>
      <c r="BV12" s="1">
        <v>19</v>
      </c>
      <c r="BW12" s="1" t="s">
        <v>14</v>
      </c>
      <c r="BX12" s="1">
        <v>38</v>
      </c>
      <c r="BY12" s="1">
        <v>8</v>
      </c>
      <c r="BZ12" s="1">
        <v>9</v>
      </c>
      <c r="CA12" s="1">
        <v>21</v>
      </c>
      <c r="CB12" s="1">
        <v>40</v>
      </c>
      <c r="CC12" s="1">
        <v>79</v>
      </c>
      <c r="CD12" s="1">
        <v>-39</v>
      </c>
      <c r="CE12" s="1">
        <v>33</v>
      </c>
      <c r="CF12" s="17">
        <f t="shared" si="3"/>
        <v>0.21052631578947367</v>
      </c>
      <c r="CI12" s="25" t="s">
        <v>78</v>
      </c>
      <c r="CJ12" s="25">
        <v>11</v>
      </c>
      <c r="CK12" s="25"/>
    </row>
    <row r="13" spans="1:89" x14ac:dyDescent="0.25">
      <c r="A13" s="5">
        <v>2000</v>
      </c>
      <c r="B13" s="5">
        <v>12</v>
      </c>
      <c r="C13" s="6" t="s">
        <v>22</v>
      </c>
      <c r="D13" s="5">
        <v>38</v>
      </c>
      <c r="E13" s="5">
        <v>13</v>
      </c>
      <c r="F13" s="5">
        <v>10</v>
      </c>
      <c r="G13" s="5">
        <v>15</v>
      </c>
      <c r="H13" s="5">
        <v>47</v>
      </c>
      <c r="I13" s="5">
        <v>54</v>
      </c>
      <c r="J13" s="5">
        <v>-7</v>
      </c>
      <c r="K13" s="5">
        <v>49</v>
      </c>
      <c r="L13" s="6">
        <f>IF(Table2[[#This Row],['#]]=1,"Champion", IF(Table2[[#This Row],['#]]&gt;=18,"Relegated",Table2[[#This Row],['#]]))</f>
        <v>12</v>
      </c>
      <c r="N13">
        <f>IF(COUNTIF($O$2:O13,O13)=1,N12+1,N12)</f>
        <v>12</v>
      </c>
      <c r="O13" s="4" t="str">
        <f>Table2[[#This Row],[Team]]</f>
        <v>Tottenham Hotspur</v>
      </c>
      <c r="P13" s="1" t="str">
        <f>IFERROR(VLOOKUP(ROWS($O$2:O13),$N$2:$O$441,2,0),"")</f>
        <v>Tottenham Hotspur</v>
      </c>
      <c r="Q13" s="1">
        <f>IF(P13&lt;&gt;"",SUMPRODUCT(--(Table2[Team]=P13)),"")</f>
        <v>22</v>
      </c>
      <c r="R13" s="11">
        <f>IF(Q13&lt;&gt;"",Q13+ROWS($Q$2:Q13)/100,"")</f>
        <v>22.12</v>
      </c>
      <c r="S13">
        <f>IF(R13&lt;&gt;"",LARGE($R$2:$R$441,ROWS($R$2:R13)),"")</f>
        <v>15.1</v>
      </c>
      <c r="T13" s="1" t="str">
        <f>IF(R13&lt;&gt;"",INDEX($P$2:$Q$441,MATCH($S13,$R$2:$R$441,0),COLUMNS($S$2:S13)),"")</f>
        <v>Southampton</v>
      </c>
      <c r="U13" s="1">
        <f>IF(S13&lt;&gt;"",INDEX($P$2:$Q$441,MATCH($S13,$R$2:$R$441,0),COLUMNS($S$2:T13)),"")</f>
        <v>15</v>
      </c>
      <c r="X13" t="b">
        <f t="shared" si="0"/>
        <v>1</v>
      </c>
      <c r="Y13">
        <f>IF(X13=TRUE,ROWS($X$2:X13))</f>
        <v>12</v>
      </c>
      <c r="Z13">
        <f>IFERROR(SMALL($Y$2:$Y$45,ROWS($Y$2:Y13)),"")</f>
        <v>12</v>
      </c>
      <c r="AA13" t="str">
        <f>IFERROR(INDEX($T$2:$U$441,MATCH($Z13,$Y$2:$Y$45,0),COLUMNS($Z$2:Z13)),"")</f>
        <v>Southampton</v>
      </c>
      <c r="AB13">
        <f>IFERROR(INDEX($T$2:$U$441,MATCH($Z13,$Y$2:$Y$45,0),COLUMNS($Z$2:AA13)),"")</f>
        <v>15</v>
      </c>
      <c r="AE13" s="1">
        <f>Table2[[#This Row],[Year]]</f>
        <v>2000</v>
      </c>
      <c r="AF13" s="1">
        <f>Table2[[#This Row],['#]]</f>
        <v>12</v>
      </c>
      <c r="AG13" s="1" t="str">
        <f>Table2[[#This Row],[Team]]</f>
        <v>Tottenham Hotspur</v>
      </c>
      <c r="AH13" s="1">
        <f>Table2[[#This Row],[Pl]]</f>
        <v>38</v>
      </c>
      <c r="AI13" s="1">
        <f>Table2[[#This Row],[W]]</f>
        <v>13</v>
      </c>
      <c r="AJ13" s="1">
        <f>Table2[[#This Row],[D]]</f>
        <v>10</v>
      </c>
      <c r="AK13" s="1">
        <f>Table2[[#This Row],[L]]</f>
        <v>15</v>
      </c>
      <c r="AL13" s="1">
        <f>Table2[[#This Row],[F]]</f>
        <v>47</v>
      </c>
      <c r="AM13" s="1">
        <f>Table2[[#This Row],[A]]</f>
        <v>54</v>
      </c>
      <c r="AN13" s="1">
        <f>Table2[[#This Row],[GD]]</f>
        <v>-7</v>
      </c>
      <c r="AO13" s="1">
        <f>Table2[[#This Row],[Pts]]</f>
        <v>49</v>
      </c>
      <c r="AP13" s="1">
        <f>Table2[[#This Row],[Column1]]</f>
        <v>12</v>
      </c>
      <c r="AR13" t="b">
        <f t="shared" si="1"/>
        <v>1</v>
      </c>
      <c r="AS13">
        <f>IF(AR13,ROWS($AR$2:AR13),"")</f>
        <v>12</v>
      </c>
      <c r="AT13">
        <f>IFERROR(SMALL($AS$2:$AS$440,ROWS($AS$2:AS13)),"")</f>
        <v>12</v>
      </c>
      <c r="AU13">
        <f>IF(AT13&lt;&gt;"",INDEX($AE$2:$AP$440,MATCH($AT13,$AS$2:$AS$440,0),COLUMNS($AT$2:AT13)),"")</f>
        <v>2000</v>
      </c>
      <c r="AV13">
        <f>IF(AU13&lt;&gt;"",INDEX($AE$2:$AP$440,MATCH($AT13,$AS$2:$AS$440,0),COLUMNS($AT$2:AU13)),"")</f>
        <v>12</v>
      </c>
      <c r="AW13" t="str">
        <f>IF(AV13&lt;&gt;"",INDEX($AE$2:$AP$440,MATCH($AT13,$AS$2:$AS$440,0),COLUMNS($AT$2:AV13)),"")</f>
        <v>Tottenham Hotspur</v>
      </c>
      <c r="AX13">
        <f>IF(AW13&lt;&gt;"",INDEX($AE$2:$AP$440,MATCH($AT13,$AS$2:$AS$440,0),COLUMNS($AT$2:AW13)),"")</f>
        <v>38</v>
      </c>
      <c r="AY13">
        <f>IF(AX13&lt;&gt;"",INDEX($AE$2:$AP$440,MATCH($AT13,$AS$2:$AS$440,0),COLUMNS($AT$2:AX13)),"")</f>
        <v>13</v>
      </c>
      <c r="AZ13">
        <f>IF(AY13&lt;&gt;"",INDEX($AE$2:$AP$440,MATCH($AT13,$AS$2:$AS$440,0),COLUMNS($AT$2:AY13)),"")</f>
        <v>10</v>
      </c>
      <c r="BA13">
        <f>IF(AZ13&lt;&gt;"",INDEX($AE$2:$AP$440,MATCH($AT13,$AS$2:$AS$440,0),COLUMNS($AT$2:AZ13)),"")</f>
        <v>15</v>
      </c>
      <c r="BB13">
        <f>IF(BA13&lt;&gt;"",INDEX($AE$2:$AP$440,MATCH($AT13,$AS$2:$AS$440,0),COLUMNS($AT$2:BA13)),"")</f>
        <v>47</v>
      </c>
      <c r="BC13">
        <f>IF(BB13&lt;&gt;"",INDEX($AE$2:$AP$440,MATCH($AT13,$AS$2:$AS$440,0),COLUMNS($AT$2:BB13)),"")</f>
        <v>54</v>
      </c>
      <c r="BD13">
        <f>IF(BC13&lt;&gt;"",INDEX($AE$2:$AP$440,MATCH($AT13,$AS$2:$AS$440,0),COLUMNS($AT$2:BC13)),"")</f>
        <v>-7</v>
      </c>
      <c r="BE13">
        <f>IF(BD13&lt;&gt;"",INDEX($AE$2:$AP$440,MATCH($AT13,$AS$2:$AS$440,0),COLUMNS($AT$2:BD13)),"")</f>
        <v>49</v>
      </c>
      <c r="BF13">
        <f>IF(BE13&lt;&gt;"",INDEX($AE$2:$AP$440,MATCH($AT13,$AS$2:$AS$440,0),COLUMNS($AT$2:BE13)),"")</f>
        <v>12</v>
      </c>
      <c r="BH13" s="1">
        <v>2011</v>
      </c>
      <c r="BI13" s="1">
        <v>1</v>
      </c>
      <c r="BJ13" s="1" t="s">
        <v>28</v>
      </c>
      <c r="BK13" s="1">
        <v>38</v>
      </c>
      <c r="BL13" s="1">
        <v>28</v>
      </c>
      <c r="BM13" s="1">
        <v>5</v>
      </c>
      <c r="BN13" s="1">
        <v>5</v>
      </c>
      <c r="BO13" s="1">
        <v>93</v>
      </c>
      <c r="BP13" s="1">
        <v>29</v>
      </c>
      <c r="BQ13" s="1">
        <v>64</v>
      </c>
      <c r="BR13" s="1">
        <v>89</v>
      </c>
      <c r="BS13" s="11">
        <f t="shared" si="2"/>
        <v>0.73684210526315785</v>
      </c>
      <c r="BU13" s="1">
        <v>2003</v>
      </c>
      <c r="BV13" s="1">
        <v>20</v>
      </c>
      <c r="BW13" s="1" t="s">
        <v>37</v>
      </c>
      <c r="BX13" s="1">
        <v>38</v>
      </c>
      <c r="BY13" s="1">
        <v>7</v>
      </c>
      <c r="BZ13" s="1">
        <v>12</v>
      </c>
      <c r="CA13" s="1">
        <v>19</v>
      </c>
      <c r="CB13" s="1">
        <v>38</v>
      </c>
      <c r="CC13" s="1">
        <v>77</v>
      </c>
      <c r="CD13" s="1">
        <v>-39</v>
      </c>
      <c r="CE13" s="1">
        <v>33</v>
      </c>
      <c r="CF13" s="17">
        <f t="shared" si="3"/>
        <v>0.18421052631578946</v>
      </c>
      <c r="CI13" s="25" t="s">
        <v>79</v>
      </c>
      <c r="CJ13" s="25">
        <v>42</v>
      </c>
      <c r="CK13" s="25"/>
    </row>
    <row r="14" spans="1:89" x14ac:dyDescent="0.25">
      <c r="A14" s="3">
        <v>2000</v>
      </c>
      <c r="B14" s="3">
        <v>13</v>
      </c>
      <c r="C14" s="4" t="s">
        <v>23</v>
      </c>
      <c r="D14" s="3">
        <v>38</v>
      </c>
      <c r="E14" s="3">
        <v>14</v>
      </c>
      <c r="F14" s="3">
        <v>6</v>
      </c>
      <c r="G14" s="3">
        <v>18</v>
      </c>
      <c r="H14" s="3">
        <v>39</v>
      </c>
      <c r="I14" s="3">
        <v>51</v>
      </c>
      <c r="J14" s="3">
        <v>-12</v>
      </c>
      <c r="K14" s="3">
        <v>48</v>
      </c>
      <c r="L14" s="6">
        <f>IF(Table2[[#This Row],['#]]=1,"Champion", IF(Table2[[#This Row],['#]]&gt;=18,"Relegated",Table2[[#This Row],['#]]))</f>
        <v>13</v>
      </c>
      <c r="N14">
        <f>IF(COUNTIF($O$2:O14,O14)=1,N13+1,N13)</f>
        <v>13</v>
      </c>
      <c r="O14" s="4" t="str">
        <f>Table2[[#This Row],[Team]]</f>
        <v>Leicester City</v>
      </c>
      <c r="P14" s="1" t="str">
        <f>IFERROR(VLOOKUP(ROWS($O$2:O14),$N$2:$O$441,2,0),"")</f>
        <v>Leicester City</v>
      </c>
      <c r="Q14" s="1">
        <f>IF(P14&lt;&gt;"",SUMPRODUCT(--(Table2[Team]=P14)),"")</f>
        <v>11</v>
      </c>
      <c r="R14" s="11">
        <f>IF(Q14&lt;&gt;"",Q14+ROWS($Q$2:Q14)/100,"")</f>
        <v>11.13</v>
      </c>
      <c r="S14">
        <f>IF(R14&lt;&gt;"",LARGE($R$2:$R$441,ROWS($R$2:R14)),"")</f>
        <v>14.07</v>
      </c>
      <c r="T14" s="1" t="str">
        <f>IF(R14&lt;&gt;"",INDEX($P$2:$Q$441,MATCH($S14,$R$2:$R$441,0),COLUMNS($S$2:S14)),"")</f>
        <v>Sunderland</v>
      </c>
      <c r="U14" s="1">
        <f>IF(S14&lt;&gt;"",INDEX($P$2:$Q$441,MATCH($S14,$R$2:$R$441,0),COLUMNS($S$2:T14)),"")</f>
        <v>14</v>
      </c>
      <c r="X14" t="b">
        <f t="shared" si="0"/>
        <v>1</v>
      </c>
      <c r="Y14">
        <f>IF(X14=TRUE,ROWS($X$2:X14))</f>
        <v>13</v>
      </c>
      <c r="Z14">
        <f>IFERROR(SMALL($Y$2:$Y$45,ROWS($Y$2:Y14)),"")</f>
        <v>13</v>
      </c>
      <c r="AA14" t="str">
        <f>IFERROR(INDEX($T$2:$U$441,MATCH($Z14,$Y$2:$Y$45,0),COLUMNS($Z$2:Z14)),"")</f>
        <v>Sunderland</v>
      </c>
      <c r="AB14">
        <f>IFERROR(INDEX($T$2:$U$441,MATCH($Z14,$Y$2:$Y$45,0),COLUMNS($Z$2:AA14)),"")</f>
        <v>14</v>
      </c>
      <c r="AE14" s="1">
        <f>Table2[[#This Row],[Year]]</f>
        <v>2000</v>
      </c>
      <c r="AF14" s="1">
        <f>Table2[[#This Row],['#]]</f>
        <v>13</v>
      </c>
      <c r="AG14" s="1" t="str">
        <f>Table2[[#This Row],[Team]]</f>
        <v>Leicester City</v>
      </c>
      <c r="AH14" s="1">
        <f>Table2[[#This Row],[Pl]]</f>
        <v>38</v>
      </c>
      <c r="AI14" s="1">
        <f>Table2[[#This Row],[W]]</f>
        <v>14</v>
      </c>
      <c r="AJ14" s="1">
        <f>Table2[[#This Row],[D]]</f>
        <v>6</v>
      </c>
      <c r="AK14" s="1">
        <f>Table2[[#This Row],[L]]</f>
        <v>18</v>
      </c>
      <c r="AL14" s="1">
        <f>Table2[[#This Row],[F]]</f>
        <v>39</v>
      </c>
      <c r="AM14" s="1">
        <f>Table2[[#This Row],[A]]</f>
        <v>51</v>
      </c>
      <c r="AN14" s="1">
        <f>Table2[[#This Row],[GD]]</f>
        <v>-12</v>
      </c>
      <c r="AO14" s="1">
        <f>Table2[[#This Row],[Pts]]</f>
        <v>48</v>
      </c>
      <c r="AP14" s="1">
        <f>Table2[[#This Row],[Column1]]</f>
        <v>13</v>
      </c>
      <c r="AR14" t="b">
        <f t="shared" si="1"/>
        <v>1</v>
      </c>
      <c r="AS14">
        <f>IF(AR14,ROWS($AR$2:AR14),"")</f>
        <v>13</v>
      </c>
      <c r="AT14">
        <f>IFERROR(SMALL($AS$2:$AS$440,ROWS($AS$2:AS14)),"")</f>
        <v>13</v>
      </c>
      <c r="AU14">
        <f>IF(AT14&lt;&gt;"",INDEX($AE$2:$AP$440,MATCH($AT14,$AS$2:$AS$440,0),COLUMNS($AT$2:AT14)),"")</f>
        <v>2000</v>
      </c>
      <c r="AV14">
        <f>IF(AU14&lt;&gt;"",INDEX($AE$2:$AP$440,MATCH($AT14,$AS$2:$AS$440,0),COLUMNS($AT$2:AU14)),"")</f>
        <v>13</v>
      </c>
      <c r="AW14" t="str">
        <f>IF(AV14&lt;&gt;"",INDEX($AE$2:$AP$440,MATCH($AT14,$AS$2:$AS$440,0),COLUMNS($AT$2:AV14)),"")</f>
        <v>Leicester City</v>
      </c>
      <c r="AX14">
        <f>IF(AW14&lt;&gt;"",INDEX($AE$2:$AP$440,MATCH($AT14,$AS$2:$AS$440,0),COLUMNS($AT$2:AW14)),"")</f>
        <v>38</v>
      </c>
      <c r="AY14">
        <f>IF(AX14&lt;&gt;"",INDEX($AE$2:$AP$440,MATCH($AT14,$AS$2:$AS$440,0),COLUMNS($AT$2:AX14)),"")</f>
        <v>14</v>
      </c>
      <c r="AZ14">
        <f>IF(AY14&lt;&gt;"",INDEX($AE$2:$AP$440,MATCH($AT14,$AS$2:$AS$440,0),COLUMNS($AT$2:AY14)),"")</f>
        <v>6</v>
      </c>
      <c r="BA14">
        <f>IF(AZ14&lt;&gt;"",INDEX($AE$2:$AP$440,MATCH($AT14,$AS$2:$AS$440,0),COLUMNS($AT$2:AZ14)),"")</f>
        <v>18</v>
      </c>
      <c r="BB14">
        <f>IF(BA14&lt;&gt;"",INDEX($AE$2:$AP$440,MATCH($AT14,$AS$2:$AS$440,0),COLUMNS($AT$2:BA14)),"")</f>
        <v>39</v>
      </c>
      <c r="BC14">
        <f>IF(BB14&lt;&gt;"",INDEX($AE$2:$AP$440,MATCH($AT14,$AS$2:$AS$440,0),COLUMNS($AT$2:BB14)),"")</f>
        <v>51</v>
      </c>
      <c r="BD14">
        <f>IF(BC14&lt;&gt;"",INDEX($AE$2:$AP$440,MATCH($AT14,$AS$2:$AS$440,0),COLUMNS($AT$2:BC14)),"")</f>
        <v>-12</v>
      </c>
      <c r="BE14">
        <f>IF(BD14&lt;&gt;"",INDEX($AE$2:$AP$440,MATCH($AT14,$AS$2:$AS$440,0),COLUMNS($AT$2:BD14)),"")</f>
        <v>48</v>
      </c>
      <c r="BF14">
        <f>IF(BE14&lt;&gt;"",INDEX($AE$2:$AP$440,MATCH($AT14,$AS$2:$AS$440,0),COLUMNS($AT$2:BE14)),"")</f>
        <v>13</v>
      </c>
      <c r="BH14" s="1">
        <v>2012</v>
      </c>
      <c r="BI14" s="1">
        <v>1</v>
      </c>
      <c r="BJ14" s="1" t="s">
        <v>11</v>
      </c>
      <c r="BK14" s="1">
        <v>38</v>
      </c>
      <c r="BL14" s="1">
        <v>28</v>
      </c>
      <c r="BM14" s="1">
        <v>5</v>
      </c>
      <c r="BN14" s="1">
        <v>5</v>
      </c>
      <c r="BO14" s="1">
        <v>86</v>
      </c>
      <c r="BP14" s="1">
        <v>43</v>
      </c>
      <c r="BQ14" s="1">
        <v>43</v>
      </c>
      <c r="BR14" s="1">
        <v>89</v>
      </c>
      <c r="BS14" s="11">
        <f t="shared" si="2"/>
        <v>0.73684210526315785</v>
      </c>
      <c r="BU14" s="1">
        <v>2004</v>
      </c>
      <c r="BV14" s="1">
        <v>18</v>
      </c>
      <c r="BW14" s="1" t="s">
        <v>38</v>
      </c>
      <c r="BX14" s="1">
        <v>38</v>
      </c>
      <c r="BY14" s="1">
        <v>7</v>
      </c>
      <c r="BZ14" s="1">
        <v>12</v>
      </c>
      <c r="CA14" s="1">
        <v>19</v>
      </c>
      <c r="CB14" s="1">
        <v>41</v>
      </c>
      <c r="CC14" s="1">
        <v>62</v>
      </c>
      <c r="CD14" s="1">
        <v>-21</v>
      </c>
      <c r="CE14" s="1">
        <v>33</v>
      </c>
      <c r="CF14" s="17">
        <f t="shared" si="3"/>
        <v>0.18421052631578946</v>
      </c>
      <c r="CI14" s="25" t="s">
        <v>80</v>
      </c>
      <c r="CJ14" s="25">
        <v>1988</v>
      </c>
      <c r="CK14" s="25"/>
    </row>
    <row r="15" spans="1:89" ht="15.75" thickBot="1" x14ac:dyDescent="0.3">
      <c r="A15" s="5">
        <v>2000</v>
      </c>
      <c r="B15" s="5">
        <v>14</v>
      </c>
      <c r="C15" s="6" t="s">
        <v>24</v>
      </c>
      <c r="D15" s="5">
        <v>38</v>
      </c>
      <c r="E15" s="5">
        <v>9</v>
      </c>
      <c r="F15" s="5">
        <v>15</v>
      </c>
      <c r="G15" s="5">
        <v>14</v>
      </c>
      <c r="H15" s="5">
        <v>44</v>
      </c>
      <c r="I15" s="5">
        <v>44</v>
      </c>
      <c r="J15" s="5">
        <v>0</v>
      </c>
      <c r="K15" s="5">
        <v>42</v>
      </c>
      <c r="L15" s="6">
        <f>IF(Table2[[#This Row],['#]]=1,"Champion", IF(Table2[[#This Row],['#]]&gt;=18,"Relegated",Table2[[#This Row],['#]]))</f>
        <v>14</v>
      </c>
      <c r="N15">
        <f>IF(COUNTIF($O$2:O15,O15)=1,N14+1,N14)</f>
        <v>14</v>
      </c>
      <c r="O15" s="4" t="str">
        <f>Table2[[#This Row],[Team]]</f>
        <v>Middlesbrough</v>
      </c>
      <c r="P15" s="1" t="str">
        <f>IFERROR(VLOOKUP(ROWS($O$2:O15),$N$2:$O$441,2,0),"")</f>
        <v>Middlesbrough</v>
      </c>
      <c r="Q15" s="1">
        <f>IF(P15&lt;&gt;"",SUMPRODUCT(--(Table2[Team]=P15)),"")</f>
        <v>10</v>
      </c>
      <c r="R15" s="11">
        <f>IF(Q15&lt;&gt;"",Q15+ROWS($Q$2:Q15)/100,"")</f>
        <v>10.14</v>
      </c>
      <c r="S15">
        <f>IF(R15&lt;&gt;"",LARGE($R$2:$R$441,ROWS($R$2:R15)),"")</f>
        <v>13.25</v>
      </c>
      <c r="T15" s="1" t="str">
        <f>IF(R15&lt;&gt;"",INDEX($P$2:$Q$441,MATCH($S15,$R$2:$R$441,0),COLUMNS($S$2:S15)),"")</f>
        <v>West Bromwich Albion</v>
      </c>
      <c r="U15" s="1">
        <f>IF(S15&lt;&gt;"",INDEX($P$2:$Q$441,MATCH($S15,$R$2:$R$441,0),COLUMNS($S$2:T15)),"")</f>
        <v>13</v>
      </c>
      <c r="X15" t="b">
        <f t="shared" si="0"/>
        <v>1</v>
      </c>
      <c r="Y15">
        <f>IF(X15=TRUE,ROWS($X$2:X15))</f>
        <v>14</v>
      </c>
      <c r="Z15">
        <f>IFERROR(SMALL($Y$2:$Y$45,ROWS($Y$2:Y15)),"")</f>
        <v>14</v>
      </c>
      <c r="AA15" t="str">
        <f>IFERROR(INDEX($T$2:$U$441,MATCH($Z15,$Y$2:$Y$45,0),COLUMNS($Z$2:Z15)),"")</f>
        <v>West Bromwich Albion</v>
      </c>
      <c r="AB15">
        <f>IFERROR(INDEX($T$2:$U$441,MATCH($Z15,$Y$2:$Y$45,0),COLUMNS($Z$2:AA15)),"")</f>
        <v>13</v>
      </c>
      <c r="AE15" s="1">
        <f>Table2[[#This Row],[Year]]</f>
        <v>2000</v>
      </c>
      <c r="AF15" s="1">
        <f>Table2[[#This Row],['#]]</f>
        <v>14</v>
      </c>
      <c r="AG15" s="1" t="str">
        <f>Table2[[#This Row],[Team]]</f>
        <v>Middlesbrough</v>
      </c>
      <c r="AH15" s="1">
        <f>Table2[[#This Row],[Pl]]</f>
        <v>38</v>
      </c>
      <c r="AI15" s="1">
        <f>Table2[[#This Row],[W]]</f>
        <v>9</v>
      </c>
      <c r="AJ15" s="1">
        <f>Table2[[#This Row],[D]]</f>
        <v>15</v>
      </c>
      <c r="AK15" s="1">
        <f>Table2[[#This Row],[L]]</f>
        <v>14</v>
      </c>
      <c r="AL15" s="1">
        <f>Table2[[#This Row],[F]]</f>
        <v>44</v>
      </c>
      <c r="AM15" s="1">
        <f>Table2[[#This Row],[A]]</f>
        <v>44</v>
      </c>
      <c r="AN15" s="1">
        <f>Table2[[#This Row],[GD]]</f>
        <v>0</v>
      </c>
      <c r="AO15" s="1">
        <f>Table2[[#This Row],[Pts]]</f>
        <v>42</v>
      </c>
      <c r="AP15" s="1">
        <f>Table2[[#This Row],[Column1]]</f>
        <v>14</v>
      </c>
      <c r="AR15" t="b">
        <f t="shared" si="1"/>
        <v>1</v>
      </c>
      <c r="AS15">
        <f>IF(AR15,ROWS($AR$2:AR15),"")</f>
        <v>14</v>
      </c>
      <c r="AT15">
        <f>IFERROR(SMALL($AS$2:$AS$440,ROWS($AS$2:AS15)),"")</f>
        <v>14</v>
      </c>
      <c r="AU15">
        <f>IF(AT15&lt;&gt;"",INDEX($AE$2:$AP$440,MATCH($AT15,$AS$2:$AS$440,0),COLUMNS($AT$2:AT15)),"")</f>
        <v>2000</v>
      </c>
      <c r="AV15">
        <f>IF(AU15&lt;&gt;"",INDEX($AE$2:$AP$440,MATCH($AT15,$AS$2:$AS$440,0),COLUMNS($AT$2:AU15)),"")</f>
        <v>14</v>
      </c>
      <c r="AW15" t="str">
        <f>IF(AV15&lt;&gt;"",INDEX($AE$2:$AP$440,MATCH($AT15,$AS$2:$AS$440,0),COLUMNS($AT$2:AV15)),"")</f>
        <v>Middlesbrough</v>
      </c>
      <c r="AX15">
        <f>IF(AW15&lt;&gt;"",INDEX($AE$2:$AP$440,MATCH($AT15,$AS$2:$AS$440,0),COLUMNS($AT$2:AW15)),"")</f>
        <v>38</v>
      </c>
      <c r="AY15">
        <f>IF(AX15&lt;&gt;"",INDEX($AE$2:$AP$440,MATCH($AT15,$AS$2:$AS$440,0),COLUMNS($AT$2:AX15)),"")</f>
        <v>9</v>
      </c>
      <c r="AZ15">
        <f>IF(AY15&lt;&gt;"",INDEX($AE$2:$AP$440,MATCH($AT15,$AS$2:$AS$440,0),COLUMNS($AT$2:AY15)),"")</f>
        <v>15</v>
      </c>
      <c r="BA15">
        <f>IF(AZ15&lt;&gt;"",INDEX($AE$2:$AP$440,MATCH($AT15,$AS$2:$AS$440,0),COLUMNS($AT$2:AZ15)),"")</f>
        <v>14</v>
      </c>
      <c r="BB15">
        <f>IF(BA15&lt;&gt;"",INDEX($AE$2:$AP$440,MATCH($AT15,$AS$2:$AS$440,0),COLUMNS($AT$2:BA15)),"")</f>
        <v>44</v>
      </c>
      <c r="BC15">
        <f>IF(BB15&lt;&gt;"",INDEX($AE$2:$AP$440,MATCH($AT15,$AS$2:$AS$440,0),COLUMNS($AT$2:BB15)),"")</f>
        <v>44</v>
      </c>
      <c r="BD15">
        <f>IF(BC15&lt;&gt;"",INDEX($AE$2:$AP$440,MATCH($AT15,$AS$2:$AS$440,0),COLUMNS($AT$2:BC15)),"")</f>
        <v>0</v>
      </c>
      <c r="BE15">
        <f>IF(BD15&lt;&gt;"",INDEX($AE$2:$AP$440,MATCH($AT15,$AS$2:$AS$440,0),COLUMNS($AT$2:BD15)),"")</f>
        <v>42</v>
      </c>
      <c r="BF15">
        <f>IF(BE15&lt;&gt;"",INDEX($AE$2:$AP$440,MATCH($AT15,$AS$2:$AS$440,0),COLUMNS($AT$2:BE15)),"")</f>
        <v>14</v>
      </c>
      <c r="BH15" s="1">
        <v>2013</v>
      </c>
      <c r="BI15" s="1">
        <v>1</v>
      </c>
      <c r="BJ15" s="1" t="s">
        <v>28</v>
      </c>
      <c r="BK15" s="1">
        <v>38</v>
      </c>
      <c r="BL15" s="1">
        <v>27</v>
      </c>
      <c r="BM15" s="1">
        <v>5</v>
      </c>
      <c r="BN15" s="1">
        <v>6</v>
      </c>
      <c r="BO15" s="1">
        <v>102</v>
      </c>
      <c r="BP15" s="1">
        <v>37</v>
      </c>
      <c r="BQ15" s="1">
        <v>65</v>
      </c>
      <c r="BR15" s="1">
        <v>86</v>
      </c>
      <c r="BS15" s="11">
        <f t="shared" si="2"/>
        <v>0.71052631578947367</v>
      </c>
      <c r="BU15" s="1">
        <v>2004</v>
      </c>
      <c r="BV15" s="1">
        <v>19</v>
      </c>
      <c r="BW15" s="1" t="s">
        <v>39</v>
      </c>
      <c r="BX15" s="1">
        <v>38</v>
      </c>
      <c r="BY15" s="1">
        <v>7</v>
      </c>
      <c r="BZ15" s="1">
        <v>12</v>
      </c>
      <c r="CA15" s="1">
        <v>19</v>
      </c>
      <c r="CB15" s="1">
        <v>42</v>
      </c>
      <c r="CC15" s="1">
        <v>77</v>
      </c>
      <c r="CD15" s="1">
        <v>-35</v>
      </c>
      <c r="CE15" s="1">
        <v>33</v>
      </c>
      <c r="CF15" s="17">
        <f t="shared" si="3"/>
        <v>0.18421052631578946</v>
      </c>
      <c r="CI15" s="26" t="s">
        <v>81</v>
      </c>
      <c r="CJ15" s="26">
        <v>66</v>
      </c>
      <c r="CK15" s="25"/>
    </row>
    <row r="16" spans="1:89" x14ac:dyDescent="0.25">
      <c r="A16" s="3">
        <v>2000</v>
      </c>
      <c r="B16" s="3">
        <v>15</v>
      </c>
      <c r="C16" s="4" t="s">
        <v>25</v>
      </c>
      <c r="D16" s="3">
        <v>38</v>
      </c>
      <c r="E16" s="3">
        <v>10</v>
      </c>
      <c r="F16" s="3">
        <v>12</v>
      </c>
      <c r="G16" s="3">
        <v>16</v>
      </c>
      <c r="H16" s="3">
        <v>45</v>
      </c>
      <c r="I16" s="3">
        <v>50</v>
      </c>
      <c r="J16" s="3">
        <v>-5</v>
      </c>
      <c r="K16" s="3">
        <v>42</v>
      </c>
      <c r="L16" s="6">
        <f>IF(Table2[[#This Row],['#]]=1,"Champion", IF(Table2[[#This Row],['#]]&gt;=18,"Relegated",Table2[[#This Row],['#]]))</f>
        <v>15</v>
      </c>
      <c r="N16">
        <f>IF(COUNTIF($O$2:O16,O16)=1,N15+1,N15)</f>
        <v>15</v>
      </c>
      <c r="O16" s="4" t="str">
        <f>Table2[[#This Row],[Team]]</f>
        <v>West Ham United</v>
      </c>
      <c r="P16" s="1" t="str">
        <f>IFERROR(VLOOKUP(ROWS($O$2:O16),$N$2:$O$441,2,0),"")</f>
        <v>West Ham United</v>
      </c>
      <c r="Q16" s="1">
        <f>IF(P16&lt;&gt;"",SUMPRODUCT(--(Table2[Team]=P16)),"")</f>
        <v>19</v>
      </c>
      <c r="R16" s="11">
        <f>IF(Q16&lt;&gt;"",Q16+ROWS($Q$2:Q16)/100,"")</f>
        <v>19.149999999999999</v>
      </c>
      <c r="S16">
        <f>IF(R16&lt;&gt;"",LARGE($R$2:$R$441,ROWS($R$2:R16)),"")</f>
        <v>11.23</v>
      </c>
      <c r="T16" s="1" t="str">
        <f>IF(R16&lt;&gt;"",INDEX($P$2:$Q$441,MATCH($S16,$R$2:$R$441,0),COLUMNS($S$2:S16)),"")</f>
        <v>Bolton Wanderers</v>
      </c>
      <c r="U16" s="1">
        <f>IF(S16&lt;&gt;"",INDEX($P$2:$Q$441,MATCH($S16,$R$2:$R$441,0),COLUMNS($S$2:T16)),"")</f>
        <v>11</v>
      </c>
      <c r="X16" t="b">
        <f t="shared" si="0"/>
        <v>1</v>
      </c>
      <c r="Y16">
        <f>IF(X16=TRUE,ROWS($X$2:X16))</f>
        <v>15</v>
      </c>
      <c r="Z16">
        <f>IFERROR(SMALL($Y$2:$Y$45,ROWS($Y$2:Y16)),"")</f>
        <v>15</v>
      </c>
      <c r="AA16" t="str">
        <f>IFERROR(INDEX($T$2:$U$441,MATCH($Z16,$Y$2:$Y$45,0),COLUMNS($Z$2:Z16)),"")</f>
        <v>Bolton Wanderers</v>
      </c>
      <c r="AB16">
        <f>IFERROR(INDEX($T$2:$U$441,MATCH($Z16,$Y$2:$Y$45,0),COLUMNS($Z$2:AA16)),"")</f>
        <v>11</v>
      </c>
      <c r="AE16" s="1">
        <f>Table2[[#This Row],[Year]]</f>
        <v>2000</v>
      </c>
      <c r="AF16" s="1">
        <f>Table2[[#This Row],['#]]</f>
        <v>15</v>
      </c>
      <c r="AG16" s="1" t="str">
        <f>Table2[[#This Row],[Team]]</f>
        <v>West Ham United</v>
      </c>
      <c r="AH16" s="1">
        <f>Table2[[#This Row],[Pl]]</f>
        <v>38</v>
      </c>
      <c r="AI16" s="1">
        <f>Table2[[#This Row],[W]]</f>
        <v>10</v>
      </c>
      <c r="AJ16" s="1">
        <f>Table2[[#This Row],[D]]</f>
        <v>12</v>
      </c>
      <c r="AK16" s="1">
        <f>Table2[[#This Row],[L]]</f>
        <v>16</v>
      </c>
      <c r="AL16" s="1">
        <f>Table2[[#This Row],[F]]</f>
        <v>45</v>
      </c>
      <c r="AM16" s="1">
        <f>Table2[[#This Row],[A]]</f>
        <v>50</v>
      </c>
      <c r="AN16" s="1">
        <f>Table2[[#This Row],[GD]]</f>
        <v>-5</v>
      </c>
      <c r="AO16" s="1">
        <f>Table2[[#This Row],[Pts]]</f>
        <v>42</v>
      </c>
      <c r="AP16" s="1">
        <f>Table2[[#This Row],[Column1]]</f>
        <v>15</v>
      </c>
      <c r="AR16" t="b">
        <f t="shared" si="1"/>
        <v>1</v>
      </c>
      <c r="AS16">
        <f>IF(AR16,ROWS($AR$2:AR16),"")</f>
        <v>15</v>
      </c>
      <c r="AT16">
        <f>IFERROR(SMALL($AS$2:$AS$440,ROWS($AS$2:AS16)),"")</f>
        <v>15</v>
      </c>
      <c r="AU16">
        <f>IF(AT16&lt;&gt;"",INDEX($AE$2:$AP$440,MATCH($AT16,$AS$2:$AS$440,0),COLUMNS($AT$2:AT16)),"")</f>
        <v>2000</v>
      </c>
      <c r="AV16">
        <f>IF(AU16&lt;&gt;"",INDEX($AE$2:$AP$440,MATCH($AT16,$AS$2:$AS$440,0),COLUMNS($AT$2:AU16)),"")</f>
        <v>15</v>
      </c>
      <c r="AW16" t="str">
        <f>IF(AV16&lt;&gt;"",INDEX($AE$2:$AP$440,MATCH($AT16,$AS$2:$AS$440,0),COLUMNS($AT$2:AV16)),"")</f>
        <v>West Ham United</v>
      </c>
      <c r="AX16">
        <f>IF(AW16&lt;&gt;"",INDEX($AE$2:$AP$440,MATCH($AT16,$AS$2:$AS$440,0),COLUMNS($AT$2:AW16)),"")</f>
        <v>38</v>
      </c>
      <c r="AY16">
        <f>IF(AX16&lt;&gt;"",INDEX($AE$2:$AP$440,MATCH($AT16,$AS$2:$AS$440,0),COLUMNS($AT$2:AX16)),"")</f>
        <v>10</v>
      </c>
      <c r="AZ16">
        <f>IF(AY16&lt;&gt;"",INDEX($AE$2:$AP$440,MATCH($AT16,$AS$2:$AS$440,0),COLUMNS($AT$2:AY16)),"")</f>
        <v>12</v>
      </c>
      <c r="BA16">
        <f>IF(AZ16&lt;&gt;"",INDEX($AE$2:$AP$440,MATCH($AT16,$AS$2:$AS$440,0),COLUMNS($AT$2:AZ16)),"")</f>
        <v>16</v>
      </c>
      <c r="BB16">
        <f>IF(BA16&lt;&gt;"",INDEX($AE$2:$AP$440,MATCH($AT16,$AS$2:$AS$440,0),COLUMNS($AT$2:BA16)),"")</f>
        <v>45</v>
      </c>
      <c r="BC16">
        <f>IF(BB16&lt;&gt;"",INDEX($AE$2:$AP$440,MATCH($AT16,$AS$2:$AS$440,0),COLUMNS($AT$2:BB16)),"")</f>
        <v>50</v>
      </c>
      <c r="BD16">
        <f>IF(BC16&lt;&gt;"",INDEX($AE$2:$AP$440,MATCH($AT16,$AS$2:$AS$440,0),COLUMNS($AT$2:BC16)),"")</f>
        <v>-5</v>
      </c>
      <c r="BE16">
        <f>IF(BD16&lt;&gt;"",INDEX($AE$2:$AP$440,MATCH($AT16,$AS$2:$AS$440,0),COLUMNS($AT$2:BD16)),"")</f>
        <v>42</v>
      </c>
      <c r="BF16">
        <f>IF(BE16&lt;&gt;"",INDEX($AE$2:$AP$440,MATCH($AT16,$AS$2:$AS$440,0),COLUMNS($AT$2:BE16)),"")</f>
        <v>15</v>
      </c>
      <c r="BH16" s="1">
        <v>2014</v>
      </c>
      <c r="BI16" s="1">
        <v>1</v>
      </c>
      <c r="BJ16" s="1" t="s">
        <v>16</v>
      </c>
      <c r="BK16" s="1">
        <v>38</v>
      </c>
      <c r="BL16" s="1">
        <v>26</v>
      </c>
      <c r="BM16" s="1">
        <v>9</v>
      </c>
      <c r="BN16" s="1">
        <v>3</v>
      </c>
      <c r="BO16" s="1">
        <v>73</v>
      </c>
      <c r="BP16" s="1">
        <v>32</v>
      </c>
      <c r="BQ16" s="1">
        <v>41</v>
      </c>
      <c r="BR16" s="1">
        <v>87</v>
      </c>
      <c r="BS16" s="11">
        <f t="shared" si="2"/>
        <v>0.68421052631578949</v>
      </c>
      <c r="BU16" s="1">
        <v>2004</v>
      </c>
      <c r="BV16" s="1">
        <v>20</v>
      </c>
      <c r="BW16" s="1" t="s">
        <v>20</v>
      </c>
      <c r="BX16" s="1">
        <v>38</v>
      </c>
      <c r="BY16" s="1">
        <v>6</v>
      </c>
      <c r="BZ16" s="1">
        <v>14</v>
      </c>
      <c r="CA16" s="1">
        <v>18</v>
      </c>
      <c r="CB16" s="1">
        <v>45</v>
      </c>
      <c r="CC16" s="1">
        <v>66</v>
      </c>
      <c r="CD16" s="1">
        <v>-21</v>
      </c>
      <c r="CE16" s="1">
        <v>32</v>
      </c>
      <c r="CF16" s="17">
        <f t="shared" si="3"/>
        <v>0.15789473684210525</v>
      </c>
    </row>
    <row r="17" spans="1:84" x14ac:dyDescent="0.25">
      <c r="A17" s="5">
        <v>2000</v>
      </c>
      <c r="B17" s="5">
        <v>16</v>
      </c>
      <c r="C17" s="6" t="s">
        <v>26</v>
      </c>
      <c r="D17" s="5">
        <v>38</v>
      </c>
      <c r="E17" s="5">
        <v>11</v>
      </c>
      <c r="F17" s="5">
        <v>9</v>
      </c>
      <c r="G17" s="5">
        <v>18</v>
      </c>
      <c r="H17" s="5">
        <v>45</v>
      </c>
      <c r="I17" s="5">
        <v>59</v>
      </c>
      <c r="J17" s="5">
        <v>-14</v>
      </c>
      <c r="K17" s="5">
        <v>42</v>
      </c>
      <c r="L17" s="6">
        <f>IF(Table2[[#This Row],['#]]=1,"Champion", IF(Table2[[#This Row],['#]]&gt;=18,"Relegated",Table2[[#This Row],['#]]))</f>
        <v>16</v>
      </c>
      <c r="N17">
        <f>IF(COUNTIF($O$2:O17,O17)=1,N16+1,N16)</f>
        <v>16</v>
      </c>
      <c r="O17" s="4" t="str">
        <f>Table2[[#This Row],[Team]]</f>
        <v>Everton</v>
      </c>
      <c r="P17" s="1" t="str">
        <f>IFERROR(VLOOKUP(ROWS($O$2:O17),$N$2:$O$441,2,0),"")</f>
        <v>Everton</v>
      </c>
      <c r="Q17" s="1">
        <f>IF(P17&lt;&gt;"",SUMPRODUCT(--(Table2[Team]=P17)),"")</f>
        <v>22</v>
      </c>
      <c r="R17" s="11">
        <f>IF(Q17&lt;&gt;"",Q17+ROWS($Q$2:Q17)/100,"")</f>
        <v>22.16</v>
      </c>
      <c r="S17">
        <f>IF(R17&lt;&gt;"",LARGE($R$2:$R$441,ROWS($R$2:R17)),"")</f>
        <v>11.21</v>
      </c>
      <c r="T17" s="1" t="str">
        <f>IF(R17&lt;&gt;"",INDEX($P$2:$Q$441,MATCH($S17,$R$2:$R$441,0),COLUMNS($S$2:S17)),"")</f>
        <v>Blackburn Rovers</v>
      </c>
      <c r="U17" s="1">
        <f>IF(S17&lt;&gt;"",INDEX($P$2:$Q$441,MATCH($S17,$R$2:$R$441,0),COLUMNS($S$2:T17)),"")</f>
        <v>11</v>
      </c>
      <c r="X17" t="b">
        <f t="shared" si="0"/>
        <v>1</v>
      </c>
      <c r="Y17">
        <f>IF(X17=TRUE,ROWS($X$2:X17))</f>
        <v>16</v>
      </c>
      <c r="Z17">
        <f>IFERROR(SMALL($Y$2:$Y$45,ROWS($Y$2:Y17)),"")</f>
        <v>16</v>
      </c>
      <c r="AA17" t="str">
        <f>IFERROR(INDEX($T$2:$U$441,MATCH($Z17,$Y$2:$Y$45,0),COLUMNS($Z$2:Z17)),"")</f>
        <v>Blackburn Rovers</v>
      </c>
      <c r="AB17">
        <f>IFERROR(INDEX($T$2:$U$441,MATCH($Z17,$Y$2:$Y$45,0),COLUMNS($Z$2:AA17)),"")</f>
        <v>11</v>
      </c>
      <c r="AE17" s="1">
        <f>Table2[[#This Row],[Year]]</f>
        <v>2000</v>
      </c>
      <c r="AF17" s="1">
        <f>Table2[[#This Row],['#]]</f>
        <v>16</v>
      </c>
      <c r="AG17" s="1" t="str">
        <f>Table2[[#This Row],[Team]]</f>
        <v>Everton</v>
      </c>
      <c r="AH17" s="1">
        <f>Table2[[#This Row],[Pl]]</f>
        <v>38</v>
      </c>
      <c r="AI17" s="1">
        <f>Table2[[#This Row],[W]]</f>
        <v>11</v>
      </c>
      <c r="AJ17" s="1">
        <f>Table2[[#This Row],[D]]</f>
        <v>9</v>
      </c>
      <c r="AK17" s="1">
        <f>Table2[[#This Row],[L]]</f>
        <v>18</v>
      </c>
      <c r="AL17" s="1">
        <f>Table2[[#This Row],[F]]</f>
        <v>45</v>
      </c>
      <c r="AM17" s="1">
        <f>Table2[[#This Row],[A]]</f>
        <v>59</v>
      </c>
      <c r="AN17" s="1">
        <f>Table2[[#This Row],[GD]]</f>
        <v>-14</v>
      </c>
      <c r="AO17" s="1">
        <f>Table2[[#This Row],[Pts]]</f>
        <v>42</v>
      </c>
      <c r="AP17" s="1">
        <f>Table2[[#This Row],[Column1]]</f>
        <v>16</v>
      </c>
      <c r="AR17" t="b">
        <f t="shared" si="1"/>
        <v>1</v>
      </c>
      <c r="AS17">
        <f>IF(AR17,ROWS($AR$2:AR17),"")</f>
        <v>16</v>
      </c>
      <c r="AT17">
        <f>IFERROR(SMALL($AS$2:$AS$440,ROWS($AS$2:AS17)),"")</f>
        <v>16</v>
      </c>
      <c r="AU17">
        <f>IF(AT17&lt;&gt;"",INDEX($AE$2:$AP$440,MATCH($AT17,$AS$2:$AS$440,0),COLUMNS($AT$2:AT17)),"")</f>
        <v>2000</v>
      </c>
      <c r="AV17">
        <f>IF(AU17&lt;&gt;"",INDEX($AE$2:$AP$440,MATCH($AT17,$AS$2:$AS$440,0),COLUMNS($AT$2:AU17)),"")</f>
        <v>16</v>
      </c>
      <c r="AW17" t="str">
        <f>IF(AV17&lt;&gt;"",INDEX($AE$2:$AP$440,MATCH($AT17,$AS$2:$AS$440,0),COLUMNS($AT$2:AV17)),"")</f>
        <v>Everton</v>
      </c>
      <c r="AX17">
        <f>IF(AW17&lt;&gt;"",INDEX($AE$2:$AP$440,MATCH($AT17,$AS$2:$AS$440,0),COLUMNS($AT$2:AW17)),"")</f>
        <v>38</v>
      </c>
      <c r="AY17">
        <f>IF(AX17&lt;&gt;"",INDEX($AE$2:$AP$440,MATCH($AT17,$AS$2:$AS$440,0),COLUMNS($AT$2:AX17)),"")</f>
        <v>11</v>
      </c>
      <c r="AZ17">
        <f>IF(AY17&lt;&gt;"",INDEX($AE$2:$AP$440,MATCH($AT17,$AS$2:$AS$440,0),COLUMNS($AT$2:AY17)),"")</f>
        <v>9</v>
      </c>
      <c r="BA17">
        <f>IF(AZ17&lt;&gt;"",INDEX($AE$2:$AP$440,MATCH($AT17,$AS$2:$AS$440,0),COLUMNS($AT$2:AZ17)),"")</f>
        <v>18</v>
      </c>
      <c r="BB17">
        <f>IF(BA17&lt;&gt;"",INDEX($AE$2:$AP$440,MATCH($AT17,$AS$2:$AS$440,0),COLUMNS($AT$2:BA17)),"")</f>
        <v>45</v>
      </c>
      <c r="BC17">
        <f>IF(BB17&lt;&gt;"",INDEX($AE$2:$AP$440,MATCH($AT17,$AS$2:$AS$440,0),COLUMNS($AT$2:BB17)),"")</f>
        <v>59</v>
      </c>
      <c r="BD17">
        <f>IF(BC17&lt;&gt;"",INDEX($AE$2:$AP$440,MATCH($AT17,$AS$2:$AS$440,0),COLUMNS($AT$2:BC17)),"")</f>
        <v>-14</v>
      </c>
      <c r="BE17">
        <f>IF(BD17&lt;&gt;"",INDEX($AE$2:$AP$440,MATCH($AT17,$AS$2:$AS$440,0),COLUMNS($AT$2:BD17)),"")</f>
        <v>42</v>
      </c>
      <c r="BF17">
        <f>IF(BE17&lt;&gt;"",INDEX($AE$2:$AP$440,MATCH($AT17,$AS$2:$AS$440,0),COLUMNS($AT$2:BE17)),"")</f>
        <v>16</v>
      </c>
      <c r="BH17" s="1">
        <v>2015</v>
      </c>
      <c r="BI17" s="1">
        <v>1</v>
      </c>
      <c r="BJ17" s="1" t="s">
        <v>23</v>
      </c>
      <c r="BK17" s="1">
        <v>38</v>
      </c>
      <c r="BL17" s="1">
        <v>23</v>
      </c>
      <c r="BM17" s="1">
        <v>12</v>
      </c>
      <c r="BN17" s="1">
        <v>3</v>
      </c>
      <c r="BO17" s="1">
        <v>68</v>
      </c>
      <c r="BP17" s="1">
        <v>36</v>
      </c>
      <c r="BQ17" s="1">
        <v>32</v>
      </c>
      <c r="BR17" s="1">
        <v>81</v>
      </c>
      <c r="BS17" s="11">
        <f t="shared" si="2"/>
        <v>0.60526315789473684</v>
      </c>
      <c r="BU17" s="1">
        <v>2005</v>
      </c>
      <c r="BV17" s="1">
        <v>18</v>
      </c>
      <c r="BW17" s="1" t="s">
        <v>34</v>
      </c>
      <c r="BX17" s="1">
        <v>38</v>
      </c>
      <c r="BY17" s="1">
        <v>8</v>
      </c>
      <c r="BZ17" s="1">
        <v>10</v>
      </c>
      <c r="CA17" s="1">
        <v>20</v>
      </c>
      <c r="CB17" s="1">
        <v>28</v>
      </c>
      <c r="CC17" s="1">
        <v>50</v>
      </c>
      <c r="CD17" s="1">
        <v>-22</v>
      </c>
      <c r="CE17" s="1">
        <v>34</v>
      </c>
      <c r="CF17" s="17">
        <f t="shared" si="3"/>
        <v>0.21052631578947367</v>
      </c>
    </row>
    <row r="18" spans="1:84" x14ac:dyDescent="0.25">
      <c r="A18" s="3">
        <v>2000</v>
      </c>
      <c r="B18" s="3">
        <v>17</v>
      </c>
      <c r="C18" s="4" t="s">
        <v>27</v>
      </c>
      <c r="D18" s="3">
        <v>38</v>
      </c>
      <c r="E18" s="3">
        <v>10</v>
      </c>
      <c r="F18" s="3">
        <v>12</v>
      </c>
      <c r="G18" s="3">
        <v>16</v>
      </c>
      <c r="H18" s="3">
        <v>37</v>
      </c>
      <c r="I18" s="3">
        <v>59</v>
      </c>
      <c r="J18" s="3">
        <v>-22</v>
      </c>
      <c r="K18" s="3">
        <v>42</v>
      </c>
      <c r="L18" s="6">
        <f>IF(Table2[[#This Row],['#]]=1,"Champion", IF(Table2[[#This Row],['#]]&gt;=18,"Relegated",Table2[[#This Row],['#]]))</f>
        <v>17</v>
      </c>
      <c r="N18">
        <f>IF(COUNTIF($O$2:O18,O18)=1,N17+1,N17)</f>
        <v>17</v>
      </c>
      <c r="O18" s="4" t="str">
        <f>Table2[[#This Row],[Team]]</f>
        <v>Derby County</v>
      </c>
      <c r="P18" s="1" t="str">
        <f>IFERROR(VLOOKUP(ROWS($O$2:O18),$N$2:$O$441,2,0),"")</f>
        <v>Derby County</v>
      </c>
      <c r="Q18" s="1">
        <f>IF(P18&lt;&gt;"",SUMPRODUCT(--(Table2[Team]=P18)),"")</f>
        <v>3</v>
      </c>
      <c r="R18" s="11">
        <f>IF(Q18&lt;&gt;"",Q18+ROWS($Q$2:Q18)/100,"")</f>
        <v>3.17</v>
      </c>
      <c r="S18">
        <f>IF(R18&lt;&gt;"",LARGE($R$2:$R$441,ROWS($R$2:R18)),"")</f>
        <v>11.13</v>
      </c>
      <c r="T18" s="1" t="str">
        <f>IF(R18&lt;&gt;"",INDEX($P$2:$Q$441,MATCH($S18,$R$2:$R$441,0),COLUMNS($S$2:S18)),"")</f>
        <v>Leicester City</v>
      </c>
      <c r="U18" s="1">
        <f>IF(S18&lt;&gt;"",INDEX($P$2:$Q$441,MATCH($S18,$R$2:$R$441,0),COLUMNS($S$2:T18)),"")</f>
        <v>11</v>
      </c>
      <c r="X18" t="b">
        <f t="shared" si="0"/>
        <v>1</v>
      </c>
      <c r="Y18">
        <f>IF(X18=TRUE,ROWS($X$2:X18))</f>
        <v>17</v>
      </c>
      <c r="Z18">
        <f>IFERROR(SMALL($Y$2:$Y$45,ROWS($Y$2:Y18)),"")</f>
        <v>17</v>
      </c>
      <c r="AA18" t="str">
        <f>IFERROR(INDEX($T$2:$U$441,MATCH($Z18,$Y$2:$Y$45,0),COLUMNS($Z$2:Z18)),"")</f>
        <v>Leicester City</v>
      </c>
      <c r="AB18">
        <f>IFERROR(INDEX($T$2:$U$441,MATCH($Z18,$Y$2:$Y$45,0),COLUMNS($Z$2:AA18)),"")</f>
        <v>11</v>
      </c>
      <c r="AE18" s="1">
        <f>Table2[[#This Row],[Year]]</f>
        <v>2000</v>
      </c>
      <c r="AF18" s="1">
        <f>Table2[[#This Row],['#]]</f>
        <v>17</v>
      </c>
      <c r="AG18" s="1" t="str">
        <f>Table2[[#This Row],[Team]]</f>
        <v>Derby County</v>
      </c>
      <c r="AH18" s="1">
        <f>Table2[[#This Row],[Pl]]</f>
        <v>38</v>
      </c>
      <c r="AI18" s="1">
        <f>Table2[[#This Row],[W]]</f>
        <v>10</v>
      </c>
      <c r="AJ18" s="1">
        <f>Table2[[#This Row],[D]]</f>
        <v>12</v>
      </c>
      <c r="AK18" s="1">
        <f>Table2[[#This Row],[L]]</f>
        <v>16</v>
      </c>
      <c r="AL18" s="1">
        <f>Table2[[#This Row],[F]]</f>
        <v>37</v>
      </c>
      <c r="AM18" s="1">
        <f>Table2[[#This Row],[A]]</f>
        <v>59</v>
      </c>
      <c r="AN18" s="1">
        <f>Table2[[#This Row],[GD]]</f>
        <v>-22</v>
      </c>
      <c r="AO18" s="1">
        <f>Table2[[#This Row],[Pts]]</f>
        <v>42</v>
      </c>
      <c r="AP18" s="1">
        <f>Table2[[#This Row],[Column1]]</f>
        <v>17</v>
      </c>
      <c r="AR18" t="b">
        <f t="shared" si="1"/>
        <v>1</v>
      </c>
      <c r="AS18">
        <f>IF(AR18,ROWS($AR$2:AR18),"")</f>
        <v>17</v>
      </c>
      <c r="AT18">
        <f>IFERROR(SMALL($AS$2:$AS$440,ROWS($AS$2:AS18)),"")</f>
        <v>17</v>
      </c>
      <c r="AU18">
        <f>IF(AT18&lt;&gt;"",INDEX($AE$2:$AP$440,MATCH($AT18,$AS$2:$AS$440,0),COLUMNS($AT$2:AT18)),"")</f>
        <v>2000</v>
      </c>
      <c r="AV18">
        <f>IF(AU18&lt;&gt;"",INDEX($AE$2:$AP$440,MATCH($AT18,$AS$2:$AS$440,0),COLUMNS($AT$2:AU18)),"")</f>
        <v>17</v>
      </c>
      <c r="AW18" t="str">
        <f>IF(AV18&lt;&gt;"",INDEX($AE$2:$AP$440,MATCH($AT18,$AS$2:$AS$440,0),COLUMNS($AT$2:AV18)),"")</f>
        <v>Derby County</v>
      </c>
      <c r="AX18">
        <f>IF(AW18&lt;&gt;"",INDEX($AE$2:$AP$440,MATCH($AT18,$AS$2:$AS$440,0),COLUMNS($AT$2:AW18)),"")</f>
        <v>38</v>
      </c>
      <c r="AY18">
        <f>IF(AX18&lt;&gt;"",INDEX($AE$2:$AP$440,MATCH($AT18,$AS$2:$AS$440,0),COLUMNS($AT$2:AX18)),"")</f>
        <v>10</v>
      </c>
      <c r="AZ18">
        <f>IF(AY18&lt;&gt;"",INDEX($AE$2:$AP$440,MATCH($AT18,$AS$2:$AS$440,0),COLUMNS($AT$2:AY18)),"")</f>
        <v>12</v>
      </c>
      <c r="BA18">
        <f>IF(AZ18&lt;&gt;"",INDEX($AE$2:$AP$440,MATCH($AT18,$AS$2:$AS$440,0),COLUMNS($AT$2:AZ18)),"")</f>
        <v>16</v>
      </c>
      <c r="BB18">
        <f>IF(BA18&lt;&gt;"",INDEX($AE$2:$AP$440,MATCH($AT18,$AS$2:$AS$440,0),COLUMNS($AT$2:BA18)),"")</f>
        <v>37</v>
      </c>
      <c r="BC18">
        <f>IF(BB18&lt;&gt;"",INDEX($AE$2:$AP$440,MATCH($AT18,$AS$2:$AS$440,0),COLUMNS($AT$2:BB18)),"")</f>
        <v>59</v>
      </c>
      <c r="BD18">
        <f>IF(BC18&lt;&gt;"",INDEX($AE$2:$AP$440,MATCH($AT18,$AS$2:$AS$440,0),COLUMNS($AT$2:BC18)),"")</f>
        <v>-22</v>
      </c>
      <c r="BE18">
        <f>IF(BD18&lt;&gt;"",INDEX($AE$2:$AP$440,MATCH($AT18,$AS$2:$AS$440,0),COLUMNS($AT$2:BD18)),"")</f>
        <v>42</v>
      </c>
      <c r="BF18">
        <f>IF(BE18&lt;&gt;"",INDEX($AE$2:$AP$440,MATCH($AT18,$AS$2:$AS$440,0),COLUMNS($AT$2:BE18)),"")</f>
        <v>17</v>
      </c>
      <c r="BH18" s="1">
        <v>2016</v>
      </c>
      <c r="BI18" s="1">
        <v>1</v>
      </c>
      <c r="BJ18" s="1" t="s">
        <v>16</v>
      </c>
      <c r="BK18" s="1">
        <v>38</v>
      </c>
      <c r="BL18" s="1">
        <v>30</v>
      </c>
      <c r="BM18" s="1">
        <v>3</v>
      </c>
      <c r="BN18" s="1">
        <v>5</v>
      </c>
      <c r="BO18" s="1">
        <v>85</v>
      </c>
      <c r="BP18" s="1">
        <v>33</v>
      </c>
      <c r="BQ18" s="1">
        <v>52</v>
      </c>
      <c r="BR18" s="1">
        <v>93</v>
      </c>
      <c r="BS18" s="11">
        <f t="shared" si="2"/>
        <v>0.78947368421052633</v>
      </c>
      <c r="BU18" s="1">
        <v>2005</v>
      </c>
      <c r="BV18" s="1">
        <v>19</v>
      </c>
      <c r="BW18" s="1" t="s">
        <v>35</v>
      </c>
      <c r="BX18" s="1">
        <v>38</v>
      </c>
      <c r="BY18" s="1">
        <v>7</v>
      </c>
      <c r="BZ18" s="1">
        <v>9</v>
      </c>
      <c r="CA18" s="1">
        <v>22</v>
      </c>
      <c r="CB18" s="1">
        <v>31</v>
      </c>
      <c r="CC18" s="1">
        <v>58</v>
      </c>
      <c r="CD18" s="1">
        <v>-27</v>
      </c>
      <c r="CE18" s="1">
        <v>30</v>
      </c>
      <c r="CF18" s="17">
        <f t="shared" si="3"/>
        <v>0.18421052631578946</v>
      </c>
    </row>
    <row r="19" spans="1:84" x14ac:dyDescent="0.25">
      <c r="A19" s="5">
        <v>2000</v>
      </c>
      <c r="B19" s="5">
        <v>18</v>
      </c>
      <c r="C19" s="6" t="s">
        <v>28</v>
      </c>
      <c r="D19" s="5">
        <v>38</v>
      </c>
      <c r="E19" s="5">
        <v>8</v>
      </c>
      <c r="F19" s="5">
        <v>10</v>
      </c>
      <c r="G19" s="5">
        <v>20</v>
      </c>
      <c r="H19" s="5">
        <v>41</v>
      </c>
      <c r="I19" s="5">
        <v>65</v>
      </c>
      <c r="J19" s="5">
        <v>-24</v>
      </c>
      <c r="K19" s="5">
        <v>34</v>
      </c>
      <c r="L19" s="6" t="str">
        <f>IF(Table2[[#This Row],['#]]=1,"Champion", IF(Table2[[#This Row],['#]]&gt;=18,"Relegated",Table2[[#This Row],['#]]))</f>
        <v>Relegated</v>
      </c>
      <c r="N19">
        <f>IF(COUNTIF($O$2:O19,O19)=1,N18+1,N18)</f>
        <v>18</v>
      </c>
      <c r="O19" s="4" t="str">
        <f>Table2[[#This Row],[Team]]</f>
        <v>Manchester City</v>
      </c>
      <c r="P19" s="1" t="str">
        <f>IFERROR(VLOOKUP(ROWS($O$2:O19),$N$2:$O$441,2,0),"")</f>
        <v>Manchester City</v>
      </c>
      <c r="Q19" s="1">
        <f>IF(P19&lt;&gt;"",SUMPRODUCT(--(Table2[Team]=P19)),"")</f>
        <v>21</v>
      </c>
      <c r="R19" s="11">
        <f>IF(Q19&lt;&gt;"",Q19+ROWS($Q$2:Q19)/100,"")</f>
        <v>21.18</v>
      </c>
      <c r="S19">
        <f>IF(R19&lt;&gt;"",LARGE($R$2:$R$441,ROWS($R$2:R19)),"")</f>
        <v>10.34</v>
      </c>
      <c r="T19" s="1" t="str">
        <f>IF(R19&lt;&gt;"",INDEX($P$2:$Q$441,MATCH($S19,$R$2:$R$441,0),COLUMNS($S$2:S19)),"")</f>
        <v>Stoke City</v>
      </c>
      <c r="U19" s="1">
        <f>IF(S19&lt;&gt;"",INDEX($P$2:$Q$441,MATCH($S19,$R$2:$R$441,0),COLUMNS($S$2:T19)),"")</f>
        <v>10</v>
      </c>
      <c r="X19" t="b">
        <f t="shared" si="0"/>
        <v>1</v>
      </c>
      <c r="Y19">
        <f>IF(X19=TRUE,ROWS($X$2:X19))</f>
        <v>18</v>
      </c>
      <c r="Z19">
        <f>IFERROR(SMALL($Y$2:$Y$45,ROWS($Y$2:Y19)),"")</f>
        <v>18</v>
      </c>
      <c r="AA19" t="str">
        <f>IFERROR(INDEX($T$2:$U$441,MATCH($Z19,$Y$2:$Y$45,0),COLUMNS($Z$2:Z19)),"")</f>
        <v>Stoke City</v>
      </c>
      <c r="AB19">
        <f>IFERROR(INDEX($T$2:$U$441,MATCH($Z19,$Y$2:$Y$45,0),COLUMNS($Z$2:AA19)),"")</f>
        <v>10</v>
      </c>
      <c r="AE19" s="1">
        <f>Table2[[#This Row],[Year]]</f>
        <v>2000</v>
      </c>
      <c r="AF19" s="1">
        <f>Table2[[#This Row],['#]]</f>
        <v>18</v>
      </c>
      <c r="AG19" s="1" t="str">
        <f>Table2[[#This Row],[Team]]</f>
        <v>Manchester City</v>
      </c>
      <c r="AH19" s="1">
        <f>Table2[[#This Row],[Pl]]</f>
        <v>38</v>
      </c>
      <c r="AI19" s="1">
        <f>Table2[[#This Row],[W]]</f>
        <v>8</v>
      </c>
      <c r="AJ19" s="1">
        <f>Table2[[#This Row],[D]]</f>
        <v>10</v>
      </c>
      <c r="AK19" s="1">
        <f>Table2[[#This Row],[L]]</f>
        <v>20</v>
      </c>
      <c r="AL19" s="1">
        <f>Table2[[#This Row],[F]]</f>
        <v>41</v>
      </c>
      <c r="AM19" s="1">
        <f>Table2[[#This Row],[A]]</f>
        <v>65</v>
      </c>
      <c r="AN19" s="1">
        <f>Table2[[#This Row],[GD]]</f>
        <v>-24</v>
      </c>
      <c r="AO19" s="1">
        <f>Table2[[#This Row],[Pts]]</f>
        <v>34</v>
      </c>
      <c r="AP19" s="1" t="str">
        <f>Table2[[#This Row],[Column1]]</f>
        <v>Relegated</v>
      </c>
      <c r="AR19" t="b">
        <f t="shared" si="1"/>
        <v>1</v>
      </c>
      <c r="AS19">
        <f>IF(AR19,ROWS($AR$2:AR19),"")</f>
        <v>18</v>
      </c>
      <c r="AT19">
        <f>IFERROR(SMALL($AS$2:$AS$440,ROWS($AS$2:AS19)),"")</f>
        <v>18</v>
      </c>
      <c r="AU19">
        <f>IF(AT19&lt;&gt;"",INDEX($AE$2:$AP$440,MATCH($AT19,$AS$2:$AS$440,0),COLUMNS($AT$2:AT19)),"")</f>
        <v>2000</v>
      </c>
      <c r="AV19">
        <f>IF(AU19&lt;&gt;"",INDEX($AE$2:$AP$440,MATCH($AT19,$AS$2:$AS$440,0),COLUMNS($AT$2:AU19)),"")</f>
        <v>18</v>
      </c>
      <c r="AW19" t="str">
        <f>IF(AV19&lt;&gt;"",INDEX($AE$2:$AP$440,MATCH($AT19,$AS$2:$AS$440,0),COLUMNS($AT$2:AV19)),"")</f>
        <v>Manchester City</v>
      </c>
      <c r="AX19">
        <f>IF(AW19&lt;&gt;"",INDEX($AE$2:$AP$440,MATCH($AT19,$AS$2:$AS$440,0),COLUMNS($AT$2:AW19)),"")</f>
        <v>38</v>
      </c>
      <c r="AY19">
        <f>IF(AX19&lt;&gt;"",INDEX($AE$2:$AP$440,MATCH($AT19,$AS$2:$AS$440,0),COLUMNS($AT$2:AX19)),"")</f>
        <v>8</v>
      </c>
      <c r="AZ19">
        <f>IF(AY19&lt;&gt;"",INDEX($AE$2:$AP$440,MATCH($AT19,$AS$2:$AS$440,0),COLUMNS($AT$2:AY19)),"")</f>
        <v>10</v>
      </c>
      <c r="BA19">
        <f>IF(AZ19&lt;&gt;"",INDEX($AE$2:$AP$440,MATCH($AT19,$AS$2:$AS$440,0),COLUMNS($AT$2:AZ19)),"")</f>
        <v>20</v>
      </c>
      <c r="BB19">
        <f>IF(BA19&lt;&gt;"",INDEX($AE$2:$AP$440,MATCH($AT19,$AS$2:$AS$440,0),COLUMNS($AT$2:BA19)),"")</f>
        <v>41</v>
      </c>
      <c r="BC19">
        <f>IF(BB19&lt;&gt;"",INDEX($AE$2:$AP$440,MATCH($AT19,$AS$2:$AS$440,0),COLUMNS($AT$2:BB19)),"")</f>
        <v>65</v>
      </c>
      <c r="BD19">
        <f>IF(BC19&lt;&gt;"",INDEX($AE$2:$AP$440,MATCH($AT19,$AS$2:$AS$440,0),COLUMNS($AT$2:BC19)),"")</f>
        <v>-24</v>
      </c>
      <c r="BE19">
        <f>IF(BD19&lt;&gt;"",INDEX($AE$2:$AP$440,MATCH($AT19,$AS$2:$AS$440,0),COLUMNS($AT$2:BD19)),"")</f>
        <v>34</v>
      </c>
      <c r="BF19" t="str">
        <f>IF(BE19&lt;&gt;"",INDEX($AE$2:$AP$440,MATCH($AT19,$AS$2:$AS$440,0),COLUMNS($AT$2:BE19)),"")</f>
        <v>Relegated</v>
      </c>
      <c r="BH19" s="1">
        <v>2017</v>
      </c>
      <c r="BI19" s="1">
        <v>1</v>
      </c>
      <c r="BJ19" s="1" t="s">
        <v>28</v>
      </c>
      <c r="BK19" s="1">
        <v>38</v>
      </c>
      <c r="BL19" s="1">
        <v>32</v>
      </c>
      <c r="BM19" s="1">
        <v>4</v>
      </c>
      <c r="BN19" s="1">
        <v>2</v>
      </c>
      <c r="BO19" s="1">
        <v>106</v>
      </c>
      <c r="BP19" s="1">
        <v>27</v>
      </c>
      <c r="BQ19" s="1">
        <v>79</v>
      </c>
      <c r="BR19" s="1">
        <v>100</v>
      </c>
      <c r="BS19" s="11">
        <f t="shared" si="2"/>
        <v>0.84210526315789469</v>
      </c>
      <c r="BU19" s="1">
        <v>2005</v>
      </c>
      <c r="BV19" s="1">
        <v>20</v>
      </c>
      <c r="BW19" s="1" t="s">
        <v>17</v>
      </c>
      <c r="BX19" s="1">
        <v>38</v>
      </c>
      <c r="BY19" s="1">
        <v>3</v>
      </c>
      <c r="BZ19" s="1">
        <v>6</v>
      </c>
      <c r="CA19" s="1">
        <v>29</v>
      </c>
      <c r="CB19" s="1">
        <v>26</v>
      </c>
      <c r="CC19" s="1">
        <v>69</v>
      </c>
      <c r="CD19" s="1">
        <v>-43</v>
      </c>
      <c r="CE19" s="1">
        <v>15</v>
      </c>
      <c r="CF19" s="17">
        <f t="shared" si="3"/>
        <v>7.8947368421052627E-2</v>
      </c>
    </row>
    <row r="20" spans="1:84" x14ac:dyDescent="0.25">
      <c r="A20" s="3">
        <v>2000</v>
      </c>
      <c r="B20" s="3">
        <v>19</v>
      </c>
      <c r="C20" s="4" t="s">
        <v>29</v>
      </c>
      <c r="D20" s="3">
        <v>38</v>
      </c>
      <c r="E20" s="3">
        <v>8</v>
      </c>
      <c r="F20" s="3">
        <v>10</v>
      </c>
      <c r="G20" s="3">
        <v>20</v>
      </c>
      <c r="H20" s="3">
        <v>36</v>
      </c>
      <c r="I20" s="3">
        <v>63</v>
      </c>
      <c r="J20" s="3">
        <v>-27</v>
      </c>
      <c r="K20" s="3">
        <v>34</v>
      </c>
      <c r="L20" s="6" t="str">
        <f>IF(Table2[[#This Row],['#]]=1,"Champion", IF(Table2[[#This Row],['#]]&gt;=18,"Relegated",Table2[[#This Row],['#]]))</f>
        <v>Relegated</v>
      </c>
      <c r="N20">
        <f>IF(COUNTIF($O$2:O20,O20)=1,N19+1,N19)</f>
        <v>19</v>
      </c>
      <c r="O20" s="4" t="str">
        <f>Table2[[#This Row],[Team]]</f>
        <v>Coventry City</v>
      </c>
      <c r="P20" s="1" t="str">
        <f>IFERROR(VLOOKUP(ROWS($O$2:O20),$N$2:$O$441,2,0),"")</f>
        <v>Coventry City</v>
      </c>
      <c r="Q20" s="1">
        <f>IF(P20&lt;&gt;"",SUMPRODUCT(--(Table2[Team]=P20)),"")</f>
        <v>1</v>
      </c>
      <c r="R20" s="11">
        <f>IF(Q20&lt;&gt;"",Q20+ROWS($Q$2:Q20)/100,"")</f>
        <v>1.19</v>
      </c>
      <c r="S20">
        <f>IF(R20&lt;&gt;"",LARGE($R$2:$R$441,ROWS($R$2:R20)),"")</f>
        <v>10.28</v>
      </c>
      <c r="T20" s="1" t="str">
        <f>IF(R20&lt;&gt;"",INDEX($P$2:$Q$441,MATCH($S20,$R$2:$R$441,0),COLUMNS($S$2:S20)),"")</f>
        <v>Crystal Palace</v>
      </c>
      <c r="U20" s="1">
        <f>IF(S20&lt;&gt;"",INDEX($P$2:$Q$441,MATCH($S20,$R$2:$R$441,0),COLUMNS($S$2:T20)),"")</f>
        <v>10</v>
      </c>
      <c r="X20" t="b">
        <f t="shared" si="0"/>
        <v>1</v>
      </c>
      <c r="Y20">
        <f>IF(X20=TRUE,ROWS($X$2:X20))</f>
        <v>19</v>
      </c>
      <c r="Z20">
        <f>IFERROR(SMALL($Y$2:$Y$45,ROWS($Y$2:Y20)),"")</f>
        <v>19</v>
      </c>
      <c r="AA20" t="str">
        <f>IFERROR(INDEX($T$2:$U$441,MATCH($Z20,$Y$2:$Y$45,0),COLUMNS($Z$2:Z20)),"")</f>
        <v>Crystal Palace</v>
      </c>
      <c r="AB20">
        <f>IFERROR(INDEX($T$2:$U$441,MATCH($Z20,$Y$2:$Y$45,0),COLUMNS($Z$2:AA20)),"")</f>
        <v>10</v>
      </c>
      <c r="AE20" s="1">
        <f>Table2[[#This Row],[Year]]</f>
        <v>2000</v>
      </c>
      <c r="AF20" s="1">
        <f>Table2[[#This Row],['#]]</f>
        <v>19</v>
      </c>
      <c r="AG20" s="1" t="str">
        <f>Table2[[#This Row],[Team]]</f>
        <v>Coventry City</v>
      </c>
      <c r="AH20" s="1">
        <f>Table2[[#This Row],[Pl]]</f>
        <v>38</v>
      </c>
      <c r="AI20" s="1">
        <f>Table2[[#This Row],[W]]</f>
        <v>8</v>
      </c>
      <c r="AJ20" s="1">
        <f>Table2[[#This Row],[D]]</f>
        <v>10</v>
      </c>
      <c r="AK20" s="1">
        <f>Table2[[#This Row],[L]]</f>
        <v>20</v>
      </c>
      <c r="AL20" s="1">
        <f>Table2[[#This Row],[F]]</f>
        <v>36</v>
      </c>
      <c r="AM20" s="1">
        <f>Table2[[#This Row],[A]]</f>
        <v>63</v>
      </c>
      <c r="AN20" s="1">
        <f>Table2[[#This Row],[GD]]</f>
        <v>-27</v>
      </c>
      <c r="AO20" s="1">
        <f>Table2[[#This Row],[Pts]]</f>
        <v>34</v>
      </c>
      <c r="AP20" s="1" t="str">
        <f>Table2[[#This Row],[Column1]]</f>
        <v>Relegated</v>
      </c>
      <c r="AR20" t="b">
        <f t="shared" si="1"/>
        <v>1</v>
      </c>
      <c r="AS20">
        <f>IF(AR20,ROWS($AR$2:AR20),"")</f>
        <v>19</v>
      </c>
      <c r="AT20">
        <f>IFERROR(SMALL($AS$2:$AS$440,ROWS($AS$2:AS20)),"")</f>
        <v>19</v>
      </c>
      <c r="AU20">
        <f>IF(AT20&lt;&gt;"",INDEX($AE$2:$AP$440,MATCH($AT20,$AS$2:$AS$440,0),COLUMNS($AT$2:AT20)),"")</f>
        <v>2000</v>
      </c>
      <c r="AV20">
        <f>IF(AU20&lt;&gt;"",INDEX($AE$2:$AP$440,MATCH($AT20,$AS$2:$AS$440,0),COLUMNS($AT$2:AU20)),"")</f>
        <v>19</v>
      </c>
      <c r="AW20" t="str">
        <f>IF(AV20&lt;&gt;"",INDEX($AE$2:$AP$440,MATCH($AT20,$AS$2:$AS$440,0),COLUMNS($AT$2:AV20)),"")</f>
        <v>Coventry City</v>
      </c>
      <c r="AX20">
        <f>IF(AW20&lt;&gt;"",INDEX($AE$2:$AP$440,MATCH($AT20,$AS$2:$AS$440,0),COLUMNS($AT$2:AW20)),"")</f>
        <v>38</v>
      </c>
      <c r="AY20">
        <f>IF(AX20&lt;&gt;"",INDEX($AE$2:$AP$440,MATCH($AT20,$AS$2:$AS$440,0),COLUMNS($AT$2:AX20)),"")</f>
        <v>8</v>
      </c>
      <c r="AZ20">
        <f>IF(AY20&lt;&gt;"",INDEX($AE$2:$AP$440,MATCH($AT20,$AS$2:$AS$440,0),COLUMNS($AT$2:AY20)),"")</f>
        <v>10</v>
      </c>
      <c r="BA20">
        <f>IF(AZ20&lt;&gt;"",INDEX($AE$2:$AP$440,MATCH($AT20,$AS$2:$AS$440,0),COLUMNS($AT$2:AZ20)),"")</f>
        <v>20</v>
      </c>
      <c r="BB20">
        <f>IF(BA20&lt;&gt;"",INDEX($AE$2:$AP$440,MATCH($AT20,$AS$2:$AS$440,0),COLUMNS($AT$2:BA20)),"")</f>
        <v>36</v>
      </c>
      <c r="BC20">
        <f>IF(BB20&lt;&gt;"",INDEX($AE$2:$AP$440,MATCH($AT20,$AS$2:$AS$440,0),COLUMNS($AT$2:BB20)),"")</f>
        <v>63</v>
      </c>
      <c r="BD20">
        <f>IF(BC20&lt;&gt;"",INDEX($AE$2:$AP$440,MATCH($AT20,$AS$2:$AS$440,0),COLUMNS($AT$2:BC20)),"")</f>
        <v>-27</v>
      </c>
      <c r="BE20">
        <f>IF(BD20&lt;&gt;"",INDEX($AE$2:$AP$440,MATCH($AT20,$AS$2:$AS$440,0),COLUMNS($AT$2:BD20)),"")</f>
        <v>34</v>
      </c>
      <c r="BF20" t="str">
        <f>IF(BE20&lt;&gt;"",INDEX($AE$2:$AP$440,MATCH($AT20,$AS$2:$AS$440,0),COLUMNS($AT$2:BE20)),"")</f>
        <v>Relegated</v>
      </c>
      <c r="BH20" s="1">
        <v>2018</v>
      </c>
      <c r="BI20" s="1">
        <v>1</v>
      </c>
      <c r="BJ20" s="1" t="s">
        <v>28</v>
      </c>
      <c r="BK20" s="1">
        <v>38</v>
      </c>
      <c r="BL20" s="1">
        <v>32</v>
      </c>
      <c r="BM20" s="1">
        <v>2</v>
      </c>
      <c r="BN20" s="1">
        <v>4</v>
      </c>
      <c r="BO20" s="1">
        <v>95</v>
      </c>
      <c r="BP20" s="1">
        <v>23</v>
      </c>
      <c r="BQ20" s="1">
        <v>72</v>
      </c>
      <c r="BR20" s="1">
        <v>98</v>
      </c>
      <c r="BS20" s="11">
        <f t="shared" si="2"/>
        <v>0.84210526315789469</v>
      </c>
      <c r="BU20" s="1">
        <v>2006</v>
      </c>
      <c r="BV20" s="1">
        <v>18</v>
      </c>
      <c r="BW20" s="1" t="s">
        <v>42</v>
      </c>
      <c r="BX20" s="1">
        <v>38</v>
      </c>
      <c r="BY20" s="1">
        <v>0</v>
      </c>
      <c r="BZ20" s="1">
        <v>0</v>
      </c>
      <c r="CA20" s="1">
        <v>0</v>
      </c>
      <c r="CB20" s="1">
        <v>0</v>
      </c>
      <c r="CC20" s="1">
        <v>0</v>
      </c>
      <c r="CD20" s="1">
        <v>0</v>
      </c>
      <c r="CE20" s="1">
        <v>38</v>
      </c>
      <c r="CF20" s="17">
        <f t="shared" si="3"/>
        <v>0</v>
      </c>
    </row>
    <row r="21" spans="1:84" x14ac:dyDescent="0.25">
      <c r="A21" s="5">
        <v>2000</v>
      </c>
      <c r="B21" s="5">
        <v>20</v>
      </c>
      <c r="C21" s="6" t="s">
        <v>30</v>
      </c>
      <c r="D21" s="5">
        <v>38</v>
      </c>
      <c r="E21" s="5">
        <v>5</v>
      </c>
      <c r="F21" s="5">
        <v>11</v>
      </c>
      <c r="G21" s="5">
        <v>22</v>
      </c>
      <c r="H21" s="5">
        <v>30</v>
      </c>
      <c r="I21" s="5">
        <v>70</v>
      </c>
      <c r="J21" s="5">
        <v>-40</v>
      </c>
      <c r="K21" s="5">
        <v>26</v>
      </c>
      <c r="L21" s="6" t="str">
        <f>IF(Table2[[#This Row],['#]]=1,"Champion", IF(Table2[[#This Row],['#]]&gt;=18,"Relegated",Table2[[#This Row],['#]]))</f>
        <v>Relegated</v>
      </c>
      <c r="N21">
        <f>IF(COUNTIF($O$2:O21,O21)=1,N20+1,N20)</f>
        <v>20</v>
      </c>
      <c r="O21" s="4" t="str">
        <f>Table2[[#This Row],[Team]]</f>
        <v>Bradford City</v>
      </c>
      <c r="P21" s="1" t="str">
        <f>IFERROR(VLOOKUP(ROWS($O$2:O21),$N$2:$O$441,2,0),"")</f>
        <v>Bradford City</v>
      </c>
      <c r="Q21" s="1">
        <f>IF(P21&lt;&gt;"",SUMPRODUCT(--(Table2[Team]=P21)),"")</f>
        <v>1</v>
      </c>
      <c r="R21" s="11">
        <f>IF(Q21&lt;&gt;"",Q21+ROWS($Q$2:Q21)/100,"")</f>
        <v>1.2</v>
      </c>
      <c r="S21">
        <f>IF(R21&lt;&gt;"",LARGE($R$2:$R$441,ROWS($R$2:R21)),"")</f>
        <v>10.14</v>
      </c>
      <c r="T21" s="1" t="str">
        <f>IF(R21&lt;&gt;"",INDEX($P$2:$Q$441,MATCH($S21,$R$2:$R$441,0),COLUMNS($S$2:S21)),"")</f>
        <v>Middlesbrough</v>
      </c>
      <c r="U21" s="1">
        <f>IF(S21&lt;&gt;"",INDEX($P$2:$Q$441,MATCH($S21,$R$2:$R$441,0),COLUMNS($S$2:T21)),"")</f>
        <v>10</v>
      </c>
      <c r="X21" t="b">
        <f t="shared" si="0"/>
        <v>1</v>
      </c>
      <c r="Y21">
        <f>IF(X21=TRUE,ROWS($X$2:X21))</f>
        <v>20</v>
      </c>
      <c r="Z21">
        <f>IFERROR(SMALL($Y$2:$Y$45,ROWS($Y$2:Y21)),"")</f>
        <v>20</v>
      </c>
      <c r="AA21" t="str">
        <f>IFERROR(INDEX($T$2:$U$441,MATCH($Z21,$Y$2:$Y$45,0),COLUMNS($Z$2:Z21)),"")</f>
        <v>Middlesbrough</v>
      </c>
      <c r="AB21">
        <f>IFERROR(INDEX($T$2:$U$441,MATCH($Z21,$Y$2:$Y$45,0),COLUMNS($Z$2:AA21)),"")</f>
        <v>10</v>
      </c>
      <c r="AE21" s="1">
        <f>Table2[[#This Row],[Year]]</f>
        <v>2000</v>
      </c>
      <c r="AF21" s="1">
        <f>Table2[[#This Row],['#]]</f>
        <v>20</v>
      </c>
      <c r="AG21" s="1" t="str">
        <f>Table2[[#This Row],[Team]]</f>
        <v>Bradford City</v>
      </c>
      <c r="AH21" s="1">
        <f>Table2[[#This Row],[Pl]]</f>
        <v>38</v>
      </c>
      <c r="AI21" s="1">
        <f>Table2[[#This Row],[W]]</f>
        <v>5</v>
      </c>
      <c r="AJ21" s="1">
        <f>Table2[[#This Row],[D]]</f>
        <v>11</v>
      </c>
      <c r="AK21" s="1">
        <f>Table2[[#This Row],[L]]</f>
        <v>22</v>
      </c>
      <c r="AL21" s="1">
        <f>Table2[[#This Row],[F]]</f>
        <v>30</v>
      </c>
      <c r="AM21" s="1">
        <f>Table2[[#This Row],[A]]</f>
        <v>70</v>
      </c>
      <c r="AN21" s="1">
        <f>Table2[[#This Row],[GD]]</f>
        <v>-40</v>
      </c>
      <c r="AO21" s="1">
        <f>Table2[[#This Row],[Pts]]</f>
        <v>26</v>
      </c>
      <c r="AP21" s="1" t="str">
        <f>Table2[[#This Row],[Column1]]</f>
        <v>Relegated</v>
      </c>
      <c r="AR21" t="b">
        <f t="shared" si="1"/>
        <v>1</v>
      </c>
      <c r="AS21">
        <f>IF(AR21,ROWS($AR$2:AR21),"")</f>
        <v>20</v>
      </c>
      <c r="AT21">
        <f>IFERROR(SMALL($AS$2:$AS$440,ROWS($AS$2:AS21)),"")</f>
        <v>20</v>
      </c>
      <c r="AU21">
        <f>IF(AT21&lt;&gt;"",INDEX($AE$2:$AP$440,MATCH($AT21,$AS$2:$AS$440,0),COLUMNS($AT$2:AT21)),"")</f>
        <v>2000</v>
      </c>
      <c r="AV21">
        <f>IF(AU21&lt;&gt;"",INDEX($AE$2:$AP$440,MATCH($AT21,$AS$2:$AS$440,0),COLUMNS($AT$2:AU21)),"")</f>
        <v>20</v>
      </c>
      <c r="AW21" t="str">
        <f>IF(AV21&lt;&gt;"",INDEX($AE$2:$AP$440,MATCH($AT21,$AS$2:$AS$440,0),COLUMNS($AT$2:AV21)),"")</f>
        <v>Bradford City</v>
      </c>
      <c r="AX21">
        <f>IF(AW21&lt;&gt;"",INDEX($AE$2:$AP$440,MATCH($AT21,$AS$2:$AS$440,0),COLUMNS($AT$2:AW21)),"")</f>
        <v>38</v>
      </c>
      <c r="AY21">
        <f>IF(AX21&lt;&gt;"",INDEX($AE$2:$AP$440,MATCH($AT21,$AS$2:$AS$440,0),COLUMNS($AT$2:AX21)),"")</f>
        <v>5</v>
      </c>
      <c r="AZ21">
        <f>IF(AY21&lt;&gt;"",INDEX($AE$2:$AP$440,MATCH($AT21,$AS$2:$AS$440,0),COLUMNS($AT$2:AY21)),"")</f>
        <v>11</v>
      </c>
      <c r="BA21">
        <f>IF(AZ21&lt;&gt;"",INDEX($AE$2:$AP$440,MATCH($AT21,$AS$2:$AS$440,0),COLUMNS($AT$2:AZ21)),"")</f>
        <v>22</v>
      </c>
      <c r="BB21">
        <f>IF(BA21&lt;&gt;"",INDEX($AE$2:$AP$440,MATCH($AT21,$AS$2:$AS$440,0),COLUMNS($AT$2:BA21)),"")</f>
        <v>30</v>
      </c>
      <c r="BC21">
        <f>IF(BB21&lt;&gt;"",INDEX($AE$2:$AP$440,MATCH($AT21,$AS$2:$AS$440,0),COLUMNS($AT$2:BB21)),"")</f>
        <v>70</v>
      </c>
      <c r="BD21">
        <f>IF(BC21&lt;&gt;"",INDEX($AE$2:$AP$440,MATCH($AT21,$AS$2:$AS$440,0),COLUMNS($AT$2:BC21)),"")</f>
        <v>-40</v>
      </c>
      <c r="BE21">
        <f>IF(BD21&lt;&gt;"",INDEX($AE$2:$AP$440,MATCH($AT21,$AS$2:$AS$440,0),COLUMNS($AT$2:BD21)),"")</f>
        <v>26</v>
      </c>
      <c r="BF21" t="str">
        <f>IF(BE21&lt;&gt;"",INDEX($AE$2:$AP$440,MATCH($AT21,$AS$2:$AS$440,0),COLUMNS($AT$2:BE21)),"")</f>
        <v>Relegated</v>
      </c>
      <c r="BH21" s="1">
        <v>2019</v>
      </c>
      <c r="BI21" s="1">
        <v>1</v>
      </c>
      <c r="BJ21" s="1" t="s">
        <v>13</v>
      </c>
      <c r="BK21" s="1">
        <v>38</v>
      </c>
      <c r="BL21" s="1">
        <v>32</v>
      </c>
      <c r="BM21" s="1">
        <v>3</v>
      </c>
      <c r="BN21" s="1">
        <v>3</v>
      </c>
      <c r="BO21" s="1">
        <v>85</v>
      </c>
      <c r="BP21" s="1">
        <v>33</v>
      </c>
      <c r="BQ21" s="1">
        <v>52</v>
      </c>
      <c r="BR21" s="1">
        <v>99</v>
      </c>
      <c r="BS21" s="11">
        <f t="shared" si="2"/>
        <v>0.84210526315789469</v>
      </c>
      <c r="BU21" s="1">
        <v>2006</v>
      </c>
      <c r="BV21" s="1">
        <v>19</v>
      </c>
      <c r="BW21" s="1" t="s">
        <v>19</v>
      </c>
      <c r="BX21" s="1">
        <v>38</v>
      </c>
      <c r="BY21" s="1">
        <v>0</v>
      </c>
      <c r="BZ21" s="1">
        <v>0</v>
      </c>
      <c r="CA21" s="1">
        <v>0</v>
      </c>
      <c r="CB21" s="1">
        <v>0</v>
      </c>
      <c r="CC21" s="1">
        <v>0</v>
      </c>
      <c r="CD21" s="1">
        <v>0</v>
      </c>
      <c r="CE21" s="1">
        <v>34</v>
      </c>
      <c r="CF21" s="17">
        <f t="shared" si="3"/>
        <v>0</v>
      </c>
    </row>
    <row r="22" spans="1:84" x14ac:dyDescent="0.25">
      <c r="A22" s="3">
        <v>2001</v>
      </c>
      <c r="B22" s="3">
        <v>1</v>
      </c>
      <c r="C22" s="6" t="s">
        <v>12</v>
      </c>
      <c r="D22" s="3">
        <v>38</v>
      </c>
      <c r="E22" s="3">
        <v>26</v>
      </c>
      <c r="F22" s="3">
        <v>9</v>
      </c>
      <c r="G22" s="3">
        <v>3</v>
      </c>
      <c r="H22" s="3">
        <v>79</v>
      </c>
      <c r="I22" s="3">
        <v>36</v>
      </c>
      <c r="J22" s="3">
        <v>43</v>
      </c>
      <c r="K22" s="3">
        <v>87</v>
      </c>
      <c r="L22" s="6" t="str">
        <f>IF(Table2[[#This Row],['#]]=1,"Champion", IF(Table2[[#This Row],['#]]&gt;=18,"Relegated",Table2[[#This Row],['#]]))</f>
        <v>Champion</v>
      </c>
      <c r="N22">
        <f>IF(COUNTIF($O$2:O22,O22)=1,N21+1,N21)</f>
        <v>20</v>
      </c>
      <c r="O22" s="4" t="str">
        <f>Table2[[#This Row],[Team]]</f>
        <v>Arsenal</v>
      </c>
      <c r="P22" s="1" t="str">
        <f>IFERROR(VLOOKUP(ROWS($O$2:O22),$N$2:$O$441,2,0),"")</f>
        <v>Blackburn Rovers</v>
      </c>
      <c r="Q22" s="1">
        <f>IF(P22&lt;&gt;"",SUMPRODUCT(--(Table2[Team]=P22)),"")</f>
        <v>11</v>
      </c>
      <c r="R22" s="11">
        <f>IF(Q22&lt;&gt;"",Q22+ROWS($Q$2:Q22)/100,"")</f>
        <v>11.21</v>
      </c>
      <c r="S22">
        <f>IF(R22&lt;&gt;"",LARGE($R$2:$R$441,ROWS($R$2:R22)),"")</f>
        <v>8.36</v>
      </c>
      <c r="T22" s="1" t="str">
        <f>IF(R22&lt;&gt;"",INDEX($P$2:$Q$441,MATCH($S22,$R$2:$R$441,0),COLUMNS($S$2:S22)),"")</f>
        <v>Burnley</v>
      </c>
      <c r="U22" s="1">
        <f>IF(S22&lt;&gt;"",INDEX($P$2:$Q$441,MATCH($S22,$R$2:$R$441,0),COLUMNS($S$2:T22)),"")</f>
        <v>8</v>
      </c>
      <c r="X22" t="b">
        <f t="shared" si="0"/>
        <v>1</v>
      </c>
      <c r="Y22">
        <f>IF(X22=TRUE,ROWS($X$2:X22))</f>
        <v>21</v>
      </c>
      <c r="Z22">
        <f>IFERROR(SMALL($Y$2:$Y$45,ROWS($Y$2:Y22)),"")</f>
        <v>21</v>
      </c>
      <c r="AA22" t="str">
        <f>IFERROR(INDEX($T$2:$U$441,MATCH($Z22,$Y$2:$Y$45,0),COLUMNS($Z$2:Z22)),"")</f>
        <v>Burnley</v>
      </c>
      <c r="AB22">
        <f>IFERROR(INDEX($T$2:$U$441,MATCH($Z22,$Y$2:$Y$45,0),COLUMNS($Z$2:AA22)),"")</f>
        <v>8</v>
      </c>
      <c r="AE22" s="1">
        <f>Table2[[#This Row],[Year]]</f>
        <v>2001</v>
      </c>
      <c r="AF22" s="1">
        <f>Table2[[#This Row],['#]]</f>
        <v>1</v>
      </c>
      <c r="AG22" s="1" t="str">
        <f>Table2[[#This Row],[Team]]</f>
        <v>Arsenal</v>
      </c>
      <c r="AH22" s="1">
        <f>Table2[[#This Row],[Pl]]</f>
        <v>38</v>
      </c>
      <c r="AI22" s="1">
        <f>Table2[[#This Row],[W]]</f>
        <v>26</v>
      </c>
      <c r="AJ22" s="1">
        <f>Table2[[#This Row],[D]]</f>
        <v>9</v>
      </c>
      <c r="AK22" s="1">
        <f>Table2[[#This Row],[L]]</f>
        <v>3</v>
      </c>
      <c r="AL22" s="1">
        <f>Table2[[#This Row],[F]]</f>
        <v>79</v>
      </c>
      <c r="AM22" s="1">
        <f>Table2[[#This Row],[A]]</f>
        <v>36</v>
      </c>
      <c r="AN22" s="1">
        <f>Table2[[#This Row],[GD]]</f>
        <v>43</v>
      </c>
      <c r="AO22" s="1">
        <f>Table2[[#This Row],[Pts]]</f>
        <v>87</v>
      </c>
      <c r="AP22" s="1" t="str">
        <f>Table2[[#This Row],[Column1]]</f>
        <v>Champion</v>
      </c>
      <c r="AR22" t="b">
        <f t="shared" si="1"/>
        <v>1</v>
      </c>
      <c r="AS22">
        <f>IF(AR22,ROWS($AR$2:AR22),"")</f>
        <v>21</v>
      </c>
      <c r="AT22">
        <f>IFERROR(SMALL($AS$2:$AS$440,ROWS($AS$2:AS22)),"")</f>
        <v>21</v>
      </c>
      <c r="AU22">
        <f>IF(AT22&lt;&gt;"",INDEX($AE$2:$AP$440,MATCH($AT22,$AS$2:$AS$440,0),COLUMNS($AT$2:AT22)),"")</f>
        <v>2001</v>
      </c>
      <c r="AV22">
        <f>IF(AU22&lt;&gt;"",INDEX($AE$2:$AP$440,MATCH($AT22,$AS$2:$AS$440,0),COLUMNS($AT$2:AU22)),"")</f>
        <v>1</v>
      </c>
      <c r="AW22" t="str">
        <f>IF(AV22&lt;&gt;"",INDEX($AE$2:$AP$440,MATCH($AT22,$AS$2:$AS$440,0),COLUMNS($AT$2:AV22)),"")</f>
        <v>Arsenal</v>
      </c>
      <c r="AX22">
        <f>IF(AW22&lt;&gt;"",INDEX($AE$2:$AP$440,MATCH($AT22,$AS$2:$AS$440,0),COLUMNS($AT$2:AW22)),"")</f>
        <v>38</v>
      </c>
      <c r="AY22">
        <f>IF(AX22&lt;&gt;"",INDEX($AE$2:$AP$440,MATCH($AT22,$AS$2:$AS$440,0),COLUMNS($AT$2:AX22)),"")</f>
        <v>26</v>
      </c>
      <c r="AZ22">
        <f>IF(AY22&lt;&gt;"",INDEX($AE$2:$AP$440,MATCH($AT22,$AS$2:$AS$440,0),COLUMNS($AT$2:AY22)),"")</f>
        <v>9</v>
      </c>
      <c r="BA22">
        <f>IF(AZ22&lt;&gt;"",INDEX($AE$2:$AP$440,MATCH($AT22,$AS$2:$AS$440,0),COLUMNS($AT$2:AZ22)),"")</f>
        <v>3</v>
      </c>
      <c r="BB22">
        <f>IF(BA22&lt;&gt;"",INDEX($AE$2:$AP$440,MATCH($AT22,$AS$2:$AS$440,0),COLUMNS($AT$2:BA22)),"")</f>
        <v>79</v>
      </c>
      <c r="BC22">
        <f>IF(BB22&lt;&gt;"",INDEX($AE$2:$AP$440,MATCH($AT22,$AS$2:$AS$440,0),COLUMNS($AT$2:BB22)),"")</f>
        <v>36</v>
      </c>
      <c r="BD22">
        <f>IF(BC22&lt;&gt;"",INDEX($AE$2:$AP$440,MATCH($AT22,$AS$2:$AS$440,0),COLUMNS($AT$2:BC22)),"")</f>
        <v>43</v>
      </c>
      <c r="BE22">
        <f>IF(BD22&lt;&gt;"",INDEX($AE$2:$AP$440,MATCH($AT22,$AS$2:$AS$440,0),COLUMNS($AT$2:BD22)),"")</f>
        <v>87</v>
      </c>
      <c r="BF22" t="str">
        <f>IF(BE22&lt;&gt;"",INDEX($AE$2:$AP$440,MATCH($AT22,$AS$2:$AS$440,0),COLUMNS($AT$2:BE22)),"")</f>
        <v>Champion</v>
      </c>
      <c r="BH22" s="1">
        <v>2020</v>
      </c>
      <c r="BI22" s="1">
        <v>1</v>
      </c>
      <c r="BJ22" s="1" t="s">
        <v>28</v>
      </c>
      <c r="BK22" s="1">
        <v>38</v>
      </c>
      <c r="BL22" s="1">
        <v>27</v>
      </c>
      <c r="BM22" s="1">
        <v>5</v>
      </c>
      <c r="BN22" s="1">
        <v>6</v>
      </c>
      <c r="BO22" s="1">
        <v>83</v>
      </c>
      <c r="BP22" s="1">
        <v>32</v>
      </c>
      <c r="BQ22" s="1">
        <v>51</v>
      </c>
      <c r="BR22" s="1">
        <v>86</v>
      </c>
      <c r="BS22" s="11">
        <f t="shared" si="2"/>
        <v>0.71052631578947367</v>
      </c>
      <c r="BU22" s="1">
        <v>2006</v>
      </c>
      <c r="BV22" s="1">
        <v>20</v>
      </c>
      <c r="BW22" s="1" t="s">
        <v>43</v>
      </c>
      <c r="BX22" s="1">
        <v>38</v>
      </c>
      <c r="BY22" s="1">
        <v>0</v>
      </c>
      <c r="BZ22" s="1">
        <v>0</v>
      </c>
      <c r="CA22" s="1">
        <v>0</v>
      </c>
      <c r="CB22" s="1">
        <v>0</v>
      </c>
      <c r="CC22" s="1">
        <v>0</v>
      </c>
      <c r="CD22" s="1">
        <v>0</v>
      </c>
      <c r="CE22" s="1">
        <v>28</v>
      </c>
      <c r="CF22" s="17">
        <f t="shared" si="3"/>
        <v>0</v>
      </c>
    </row>
    <row r="23" spans="1:84" x14ac:dyDescent="0.25">
      <c r="A23" s="5">
        <v>2001</v>
      </c>
      <c r="B23" s="5">
        <v>2</v>
      </c>
      <c r="C23" s="4" t="s">
        <v>13</v>
      </c>
      <c r="D23" s="5">
        <v>38</v>
      </c>
      <c r="E23" s="5">
        <v>24</v>
      </c>
      <c r="F23" s="5">
        <v>8</v>
      </c>
      <c r="G23" s="5">
        <v>6</v>
      </c>
      <c r="H23" s="5">
        <v>67</v>
      </c>
      <c r="I23" s="5">
        <v>30</v>
      </c>
      <c r="J23" s="5">
        <v>37</v>
      </c>
      <c r="K23" s="5">
        <v>80</v>
      </c>
      <c r="L23" s="5">
        <f>IF(Table2[[#This Row],['#]]=1,"Champion", IF(Table2[[#This Row],['#]]&gt;=18,"Relegated",Table2[[#This Row],['#]]))</f>
        <v>2</v>
      </c>
      <c r="N23">
        <f>IF(COUNTIF($O$2:O23,O23)=1,N22+1,N22)</f>
        <v>20</v>
      </c>
      <c r="O23" s="4" t="str">
        <f>Table2[[#This Row],[Team]]</f>
        <v>Liverpool</v>
      </c>
      <c r="P23" s="1" t="str">
        <f>IFERROR(VLOOKUP(ROWS($O$2:O23),$N$2:$O$441,2,0),"")</f>
        <v>Fulham</v>
      </c>
      <c r="Q23" s="1">
        <f>IF(P23&lt;&gt;"",SUMPRODUCT(--(Table2[Team]=P23)),"")</f>
        <v>15</v>
      </c>
      <c r="R23" s="11">
        <f>IF(Q23&lt;&gt;"",Q23+ROWS($Q$2:Q23)/100,"")</f>
        <v>15.22</v>
      </c>
      <c r="S23">
        <f>IF(R23&lt;&gt;"",LARGE($R$2:$R$441,ROWS($R$2:R23)),"")</f>
        <v>8.3000000000000007</v>
      </c>
      <c r="T23" s="1" t="str">
        <f>IF(R23&lt;&gt;"",INDEX($P$2:$Q$441,MATCH($S23,$R$2:$R$441,0),COLUMNS($S$2:S23)),"")</f>
        <v>Wigan Athletic</v>
      </c>
      <c r="U23" s="1">
        <f>IF(S23&lt;&gt;"",INDEX($P$2:$Q$441,MATCH($S23,$R$2:$R$441,0),COLUMNS($S$2:T23)),"")</f>
        <v>8</v>
      </c>
      <c r="X23" t="b">
        <f t="shared" si="0"/>
        <v>1</v>
      </c>
      <c r="Y23">
        <f>IF(X23=TRUE,ROWS($X$2:X23))</f>
        <v>22</v>
      </c>
      <c r="Z23">
        <f>IFERROR(SMALL($Y$2:$Y$45,ROWS($Y$2:Y23)),"")</f>
        <v>22</v>
      </c>
      <c r="AA23" t="str">
        <f>IFERROR(INDEX($T$2:$U$441,MATCH($Z23,$Y$2:$Y$45,0),COLUMNS($Z$2:Z23)),"")</f>
        <v>Wigan Athletic</v>
      </c>
      <c r="AB23">
        <f>IFERROR(INDEX($T$2:$U$441,MATCH($Z23,$Y$2:$Y$45,0),COLUMNS($Z$2:AA23)),"")</f>
        <v>8</v>
      </c>
      <c r="AE23" s="1">
        <f>Table2[[#This Row],[Year]]</f>
        <v>2001</v>
      </c>
      <c r="AF23" s="1">
        <f>Table2[[#This Row],['#]]</f>
        <v>2</v>
      </c>
      <c r="AG23" s="1" t="str">
        <f>Table2[[#This Row],[Team]]</f>
        <v>Liverpool</v>
      </c>
      <c r="AH23" s="1">
        <f>Table2[[#This Row],[Pl]]</f>
        <v>38</v>
      </c>
      <c r="AI23" s="1">
        <f>Table2[[#This Row],[W]]</f>
        <v>24</v>
      </c>
      <c r="AJ23" s="1">
        <f>Table2[[#This Row],[D]]</f>
        <v>8</v>
      </c>
      <c r="AK23" s="1">
        <f>Table2[[#This Row],[L]]</f>
        <v>6</v>
      </c>
      <c r="AL23" s="1">
        <f>Table2[[#This Row],[F]]</f>
        <v>67</v>
      </c>
      <c r="AM23" s="1">
        <f>Table2[[#This Row],[A]]</f>
        <v>30</v>
      </c>
      <c r="AN23" s="1">
        <f>Table2[[#This Row],[GD]]</f>
        <v>37</v>
      </c>
      <c r="AO23" s="1">
        <f>Table2[[#This Row],[Pts]]</f>
        <v>80</v>
      </c>
      <c r="AP23" s="1">
        <f>Table2[[#This Row],[Column1]]</f>
        <v>2</v>
      </c>
      <c r="AR23" t="b">
        <f t="shared" si="1"/>
        <v>1</v>
      </c>
      <c r="AS23">
        <f>IF(AR23,ROWS($AR$2:AR23),"")</f>
        <v>22</v>
      </c>
      <c r="AT23">
        <f>IFERROR(SMALL($AS$2:$AS$440,ROWS($AS$2:AS23)),"")</f>
        <v>22</v>
      </c>
      <c r="AU23">
        <f>IF(AT23&lt;&gt;"",INDEX($AE$2:$AP$440,MATCH($AT23,$AS$2:$AS$440,0),COLUMNS($AT$2:AT23)),"")</f>
        <v>2001</v>
      </c>
      <c r="AV23">
        <f>IF(AU23&lt;&gt;"",INDEX($AE$2:$AP$440,MATCH($AT23,$AS$2:$AS$440,0),COLUMNS($AT$2:AU23)),"")</f>
        <v>2</v>
      </c>
      <c r="AW23" t="str">
        <f>IF(AV23&lt;&gt;"",INDEX($AE$2:$AP$440,MATCH($AT23,$AS$2:$AS$440,0),COLUMNS($AT$2:AV23)),"")</f>
        <v>Liverpool</v>
      </c>
      <c r="AX23">
        <f>IF(AW23&lt;&gt;"",INDEX($AE$2:$AP$440,MATCH($AT23,$AS$2:$AS$440,0),COLUMNS($AT$2:AW23)),"")</f>
        <v>38</v>
      </c>
      <c r="AY23">
        <f>IF(AX23&lt;&gt;"",INDEX($AE$2:$AP$440,MATCH($AT23,$AS$2:$AS$440,0),COLUMNS($AT$2:AX23)),"")</f>
        <v>24</v>
      </c>
      <c r="AZ23">
        <f>IF(AY23&lt;&gt;"",INDEX($AE$2:$AP$440,MATCH($AT23,$AS$2:$AS$440,0),COLUMNS($AT$2:AY23)),"")</f>
        <v>8</v>
      </c>
      <c r="BA23">
        <f>IF(AZ23&lt;&gt;"",INDEX($AE$2:$AP$440,MATCH($AT23,$AS$2:$AS$440,0),COLUMNS($AT$2:AZ23)),"")</f>
        <v>6</v>
      </c>
      <c r="BB23">
        <f>IF(BA23&lt;&gt;"",INDEX($AE$2:$AP$440,MATCH($AT23,$AS$2:$AS$440,0),COLUMNS($AT$2:BA23)),"")</f>
        <v>67</v>
      </c>
      <c r="BC23">
        <f>IF(BB23&lt;&gt;"",INDEX($AE$2:$AP$440,MATCH($AT23,$AS$2:$AS$440,0),COLUMNS($AT$2:BB23)),"")</f>
        <v>30</v>
      </c>
      <c r="BD23">
        <f>IF(BC23&lt;&gt;"",INDEX($AE$2:$AP$440,MATCH($AT23,$AS$2:$AS$440,0),COLUMNS($AT$2:BC23)),"")</f>
        <v>37</v>
      </c>
      <c r="BE23">
        <f>IF(BD23&lt;&gt;"",INDEX($AE$2:$AP$440,MATCH($AT23,$AS$2:$AS$440,0),COLUMNS($AT$2:BD23)),"")</f>
        <v>80</v>
      </c>
      <c r="BF23">
        <f>IF(BE23&lt;&gt;"",INDEX($AE$2:$AP$440,MATCH($AT23,$AS$2:$AS$440,0),COLUMNS($AT$2:BE23)),"")</f>
        <v>2</v>
      </c>
      <c r="BH23" s="1">
        <v>2021</v>
      </c>
      <c r="BI23" s="1">
        <v>1</v>
      </c>
      <c r="BJ23" s="1" t="s">
        <v>28</v>
      </c>
      <c r="BK23" s="1">
        <v>38</v>
      </c>
      <c r="BL23" s="1">
        <v>29</v>
      </c>
      <c r="BM23" s="1">
        <v>6</v>
      </c>
      <c r="BN23" s="1">
        <v>3</v>
      </c>
      <c r="BO23" s="1">
        <v>99</v>
      </c>
      <c r="BP23" s="1">
        <v>26</v>
      </c>
      <c r="BQ23" s="1">
        <v>73</v>
      </c>
      <c r="BR23" s="1">
        <v>93</v>
      </c>
      <c r="BS23" s="11">
        <f t="shared" si="2"/>
        <v>0.76315789473684215</v>
      </c>
      <c r="BU23" s="1">
        <v>2007</v>
      </c>
      <c r="BV23" s="1">
        <v>18</v>
      </c>
      <c r="BW23" s="1" t="s">
        <v>41</v>
      </c>
      <c r="BX23" s="1">
        <v>38</v>
      </c>
      <c r="BY23" s="1">
        <v>10</v>
      </c>
      <c r="BZ23" s="1">
        <v>6</v>
      </c>
      <c r="CA23" s="1">
        <v>22</v>
      </c>
      <c r="CB23" s="1">
        <v>41</v>
      </c>
      <c r="CC23" s="1">
        <v>66</v>
      </c>
      <c r="CD23" s="1">
        <v>-25</v>
      </c>
      <c r="CE23" s="1">
        <v>36</v>
      </c>
      <c r="CF23" s="17">
        <f t="shared" si="3"/>
        <v>0.26315789473684209</v>
      </c>
    </row>
    <row r="24" spans="1:84" x14ac:dyDescent="0.25">
      <c r="A24" s="3">
        <v>2001</v>
      </c>
      <c r="B24" s="3">
        <v>3</v>
      </c>
      <c r="C24" s="4" t="s">
        <v>11</v>
      </c>
      <c r="D24" s="3">
        <v>38</v>
      </c>
      <c r="E24" s="3">
        <v>24</v>
      </c>
      <c r="F24" s="3">
        <v>5</v>
      </c>
      <c r="G24" s="3">
        <v>9</v>
      </c>
      <c r="H24" s="3">
        <v>87</v>
      </c>
      <c r="I24" s="3">
        <v>45</v>
      </c>
      <c r="J24" s="3">
        <v>42</v>
      </c>
      <c r="K24" s="3">
        <v>77</v>
      </c>
      <c r="L24" s="5">
        <f>IF(Table2[[#This Row],['#]]=1,"Champion", IF(Table2[[#This Row],['#]]&gt;=18,"Relegated",Table2[[#This Row],['#]]))</f>
        <v>3</v>
      </c>
      <c r="N24">
        <f>IF(COUNTIF($O$2:O24,O24)=1,N23+1,N23)</f>
        <v>20</v>
      </c>
      <c r="O24" s="4" t="str">
        <f>Table2[[#This Row],[Team]]</f>
        <v>Manchester United</v>
      </c>
      <c r="P24" s="1" t="str">
        <f>IFERROR(VLOOKUP(ROWS($O$2:O24),$N$2:$O$441,2,0),"")</f>
        <v>Bolton Wanderers</v>
      </c>
      <c r="Q24" s="1">
        <f>IF(P24&lt;&gt;"",SUMPRODUCT(--(Table2[Team]=P24)),"")</f>
        <v>11</v>
      </c>
      <c r="R24" s="11">
        <f>IF(Q24&lt;&gt;"",Q24+ROWS($Q$2:Q24)/100,"")</f>
        <v>11.23</v>
      </c>
      <c r="S24">
        <f>IF(R24&lt;&gt;"",LARGE($R$2:$R$441,ROWS($R$2:R24)),"")</f>
        <v>8.27</v>
      </c>
      <c r="T24" s="1" t="str">
        <f>IF(R24&lt;&gt;"",INDEX($P$2:$Q$441,MATCH($S24,$R$2:$R$441,0),COLUMNS($S$2:S24)),"")</f>
        <v>Wolverhampton Wanderers</v>
      </c>
      <c r="U24" s="1">
        <f>IF(S24&lt;&gt;"",INDEX($P$2:$Q$441,MATCH($S24,$R$2:$R$441,0),COLUMNS($S$2:T24)),"")</f>
        <v>8</v>
      </c>
      <c r="X24" t="b">
        <f t="shared" si="0"/>
        <v>1</v>
      </c>
      <c r="Y24">
        <f>IF(X24=TRUE,ROWS($X$2:X24))</f>
        <v>23</v>
      </c>
      <c r="Z24">
        <f>IFERROR(SMALL($Y$2:$Y$45,ROWS($Y$2:Y24)),"")</f>
        <v>23</v>
      </c>
      <c r="AA24" t="str">
        <f>IFERROR(INDEX($T$2:$U$441,MATCH($Z24,$Y$2:$Y$45,0),COLUMNS($Z$2:Z24)),"")</f>
        <v>Wolverhampton Wanderers</v>
      </c>
      <c r="AB24">
        <f>IFERROR(INDEX($T$2:$U$441,MATCH($Z24,$Y$2:$Y$45,0),COLUMNS($Z$2:AA24)),"")</f>
        <v>8</v>
      </c>
      <c r="AE24" s="1">
        <f>Table2[[#This Row],[Year]]</f>
        <v>2001</v>
      </c>
      <c r="AF24" s="1">
        <f>Table2[[#This Row],['#]]</f>
        <v>3</v>
      </c>
      <c r="AG24" s="1" t="str">
        <f>Table2[[#This Row],[Team]]</f>
        <v>Manchester United</v>
      </c>
      <c r="AH24" s="1">
        <f>Table2[[#This Row],[Pl]]</f>
        <v>38</v>
      </c>
      <c r="AI24" s="1">
        <f>Table2[[#This Row],[W]]</f>
        <v>24</v>
      </c>
      <c r="AJ24" s="1">
        <f>Table2[[#This Row],[D]]</f>
        <v>5</v>
      </c>
      <c r="AK24" s="1">
        <f>Table2[[#This Row],[L]]</f>
        <v>9</v>
      </c>
      <c r="AL24" s="1">
        <f>Table2[[#This Row],[F]]</f>
        <v>87</v>
      </c>
      <c r="AM24" s="1">
        <f>Table2[[#This Row],[A]]</f>
        <v>45</v>
      </c>
      <c r="AN24" s="1">
        <f>Table2[[#This Row],[GD]]</f>
        <v>42</v>
      </c>
      <c r="AO24" s="1">
        <f>Table2[[#This Row],[Pts]]</f>
        <v>77</v>
      </c>
      <c r="AP24" s="1">
        <f>Table2[[#This Row],[Column1]]</f>
        <v>3</v>
      </c>
      <c r="AR24" t="b">
        <f t="shared" si="1"/>
        <v>1</v>
      </c>
      <c r="AS24">
        <f>IF(AR24,ROWS($AR$2:AR24),"")</f>
        <v>23</v>
      </c>
      <c r="AT24">
        <f>IFERROR(SMALL($AS$2:$AS$440,ROWS($AS$2:AS24)),"")</f>
        <v>23</v>
      </c>
      <c r="AU24">
        <f>IF(AT24&lt;&gt;"",INDEX($AE$2:$AP$440,MATCH($AT24,$AS$2:$AS$440,0),COLUMNS($AT$2:AT24)),"")</f>
        <v>2001</v>
      </c>
      <c r="AV24">
        <f>IF(AU24&lt;&gt;"",INDEX($AE$2:$AP$440,MATCH($AT24,$AS$2:$AS$440,0),COLUMNS($AT$2:AU24)),"")</f>
        <v>3</v>
      </c>
      <c r="AW24" t="str">
        <f>IF(AV24&lt;&gt;"",INDEX($AE$2:$AP$440,MATCH($AT24,$AS$2:$AS$440,0),COLUMNS($AT$2:AV24)),"")</f>
        <v>Manchester United</v>
      </c>
      <c r="AX24">
        <f>IF(AW24&lt;&gt;"",INDEX($AE$2:$AP$440,MATCH($AT24,$AS$2:$AS$440,0),COLUMNS($AT$2:AW24)),"")</f>
        <v>38</v>
      </c>
      <c r="AY24">
        <f>IF(AX24&lt;&gt;"",INDEX($AE$2:$AP$440,MATCH($AT24,$AS$2:$AS$440,0),COLUMNS($AT$2:AX24)),"")</f>
        <v>24</v>
      </c>
      <c r="AZ24">
        <f>IF(AY24&lt;&gt;"",INDEX($AE$2:$AP$440,MATCH($AT24,$AS$2:$AS$440,0),COLUMNS($AT$2:AY24)),"")</f>
        <v>5</v>
      </c>
      <c r="BA24">
        <f>IF(AZ24&lt;&gt;"",INDEX($AE$2:$AP$440,MATCH($AT24,$AS$2:$AS$440,0),COLUMNS($AT$2:AZ24)),"")</f>
        <v>9</v>
      </c>
      <c r="BB24">
        <f>IF(BA24&lt;&gt;"",INDEX($AE$2:$AP$440,MATCH($AT24,$AS$2:$AS$440,0),COLUMNS($AT$2:BA24)),"")</f>
        <v>87</v>
      </c>
      <c r="BC24">
        <f>IF(BB24&lt;&gt;"",INDEX($AE$2:$AP$440,MATCH($AT24,$AS$2:$AS$440,0),COLUMNS($AT$2:BB24)),"")</f>
        <v>45</v>
      </c>
      <c r="BD24">
        <f>IF(BC24&lt;&gt;"",INDEX($AE$2:$AP$440,MATCH($AT24,$AS$2:$AS$440,0),COLUMNS($AT$2:BC24)),"")</f>
        <v>42</v>
      </c>
      <c r="BE24">
        <f>IF(BD24&lt;&gt;"",INDEX($AE$2:$AP$440,MATCH($AT24,$AS$2:$AS$440,0),COLUMNS($AT$2:BD24)),"")</f>
        <v>77</v>
      </c>
      <c r="BF24">
        <f>IF(BE24&lt;&gt;"",INDEX($AE$2:$AP$440,MATCH($AT24,$AS$2:$AS$440,0),COLUMNS($AT$2:BE24)),"")</f>
        <v>3</v>
      </c>
      <c r="BS24" s="11"/>
      <c r="BU24" s="1">
        <v>2007</v>
      </c>
      <c r="BV24" s="1">
        <v>19</v>
      </c>
      <c r="BW24" s="1" t="s">
        <v>34</v>
      </c>
      <c r="BX24" s="1">
        <v>38</v>
      </c>
      <c r="BY24" s="1">
        <v>8</v>
      </c>
      <c r="BZ24" s="1">
        <v>11</v>
      </c>
      <c r="CA24" s="1">
        <v>19</v>
      </c>
      <c r="CB24" s="1">
        <v>46</v>
      </c>
      <c r="CC24" s="1">
        <v>62</v>
      </c>
      <c r="CD24" s="1">
        <v>-16</v>
      </c>
      <c r="CE24" s="1">
        <v>35</v>
      </c>
      <c r="CF24" s="17">
        <f t="shared" si="3"/>
        <v>0.21052631578947367</v>
      </c>
    </row>
    <row r="25" spans="1:84" x14ac:dyDescent="0.25">
      <c r="A25" s="5">
        <v>2001</v>
      </c>
      <c r="B25" s="5">
        <v>4</v>
      </c>
      <c r="C25" s="6" t="s">
        <v>21</v>
      </c>
      <c r="D25" s="5">
        <v>38</v>
      </c>
      <c r="E25" s="5">
        <v>21</v>
      </c>
      <c r="F25" s="5">
        <v>8</v>
      </c>
      <c r="G25" s="5">
        <v>9</v>
      </c>
      <c r="H25" s="5">
        <v>74</v>
      </c>
      <c r="I25" s="5">
        <v>52</v>
      </c>
      <c r="J25" s="5">
        <v>22</v>
      </c>
      <c r="K25" s="5">
        <v>71</v>
      </c>
      <c r="L25" s="5">
        <f>IF(Table2[[#This Row],['#]]=1,"Champion", IF(Table2[[#This Row],['#]]&gt;=18,"Relegated",Table2[[#This Row],['#]]))</f>
        <v>4</v>
      </c>
      <c r="N25">
        <f>IF(COUNTIF($O$2:O25,O25)=1,N24+1,N24)</f>
        <v>20</v>
      </c>
      <c r="O25" s="4" t="str">
        <f>Table2[[#This Row],[Team]]</f>
        <v>Newcastle United</v>
      </c>
      <c r="P25" s="1" t="str">
        <f>IFERROR(VLOOKUP(ROWS($O$2:O25),$N$2:$O$441,2,0),"")</f>
        <v>Birmingham City</v>
      </c>
      <c r="Q25" s="1">
        <f>IF(P25&lt;&gt;"",SUMPRODUCT(--(Table2[Team]=P25)),"")</f>
        <v>7</v>
      </c>
      <c r="R25" s="11">
        <f>IF(Q25&lt;&gt;"",Q25+ROWS($Q$2:Q25)/100,"")</f>
        <v>7.24</v>
      </c>
      <c r="S25">
        <f>IF(R25&lt;&gt;"",LARGE($R$2:$R$441,ROWS($R$2:R25)),"")</f>
        <v>7.38</v>
      </c>
      <c r="T25" s="1" t="str">
        <f>IF(R25&lt;&gt;"",INDEX($P$2:$Q$441,MATCH($S25,$R$2:$R$441,0),COLUMNS($S$2:S25)),"")</f>
        <v>Swansea City</v>
      </c>
      <c r="U25" s="1">
        <f>IF(S25&lt;&gt;"",INDEX($P$2:$Q$441,MATCH($S25,$R$2:$R$441,0),COLUMNS($S$2:T25)),"")</f>
        <v>7</v>
      </c>
      <c r="X25" t="b">
        <f t="shared" si="0"/>
        <v>1</v>
      </c>
      <c r="Y25">
        <f>IF(X25=TRUE,ROWS($X$2:X25))</f>
        <v>24</v>
      </c>
      <c r="Z25">
        <f>IFERROR(SMALL($Y$2:$Y$45,ROWS($Y$2:Y25)),"")</f>
        <v>24</v>
      </c>
      <c r="AA25" t="str">
        <f>IFERROR(INDEX($T$2:$U$441,MATCH($Z25,$Y$2:$Y$45,0),COLUMNS($Z$2:Z25)),"")</f>
        <v>Swansea City</v>
      </c>
      <c r="AB25">
        <f>IFERROR(INDEX($T$2:$U$441,MATCH($Z25,$Y$2:$Y$45,0),COLUMNS($Z$2:AA25)),"")</f>
        <v>7</v>
      </c>
      <c r="AE25" s="1">
        <f>Table2[[#This Row],[Year]]</f>
        <v>2001</v>
      </c>
      <c r="AF25" s="1">
        <f>Table2[[#This Row],['#]]</f>
        <v>4</v>
      </c>
      <c r="AG25" s="1" t="str">
        <f>Table2[[#This Row],[Team]]</f>
        <v>Newcastle United</v>
      </c>
      <c r="AH25" s="1">
        <f>Table2[[#This Row],[Pl]]</f>
        <v>38</v>
      </c>
      <c r="AI25" s="1">
        <f>Table2[[#This Row],[W]]</f>
        <v>21</v>
      </c>
      <c r="AJ25" s="1">
        <f>Table2[[#This Row],[D]]</f>
        <v>8</v>
      </c>
      <c r="AK25" s="1">
        <f>Table2[[#This Row],[L]]</f>
        <v>9</v>
      </c>
      <c r="AL25" s="1">
        <f>Table2[[#This Row],[F]]</f>
        <v>74</v>
      </c>
      <c r="AM25" s="1">
        <f>Table2[[#This Row],[A]]</f>
        <v>52</v>
      </c>
      <c r="AN25" s="1">
        <f>Table2[[#This Row],[GD]]</f>
        <v>22</v>
      </c>
      <c r="AO25" s="1">
        <f>Table2[[#This Row],[Pts]]</f>
        <v>71</v>
      </c>
      <c r="AP25" s="1">
        <f>Table2[[#This Row],[Column1]]</f>
        <v>4</v>
      </c>
      <c r="AR25" t="b">
        <f t="shared" si="1"/>
        <v>1</v>
      </c>
      <c r="AS25">
        <f>IF(AR25,ROWS($AR$2:AR25),"")</f>
        <v>24</v>
      </c>
      <c r="AT25">
        <f>IFERROR(SMALL($AS$2:$AS$440,ROWS($AS$2:AS25)),"")</f>
        <v>24</v>
      </c>
      <c r="AU25">
        <f>IF(AT25&lt;&gt;"",INDEX($AE$2:$AP$440,MATCH($AT25,$AS$2:$AS$440,0),COLUMNS($AT$2:AT25)),"")</f>
        <v>2001</v>
      </c>
      <c r="AV25">
        <f>IF(AU25&lt;&gt;"",INDEX($AE$2:$AP$440,MATCH($AT25,$AS$2:$AS$440,0),COLUMNS($AT$2:AU25)),"")</f>
        <v>4</v>
      </c>
      <c r="AW25" t="str">
        <f>IF(AV25&lt;&gt;"",INDEX($AE$2:$AP$440,MATCH($AT25,$AS$2:$AS$440,0),COLUMNS($AT$2:AV25)),"")</f>
        <v>Newcastle United</v>
      </c>
      <c r="AX25">
        <f>IF(AW25&lt;&gt;"",INDEX($AE$2:$AP$440,MATCH($AT25,$AS$2:$AS$440,0),COLUMNS($AT$2:AW25)),"")</f>
        <v>38</v>
      </c>
      <c r="AY25">
        <f>IF(AX25&lt;&gt;"",INDEX($AE$2:$AP$440,MATCH($AT25,$AS$2:$AS$440,0),COLUMNS($AT$2:AX25)),"")</f>
        <v>21</v>
      </c>
      <c r="AZ25">
        <f>IF(AY25&lt;&gt;"",INDEX($AE$2:$AP$440,MATCH($AT25,$AS$2:$AS$440,0),COLUMNS($AT$2:AY25)),"")</f>
        <v>8</v>
      </c>
      <c r="BA25">
        <f>IF(AZ25&lt;&gt;"",INDEX($AE$2:$AP$440,MATCH($AT25,$AS$2:$AS$440,0),COLUMNS($AT$2:AZ25)),"")</f>
        <v>9</v>
      </c>
      <c r="BB25">
        <f>IF(BA25&lt;&gt;"",INDEX($AE$2:$AP$440,MATCH($AT25,$AS$2:$AS$440,0),COLUMNS($AT$2:BA25)),"")</f>
        <v>74</v>
      </c>
      <c r="BC25">
        <f>IF(BB25&lt;&gt;"",INDEX($AE$2:$AP$440,MATCH($AT25,$AS$2:$AS$440,0),COLUMNS($AT$2:BB25)),"")</f>
        <v>52</v>
      </c>
      <c r="BD25">
        <f>IF(BC25&lt;&gt;"",INDEX($AE$2:$AP$440,MATCH($AT25,$AS$2:$AS$440,0),COLUMNS($AT$2:BC25)),"")</f>
        <v>22</v>
      </c>
      <c r="BE25">
        <f>IF(BD25&lt;&gt;"",INDEX($AE$2:$AP$440,MATCH($AT25,$AS$2:$AS$440,0),COLUMNS($AT$2:BD25)),"")</f>
        <v>71</v>
      </c>
      <c r="BF25">
        <f>IF(BE25&lt;&gt;"",INDEX($AE$2:$AP$440,MATCH($AT25,$AS$2:$AS$440,0),COLUMNS($AT$2:BE25)),"")</f>
        <v>4</v>
      </c>
      <c r="BU25" s="1">
        <v>2007</v>
      </c>
      <c r="BV25" s="1">
        <v>20</v>
      </c>
      <c r="BW25" s="1" t="s">
        <v>27</v>
      </c>
      <c r="BX25" s="1">
        <v>38</v>
      </c>
      <c r="BY25" s="1">
        <v>1</v>
      </c>
      <c r="BZ25" s="1">
        <v>8</v>
      </c>
      <c r="CA25" s="1">
        <v>29</v>
      </c>
      <c r="CB25" s="1">
        <v>20</v>
      </c>
      <c r="CC25" s="1">
        <v>89</v>
      </c>
      <c r="CD25" s="1">
        <v>-69</v>
      </c>
      <c r="CE25" s="1">
        <v>11</v>
      </c>
      <c r="CF25" s="17">
        <f t="shared" si="3"/>
        <v>2.6315789473684209E-2</v>
      </c>
    </row>
    <row r="26" spans="1:84" x14ac:dyDescent="0.25">
      <c r="A26" s="3">
        <v>2001</v>
      </c>
      <c r="B26" s="3">
        <v>5</v>
      </c>
      <c r="C26" s="4" t="s">
        <v>14</v>
      </c>
      <c r="D26" s="3">
        <v>38</v>
      </c>
      <c r="E26" s="3">
        <v>18</v>
      </c>
      <c r="F26" s="3">
        <v>12</v>
      </c>
      <c r="G26" s="3">
        <v>8</v>
      </c>
      <c r="H26" s="3">
        <v>53</v>
      </c>
      <c r="I26" s="3">
        <v>37</v>
      </c>
      <c r="J26" s="3">
        <v>16</v>
      </c>
      <c r="K26" s="3">
        <v>66</v>
      </c>
      <c r="L26" s="5">
        <f>IF(Table2[[#This Row],['#]]=1,"Champion", IF(Table2[[#This Row],['#]]&gt;=18,"Relegated",Table2[[#This Row],['#]]))</f>
        <v>5</v>
      </c>
      <c r="N26">
        <f>IF(COUNTIF($O$2:O26,O26)=1,N25+1,N25)</f>
        <v>20</v>
      </c>
      <c r="O26" s="4" t="str">
        <f>Table2[[#This Row],[Team]]</f>
        <v>Leeds United</v>
      </c>
      <c r="P26" s="1" t="str">
        <f>IFERROR(VLOOKUP(ROWS($O$2:O26),$N$2:$O$441,2,0),"")</f>
        <v>West Bromwich Albion</v>
      </c>
      <c r="Q26" s="1">
        <f>IF(P26&lt;&gt;"",SUMPRODUCT(--(Table2[Team]=P26)),"")</f>
        <v>13</v>
      </c>
      <c r="R26" s="11">
        <f>IF(Q26&lt;&gt;"",Q26+ROWS($Q$2:Q26)/100,"")</f>
        <v>13.25</v>
      </c>
      <c r="S26">
        <f>IF(R26&lt;&gt;"",LARGE($R$2:$R$441,ROWS($R$2:R26)),"")</f>
        <v>7.33</v>
      </c>
      <c r="T26" s="1" t="str">
        <f>IF(R26&lt;&gt;"",INDEX($P$2:$Q$441,MATCH($S26,$R$2:$R$441,0),COLUMNS($S$2:S26)),"")</f>
        <v>Watford</v>
      </c>
      <c r="U26" s="1">
        <f>IF(S26&lt;&gt;"",INDEX($P$2:$Q$441,MATCH($S26,$R$2:$R$441,0),COLUMNS($S$2:T26)),"")</f>
        <v>7</v>
      </c>
      <c r="X26" t="b">
        <f t="shared" si="0"/>
        <v>1</v>
      </c>
      <c r="Y26">
        <f>IF(X26=TRUE,ROWS($X$2:X26))</f>
        <v>25</v>
      </c>
      <c r="Z26">
        <f>IFERROR(SMALL($Y$2:$Y$45,ROWS($Y$2:Y26)),"")</f>
        <v>25</v>
      </c>
      <c r="AA26" t="str">
        <f>IFERROR(INDEX($T$2:$U$441,MATCH($Z26,$Y$2:$Y$45,0),COLUMNS($Z$2:Z26)),"")</f>
        <v>Watford</v>
      </c>
      <c r="AB26">
        <f>IFERROR(INDEX($T$2:$U$441,MATCH($Z26,$Y$2:$Y$45,0),COLUMNS($Z$2:AA26)),"")</f>
        <v>7</v>
      </c>
      <c r="AE26" s="1">
        <f>Table2[[#This Row],[Year]]</f>
        <v>2001</v>
      </c>
      <c r="AF26" s="1">
        <f>Table2[[#This Row],['#]]</f>
        <v>5</v>
      </c>
      <c r="AG26" s="1" t="str">
        <f>Table2[[#This Row],[Team]]</f>
        <v>Leeds United</v>
      </c>
      <c r="AH26" s="1">
        <f>Table2[[#This Row],[Pl]]</f>
        <v>38</v>
      </c>
      <c r="AI26" s="1">
        <f>Table2[[#This Row],[W]]</f>
        <v>18</v>
      </c>
      <c r="AJ26" s="1">
        <f>Table2[[#This Row],[D]]</f>
        <v>12</v>
      </c>
      <c r="AK26" s="1">
        <f>Table2[[#This Row],[L]]</f>
        <v>8</v>
      </c>
      <c r="AL26" s="1">
        <f>Table2[[#This Row],[F]]</f>
        <v>53</v>
      </c>
      <c r="AM26" s="1">
        <f>Table2[[#This Row],[A]]</f>
        <v>37</v>
      </c>
      <c r="AN26" s="1">
        <f>Table2[[#This Row],[GD]]</f>
        <v>16</v>
      </c>
      <c r="AO26" s="1">
        <f>Table2[[#This Row],[Pts]]</f>
        <v>66</v>
      </c>
      <c r="AP26" s="1">
        <f>Table2[[#This Row],[Column1]]</f>
        <v>5</v>
      </c>
      <c r="AR26" t="b">
        <f t="shared" si="1"/>
        <v>1</v>
      </c>
      <c r="AS26">
        <f>IF(AR26,ROWS($AR$2:AR26),"")</f>
        <v>25</v>
      </c>
      <c r="AT26">
        <f>IFERROR(SMALL($AS$2:$AS$440,ROWS($AS$2:AS26)),"")</f>
        <v>25</v>
      </c>
      <c r="AU26">
        <f>IF(AT26&lt;&gt;"",INDEX($AE$2:$AP$440,MATCH($AT26,$AS$2:$AS$440,0),COLUMNS($AT$2:AT26)),"")</f>
        <v>2001</v>
      </c>
      <c r="AV26">
        <f>IF(AU26&lt;&gt;"",INDEX($AE$2:$AP$440,MATCH($AT26,$AS$2:$AS$440,0),COLUMNS($AT$2:AU26)),"")</f>
        <v>5</v>
      </c>
      <c r="AW26" t="str">
        <f>IF(AV26&lt;&gt;"",INDEX($AE$2:$AP$440,MATCH($AT26,$AS$2:$AS$440,0),COLUMNS($AT$2:AV26)),"")</f>
        <v>Leeds United</v>
      </c>
      <c r="AX26">
        <f>IF(AW26&lt;&gt;"",INDEX($AE$2:$AP$440,MATCH($AT26,$AS$2:$AS$440,0),COLUMNS($AT$2:AW26)),"")</f>
        <v>38</v>
      </c>
      <c r="AY26">
        <f>IF(AX26&lt;&gt;"",INDEX($AE$2:$AP$440,MATCH($AT26,$AS$2:$AS$440,0),COLUMNS($AT$2:AX26)),"")</f>
        <v>18</v>
      </c>
      <c r="AZ26">
        <f>IF(AY26&lt;&gt;"",INDEX($AE$2:$AP$440,MATCH($AT26,$AS$2:$AS$440,0),COLUMNS($AT$2:AY26)),"")</f>
        <v>12</v>
      </c>
      <c r="BA26">
        <f>IF(AZ26&lt;&gt;"",INDEX($AE$2:$AP$440,MATCH($AT26,$AS$2:$AS$440,0),COLUMNS($AT$2:AZ26)),"")</f>
        <v>8</v>
      </c>
      <c r="BB26">
        <f>IF(BA26&lt;&gt;"",INDEX($AE$2:$AP$440,MATCH($AT26,$AS$2:$AS$440,0),COLUMNS($AT$2:BA26)),"")</f>
        <v>53</v>
      </c>
      <c r="BC26">
        <f>IF(BB26&lt;&gt;"",INDEX($AE$2:$AP$440,MATCH($AT26,$AS$2:$AS$440,0),COLUMNS($AT$2:BB26)),"")</f>
        <v>37</v>
      </c>
      <c r="BD26">
        <f>IF(BC26&lt;&gt;"",INDEX($AE$2:$AP$440,MATCH($AT26,$AS$2:$AS$440,0),COLUMNS($AT$2:BC26)),"")</f>
        <v>16</v>
      </c>
      <c r="BE26">
        <f>IF(BD26&lt;&gt;"",INDEX($AE$2:$AP$440,MATCH($AT26,$AS$2:$AS$440,0),COLUMNS($AT$2:BD26)),"")</f>
        <v>66</v>
      </c>
      <c r="BF26">
        <f>IF(BE26&lt;&gt;"",INDEX($AE$2:$AP$440,MATCH($AT26,$AS$2:$AS$440,0),COLUMNS($AT$2:BE26)),"")</f>
        <v>5</v>
      </c>
      <c r="BU26" s="1">
        <v>2008</v>
      </c>
      <c r="BV26" s="1">
        <v>18</v>
      </c>
      <c r="BW26" s="1" t="s">
        <v>21</v>
      </c>
      <c r="BX26" s="1">
        <v>38</v>
      </c>
      <c r="BY26" s="1">
        <v>7</v>
      </c>
      <c r="BZ26" s="1">
        <v>13</v>
      </c>
      <c r="CA26" s="1">
        <v>18</v>
      </c>
      <c r="CB26" s="1">
        <v>40</v>
      </c>
      <c r="CC26" s="1">
        <v>59</v>
      </c>
      <c r="CD26" s="1">
        <v>-19</v>
      </c>
      <c r="CE26" s="1">
        <v>34</v>
      </c>
      <c r="CF26" s="17">
        <f t="shared" si="3"/>
        <v>0.18421052631578946</v>
      </c>
    </row>
    <row r="27" spans="1:84" x14ac:dyDescent="0.25">
      <c r="A27" s="5">
        <v>2001</v>
      </c>
      <c r="B27" s="5">
        <v>6</v>
      </c>
      <c r="C27" s="6" t="s">
        <v>16</v>
      </c>
      <c r="D27" s="5">
        <v>38</v>
      </c>
      <c r="E27" s="5">
        <v>17</v>
      </c>
      <c r="F27" s="5">
        <v>13</v>
      </c>
      <c r="G27" s="5">
        <v>8</v>
      </c>
      <c r="H27" s="5">
        <v>66</v>
      </c>
      <c r="I27" s="5">
        <v>38</v>
      </c>
      <c r="J27" s="5">
        <v>28</v>
      </c>
      <c r="K27" s="5">
        <v>64</v>
      </c>
      <c r="L27" s="5">
        <f>IF(Table2[[#This Row],['#]]=1,"Champion", IF(Table2[[#This Row],['#]]&gt;=18,"Relegated",Table2[[#This Row],['#]]))</f>
        <v>6</v>
      </c>
      <c r="N27">
        <f>IF(COUNTIF($O$2:O27,O27)=1,N26+1,N26)</f>
        <v>20</v>
      </c>
      <c r="O27" s="4" t="str">
        <f>Table2[[#This Row],[Team]]</f>
        <v>Chelsea</v>
      </c>
      <c r="P27" s="1" t="str">
        <f>IFERROR(VLOOKUP(ROWS($O$2:O27),$N$2:$O$441,2,0),"")</f>
        <v>Portsmouth</v>
      </c>
      <c r="Q27" s="1">
        <f>IF(P27&lt;&gt;"",SUMPRODUCT(--(Table2[Team]=P27)),"")</f>
        <v>7</v>
      </c>
      <c r="R27" s="11">
        <f>IF(Q27&lt;&gt;"",Q27+ROWS($Q$2:Q27)/100,"")</f>
        <v>7.26</v>
      </c>
      <c r="S27">
        <f>IF(R27&lt;&gt;"",LARGE($R$2:$R$441,ROWS($R$2:R27)),"")</f>
        <v>7.29</v>
      </c>
      <c r="T27" s="1" t="str">
        <f>IF(R27&lt;&gt;"",INDEX($P$2:$Q$441,MATCH($S27,$R$2:$R$441,0),COLUMNS($S$2:S27)),"")</f>
        <v>Norwich City</v>
      </c>
      <c r="U27" s="1">
        <f>IF(S27&lt;&gt;"",INDEX($P$2:$Q$441,MATCH($S27,$R$2:$R$441,0),COLUMNS($S$2:T27)),"")</f>
        <v>7</v>
      </c>
      <c r="X27" t="b">
        <f t="shared" si="0"/>
        <v>1</v>
      </c>
      <c r="Y27">
        <f>IF(X27=TRUE,ROWS($X$2:X27))</f>
        <v>26</v>
      </c>
      <c r="Z27">
        <f>IFERROR(SMALL($Y$2:$Y$45,ROWS($Y$2:Y27)),"")</f>
        <v>26</v>
      </c>
      <c r="AA27" t="str">
        <f>IFERROR(INDEX($T$2:$U$441,MATCH($Z27,$Y$2:$Y$45,0),COLUMNS($Z$2:Z27)),"")</f>
        <v>Norwich City</v>
      </c>
      <c r="AB27">
        <f>IFERROR(INDEX($T$2:$U$441,MATCH($Z27,$Y$2:$Y$45,0),COLUMNS($Z$2:AA27)),"")</f>
        <v>7</v>
      </c>
      <c r="AE27" s="1">
        <f>Table2[[#This Row],[Year]]</f>
        <v>2001</v>
      </c>
      <c r="AF27" s="1">
        <f>Table2[[#This Row],['#]]</f>
        <v>6</v>
      </c>
      <c r="AG27" s="1" t="str">
        <f>Table2[[#This Row],[Team]]</f>
        <v>Chelsea</v>
      </c>
      <c r="AH27" s="1">
        <f>Table2[[#This Row],[Pl]]</f>
        <v>38</v>
      </c>
      <c r="AI27" s="1">
        <f>Table2[[#This Row],[W]]</f>
        <v>17</v>
      </c>
      <c r="AJ27" s="1">
        <f>Table2[[#This Row],[D]]</f>
        <v>13</v>
      </c>
      <c r="AK27" s="1">
        <f>Table2[[#This Row],[L]]</f>
        <v>8</v>
      </c>
      <c r="AL27" s="1">
        <f>Table2[[#This Row],[F]]</f>
        <v>66</v>
      </c>
      <c r="AM27" s="1">
        <f>Table2[[#This Row],[A]]</f>
        <v>38</v>
      </c>
      <c r="AN27" s="1">
        <f>Table2[[#This Row],[GD]]</f>
        <v>28</v>
      </c>
      <c r="AO27" s="1">
        <f>Table2[[#This Row],[Pts]]</f>
        <v>64</v>
      </c>
      <c r="AP27" s="1">
        <f>Table2[[#This Row],[Column1]]</f>
        <v>6</v>
      </c>
      <c r="AR27" t="b">
        <f t="shared" si="1"/>
        <v>1</v>
      </c>
      <c r="AS27">
        <f>IF(AR27,ROWS($AR$2:AR27),"")</f>
        <v>26</v>
      </c>
      <c r="AT27">
        <f>IFERROR(SMALL($AS$2:$AS$440,ROWS($AS$2:AS27)),"")</f>
        <v>26</v>
      </c>
      <c r="AU27">
        <f>IF(AT27&lt;&gt;"",INDEX($AE$2:$AP$440,MATCH($AT27,$AS$2:$AS$440,0),COLUMNS($AT$2:AT27)),"")</f>
        <v>2001</v>
      </c>
      <c r="AV27">
        <f>IF(AU27&lt;&gt;"",INDEX($AE$2:$AP$440,MATCH($AT27,$AS$2:$AS$440,0),COLUMNS($AT$2:AU27)),"")</f>
        <v>6</v>
      </c>
      <c r="AW27" t="str">
        <f>IF(AV27&lt;&gt;"",INDEX($AE$2:$AP$440,MATCH($AT27,$AS$2:$AS$440,0),COLUMNS($AT$2:AV27)),"")</f>
        <v>Chelsea</v>
      </c>
      <c r="AX27">
        <f>IF(AW27&lt;&gt;"",INDEX($AE$2:$AP$440,MATCH($AT27,$AS$2:$AS$440,0),COLUMNS($AT$2:AW27)),"")</f>
        <v>38</v>
      </c>
      <c r="AY27">
        <f>IF(AX27&lt;&gt;"",INDEX($AE$2:$AP$440,MATCH($AT27,$AS$2:$AS$440,0),COLUMNS($AT$2:AX27)),"")</f>
        <v>17</v>
      </c>
      <c r="AZ27">
        <f>IF(AY27&lt;&gt;"",INDEX($AE$2:$AP$440,MATCH($AT27,$AS$2:$AS$440,0),COLUMNS($AT$2:AY27)),"")</f>
        <v>13</v>
      </c>
      <c r="BA27">
        <f>IF(AZ27&lt;&gt;"",INDEX($AE$2:$AP$440,MATCH($AT27,$AS$2:$AS$440,0),COLUMNS($AT$2:AZ27)),"")</f>
        <v>8</v>
      </c>
      <c r="BB27">
        <f>IF(BA27&lt;&gt;"",INDEX($AE$2:$AP$440,MATCH($AT27,$AS$2:$AS$440,0),COLUMNS($AT$2:BA27)),"")</f>
        <v>66</v>
      </c>
      <c r="BC27">
        <f>IF(BB27&lt;&gt;"",INDEX($AE$2:$AP$440,MATCH($AT27,$AS$2:$AS$440,0),COLUMNS($AT$2:BB27)),"")</f>
        <v>38</v>
      </c>
      <c r="BD27">
        <f>IF(BC27&lt;&gt;"",INDEX($AE$2:$AP$440,MATCH($AT27,$AS$2:$AS$440,0),COLUMNS($AT$2:BC27)),"")</f>
        <v>28</v>
      </c>
      <c r="BE27">
        <f>IF(BD27&lt;&gt;"",INDEX($AE$2:$AP$440,MATCH($AT27,$AS$2:$AS$440,0),COLUMNS($AT$2:BD27)),"")</f>
        <v>64</v>
      </c>
      <c r="BF27">
        <f>IF(BE27&lt;&gt;"",INDEX($AE$2:$AP$440,MATCH($AT27,$AS$2:$AS$440,0),COLUMNS($AT$2:BE27)),"")</f>
        <v>6</v>
      </c>
      <c r="BU27" s="1">
        <v>2008</v>
      </c>
      <c r="BV27" s="1">
        <v>19</v>
      </c>
      <c r="BW27" s="1" t="s">
        <v>24</v>
      </c>
      <c r="BX27" s="1">
        <v>38</v>
      </c>
      <c r="BY27" s="1">
        <v>7</v>
      </c>
      <c r="BZ27" s="1">
        <v>11</v>
      </c>
      <c r="CA27" s="1">
        <v>20</v>
      </c>
      <c r="CB27" s="1">
        <v>28</v>
      </c>
      <c r="CC27" s="1">
        <v>57</v>
      </c>
      <c r="CD27" s="1">
        <v>-29</v>
      </c>
      <c r="CE27" s="1">
        <v>32</v>
      </c>
      <c r="CF27" s="17">
        <f t="shared" si="3"/>
        <v>0.18421052631578946</v>
      </c>
    </row>
    <row r="28" spans="1:84" x14ac:dyDescent="0.25">
      <c r="A28" s="3">
        <v>2001</v>
      </c>
      <c r="B28" s="3">
        <v>7</v>
      </c>
      <c r="C28" s="4" t="s">
        <v>25</v>
      </c>
      <c r="D28" s="3">
        <v>38</v>
      </c>
      <c r="E28" s="3">
        <v>15</v>
      </c>
      <c r="F28" s="3">
        <v>8</v>
      </c>
      <c r="G28" s="3">
        <v>15</v>
      </c>
      <c r="H28" s="3">
        <v>48</v>
      </c>
      <c r="I28" s="3">
        <v>57</v>
      </c>
      <c r="J28" s="3">
        <v>-9</v>
      </c>
      <c r="K28" s="3">
        <v>53</v>
      </c>
      <c r="L28" s="5">
        <f>IF(Table2[[#This Row],['#]]=1,"Champion", IF(Table2[[#This Row],['#]]&gt;=18,"Relegated",Table2[[#This Row],['#]]))</f>
        <v>7</v>
      </c>
      <c r="N28">
        <f>IF(COUNTIF($O$2:O28,O28)=1,N27+1,N27)</f>
        <v>20</v>
      </c>
      <c r="O28" s="4" t="str">
        <f>Table2[[#This Row],[Team]]</f>
        <v>West Ham United</v>
      </c>
      <c r="P28" s="1" t="str">
        <f>IFERROR(VLOOKUP(ROWS($O$2:O28),$N$2:$O$441,2,0),"")</f>
        <v>Wolverhampton Wanderers</v>
      </c>
      <c r="Q28" s="1">
        <f>IF(P28&lt;&gt;"",SUMPRODUCT(--(Table2[Team]=P28)),"")</f>
        <v>8</v>
      </c>
      <c r="R28" s="11">
        <f>IF(Q28&lt;&gt;"",Q28+ROWS($Q$2:Q28)/100,"")</f>
        <v>8.27</v>
      </c>
      <c r="S28">
        <f>IF(R28&lt;&gt;"",LARGE($R$2:$R$441,ROWS($R$2:R28)),"")</f>
        <v>7.26</v>
      </c>
      <c r="T28" s="1" t="str">
        <f>IF(R28&lt;&gt;"",INDEX($P$2:$Q$441,MATCH($S28,$R$2:$R$441,0),COLUMNS($S$2:S28)),"")</f>
        <v>Portsmouth</v>
      </c>
      <c r="U28" s="1">
        <f>IF(S28&lt;&gt;"",INDEX($P$2:$Q$441,MATCH($S28,$R$2:$R$441,0),COLUMNS($S$2:T28)),"")</f>
        <v>7</v>
      </c>
      <c r="X28" t="b">
        <f t="shared" si="0"/>
        <v>1</v>
      </c>
      <c r="Y28">
        <f>IF(X28=TRUE,ROWS($X$2:X28))</f>
        <v>27</v>
      </c>
      <c r="Z28">
        <f>IFERROR(SMALL($Y$2:$Y$45,ROWS($Y$2:Y28)),"")</f>
        <v>27</v>
      </c>
      <c r="AA28" t="str">
        <f>IFERROR(INDEX($T$2:$U$441,MATCH($Z28,$Y$2:$Y$45,0),COLUMNS($Z$2:Z28)),"")</f>
        <v>Portsmouth</v>
      </c>
      <c r="AB28">
        <f>IFERROR(INDEX($T$2:$U$441,MATCH($Z28,$Y$2:$Y$45,0),COLUMNS($Z$2:AA28)),"")</f>
        <v>7</v>
      </c>
      <c r="AE28" s="1">
        <f>Table2[[#This Row],[Year]]</f>
        <v>2001</v>
      </c>
      <c r="AF28" s="1">
        <f>Table2[[#This Row],['#]]</f>
        <v>7</v>
      </c>
      <c r="AG28" s="1" t="str">
        <f>Table2[[#This Row],[Team]]</f>
        <v>West Ham United</v>
      </c>
      <c r="AH28" s="1">
        <f>Table2[[#This Row],[Pl]]</f>
        <v>38</v>
      </c>
      <c r="AI28" s="1">
        <f>Table2[[#This Row],[W]]</f>
        <v>15</v>
      </c>
      <c r="AJ28" s="1">
        <f>Table2[[#This Row],[D]]</f>
        <v>8</v>
      </c>
      <c r="AK28" s="1">
        <f>Table2[[#This Row],[L]]</f>
        <v>15</v>
      </c>
      <c r="AL28" s="1">
        <f>Table2[[#This Row],[F]]</f>
        <v>48</v>
      </c>
      <c r="AM28" s="1">
        <f>Table2[[#This Row],[A]]</f>
        <v>57</v>
      </c>
      <c r="AN28" s="1">
        <f>Table2[[#This Row],[GD]]</f>
        <v>-9</v>
      </c>
      <c r="AO28" s="1">
        <f>Table2[[#This Row],[Pts]]</f>
        <v>53</v>
      </c>
      <c r="AP28" s="1">
        <f>Table2[[#This Row],[Column1]]</f>
        <v>7</v>
      </c>
      <c r="AR28" t="b">
        <f t="shared" si="1"/>
        <v>1</v>
      </c>
      <c r="AS28">
        <f>IF(AR28,ROWS($AR$2:AR28),"")</f>
        <v>27</v>
      </c>
      <c r="AT28">
        <f>IFERROR(SMALL($AS$2:$AS$440,ROWS($AS$2:AS28)),"")</f>
        <v>27</v>
      </c>
      <c r="AU28">
        <f>IF(AT28&lt;&gt;"",INDEX($AE$2:$AP$440,MATCH($AT28,$AS$2:$AS$440,0),COLUMNS($AT$2:AT28)),"")</f>
        <v>2001</v>
      </c>
      <c r="AV28">
        <f>IF(AU28&lt;&gt;"",INDEX($AE$2:$AP$440,MATCH($AT28,$AS$2:$AS$440,0),COLUMNS($AT$2:AU28)),"")</f>
        <v>7</v>
      </c>
      <c r="AW28" t="str">
        <f>IF(AV28&lt;&gt;"",INDEX($AE$2:$AP$440,MATCH($AT28,$AS$2:$AS$440,0),COLUMNS($AT$2:AV28)),"")</f>
        <v>West Ham United</v>
      </c>
      <c r="AX28">
        <f>IF(AW28&lt;&gt;"",INDEX($AE$2:$AP$440,MATCH($AT28,$AS$2:$AS$440,0),COLUMNS($AT$2:AW28)),"")</f>
        <v>38</v>
      </c>
      <c r="AY28">
        <f>IF(AX28&lt;&gt;"",INDEX($AE$2:$AP$440,MATCH($AT28,$AS$2:$AS$440,0),COLUMNS($AT$2:AX28)),"")</f>
        <v>15</v>
      </c>
      <c r="AZ28">
        <f>IF(AY28&lt;&gt;"",INDEX($AE$2:$AP$440,MATCH($AT28,$AS$2:$AS$440,0),COLUMNS($AT$2:AY28)),"")</f>
        <v>8</v>
      </c>
      <c r="BA28">
        <f>IF(AZ28&lt;&gt;"",INDEX($AE$2:$AP$440,MATCH($AT28,$AS$2:$AS$440,0),COLUMNS($AT$2:AZ28)),"")</f>
        <v>15</v>
      </c>
      <c r="BB28">
        <f>IF(BA28&lt;&gt;"",INDEX($AE$2:$AP$440,MATCH($AT28,$AS$2:$AS$440,0),COLUMNS($AT$2:BA28)),"")</f>
        <v>48</v>
      </c>
      <c r="BC28">
        <f>IF(BB28&lt;&gt;"",INDEX($AE$2:$AP$440,MATCH($AT28,$AS$2:$AS$440,0),COLUMNS($AT$2:BB28)),"")</f>
        <v>57</v>
      </c>
      <c r="BD28">
        <f>IF(BC28&lt;&gt;"",INDEX($AE$2:$AP$440,MATCH($AT28,$AS$2:$AS$440,0),COLUMNS($AT$2:BC28)),"")</f>
        <v>-9</v>
      </c>
      <c r="BE28">
        <f>IF(BD28&lt;&gt;"",INDEX($AE$2:$AP$440,MATCH($AT28,$AS$2:$AS$440,0),COLUMNS($AT$2:BD28)),"")</f>
        <v>53</v>
      </c>
      <c r="BF28">
        <f>IF(BE28&lt;&gt;"",INDEX($AE$2:$AP$440,MATCH($AT28,$AS$2:$AS$440,0),COLUMNS($AT$2:BE28)),"")</f>
        <v>7</v>
      </c>
      <c r="BU28" s="1">
        <v>2008</v>
      </c>
      <c r="BV28" s="1">
        <v>20</v>
      </c>
      <c r="BW28" s="1" t="s">
        <v>35</v>
      </c>
      <c r="BX28" s="1">
        <v>38</v>
      </c>
      <c r="BY28" s="1">
        <v>8</v>
      </c>
      <c r="BZ28" s="1">
        <v>8</v>
      </c>
      <c r="CA28" s="1">
        <v>22</v>
      </c>
      <c r="CB28" s="1">
        <v>36</v>
      </c>
      <c r="CC28" s="1">
        <v>67</v>
      </c>
      <c r="CD28" s="1">
        <v>-31</v>
      </c>
      <c r="CE28" s="1">
        <v>32</v>
      </c>
      <c r="CF28" s="17">
        <f t="shared" si="3"/>
        <v>0.21052631578947367</v>
      </c>
    </row>
    <row r="29" spans="1:84" x14ac:dyDescent="0.25">
      <c r="A29" s="5">
        <v>2001</v>
      </c>
      <c r="B29" s="5">
        <v>8</v>
      </c>
      <c r="C29" s="6" t="s">
        <v>18</v>
      </c>
      <c r="D29" s="5">
        <v>38</v>
      </c>
      <c r="E29" s="5">
        <v>12</v>
      </c>
      <c r="F29" s="5">
        <v>14</v>
      </c>
      <c r="G29" s="5">
        <v>12</v>
      </c>
      <c r="H29" s="5">
        <v>46</v>
      </c>
      <c r="I29" s="5">
        <v>47</v>
      </c>
      <c r="J29" s="5">
        <v>-1</v>
      </c>
      <c r="K29" s="5">
        <v>50</v>
      </c>
      <c r="L29" s="5">
        <f>IF(Table2[[#This Row],['#]]=1,"Champion", IF(Table2[[#This Row],['#]]&gt;=18,"Relegated",Table2[[#This Row],['#]]))</f>
        <v>8</v>
      </c>
      <c r="N29">
        <f>IF(COUNTIF($O$2:O29,O29)=1,N28+1,N28)</f>
        <v>20</v>
      </c>
      <c r="O29" s="4" t="str">
        <f>Table2[[#This Row],[Team]]</f>
        <v>Aston Villa</v>
      </c>
      <c r="P29" s="1" t="str">
        <f>IFERROR(VLOOKUP(ROWS($O$2:O29),$N$2:$O$441,2,0),"")</f>
        <v>Crystal Palace</v>
      </c>
      <c r="Q29" s="1">
        <f>IF(P29&lt;&gt;"",SUMPRODUCT(--(Table2[Team]=P29)),"")</f>
        <v>10</v>
      </c>
      <c r="R29" s="11">
        <f>IF(Q29&lt;&gt;"",Q29+ROWS($Q$2:Q29)/100,"")</f>
        <v>10.28</v>
      </c>
      <c r="S29">
        <f>IF(R29&lt;&gt;"",LARGE($R$2:$R$441,ROWS($R$2:R29)),"")</f>
        <v>7.24</v>
      </c>
      <c r="T29" s="1" t="str">
        <f>IF(R29&lt;&gt;"",INDEX($P$2:$Q$441,MATCH($S29,$R$2:$R$441,0),COLUMNS($S$2:S29)),"")</f>
        <v>Birmingham City</v>
      </c>
      <c r="U29" s="1">
        <f>IF(S29&lt;&gt;"",INDEX($P$2:$Q$441,MATCH($S29,$R$2:$R$441,0),COLUMNS($S$2:T29)),"")</f>
        <v>7</v>
      </c>
      <c r="X29" t="b">
        <f t="shared" si="0"/>
        <v>1</v>
      </c>
      <c r="Y29">
        <f>IF(X29=TRUE,ROWS($X$2:X29))</f>
        <v>28</v>
      </c>
      <c r="Z29">
        <f>IFERROR(SMALL($Y$2:$Y$45,ROWS($Y$2:Y29)),"")</f>
        <v>28</v>
      </c>
      <c r="AA29" t="str">
        <f>IFERROR(INDEX($T$2:$U$441,MATCH($Z29,$Y$2:$Y$45,0),COLUMNS($Z$2:Z29)),"")</f>
        <v>Birmingham City</v>
      </c>
      <c r="AB29">
        <f>IFERROR(INDEX($T$2:$U$441,MATCH($Z29,$Y$2:$Y$45,0),COLUMNS($Z$2:AA29)),"")</f>
        <v>7</v>
      </c>
      <c r="AE29" s="1">
        <f>Table2[[#This Row],[Year]]</f>
        <v>2001</v>
      </c>
      <c r="AF29" s="1">
        <f>Table2[[#This Row],['#]]</f>
        <v>8</v>
      </c>
      <c r="AG29" s="1" t="str">
        <f>Table2[[#This Row],[Team]]</f>
        <v>Aston Villa</v>
      </c>
      <c r="AH29" s="1">
        <f>Table2[[#This Row],[Pl]]</f>
        <v>38</v>
      </c>
      <c r="AI29" s="1">
        <f>Table2[[#This Row],[W]]</f>
        <v>12</v>
      </c>
      <c r="AJ29" s="1">
        <f>Table2[[#This Row],[D]]</f>
        <v>14</v>
      </c>
      <c r="AK29" s="1">
        <f>Table2[[#This Row],[L]]</f>
        <v>12</v>
      </c>
      <c r="AL29" s="1">
        <f>Table2[[#This Row],[F]]</f>
        <v>46</v>
      </c>
      <c r="AM29" s="1">
        <f>Table2[[#This Row],[A]]</f>
        <v>47</v>
      </c>
      <c r="AN29" s="1">
        <f>Table2[[#This Row],[GD]]</f>
        <v>-1</v>
      </c>
      <c r="AO29" s="1">
        <f>Table2[[#This Row],[Pts]]</f>
        <v>50</v>
      </c>
      <c r="AP29" s="1">
        <f>Table2[[#This Row],[Column1]]</f>
        <v>8</v>
      </c>
      <c r="AR29" t="b">
        <f t="shared" si="1"/>
        <v>1</v>
      </c>
      <c r="AS29">
        <f>IF(AR29,ROWS($AR$2:AR29),"")</f>
        <v>28</v>
      </c>
      <c r="AT29">
        <f>IFERROR(SMALL($AS$2:$AS$440,ROWS($AS$2:AS29)),"")</f>
        <v>28</v>
      </c>
      <c r="AU29">
        <f>IF(AT29&lt;&gt;"",INDEX($AE$2:$AP$440,MATCH($AT29,$AS$2:$AS$440,0),COLUMNS($AT$2:AT29)),"")</f>
        <v>2001</v>
      </c>
      <c r="AV29">
        <f>IF(AU29&lt;&gt;"",INDEX($AE$2:$AP$440,MATCH($AT29,$AS$2:$AS$440,0),COLUMNS($AT$2:AU29)),"")</f>
        <v>8</v>
      </c>
      <c r="AW29" t="str">
        <f>IF(AV29&lt;&gt;"",INDEX($AE$2:$AP$440,MATCH($AT29,$AS$2:$AS$440,0),COLUMNS($AT$2:AV29)),"")</f>
        <v>Aston Villa</v>
      </c>
      <c r="AX29">
        <f>IF(AW29&lt;&gt;"",INDEX($AE$2:$AP$440,MATCH($AT29,$AS$2:$AS$440,0),COLUMNS($AT$2:AW29)),"")</f>
        <v>38</v>
      </c>
      <c r="AY29">
        <f>IF(AX29&lt;&gt;"",INDEX($AE$2:$AP$440,MATCH($AT29,$AS$2:$AS$440,0),COLUMNS($AT$2:AX29)),"")</f>
        <v>12</v>
      </c>
      <c r="AZ29">
        <f>IF(AY29&lt;&gt;"",INDEX($AE$2:$AP$440,MATCH($AT29,$AS$2:$AS$440,0),COLUMNS($AT$2:AY29)),"")</f>
        <v>14</v>
      </c>
      <c r="BA29">
        <f>IF(AZ29&lt;&gt;"",INDEX($AE$2:$AP$440,MATCH($AT29,$AS$2:$AS$440,0),COLUMNS($AT$2:AZ29)),"")</f>
        <v>12</v>
      </c>
      <c r="BB29">
        <f>IF(BA29&lt;&gt;"",INDEX($AE$2:$AP$440,MATCH($AT29,$AS$2:$AS$440,0),COLUMNS($AT$2:BA29)),"")</f>
        <v>46</v>
      </c>
      <c r="BC29">
        <f>IF(BB29&lt;&gt;"",INDEX($AE$2:$AP$440,MATCH($AT29,$AS$2:$AS$440,0),COLUMNS($AT$2:BB29)),"")</f>
        <v>47</v>
      </c>
      <c r="BD29">
        <f>IF(BC29&lt;&gt;"",INDEX($AE$2:$AP$440,MATCH($AT29,$AS$2:$AS$440,0),COLUMNS($AT$2:BC29)),"")</f>
        <v>-1</v>
      </c>
      <c r="BE29">
        <f>IF(BD29&lt;&gt;"",INDEX($AE$2:$AP$440,MATCH($AT29,$AS$2:$AS$440,0),COLUMNS($AT$2:BD29)),"")</f>
        <v>50</v>
      </c>
      <c r="BF29">
        <f>IF(BE29&lt;&gt;"",INDEX($AE$2:$AP$440,MATCH($AT29,$AS$2:$AS$440,0),COLUMNS($AT$2:BE29)),"")</f>
        <v>8</v>
      </c>
      <c r="BU29" s="1">
        <v>2009</v>
      </c>
      <c r="BV29" s="1">
        <v>18</v>
      </c>
      <c r="BW29" s="1" t="s">
        <v>46</v>
      </c>
      <c r="BX29" s="1">
        <v>38</v>
      </c>
      <c r="BY29" s="1">
        <v>8</v>
      </c>
      <c r="BZ29" s="1">
        <v>6</v>
      </c>
      <c r="CA29" s="1">
        <v>24</v>
      </c>
      <c r="CB29" s="1">
        <v>42</v>
      </c>
      <c r="CC29" s="1">
        <v>82</v>
      </c>
      <c r="CD29" s="1">
        <v>-40</v>
      </c>
      <c r="CE29" s="1">
        <v>30</v>
      </c>
      <c r="CF29" s="17">
        <f t="shared" si="3"/>
        <v>0.21052631578947367</v>
      </c>
    </row>
    <row r="30" spans="1:84" ht="15.75" thickBot="1" x14ac:dyDescent="0.3">
      <c r="A30" s="3">
        <v>2001</v>
      </c>
      <c r="B30" s="3">
        <v>9</v>
      </c>
      <c r="C30" s="4" t="s">
        <v>22</v>
      </c>
      <c r="D30" s="3">
        <v>38</v>
      </c>
      <c r="E30" s="3">
        <v>14</v>
      </c>
      <c r="F30" s="3">
        <v>8</v>
      </c>
      <c r="G30" s="3">
        <v>16</v>
      </c>
      <c r="H30" s="3">
        <v>49</v>
      </c>
      <c r="I30" s="3">
        <v>53</v>
      </c>
      <c r="J30" s="3">
        <v>-4</v>
      </c>
      <c r="K30" s="3">
        <v>50</v>
      </c>
      <c r="L30" s="5">
        <f>IF(Table2[[#This Row],['#]]=1,"Champion", IF(Table2[[#This Row],['#]]&gt;=18,"Relegated",Table2[[#This Row],['#]]))</f>
        <v>9</v>
      </c>
      <c r="N30">
        <f>IF(COUNTIF($O$2:O30,O30)=1,N29+1,N29)</f>
        <v>20</v>
      </c>
      <c r="O30" s="4" t="str">
        <f>Table2[[#This Row],[Team]]</f>
        <v>Tottenham Hotspur</v>
      </c>
      <c r="P30" s="1" t="str">
        <f>IFERROR(VLOOKUP(ROWS($O$2:O30),$N$2:$O$441,2,0),"")</f>
        <v>Norwich City</v>
      </c>
      <c r="Q30" s="1">
        <f>IF(P30&lt;&gt;"",SUMPRODUCT(--(Table2[Team]=P30)),"")</f>
        <v>7</v>
      </c>
      <c r="R30" s="11">
        <f>IF(Q30&lt;&gt;"",Q30+ROWS($Q$2:Q30)/100,"")</f>
        <v>7.29</v>
      </c>
      <c r="S30">
        <f>IF(R30&lt;&gt;"",LARGE($R$2:$R$441,ROWS($R$2:R30)),"")</f>
        <v>7.09</v>
      </c>
      <c r="T30" s="1" t="str">
        <f>IF(R30&lt;&gt;"",INDEX($P$2:$Q$441,MATCH($S30,$R$2:$R$441,0),COLUMNS($S$2:S30)),"")</f>
        <v>Charlton Athletic</v>
      </c>
      <c r="U30" s="1">
        <f>IF(S30&lt;&gt;"",INDEX($P$2:$Q$441,MATCH($S30,$R$2:$R$441,0),COLUMNS($S$2:T30)),"")</f>
        <v>7</v>
      </c>
      <c r="X30" t="b">
        <f t="shared" si="0"/>
        <v>1</v>
      </c>
      <c r="Y30">
        <f>IF(X30=TRUE,ROWS($X$2:X30))</f>
        <v>29</v>
      </c>
      <c r="Z30">
        <f>IFERROR(SMALL($Y$2:$Y$45,ROWS($Y$2:Y30)),"")</f>
        <v>29</v>
      </c>
      <c r="AA30" t="str">
        <f>IFERROR(INDEX($T$2:$U$441,MATCH($Z30,$Y$2:$Y$45,0),COLUMNS($Z$2:Z30)),"")</f>
        <v>Charlton Athletic</v>
      </c>
      <c r="AB30">
        <f>IFERROR(INDEX($T$2:$U$441,MATCH($Z30,$Y$2:$Y$45,0),COLUMNS($Z$2:AA30)),"")</f>
        <v>7</v>
      </c>
      <c r="AE30" s="1">
        <f>Table2[[#This Row],[Year]]</f>
        <v>2001</v>
      </c>
      <c r="AF30" s="1">
        <f>Table2[[#This Row],['#]]</f>
        <v>9</v>
      </c>
      <c r="AG30" s="1" t="str">
        <f>Table2[[#This Row],[Team]]</f>
        <v>Tottenham Hotspur</v>
      </c>
      <c r="AH30" s="1">
        <f>Table2[[#This Row],[Pl]]</f>
        <v>38</v>
      </c>
      <c r="AI30" s="1">
        <f>Table2[[#This Row],[W]]</f>
        <v>14</v>
      </c>
      <c r="AJ30" s="1">
        <f>Table2[[#This Row],[D]]</f>
        <v>8</v>
      </c>
      <c r="AK30" s="1">
        <f>Table2[[#This Row],[L]]</f>
        <v>16</v>
      </c>
      <c r="AL30" s="1">
        <f>Table2[[#This Row],[F]]</f>
        <v>49</v>
      </c>
      <c r="AM30" s="1">
        <f>Table2[[#This Row],[A]]</f>
        <v>53</v>
      </c>
      <c r="AN30" s="1">
        <f>Table2[[#This Row],[GD]]</f>
        <v>-4</v>
      </c>
      <c r="AO30" s="1">
        <f>Table2[[#This Row],[Pts]]</f>
        <v>50</v>
      </c>
      <c r="AP30" s="1">
        <f>Table2[[#This Row],[Column1]]</f>
        <v>9</v>
      </c>
      <c r="AR30" t="b">
        <f t="shared" si="1"/>
        <v>1</v>
      </c>
      <c r="AS30">
        <f>IF(AR30,ROWS($AR$2:AR30),"")</f>
        <v>29</v>
      </c>
      <c r="AT30">
        <f>IFERROR(SMALL($AS$2:$AS$440,ROWS($AS$2:AS30)),"")</f>
        <v>29</v>
      </c>
      <c r="AU30">
        <f>IF(AT30&lt;&gt;"",INDEX($AE$2:$AP$440,MATCH($AT30,$AS$2:$AS$440,0),COLUMNS($AT$2:AT30)),"")</f>
        <v>2001</v>
      </c>
      <c r="AV30">
        <f>IF(AU30&lt;&gt;"",INDEX($AE$2:$AP$440,MATCH($AT30,$AS$2:$AS$440,0),COLUMNS($AT$2:AU30)),"")</f>
        <v>9</v>
      </c>
      <c r="AW30" t="str">
        <f>IF(AV30&lt;&gt;"",INDEX($AE$2:$AP$440,MATCH($AT30,$AS$2:$AS$440,0),COLUMNS($AT$2:AV30)),"")</f>
        <v>Tottenham Hotspur</v>
      </c>
      <c r="AX30">
        <f>IF(AW30&lt;&gt;"",INDEX($AE$2:$AP$440,MATCH($AT30,$AS$2:$AS$440,0),COLUMNS($AT$2:AW30)),"")</f>
        <v>38</v>
      </c>
      <c r="AY30">
        <f>IF(AX30&lt;&gt;"",INDEX($AE$2:$AP$440,MATCH($AT30,$AS$2:$AS$440,0),COLUMNS($AT$2:AX30)),"")</f>
        <v>14</v>
      </c>
      <c r="AZ30">
        <f>IF(AY30&lt;&gt;"",INDEX($AE$2:$AP$440,MATCH($AT30,$AS$2:$AS$440,0),COLUMNS($AT$2:AY30)),"")</f>
        <v>8</v>
      </c>
      <c r="BA30">
        <f>IF(AZ30&lt;&gt;"",INDEX($AE$2:$AP$440,MATCH($AT30,$AS$2:$AS$440,0),COLUMNS($AT$2:AZ30)),"")</f>
        <v>16</v>
      </c>
      <c r="BB30">
        <f>IF(BA30&lt;&gt;"",INDEX($AE$2:$AP$440,MATCH($AT30,$AS$2:$AS$440,0),COLUMNS($AT$2:BA30)),"")</f>
        <v>49</v>
      </c>
      <c r="BC30">
        <f>IF(BB30&lt;&gt;"",INDEX($AE$2:$AP$440,MATCH($AT30,$AS$2:$AS$440,0),COLUMNS($AT$2:BB30)),"")</f>
        <v>53</v>
      </c>
      <c r="BD30">
        <f>IF(BC30&lt;&gt;"",INDEX($AE$2:$AP$440,MATCH($AT30,$AS$2:$AS$440,0),COLUMNS($AT$2:BC30)),"")</f>
        <v>-4</v>
      </c>
      <c r="BE30">
        <f>IF(BD30&lt;&gt;"",INDEX($AE$2:$AP$440,MATCH($AT30,$AS$2:$AS$440,0),COLUMNS($AT$2:BD30)),"")</f>
        <v>50</v>
      </c>
      <c r="BF30">
        <f>IF(BE30&lt;&gt;"",INDEX($AE$2:$AP$440,MATCH($AT30,$AS$2:$AS$440,0),COLUMNS($AT$2:BE30)),"")</f>
        <v>9</v>
      </c>
      <c r="BU30" s="1">
        <v>2009</v>
      </c>
      <c r="BV30" s="1">
        <v>19</v>
      </c>
      <c r="BW30" s="1" t="s">
        <v>45</v>
      </c>
      <c r="BX30" s="1">
        <v>38</v>
      </c>
      <c r="BY30" s="1">
        <v>6</v>
      </c>
      <c r="BZ30" s="1">
        <v>12</v>
      </c>
      <c r="CA30" s="1">
        <v>20</v>
      </c>
      <c r="CB30" s="1">
        <v>34</v>
      </c>
      <c r="CC30" s="1">
        <v>75</v>
      </c>
      <c r="CD30" s="1">
        <v>-41</v>
      </c>
      <c r="CE30" s="1">
        <v>30</v>
      </c>
      <c r="CF30" s="17">
        <f t="shared" si="3"/>
        <v>0.15789473684210525</v>
      </c>
    </row>
    <row r="31" spans="1:84" x14ac:dyDescent="0.25">
      <c r="A31" s="5">
        <v>2001</v>
      </c>
      <c r="B31" s="5">
        <v>10</v>
      </c>
      <c r="C31" s="6" t="s">
        <v>31</v>
      </c>
      <c r="D31" s="5">
        <v>38</v>
      </c>
      <c r="E31" s="5">
        <v>12</v>
      </c>
      <c r="F31" s="5">
        <v>10</v>
      </c>
      <c r="G31" s="5">
        <v>16</v>
      </c>
      <c r="H31" s="5">
        <v>55</v>
      </c>
      <c r="I31" s="5">
        <v>51</v>
      </c>
      <c r="J31" s="5">
        <v>4</v>
      </c>
      <c r="K31" s="5">
        <v>46</v>
      </c>
      <c r="L31" s="5">
        <f>IF(Table2[[#This Row],['#]]=1,"Champion", IF(Table2[[#This Row],['#]]&gt;=18,"Relegated",Table2[[#This Row],['#]]))</f>
        <v>10</v>
      </c>
      <c r="N31">
        <f>IF(COUNTIF($O$2:O31,O31)=1,N30+1,N30)</f>
        <v>21</v>
      </c>
      <c r="O31" s="4" t="str">
        <f>Table2[[#This Row],[Team]]</f>
        <v>Blackburn Rovers</v>
      </c>
      <c r="P31" s="1" t="str">
        <f>IFERROR(VLOOKUP(ROWS($O$2:O31),$N$2:$O$441,2,0),"")</f>
        <v>Wigan Athletic</v>
      </c>
      <c r="Q31" s="1">
        <f>IF(P31&lt;&gt;"",SUMPRODUCT(--(Table2[Team]=P31)),"")</f>
        <v>8</v>
      </c>
      <c r="R31" s="11">
        <f>IF(Q31&lt;&gt;"",Q31+ROWS($Q$2:Q31)/100,"")</f>
        <v>8.3000000000000007</v>
      </c>
      <c r="S31">
        <f>IF(R31&lt;&gt;"",LARGE($R$2:$R$441,ROWS($R$2:R31)),"")</f>
        <v>6.04</v>
      </c>
      <c r="T31" s="1" t="str">
        <f>IF(R31&lt;&gt;"",INDEX($P$2:$Q$441,MATCH($S31,$R$2:$R$441,0),COLUMNS($S$2:S31)),"")</f>
        <v>Leeds United</v>
      </c>
      <c r="U31" s="1">
        <f>IF(S31&lt;&gt;"",INDEX($P$2:$Q$441,MATCH($S31,$R$2:$R$441,0),COLUMNS($S$2:T31)),"")</f>
        <v>6</v>
      </c>
      <c r="X31" t="b">
        <f t="shared" si="0"/>
        <v>1</v>
      </c>
      <c r="Y31">
        <f>IF(X31=TRUE,ROWS($X$2:X31))</f>
        <v>30</v>
      </c>
      <c r="Z31">
        <f>IFERROR(SMALL($Y$2:$Y$45,ROWS($Y$2:Y31)),"")</f>
        <v>30</v>
      </c>
      <c r="AA31" t="str">
        <f>IFERROR(INDEX($T$2:$U$441,MATCH($Z31,$Y$2:$Y$45,0),COLUMNS($Z$2:Z31)),"")</f>
        <v>Leeds United</v>
      </c>
      <c r="AB31">
        <f>IFERROR(INDEX($T$2:$U$441,MATCH($Z31,$Y$2:$Y$45,0),COLUMNS($Z$2:AA31)),"")</f>
        <v>6</v>
      </c>
      <c r="AE31" s="1">
        <f>Table2[[#This Row],[Year]]</f>
        <v>2001</v>
      </c>
      <c r="AF31" s="1">
        <f>Table2[[#This Row],['#]]</f>
        <v>10</v>
      </c>
      <c r="AG31" s="1" t="str">
        <f>Table2[[#This Row],[Team]]</f>
        <v>Blackburn Rovers</v>
      </c>
      <c r="AH31" s="1">
        <f>Table2[[#This Row],[Pl]]</f>
        <v>38</v>
      </c>
      <c r="AI31" s="1">
        <f>Table2[[#This Row],[W]]</f>
        <v>12</v>
      </c>
      <c r="AJ31" s="1">
        <f>Table2[[#This Row],[D]]</f>
        <v>10</v>
      </c>
      <c r="AK31" s="1">
        <f>Table2[[#This Row],[L]]</f>
        <v>16</v>
      </c>
      <c r="AL31" s="1">
        <f>Table2[[#This Row],[F]]</f>
        <v>55</v>
      </c>
      <c r="AM31" s="1">
        <f>Table2[[#This Row],[A]]</f>
        <v>51</v>
      </c>
      <c r="AN31" s="1">
        <f>Table2[[#This Row],[GD]]</f>
        <v>4</v>
      </c>
      <c r="AO31" s="1">
        <f>Table2[[#This Row],[Pts]]</f>
        <v>46</v>
      </c>
      <c r="AP31" s="1">
        <f>Table2[[#This Row],[Column1]]</f>
        <v>10</v>
      </c>
      <c r="AR31" t="b">
        <f t="shared" si="1"/>
        <v>1</v>
      </c>
      <c r="AS31">
        <f>IF(AR31,ROWS($AR$2:AR31),"")</f>
        <v>30</v>
      </c>
      <c r="AT31">
        <f>IFERROR(SMALL($AS$2:$AS$440,ROWS($AS$2:AS31)),"")</f>
        <v>30</v>
      </c>
      <c r="AU31">
        <f>IF(AT31&lt;&gt;"",INDEX($AE$2:$AP$440,MATCH($AT31,$AS$2:$AS$440,0),COLUMNS($AT$2:AT31)),"")</f>
        <v>2001</v>
      </c>
      <c r="AV31">
        <f>IF(AU31&lt;&gt;"",INDEX($AE$2:$AP$440,MATCH($AT31,$AS$2:$AS$440,0),COLUMNS($AT$2:AU31)),"")</f>
        <v>10</v>
      </c>
      <c r="AW31" t="str">
        <f>IF(AV31&lt;&gt;"",INDEX($AE$2:$AP$440,MATCH($AT31,$AS$2:$AS$440,0),COLUMNS($AT$2:AV31)),"")</f>
        <v>Blackburn Rovers</v>
      </c>
      <c r="AX31">
        <f>IF(AW31&lt;&gt;"",INDEX($AE$2:$AP$440,MATCH($AT31,$AS$2:$AS$440,0),COLUMNS($AT$2:AW31)),"")</f>
        <v>38</v>
      </c>
      <c r="AY31">
        <f>IF(AX31&lt;&gt;"",INDEX($AE$2:$AP$440,MATCH($AT31,$AS$2:$AS$440,0),COLUMNS($AT$2:AX31)),"")</f>
        <v>12</v>
      </c>
      <c r="AZ31">
        <f>IF(AY31&lt;&gt;"",INDEX($AE$2:$AP$440,MATCH($AT31,$AS$2:$AS$440,0),COLUMNS($AT$2:AY31)),"")</f>
        <v>10</v>
      </c>
      <c r="BA31">
        <f>IF(AZ31&lt;&gt;"",INDEX($AE$2:$AP$440,MATCH($AT31,$AS$2:$AS$440,0),COLUMNS($AT$2:AZ31)),"")</f>
        <v>16</v>
      </c>
      <c r="BB31">
        <f>IF(BA31&lt;&gt;"",INDEX($AE$2:$AP$440,MATCH($AT31,$AS$2:$AS$440,0),COLUMNS($AT$2:BA31)),"")</f>
        <v>55</v>
      </c>
      <c r="BC31">
        <f>IF(BB31&lt;&gt;"",INDEX($AE$2:$AP$440,MATCH($AT31,$AS$2:$AS$440,0),COLUMNS($AT$2:BB31)),"")</f>
        <v>51</v>
      </c>
      <c r="BD31">
        <f>IF(BC31&lt;&gt;"",INDEX($AE$2:$AP$440,MATCH($AT31,$AS$2:$AS$440,0),COLUMNS($AT$2:BC31)),"")</f>
        <v>4</v>
      </c>
      <c r="BE31">
        <f>IF(BD31&lt;&gt;"",INDEX($AE$2:$AP$440,MATCH($AT31,$AS$2:$AS$440,0),COLUMNS($AT$2:BD31)),"")</f>
        <v>46</v>
      </c>
      <c r="BF31">
        <f>IF(BE31&lt;&gt;"",INDEX($AE$2:$AP$440,MATCH($AT31,$AS$2:$AS$440,0),COLUMNS($AT$2:BE31)),"")</f>
        <v>10</v>
      </c>
      <c r="BM31" s="27" t="s">
        <v>84</v>
      </c>
      <c r="BN31" s="21"/>
      <c r="BU31" s="1">
        <v>2009</v>
      </c>
      <c r="BV31" s="1">
        <v>20</v>
      </c>
      <c r="BW31" s="1" t="s">
        <v>36</v>
      </c>
      <c r="BX31" s="1">
        <v>38</v>
      </c>
      <c r="BY31" s="1">
        <v>7</v>
      </c>
      <c r="BZ31" s="1">
        <v>7</v>
      </c>
      <c r="CA31" s="1">
        <v>24</v>
      </c>
      <c r="CB31" s="1">
        <v>34</v>
      </c>
      <c r="CC31" s="1">
        <v>66</v>
      </c>
      <c r="CD31" s="1">
        <v>-32</v>
      </c>
      <c r="CE31" s="1">
        <v>19</v>
      </c>
      <c r="CF31" s="17">
        <f t="shared" si="3"/>
        <v>0.18421052631578946</v>
      </c>
    </row>
    <row r="32" spans="1:84" x14ac:dyDescent="0.25">
      <c r="A32" s="3">
        <v>2001</v>
      </c>
      <c r="B32" s="3">
        <v>11</v>
      </c>
      <c r="C32" s="4" t="s">
        <v>20</v>
      </c>
      <c r="D32" s="3">
        <v>38</v>
      </c>
      <c r="E32" s="3">
        <v>12</v>
      </c>
      <c r="F32" s="3">
        <v>9</v>
      </c>
      <c r="G32" s="3">
        <v>17</v>
      </c>
      <c r="H32" s="3">
        <v>46</v>
      </c>
      <c r="I32" s="3">
        <v>54</v>
      </c>
      <c r="J32" s="3">
        <v>-8</v>
      </c>
      <c r="K32" s="3">
        <v>45</v>
      </c>
      <c r="L32" s="5">
        <f>IF(Table2[[#This Row],['#]]=1,"Champion", IF(Table2[[#This Row],['#]]&gt;=18,"Relegated",Table2[[#This Row],['#]]))</f>
        <v>11</v>
      </c>
      <c r="N32">
        <f>IF(COUNTIF($O$2:O32,O32)=1,N31+1,N31)</f>
        <v>21</v>
      </c>
      <c r="O32" s="4" t="str">
        <f>Table2[[#This Row],[Team]]</f>
        <v>Southampton</v>
      </c>
      <c r="P32" s="1" t="str">
        <f>IFERROR(VLOOKUP(ROWS($O$2:O32),$N$2:$O$441,2,0),"")</f>
        <v>Reading</v>
      </c>
      <c r="Q32" s="1">
        <f>IF(P32&lt;&gt;"",SUMPRODUCT(--(Table2[Team]=P32)),"")</f>
        <v>3</v>
      </c>
      <c r="R32" s="11">
        <f>IF(Q32&lt;&gt;"",Q32+ROWS($Q$2:Q32)/100,"")</f>
        <v>3.31</v>
      </c>
      <c r="S32">
        <f>IF(R32&lt;&gt;"",LARGE($R$2:$R$441,ROWS($R$2:R32)),"")</f>
        <v>5.42</v>
      </c>
      <c r="T32" s="1" t="str">
        <f>IF(R32&lt;&gt;"",INDEX($P$2:$Q$441,MATCH($S32,$R$2:$R$441,0),COLUMNS($S$2:S32)),"")</f>
        <v>Brighton And Hove Albion</v>
      </c>
      <c r="U32" s="1">
        <f>IF(S32&lt;&gt;"",INDEX($P$2:$Q$441,MATCH($S32,$R$2:$R$441,0),COLUMNS($S$2:T32)),"")</f>
        <v>5</v>
      </c>
      <c r="X32" t="b">
        <f t="shared" si="0"/>
        <v>1</v>
      </c>
      <c r="Y32">
        <f>IF(X32=TRUE,ROWS($X$2:X32))</f>
        <v>31</v>
      </c>
      <c r="Z32">
        <f>IFERROR(SMALL($Y$2:$Y$45,ROWS($Y$2:Y32)),"")</f>
        <v>31</v>
      </c>
      <c r="AA32" t="str">
        <f>IFERROR(INDEX($T$2:$U$441,MATCH($Z32,$Y$2:$Y$45,0),COLUMNS($Z$2:Z32)),"")</f>
        <v>Brighton And Hove Albion</v>
      </c>
      <c r="AB32">
        <f>IFERROR(INDEX($T$2:$U$441,MATCH($Z32,$Y$2:$Y$45,0),COLUMNS($Z$2:AA32)),"")</f>
        <v>5</v>
      </c>
      <c r="AE32" s="1">
        <f>Table2[[#This Row],[Year]]</f>
        <v>2001</v>
      </c>
      <c r="AF32" s="1">
        <f>Table2[[#This Row],['#]]</f>
        <v>11</v>
      </c>
      <c r="AG32" s="1" t="str">
        <f>Table2[[#This Row],[Team]]</f>
        <v>Southampton</v>
      </c>
      <c r="AH32" s="1">
        <f>Table2[[#This Row],[Pl]]</f>
        <v>38</v>
      </c>
      <c r="AI32" s="1">
        <f>Table2[[#This Row],[W]]</f>
        <v>12</v>
      </c>
      <c r="AJ32" s="1">
        <f>Table2[[#This Row],[D]]</f>
        <v>9</v>
      </c>
      <c r="AK32" s="1">
        <f>Table2[[#This Row],[L]]</f>
        <v>17</v>
      </c>
      <c r="AL32" s="1">
        <f>Table2[[#This Row],[F]]</f>
        <v>46</v>
      </c>
      <c r="AM32" s="1">
        <f>Table2[[#This Row],[A]]</f>
        <v>54</v>
      </c>
      <c r="AN32" s="1">
        <f>Table2[[#This Row],[GD]]</f>
        <v>-8</v>
      </c>
      <c r="AO32" s="1">
        <f>Table2[[#This Row],[Pts]]</f>
        <v>45</v>
      </c>
      <c r="AP32" s="1">
        <f>Table2[[#This Row],[Column1]]</f>
        <v>11</v>
      </c>
      <c r="AR32" t="b">
        <f t="shared" si="1"/>
        <v>1</v>
      </c>
      <c r="AS32">
        <f>IF(AR32,ROWS($AR$2:AR32),"")</f>
        <v>31</v>
      </c>
      <c r="AT32">
        <f>IFERROR(SMALL($AS$2:$AS$440,ROWS($AS$2:AS32)),"")</f>
        <v>31</v>
      </c>
      <c r="AU32">
        <f>IF(AT32&lt;&gt;"",INDEX($AE$2:$AP$440,MATCH($AT32,$AS$2:$AS$440,0),COLUMNS($AT$2:AT32)),"")</f>
        <v>2001</v>
      </c>
      <c r="AV32">
        <f>IF(AU32&lt;&gt;"",INDEX($AE$2:$AP$440,MATCH($AT32,$AS$2:$AS$440,0),COLUMNS($AT$2:AU32)),"")</f>
        <v>11</v>
      </c>
      <c r="AW32" t="str">
        <f>IF(AV32&lt;&gt;"",INDEX($AE$2:$AP$440,MATCH($AT32,$AS$2:$AS$440,0),COLUMNS($AT$2:AV32)),"")</f>
        <v>Southampton</v>
      </c>
      <c r="AX32">
        <f>IF(AW32&lt;&gt;"",INDEX($AE$2:$AP$440,MATCH($AT32,$AS$2:$AS$440,0),COLUMNS($AT$2:AW32)),"")</f>
        <v>38</v>
      </c>
      <c r="AY32">
        <f>IF(AX32&lt;&gt;"",INDEX($AE$2:$AP$440,MATCH($AT32,$AS$2:$AS$440,0),COLUMNS($AT$2:AX32)),"")</f>
        <v>12</v>
      </c>
      <c r="AZ32">
        <f>IF(AY32&lt;&gt;"",INDEX($AE$2:$AP$440,MATCH($AT32,$AS$2:$AS$440,0),COLUMNS($AT$2:AY32)),"")</f>
        <v>9</v>
      </c>
      <c r="BA32">
        <f>IF(AZ32&lt;&gt;"",INDEX($AE$2:$AP$440,MATCH($AT32,$AS$2:$AS$440,0),COLUMNS($AT$2:AZ32)),"")</f>
        <v>17</v>
      </c>
      <c r="BB32">
        <f>IF(BA32&lt;&gt;"",INDEX($AE$2:$AP$440,MATCH($AT32,$AS$2:$AS$440,0),COLUMNS($AT$2:BA32)),"")</f>
        <v>46</v>
      </c>
      <c r="BC32">
        <f>IF(BB32&lt;&gt;"",INDEX($AE$2:$AP$440,MATCH($AT32,$AS$2:$AS$440,0),COLUMNS($AT$2:BB32)),"")</f>
        <v>54</v>
      </c>
      <c r="BD32">
        <f>IF(BC32&lt;&gt;"",INDEX($AE$2:$AP$440,MATCH($AT32,$AS$2:$AS$440,0),COLUMNS($AT$2:BC32)),"")</f>
        <v>-8</v>
      </c>
      <c r="BE32">
        <f>IF(BD32&lt;&gt;"",INDEX($AE$2:$AP$440,MATCH($AT32,$AS$2:$AS$440,0),COLUMNS($AT$2:BD32)),"")</f>
        <v>45</v>
      </c>
      <c r="BF32">
        <f>IF(BE32&lt;&gt;"",INDEX($AE$2:$AP$440,MATCH($AT32,$AS$2:$AS$440,0),COLUMNS($AT$2:BE32)),"")</f>
        <v>11</v>
      </c>
      <c r="BM32" s="25" t="s">
        <v>69</v>
      </c>
      <c r="BN32" s="25">
        <v>89.045454545454547</v>
      </c>
      <c r="BU32" s="1">
        <v>2010</v>
      </c>
      <c r="BV32" s="1">
        <v>18</v>
      </c>
      <c r="BW32" s="1" t="s">
        <v>34</v>
      </c>
      <c r="BX32" s="1">
        <v>38</v>
      </c>
      <c r="BY32" s="1">
        <v>8</v>
      </c>
      <c r="BZ32" s="1">
        <v>15</v>
      </c>
      <c r="CA32" s="1">
        <v>15</v>
      </c>
      <c r="CB32" s="1">
        <v>37</v>
      </c>
      <c r="CC32" s="1">
        <v>58</v>
      </c>
      <c r="CD32" s="1">
        <v>-21</v>
      </c>
      <c r="CE32" s="1">
        <v>39</v>
      </c>
      <c r="CF32" s="17">
        <f t="shared" si="3"/>
        <v>0.21052631578947367</v>
      </c>
    </row>
    <row r="33" spans="1:84" x14ac:dyDescent="0.25">
      <c r="A33" s="5">
        <v>2001</v>
      </c>
      <c r="B33" s="5">
        <v>12</v>
      </c>
      <c r="C33" s="6" t="s">
        <v>24</v>
      </c>
      <c r="D33" s="5">
        <v>38</v>
      </c>
      <c r="E33" s="5">
        <v>12</v>
      </c>
      <c r="F33" s="5">
        <v>9</v>
      </c>
      <c r="G33" s="5">
        <v>17</v>
      </c>
      <c r="H33" s="5">
        <v>35</v>
      </c>
      <c r="I33" s="5">
        <v>47</v>
      </c>
      <c r="J33" s="5">
        <v>-12</v>
      </c>
      <c r="K33" s="5">
        <v>45</v>
      </c>
      <c r="L33" s="5">
        <f>IF(Table2[[#This Row],['#]]=1,"Champion", IF(Table2[[#This Row],['#]]&gt;=18,"Relegated",Table2[[#This Row],['#]]))</f>
        <v>12</v>
      </c>
      <c r="N33">
        <f>IF(COUNTIF($O$2:O33,O33)=1,N32+1,N32)</f>
        <v>21</v>
      </c>
      <c r="O33" s="4" t="str">
        <f>Table2[[#This Row],[Team]]</f>
        <v>Middlesbrough</v>
      </c>
      <c r="P33" s="1" t="str">
        <f>IFERROR(VLOOKUP(ROWS($O$2:O33),$N$2:$O$441,2,0),"")</f>
        <v>Sheffield United</v>
      </c>
      <c r="Q33" s="1">
        <f>IF(P33&lt;&gt;"",SUMPRODUCT(--(Table2[Team]=P33)),"")</f>
        <v>3</v>
      </c>
      <c r="R33" s="11">
        <f>IF(Q33&lt;&gt;"",Q33+ROWS($Q$2:Q33)/100,"")</f>
        <v>3.32</v>
      </c>
      <c r="S33">
        <f>IF(R33&lt;&gt;"",LARGE($R$2:$R$441,ROWS($R$2:R33)),"")</f>
        <v>5.41</v>
      </c>
      <c r="T33" s="1" t="str">
        <f>IF(R33&lt;&gt;"",INDEX($P$2:$Q$441,MATCH($S33,$R$2:$R$441,0),COLUMNS($S$2:S33)),"")</f>
        <v>Bournemouth</v>
      </c>
      <c r="U33" s="1">
        <f>IF(S33&lt;&gt;"",INDEX($P$2:$Q$441,MATCH($S33,$R$2:$R$441,0),COLUMNS($S$2:T33)),"")</f>
        <v>5</v>
      </c>
      <c r="X33" t="b">
        <f t="shared" si="0"/>
        <v>1</v>
      </c>
      <c r="Y33">
        <f>IF(X33=TRUE,ROWS($X$2:X33))</f>
        <v>32</v>
      </c>
      <c r="Z33">
        <f>IFERROR(SMALL($Y$2:$Y$45,ROWS($Y$2:Y33)),"")</f>
        <v>32</v>
      </c>
      <c r="AA33" t="str">
        <f>IFERROR(INDEX($T$2:$U$441,MATCH($Z33,$Y$2:$Y$45,0),COLUMNS($Z$2:Z33)),"")</f>
        <v>Bournemouth</v>
      </c>
      <c r="AB33">
        <f>IFERROR(INDEX($T$2:$U$441,MATCH($Z33,$Y$2:$Y$45,0),COLUMNS($Z$2:AA33)),"")</f>
        <v>5</v>
      </c>
      <c r="AE33" s="1">
        <f>Table2[[#This Row],[Year]]</f>
        <v>2001</v>
      </c>
      <c r="AF33" s="1">
        <f>Table2[[#This Row],['#]]</f>
        <v>12</v>
      </c>
      <c r="AG33" s="1" t="str">
        <f>Table2[[#This Row],[Team]]</f>
        <v>Middlesbrough</v>
      </c>
      <c r="AH33" s="1">
        <f>Table2[[#This Row],[Pl]]</f>
        <v>38</v>
      </c>
      <c r="AI33" s="1">
        <f>Table2[[#This Row],[W]]</f>
        <v>12</v>
      </c>
      <c r="AJ33" s="1">
        <f>Table2[[#This Row],[D]]</f>
        <v>9</v>
      </c>
      <c r="AK33" s="1">
        <f>Table2[[#This Row],[L]]</f>
        <v>17</v>
      </c>
      <c r="AL33" s="1">
        <f>Table2[[#This Row],[F]]</f>
        <v>35</v>
      </c>
      <c r="AM33" s="1">
        <f>Table2[[#This Row],[A]]</f>
        <v>47</v>
      </c>
      <c r="AN33" s="1">
        <f>Table2[[#This Row],[GD]]</f>
        <v>-12</v>
      </c>
      <c r="AO33" s="1">
        <f>Table2[[#This Row],[Pts]]</f>
        <v>45</v>
      </c>
      <c r="AP33" s="1">
        <f>Table2[[#This Row],[Column1]]</f>
        <v>12</v>
      </c>
      <c r="AR33" t="b">
        <f t="shared" si="1"/>
        <v>1</v>
      </c>
      <c r="AS33">
        <f>IF(AR33,ROWS($AR$2:AR33),"")</f>
        <v>32</v>
      </c>
      <c r="AT33">
        <f>IFERROR(SMALL($AS$2:$AS$440,ROWS($AS$2:AS33)),"")</f>
        <v>32</v>
      </c>
      <c r="AU33">
        <f>IF(AT33&lt;&gt;"",INDEX($AE$2:$AP$440,MATCH($AT33,$AS$2:$AS$440,0),COLUMNS($AT$2:AT33)),"")</f>
        <v>2001</v>
      </c>
      <c r="AV33">
        <f>IF(AU33&lt;&gt;"",INDEX($AE$2:$AP$440,MATCH($AT33,$AS$2:$AS$440,0),COLUMNS($AT$2:AU33)),"")</f>
        <v>12</v>
      </c>
      <c r="AW33" t="str">
        <f>IF(AV33&lt;&gt;"",INDEX($AE$2:$AP$440,MATCH($AT33,$AS$2:$AS$440,0),COLUMNS($AT$2:AV33)),"")</f>
        <v>Middlesbrough</v>
      </c>
      <c r="AX33">
        <f>IF(AW33&lt;&gt;"",INDEX($AE$2:$AP$440,MATCH($AT33,$AS$2:$AS$440,0),COLUMNS($AT$2:AW33)),"")</f>
        <v>38</v>
      </c>
      <c r="AY33">
        <f>IF(AX33&lt;&gt;"",INDEX($AE$2:$AP$440,MATCH($AT33,$AS$2:$AS$440,0),COLUMNS($AT$2:AX33)),"")</f>
        <v>12</v>
      </c>
      <c r="AZ33">
        <f>IF(AY33&lt;&gt;"",INDEX($AE$2:$AP$440,MATCH($AT33,$AS$2:$AS$440,0),COLUMNS($AT$2:AY33)),"")</f>
        <v>9</v>
      </c>
      <c r="BA33">
        <f>IF(AZ33&lt;&gt;"",INDEX($AE$2:$AP$440,MATCH($AT33,$AS$2:$AS$440,0),COLUMNS($AT$2:AZ33)),"")</f>
        <v>17</v>
      </c>
      <c r="BB33">
        <f>IF(BA33&lt;&gt;"",INDEX($AE$2:$AP$440,MATCH($AT33,$AS$2:$AS$440,0),COLUMNS($AT$2:BA33)),"")</f>
        <v>35</v>
      </c>
      <c r="BC33">
        <f>IF(BB33&lt;&gt;"",INDEX($AE$2:$AP$440,MATCH($AT33,$AS$2:$AS$440,0),COLUMNS($AT$2:BB33)),"")</f>
        <v>47</v>
      </c>
      <c r="BD33">
        <f>IF(BC33&lt;&gt;"",INDEX($AE$2:$AP$440,MATCH($AT33,$AS$2:$AS$440,0),COLUMNS($AT$2:BC33)),"")</f>
        <v>-12</v>
      </c>
      <c r="BE33">
        <f>IF(BD33&lt;&gt;"",INDEX($AE$2:$AP$440,MATCH($AT33,$AS$2:$AS$440,0),COLUMNS($AT$2:BD33)),"")</f>
        <v>45</v>
      </c>
      <c r="BF33">
        <f>IF(BE33&lt;&gt;"",INDEX($AE$2:$AP$440,MATCH($AT33,$AS$2:$AS$440,0),COLUMNS($AT$2:BE33)),"")</f>
        <v>12</v>
      </c>
      <c r="BM33" s="25" t="s">
        <v>70</v>
      </c>
      <c r="BN33" s="25">
        <v>1.2104832005880719</v>
      </c>
      <c r="BU33" s="1">
        <v>2010</v>
      </c>
      <c r="BV33" s="1">
        <v>19</v>
      </c>
      <c r="BW33" s="1" t="s">
        <v>47</v>
      </c>
      <c r="BX33" s="1">
        <v>38</v>
      </c>
      <c r="BY33" s="1">
        <v>10</v>
      </c>
      <c r="BZ33" s="1">
        <v>9</v>
      </c>
      <c r="CA33" s="1">
        <v>19</v>
      </c>
      <c r="CB33" s="1">
        <v>55</v>
      </c>
      <c r="CC33" s="1">
        <v>78</v>
      </c>
      <c r="CD33" s="1">
        <v>-23</v>
      </c>
      <c r="CE33" s="1">
        <v>39</v>
      </c>
      <c r="CF33" s="17">
        <f t="shared" si="3"/>
        <v>0.26315789473684209</v>
      </c>
    </row>
    <row r="34" spans="1:84" x14ac:dyDescent="0.25">
      <c r="A34" s="3">
        <v>2001</v>
      </c>
      <c r="B34" s="3">
        <v>13</v>
      </c>
      <c r="C34" s="4" t="s">
        <v>32</v>
      </c>
      <c r="D34" s="3">
        <v>38</v>
      </c>
      <c r="E34" s="3">
        <v>10</v>
      </c>
      <c r="F34" s="3">
        <v>14</v>
      </c>
      <c r="G34" s="3">
        <v>14</v>
      </c>
      <c r="H34" s="3">
        <v>36</v>
      </c>
      <c r="I34" s="3">
        <v>44</v>
      </c>
      <c r="J34" s="3">
        <v>-8</v>
      </c>
      <c r="K34" s="3">
        <v>44</v>
      </c>
      <c r="L34" s="5">
        <f>IF(Table2[[#This Row],['#]]=1,"Champion", IF(Table2[[#This Row],['#]]&gt;=18,"Relegated",Table2[[#This Row],['#]]))</f>
        <v>13</v>
      </c>
      <c r="N34">
        <f>IF(COUNTIF($O$2:O34,O34)=1,N33+1,N33)</f>
        <v>22</v>
      </c>
      <c r="O34" s="4" t="str">
        <f>Table2[[#This Row],[Team]]</f>
        <v>Fulham</v>
      </c>
      <c r="P34" s="1" t="str">
        <f>IFERROR(VLOOKUP(ROWS($O$2:O34),$N$2:$O$441,2,0),"")</f>
        <v>Watford</v>
      </c>
      <c r="Q34" s="1">
        <f>IF(P34&lt;&gt;"",SUMPRODUCT(--(Table2[Team]=P34)),"")</f>
        <v>7</v>
      </c>
      <c r="R34" s="11">
        <f>IF(Q34&lt;&gt;"",Q34+ROWS($Q$2:Q34)/100,"")</f>
        <v>7.33</v>
      </c>
      <c r="S34">
        <f>IF(R34&lt;&gt;"",LARGE($R$2:$R$441,ROWS($R$2:R34)),"")</f>
        <v>5.35</v>
      </c>
      <c r="T34" s="1" t="str">
        <f>IF(R34&lt;&gt;"",INDEX($P$2:$Q$441,MATCH($S34,$R$2:$R$441,0),COLUMNS($S$2:S34)),"")</f>
        <v>Hull City</v>
      </c>
      <c r="U34" s="1">
        <f>IF(S34&lt;&gt;"",INDEX($P$2:$Q$441,MATCH($S34,$R$2:$R$441,0),COLUMNS($S$2:T34)),"")</f>
        <v>5</v>
      </c>
      <c r="X34" t="b">
        <f t="shared" si="0"/>
        <v>1</v>
      </c>
      <c r="Y34">
        <f>IF(X34=TRUE,ROWS($X$2:X34))</f>
        <v>33</v>
      </c>
      <c r="Z34">
        <f>IFERROR(SMALL($Y$2:$Y$45,ROWS($Y$2:Y34)),"")</f>
        <v>33</v>
      </c>
      <c r="AA34" t="str">
        <f>IFERROR(INDEX($T$2:$U$441,MATCH($Z34,$Y$2:$Y$45,0),COLUMNS($Z$2:Z34)),"")</f>
        <v>Hull City</v>
      </c>
      <c r="AB34">
        <f>IFERROR(INDEX($T$2:$U$441,MATCH($Z34,$Y$2:$Y$45,0),COLUMNS($Z$2:AA34)),"")</f>
        <v>5</v>
      </c>
      <c r="AE34" s="1">
        <f>Table2[[#This Row],[Year]]</f>
        <v>2001</v>
      </c>
      <c r="AF34" s="1">
        <f>Table2[[#This Row],['#]]</f>
        <v>13</v>
      </c>
      <c r="AG34" s="1" t="str">
        <f>Table2[[#This Row],[Team]]</f>
        <v>Fulham</v>
      </c>
      <c r="AH34" s="1">
        <f>Table2[[#This Row],[Pl]]</f>
        <v>38</v>
      </c>
      <c r="AI34" s="1">
        <f>Table2[[#This Row],[W]]</f>
        <v>10</v>
      </c>
      <c r="AJ34" s="1">
        <f>Table2[[#This Row],[D]]</f>
        <v>14</v>
      </c>
      <c r="AK34" s="1">
        <f>Table2[[#This Row],[L]]</f>
        <v>14</v>
      </c>
      <c r="AL34" s="1">
        <f>Table2[[#This Row],[F]]</f>
        <v>36</v>
      </c>
      <c r="AM34" s="1">
        <f>Table2[[#This Row],[A]]</f>
        <v>44</v>
      </c>
      <c r="AN34" s="1">
        <f>Table2[[#This Row],[GD]]</f>
        <v>-8</v>
      </c>
      <c r="AO34" s="1">
        <f>Table2[[#This Row],[Pts]]</f>
        <v>44</v>
      </c>
      <c r="AP34" s="1">
        <f>Table2[[#This Row],[Column1]]</f>
        <v>13</v>
      </c>
      <c r="AR34" t="b">
        <f t="shared" si="1"/>
        <v>1</v>
      </c>
      <c r="AS34">
        <f>IF(AR34,ROWS($AR$2:AR34),"")</f>
        <v>33</v>
      </c>
      <c r="AT34">
        <f>IFERROR(SMALL($AS$2:$AS$440,ROWS($AS$2:AS34)),"")</f>
        <v>33</v>
      </c>
      <c r="AU34">
        <f>IF(AT34&lt;&gt;"",INDEX($AE$2:$AP$440,MATCH($AT34,$AS$2:$AS$440,0),COLUMNS($AT$2:AT34)),"")</f>
        <v>2001</v>
      </c>
      <c r="AV34">
        <f>IF(AU34&lt;&gt;"",INDEX($AE$2:$AP$440,MATCH($AT34,$AS$2:$AS$440,0),COLUMNS($AT$2:AU34)),"")</f>
        <v>13</v>
      </c>
      <c r="AW34" t="str">
        <f>IF(AV34&lt;&gt;"",INDEX($AE$2:$AP$440,MATCH($AT34,$AS$2:$AS$440,0),COLUMNS($AT$2:AV34)),"")</f>
        <v>Fulham</v>
      </c>
      <c r="AX34">
        <f>IF(AW34&lt;&gt;"",INDEX($AE$2:$AP$440,MATCH($AT34,$AS$2:$AS$440,0),COLUMNS($AT$2:AW34)),"")</f>
        <v>38</v>
      </c>
      <c r="AY34">
        <f>IF(AX34&lt;&gt;"",INDEX($AE$2:$AP$440,MATCH($AT34,$AS$2:$AS$440,0),COLUMNS($AT$2:AX34)),"")</f>
        <v>10</v>
      </c>
      <c r="AZ34">
        <f>IF(AY34&lt;&gt;"",INDEX($AE$2:$AP$440,MATCH($AT34,$AS$2:$AS$440,0),COLUMNS($AT$2:AY34)),"")</f>
        <v>14</v>
      </c>
      <c r="BA34">
        <f>IF(AZ34&lt;&gt;"",INDEX($AE$2:$AP$440,MATCH($AT34,$AS$2:$AS$440,0),COLUMNS($AT$2:AZ34)),"")</f>
        <v>14</v>
      </c>
      <c r="BB34">
        <f>IF(BA34&lt;&gt;"",INDEX($AE$2:$AP$440,MATCH($AT34,$AS$2:$AS$440,0),COLUMNS($AT$2:BA34)),"")</f>
        <v>36</v>
      </c>
      <c r="BC34">
        <f>IF(BB34&lt;&gt;"",INDEX($AE$2:$AP$440,MATCH($AT34,$AS$2:$AS$440,0),COLUMNS($AT$2:BB34)),"")</f>
        <v>44</v>
      </c>
      <c r="BD34">
        <f>IF(BC34&lt;&gt;"",INDEX($AE$2:$AP$440,MATCH($AT34,$AS$2:$AS$440,0),COLUMNS($AT$2:BC34)),"")</f>
        <v>-8</v>
      </c>
      <c r="BE34">
        <f>IF(BD34&lt;&gt;"",INDEX($AE$2:$AP$440,MATCH($AT34,$AS$2:$AS$440,0),COLUMNS($AT$2:BD34)),"")</f>
        <v>44</v>
      </c>
      <c r="BF34">
        <f>IF(BE34&lt;&gt;"",INDEX($AE$2:$AP$440,MATCH($AT34,$AS$2:$AS$440,0),COLUMNS($AT$2:BE34)),"")</f>
        <v>13</v>
      </c>
      <c r="BM34" s="25" t="s">
        <v>71</v>
      </c>
      <c r="BN34" s="25">
        <v>89</v>
      </c>
      <c r="BU34" s="1">
        <v>2010</v>
      </c>
      <c r="BV34" s="1">
        <v>20</v>
      </c>
      <c r="BW34" s="1" t="s">
        <v>25</v>
      </c>
      <c r="BX34" s="1">
        <v>38</v>
      </c>
      <c r="BY34" s="1">
        <v>7</v>
      </c>
      <c r="BZ34" s="1">
        <v>12</v>
      </c>
      <c r="CA34" s="1">
        <v>19</v>
      </c>
      <c r="CB34" s="1">
        <v>43</v>
      </c>
      <c r="CC34" s="1">
        <v>70</v>
      </c>
      <c r="CD34" s="1">
        <v>-27</v>
      </c>
      <c r="CE34" s="1">
        <v>33</v>
      </c>
      <c r="CF34" s="17">
        <f t="shared" si="3"/>
        <v>0.18421052631578946</v>
      </c>
    </row>
    <row r="35" spans="1:84" x14ac:dyDescent="0.25">
      <c r="A35" s="5">
        <v>2001</v>
      </c>
      <c r="B35" s="5">
        <v>14</v>
      </c>
      <c r="C35" s="6" t="s">
        <v>19</v>
      </c>
      <c r="D35" s="5">
        <v>38</v>
      </c>
      <c r="E35" s="5">
        <v>10</v>
      </c>
      <c r="F35" s="5">
        <v>14</v>
      </c>
      <c r="G35" s="5">
        <v>14</v>
      </c>
      <c r="H35" s="5">
        <v>38</v>
      </c>
      <c r="I35" s="5">
        <v>49</v>
      </c>
      <c r="J35" s="5">
        <v>-11</v>
      </c>
      <c r="K35" s="5">
        <v>44</v>
      </c>
      <c r="L35" s="5">
        <f>IF(Table2[[#This Row],['#]]=1,"Champion", IF(Table2[[#This Row],['#]]&gt;=18,"Relegated",Table2[[#This Row],['#]]))</f>
        <v>14</v>
      </c>
      <c r="N35">
        <f>IF(COUNTIF($O$2:O35,O35)=1,N34+1,N34)</f>
        <v>22</v>
      </c>
      <c r="O35" s="4" t="str">
        <f>Table2[[#This Row],[Team]]</f>
        <v>Charlton Athletic</v>
      </c>
      <c r="P35" s="1" t="str">
        <f>IFERROR(VLOOKUP(ROWS($O$2:O35),$N$2:$O$441,2,0),"")</f>
        <v>Stoke City</v>
      </c>
      <c r="Q35" s="1">
        <f>IF(P35&lt;&gt;"",SUMPRODUCT(--(Table2[Team]=P35)),"")</f>
        <v>10</v>
      </c>
      <c r="R35" s="11">
        <f>IF(Q35&lt;&gt;"",Q35+ROWS($Q$2:Q35)/100,"")</f>
        <v>10.34</v>
      </c>
      <c r="S35">
        <f>IF(R35&lt;&gt;"",LARGE($R$2:$R$441,ROWS($R$2:R35)),"")</f>
        <v>3.39</v>
      </c>
      <c r="T35" s="1" t="str">
        <f>IF(R35&lt;&gt;"",INDEX($P$2:$Q$441,MATCH($S35,$R$2:$R$441,0),COLUMNS($S$2:S35)),"")</f>
        <v>Queens Park Rangers</v>
      </c>
      <c r="U35" s="1">
        <f>IF(S35&lt;&gt;"",INDEX($P$2:$Q$441,MATCH($S35,$R$2:$R$441,0),COLUMNS($S$2:T35)),"")</f>
        <v>3</v>
      </c>
      <c r="X35" t="b">
        <f t="shared" si="0"/>
        <v>1</v>
      </c>
      <c r="Y35">
        <f>IF(X35=TRUE,ROWS($X$2:X35))</f>
        <v>34</v>
      </c>
      <c r="Z35">
        <f>IFERROR(SMALL($Y$2:$Y$45,ROWS($Y$2:Y35)),"")</f>
        <v>34</v>
      </c>
      <c r="AA35" t="str">
        <f>IFERROR(INDEX($T$2:$U$441,MATCH($Z35,$Y$2:$Y$45,0),COLUMNS($Z$2:Z35)),"")</f>
        <v>Queens Park Rangers</v>
      </c>
      <c r="AB35">
        <f>IFERROR(INDEX($T$2:$U$441,MATCH($Z35,$Y$2:$Y$45,0),COLUMNS($Z$2:AA35)),"")</f>
        <v>3</v>
      </c>
      <c r="AE35" s="1">
        <f>Table2[[#This Row],[Year]]</f>
        <v>2001</v>
      </c>
      <c r="AF35" s="1">
        <f>Table2[[#This Row],['#]]</f>
        <v>14</v>
      </c>
      <c r="AG35" s="1" t="str">
        <f>Table2[[#This Row],[Team]]</f>
        <v>Charlton Athletic</v>
      </c>
      <c r="AH35" s="1">
        <f>Table2[[#This Row],[Pl]]</f>
        <v>38</v>
      </c>
      <c r="AI35" s="1">
        <f>Table2[[#This Row],[W]]</f>
        <v>10</v>
      </c>
      <c r="AJ35" s="1">
        <f>Table2[[#This Row],[D]]</f>
        <v>14</v>
      </c>
      <c r="AK35" s="1">
        <f>Table2[[#This Row],[L]]</f>
        <v>14</v>
      </c>
      <c r="AL35" s="1">
        <f>Table2[[#This Row],[F]]</f>
        <v>38</v>
      </c>
      <c r="AM35" s="1">
        <f>Table2[[#This Row],[A]]</f>
        <v>49</v>
      </c>
      <c r="AN35" s="1">
        <f>Table2[[#This Row],[GD]]</f>
        <v>-11</v>
      </c>
      <c r="AO35" s="1">
        <f>Table2[[#This Row],[Pts]]</f>
        <v>44</v>
      </c>
      <c r="AP35" s="1">
        <f>Table2[[#This Row],[Column1]]</f>
        <v>14</v>
      </c>
      <c r="AR35" t="b">
        <f t="shared" si="1"/>
        <v>1</v>
      </c>
      <c r="AS35">
        <f>IF(AR35,ROWS($AR$2:AR35),"")</f>
        <v>34</v>
      </c>
      <c r="AT35">
        <f>IFERROR(SMALL($AS$2:$AS$440,ROWS($AS$2:AS35)),"")</f>
        <v>34</v>
      </c>
      <c r="AU35">
        <f>IF(AT35&lt;&gt;"",INDEX($AE$2:$AP$440,MATCH($AT35,$AS$2:$AS$440,0),COLUMNS($AT$2:AT35)),"")</f>
        <v>2001</v>
      </c>
      <c r="AV35">
        <f>IF(AU35&lt;&gt;"",INDEX($AE$2:$AP$440,MATCH($AT35,$AS$2:$AS$440,0),COLUMNS($AT$2:AU35)),"")</f>
        <v>14</v>
      </c>
      <c r="AW35" t="str">
        <f>IF(AV35&lt;&gt;"",INDEX($AE$2:$AP$440,MATCH($AT35,$AS$2:$AS$440,0),COLUMNS($AT$2:AV35)),"")</f>
        <v>Charlton Athletic</v>
      </c>
      <c r="AX35">
        <f>IF(AW35&lt;&gt;"",INDEX($AE$2:$AP$440,MATCH($AT35,$AS$2:$AS$440,0),COLUMNS($AT$2:AW35)),"")</f>
        <v>38</v>
      </c>
      <c r="AY35">
        <f>IF(AX35&lt;&gt;"",INDEX($AE$2:$AP$440,MATCH($AT35,$AS$2:$AS$440,0),COLUMNS($AT$2:AX35)),"")</f>
        <v>10</v>
      </c>
      <c r="AZ35">
        <f>IF(AY35&lt;&gt;"",INDEX($AE$2:$AP$440,MATCH($AT35,$AS$2:$AS$440,0),COLUMNS($AT$2:AY35)),"")</f>
        <v>14</v>
      </c>
      <c r="BA35">
        <f>IF(AZ35&lt;&gt;"",INDEX($AE$2:$AP$440,MATCH($AT35,$AS$2:$AS$440,0),COLUMNS($AT$2:AZ35)),"")</f>
        <v>14</v>
      </c>
      <c r="BB35">
        <f>IF(BA35&lt;&gt;"",INDEX($AE$2:$AP$440,MATCH($AT35,$AS$2:$AS$440,0),COLUMNS($AT$2:BA35)),"")</f>
        <v>38</v>
      </c>
      <c r="BC35">
        <f>IF(BB35&lt;&gt;"",INDEX($AE$2:$AP$440,MATCH($AT35,$AS$2:$AS$440,0),COLUMNS($AT$2:BB35)),"")</f>
        <v>49</v>
      </c>
      <c r="BD35">
        <f>IF(BC35&lt;&gt;"",INDEX($AE$2:$AP$440,MATCH($AT35,$AS$2:$AS$440,0),COLUMNS($AT$2:BC35)),"")</f>
        <v>-11</v>
      </c>
      <c r="BE35">
        <f>IF(BD35&lt;&gt;"",INDEX($AE$2:$AP$440,MATCH($AT35,$AS$2:$AS$440,0),COLUMNS($AT$2:BD35)),"")</f>
        <v>44</v>
      </c>
      <c r="BF35">
        <f>IF(BE35&lt;&gt;"",INDEX($AE$2:$AP$440,MATCH($AT35,$AS$2:$AS$440,0),COLUMNS($AT$2:BE35)),"")</f>
        <v>14</v>
      </c>
      <c r="BM35" s="25" t="s">
        <v>72</v>
      </c>
      <c r="BN35" s="25">
        <v>87</v>
      </c>
      <c r="BU35" s="1">
        <v>2011</v>
      </c>
      <c r="BV35" s="1">
        <v>18</v>
      </c>
      <c r="BW35" s="1" t="s">
        <v>33</v>
      </c>
      <c r="BX35" s="1">
        <v>38</v>
      </c>
      <c r="BY35" s="1">
        <v>10</v>
      </c>
      <c r="BZ35" s="1">
        <v>6</v>
      </c>
      <c r="CA35" s="1">
        <v>22</v>
      </c>
      <c r="CB35" s="1">
        <v>46</v>
      </c>
      <c r="CC35" s="1">
        <v>77</v>
      </c>
      <c r="CD35" s="1">
        <v>-31</v>
      </c>
      <c r="CE35" s="1">
        <v>36</v>
      </c>
      <c r="CF35" s="17">
        <f t="shared" si="3"/>
        <v>0.26315789473684209</v>
      </c>
    </row>
    <row r="36" spans="1:84" x14ac:dyDescent="0.25">
      <c r="A36" s="3">
        <v>2001</v>
      </c>
      <c r="B36" s="3">
        <v>15</v>
      </c>
      <c r="C36" s="4" t="s">
        <v>26</v>
      </c>
      <c r="D36" s="3">
        <v>38</v>
      </c>
      <c r="E36" s="3">
        <v>11</v>
      </c>
      <c r="F36" s="3">
        <v>10</v>
      </c>
      <c r="G36" s="3">
        <v>17</v>
      </c>
      <c r="H36" s="3">
        <v>45</v>
      </c>
      <c r="I36" s="3">
        <v>57</v>
      </c>
      <c r="J36" s="3">
        <v>-12</v>
      </c>
      <c r="K36" s="3">
        <v>43</v>
      </c>
      <c r="L36" s="5">
        <f>IF(Table2[[#This Row],['#]]=1,"Champion", IF(Table2[[#This Row],['#]]&gt;=18,"Relegated",Table2[[#This Row],['#]]))</f>
        <v>15</v>
      </c>
      <c r="N36">
        <f>IF(COUNTIF($O$2:O36,O36)=1,N35+1,N35)</f>
        <v>22</v>
      </c>
      <c r="O36" s="4" t="str">
        <f>Table2[[#This Row],[Team]]</f>
        <v>Everton</v>
      </c>
      <c r="P36" s="1" t="str">
        <f>IFERROR(VLOOKUP(ROWS($O$2:O36),$N$2:$O$441,2,0),"")</f>
        <v>Hull City</v>
      </c>
      <c r="Q36" s="1">
        <f>IF(P36&lt;&gt;"",SUMPRODUCT(--(Table2[Team]=P36)),"")</f>
        <v>5</v>
      </c>
      <c r="R36" s="11">
        <f>IF(Q36&lt;&gt;"",Q36+ROWS($Q$2:Q36)/100,"")</f>
        <v>5.35</v>
      </c>
      <c r="S36">
        <f>IF(R36&lt;&gt;"",LARGE($R$2:$R$441,ROWS($R$2:R36)),"")</f>
        <v>3.32</v>
      </c>
      <c r="T36" s="1" t="str">
        <f>IF(R36&lt;&gt;"",INDEX($P$2:$Q$441,MATCH($S36,$R$2:$R$441,0),COLUMNS($S$2:S36)),"")</f>
        <v>Sheffield United</v>
      </c>
      <c r="U36" s="1">
        <f>IF(S36&lt;&gt;"",INDEX($P$2:$Q$441,MATCH($S36,$R$2:$R$441,0),COLUMNS($S$2:T36)),"")</f>
        <v>3</v>
      </c>
      <c r="X36" t="b">
        <f t="shared" si="0"/>
        <v>1</v>
      </c>
      <c r="Y36">
        <f>IF(X36=TRUE,ROWS($X$2:X36))</f>
        <v>35</v>
      </c>
      <c r="Z36">
        <f>IFERROR(SMALL($Y$2:$Y$45,ROWS($Y$2:Y36)),"")</f>
        <v>35</v>
      </c>
      <c r="AA36" t="str">
        <f>IFERROR(INDEX($T$2:$U$441,MATCH($Z36,$Y$2:$Y$45,0),COLUMNS($Z$2:Z36)),"")</f>
        <v>Sheffield United</v>
      </c>
      <c r="AB36">
        <f>IFERROR(INDEX($T$2:$U$441,MATCH($Z36,$Y$2:$Y$45,0),COLUMNS($Z$2:AA36)),"")</f>
        <v>3</v>
      </c>
      <c r="AE36" s="1">
        <f>Table2[[#This Row],[Year]]</f>
        <v>2001</v>
      </c>
      <c r="AF36" s="1">
        <f>Table2[[#This Row],['#]]</f>
        <v>15</v>
      </c>
      <c r="AG36" s="1" t="str">
        <f>Table2[[#This Row],[Team]]</f>
        <v>Everton</v>
      </c>
      <c r="AH36" s="1">
        <f>Table2[[#This Row],[Pl]]</f>
        <v>38</v>
      </c>
      <c r="AI36" s="1">
        <f>Table2[[#This Row],[W]]</f>
        <v>11</v>
      </c>
      <c r="AJ36" s="1">
        <f>Table2[[#This Row],[D]]</f>
        <v>10</v>
      </c>
      <c r="AK36" s="1">
        <f>Table2[[#This Row],[L]]</f>
        <v>17</v>
      </c>
      <c r="AL36" s="1">
        <f>Table2[[#This Row],[F]]</f>
        <v>45</v>
      </c>
      <c r="AM36" s="1">
        <f>Table2[[#This Row],[A]]</f>
        <v>57</v>
      </c>
      <c r="AN36" s="1">
        <f>Table2[[#This Row],[GD]]</f>
        <v>-12</v>
      </c>
      <c r="AO36" s="1">
        <f>Table2[[#This Row],[Pts]]</f>
        <v>43</v>
      </c>
      <c r="AP36" s="1">
        <f>Table2[[#This Row],[Column1]]</f>
        <v>15</v>
      </c>
      <c r="AR36" t="b">
        <f t="shared" si="1"/>
        <v>1</v>
      </c>
      <c r="AS36">
        <f>IF(AR36,ROWS($AR$2:AR36),"")</f>
        <v>35</v>
      </c>
      <c r="AT36">
        <f>IFERROR(SMALL($AS$2:$AS$440,ROWS($AS$2:AS36)),"")</f>
        <v>35</v>
      </c>
      <c r="AU36">
        <f>IF(AT36&lt;&gt;"",INDEX($AE$2:$AP$440,MATCH($AT36,$AS$2:$AS$440,0),COLUMNS($AT$2:AT36)),"")</f>
        <v>2001</v>
      </c>
      <c r="AV36">
        <f>IF(AU36&lt;&gt;"",INDEX($AE$2:$AP$440,MATCH($AT36,$AS$2:$AS$440,0),COLUMNS($AT$2:AU36)),"")</f>
        <v>15</v>
      </c>
      <c r="AW36" t="str">
        <f>IF(AV36&lt;&gt;"",INDEX($AE$2:$AP$440,MATCH($AT36,$AS$2:$AS$440,0),COLUMNS($AT$2:AV36)),"")</f>
        <v>Everton</v>
      </c>
      <c r="AX36">
        <f>IF(AW36&lt;&gt;"",INDEX($AE$2:$AP$440,MATCH($AT36,$AS$2:$AS$440,0),COLUMNS($AT$2:AW36)),"")</f>
        <v>38</v>
      </c>
      <c r="AY36">
        <f>IF(AX36&lt;&gt;"",INDEX($AE$2:$AP$440,MATCH($AT36,$AS$2:$AS$440,0),COLUMNS($AT$2:AX36)),"")</f>
        <v>11</v>
      </c>
      <c r="AZ36">
        <f>IF(AY36&lt;&gt;"",INDEX($AE$2:$AP$440,MATCH($AT36,$AS$2:$AS$440,0),COLUMNS($AT$2:AY36)),"")</f>
        <v>10</v>
      </c>
      <c r="BA36">
        <f>IF(AZ36&lt;&gt;"",INDEX($AE$2:$AP$440,MATCH($AT36,$AS$2:$AS$440,0),COLUMNS($AT$2:AZ36)),"")</f>
        <v>17</v>
      </c>
      <c r="BB36">
        <f>IF(BA36&lt;&gt;"",INDEX($AE$2:$AP$440,MATCH($AT36,$AS$2:$AS$440,0),COLUMNS($AT$2:BA36)),"")</f>
        <v>45</v>
      </c>
      <c r="BC36">
        <f>IF(BB36&lt;&gt;"",INDEX($AE$2:$AP$440,MATCH($AT36,$AS$2:$AS$440,0),COLUMNS($AT$2:BB36)),"")</f>
        <v>57</v>
      </c>
      <c r="BD36">
        <f>IF(BC36&lt;&gt;"",INDEX($AE$2:$AP$440,MATCH($AT36,$AS$2:$AS$440,0),COLUMNS($AT$2:BC36)),"")</f>
        <v>-12</v>
      </c>
      <c r="BE36">
        <f>IF(BD36&lt;&gt;"",INDEX($AE$2:$AP$440,MATCH($AT36,$AS$2:$AS$440,0),COLUMNS($AT$2:BD36)),"")</f>
        <v>43</v>
      </c>
      <c r="BF36">
        <f>IF(BE36&lt;&gt;"",INDEX($AE$2:$AP$440,MATCH($AT36,$AS$2:$AS$440,0),COLUMNS($AT$2:BE36)),"")</f>
        <v>15</v>
      </c>
      <c r="BM36" s="25" t="s">
        <v>73</v>
      </c>
      <c r="BN36" s="25">
        <v>5.6776694810397981</v>
      </c>
      <c r="BU36" s="1">
        <v>2011</v>
      </c>
      <c r="BV36" s="1">
        <v>19</v>
      </c>
      <c r="BW36" s="1" t="s">
        <v>31</v>
      </c>
      <c r="BX36" s="1">
        <v>38</v>
      </c>
      <c r="BY36" s="1">
        <v>8</v>
      </c>
      <c r="BZ36" s="1">
        <v>7</v>
      </c>
      <c r="CA36" s="1">
        <v>23</v>
      </c>
      <c r="CB36" s="1">
        <v>48</v>
      </c>
      <c r="CC36" s="1">
        <v>78</v>
      </c>
      <c r="CD36" s="1">
        <v>-30</v>
      </c>
      <c r="CE36" s="1">
        <v>31</v>
      </c>
      <c r="CF36" s="17">
        <f t="shared" si="3"/>
        <v>0.21052631578947367</v>
      </c>
    </row>
    <row r="37" spans="1:84" x14ac:dyDescent="0.25">
      <c r="A37" s="5">
        <v>2001</v>
      </c>
      <c r="B37" s="5">
        <v>16</v>
      </c>
      <c r="C37" s="6" t="s">
        <v>33</v>
      </c>
      <c r="D37" s="5">
        <v>38</v>
      </c>
      <c r="E37" s="5">
        <v>9</v>
      </c>
      <c r="F37" s="5">
        <v>13</v>
      </c>
      <c r="G37" s="5">
        <v>16</v>
      </c>
      <c r="H37" s="5">
        <v>44</v>
      </c>
      <c r="I37" s="5">
        <v>62</v>
      </c>
      <c r="J37" s="5">
        <v>-18</v>
      </c>
      <c r="K37" s="5">
        <v>40</v>
      </c>
      <c r="L37" s="5">
        <f>IF(Table2[[#This Row],['#]]=1,"Champion", IF(Table2[[#This Row],['#]]&gt;=18,"Relegated",Table2[[#This Row],['#]]))</f>
        <v>16</v>
      </c>
      <c r="N37">
        <f>IF(COUNTIF($O$2:O37,O37)=1,N36+1,N36)</f>
        <v>23</v>
      </c>
      <c r="O37" s="4" t="str">
        <f>Table2[[#This Row],[Team]]</f>
        <v>Bolton Wanderers</v>
      </c>
      <c r="P37" s="1" t="str">
        <f>IFERROR(VLOOKUP(ROWS($O$2:O37),$N$2:$O$441,2,0),"")</f>
        <v>Burnley</v>
      </c>
      <c r="Q37" s="1">
        <f>IF(P37&lt;&gt;"",SUMPRODUCT(--(Table2[Team]=P37)),"")</f>
        <v>8</v>
      </c>
      <c r="R37" s="11">
        <f>IF(Q37&lt;&gt;"",Q37+ROWS($Q$2:Q37)/100,"")</f>
        <v>8.36</v>
      </c>
      <c r="S37">
        <f>IF(R37&lt;&gt;"",LARGE($R$2:$R$441,ROWS($R$2:R37)),"")</f>
        <v>3.31</v>
      </c>
      <c r="T37" s="1" t="str">
        <f>IF(R37&lt;&gt;"",INDEX($P$2:$Q$441,MATCH($S37,$R$2:$R$441,0),COLUMNS($S$2:S37)),"")</f>
        <v>Reading</v>
      </c>
      <c r="U37" s="1">
        <f>IF(S37&lt;&gt;"",INDEX($P$2:$Q$441,MATCH($S37,$R$2:$R$441,0),COLUMNS($S$2:T37)),"")</f>
        <v>3</v>
      </c>
      <c r="X37" t="b">
        <f t="shared" si="0"/>
        <v>1</v>
      </c>
      <c r="Y37">
        <f>IF(X37=TRUE,ROWS($X$2:X37))</f>
        <v>36</v>
      </c>
      <c r="Z37">
        <f>IFERROR(SMALL($Y$2:$Y$45,ROWS($Y$2:Y37)),"")</f>
        <v>36</v>
      </c>
      <c r="AA37" t="str">
        <f>IFERROR(INDEX($T$2:$U$441,MATCH($Z37,$Y$2:$Y$45,0),COLUMNS($Z$2:Z37)),"")</f>
        <v>Reading</v>
      </c>
      <c r="AB37">
        <f>IFERROR(INDEX($T$2:$U$441,MATCH($Z37,$Y$2:$Y$45,0),COLUMNS($Z$2:AA37)),"")</f>
        <v>3</v>
      </c>
      <c r="AE37" s="1">
        <f>Table2[[#This Row],[Year]]</f>
        <v>2001</v>
      </c>
      <c r="AF37" s="1">
        <f>Table2[[#This Row],['#]]</f>
        <v>16</v>
      </c>
      <c r="AG37" s="1" t="str">
        <f>Table2[[#This Row],[Team]]</f>
        <v>Bolton Wanderers</v>
      </c>
      <c r="AH37" s="1">
        <f>Table2[[#This Row],[Pl]]</f>
        <v>38</v>
      </c>
      <c r="AI37" s="1">
        <f>Table2[[#This Row],[W]]</f>
        <v>9</v>
      </c>
      <c r="AJ37" s="1">
        <f>Table2[[#This Row],[D]]</f>
        <v>13</v>
      </c>
      <c r="AK37" s="1">
        <f>Table2[[#This Row],[L]]</f>
        <v>16</v>
      </c>
      <c r="AL37" s="1">
        <f>Table2[[#This Row],[F]]</f>
        <v>44</v>
      </c>
      <c r="AM37" s="1">
        <f>Table2[[#This Row],[A]]</f>
        <v>62</v>
      </c>
      <c r="AN37" s="1">
        <f>Table2[[#This Row],[GD]]</f>
        <v>-18</v>
      </c>
      <c r="AO37" s="1">
        <f>Table2[[#This Row],[Pts]]</f>
        <v>40</v>
      </c>
      <c r="AP37" s="1">
        <f>Table2[[#This Row],[Column1]]</f>
        <v>16</v>
      </c>
      <c r="AR37" t="b">
        <f t="shared" si="1"/>
        <v>1</v>
      </c>
      <c r="AS37">
        <f>IF(AR37,ROWS($AR$2:AR37),"")</f>
        <v>36</v>
      </c>
      <c r="AT37">
        <f>IFERROR(SMALL($AS$2:$AS$440,ROWS($AS$2:AS37)),"")</f>
        <v>36</v>
      </c>
      <c r="AU37">
        <f>IF(AT37&lt;&gt;"",INDEX($AE$2:$AP$440,MATCH($AT37,$AS$2:$AS$440,0),COLUMNS($AT$2:AT37)),"")</f>
        <v>2001</v>
      </c>
      <c r="AV37">
        <f>IF(AU37&lt;&gt;"",INDEX($AE$2:$AP$440,MATCH($AT37,$AS$2:$AS$440,0),COLUMNS($AT$2:AU37)),"")</f>
        <v>16</v>
      </c>
      <c r="AW37" t="str">
        <f>IF(AV37&lt;&gt;"",INDEX($AE$2:$AP$440,MATCH($AT37,$AS$2:$AS$440,0),COLUMNS($AT$2:AV37)),"")</f>
        <v>Bolton Wanderers</v>
      </c>
      <c r="AX37">
        <f>IF(AW37&lt;&gt;"",INDEX($AE$2:$AP$440,MATCH($AT37,$AS$2:$AS$440,0),COLUMNS($AT$2:AW37)),"")</f>
        <v>38</v>
      </c>
      <c r="AY37">
        <f>IF(AX37&lt;&gt;"",INDEX($AE$2:$AP$440,MATCH($AT37,$AS$2:$AS$440,0),COLUMNS($AT$2:AX37)),"")</f>
        <v>9</v>
      </c>
      <c r="AZ37">
        <f>IF(AY37&lt;&gt;"",INDEX($AE$2:$AP$440,MATCH($AT37,$AS$2:$AS$440,0),COLUMNS($AT$2:AY37)),"")</f>
        <v>13</v>
      </c>
      <c r="BA37">
        <f>IF(AZ37&lt;&gt;"",INDEX($AE$2:$AP$440,MATCH($AT37,$AS$2:$AS$440,0),COLUMNS($AT$2:AZ37)),"")</f>
        <v>16</v>
      </c>
      <c r="BB37">
        <f>IF(BA37&lt;&gt;"",INDEX($AE$2:$AP$440,MATCH($AT37,$AS$2:$AS$440,0),COLUMNS($AT$2:BA37)),"")</f>
        <v>44</v>
      </c>
      <c r="BC37">
        <f>IF(BB37&lt;&gt;"",INDEX($AE$2:$AP$440,MATCH($AT37,$AS$2:$AS$440,0),COLUMNS($AT$2:BB37)),"")</f>
        <v>62</v>
      </c>
      <c r="BD37">
        <f>IF(BC37&lt;&gt;"",INDEX($AE$2:$AP$440,MATCH($AT37,$AS$2:$AS$440,0),COLUMNS($AT$2:BC37)),"")</f>
        <v>-18</v>
      </c>
      <c r="BE37">
        <f>IF(BD37&lt;&gt;"",INDEX($AE$2:$AP$440,MATCH($AT37,$AS$2:$AS$440,0),COLUMNS($AT$2:BD37)),"")</f>
        <v>40</v>
      </c>
      <c r="BF37">
        <f>IF(BE37&lt;&gt;"",INDEX($AE$2:$AP$440,MATCH($AT37,$AS$2:$AS$440,0),COLUMNS($AT$2:BE37)),"")</f>
        <v>16</v>
      </c>
      <c r="BM37" s="25" t="s">
        <v>74</v>
      </c>
      <c r="BN37" s="25">
        <v>32.235930735930729</v>
      </c>
      <c r="BU37" s="1">
        <v>2011</v>
      </c>
      <c r="BV37" s="1">
        <v>20</v>
      </c>
      <c r="BW37" s="1" t="s">
        <v>37</v>
      </c>
      <c r="BX37" s="1">
        <v>38</v>
      </c>
      <c r="BY37" s="1">
        <v>5</v>
      </c>
      <c r="BZ37" s="1">
        <v>10</v>
      </c>
      <c r="CA37" s="1">
        <v>23</v>
      </c>
      <c r="CB37" s="1">
        <v>40</v>
      </c>
      <c r="CC37" s="1">
        <v>82</v>
      </c>
      <c r="CD37" s="1">
        <v>-42</v>
      </c>
      <c r="CE37" s="1">
        <v>25</v>
      </c>
      <c r="CF37" s="17">
        <f t="shared" si="3"/>
        <v>0.13157894736842105</v>
      </c>
    </row>
    <row r="38" spans="1:84" x14ac:dyDescent="0.25">
      <c r="A38" s="3">
        <v>2001</v>
      </c>
      <c r="B38" s="3">
        <v>17</v>
      </c>
      <c r="C38" s="4" t="s">
        <v>17</v>
      </c>
      <c r="D38" s="3">
        <v>38</v>
      </c>
      <c r="E38" s="3">
        <v>10</v>
      </c>
      <c r="F38" s="3">
        <v>10</v>
      </c>
      <c r="G38" s="3">
        <v>18</v>
      </c>
      <c r="H38" s="3">
        <v>29</v>
      </c>
      <c r="I38" s="3">
        <v>51</v>
      </c>
      <c r="J38" s="3">
        <v>-22</v>
      </c>
      <c r="K38" s="3">
        <v>40</v>
      </c>
      <c r="L38" s="5">
        <f>IF(Table2[[#This Row],['#]]=1,"Champion", IF(Table2[[#This Row],['#]]&gt;=18,"Relegated",Table2[[#This Row],['#]]))</f>
        <v>17</v>
      </c>
      <c r="N38">
        <f>IF(COUNTIF($O$2:O38,O38)=1,N37+1,N37)</f>
        <v>23</v>
      </c>
      <c r="O38" s="4" t="str">
        <f>Table2[[#This Row],[Team]]</f>
        <v>Sunderland</v>
      </c>
      <c r="P38" s="1" t="str">
        <f>IFERROR(VLOOKUP(ROWS($O$2:O38),$N$2:$O$441,2,0),"")</f>
        <v>Blackpool</v>
      </c>
      <c r="Q38" s="1">
        <f>IF(P38&lt;&gt;"",SUMPRODUCT(--(Table2[Team]=P38)),"")</f>
        <v>1</v>
      </c>
      <c r="R38" s="11">
        <f>IF(Q38&lt;&gt;"",Q38+ROWS($Q$2:Q38)/100,"")</f>
        <v>1.37</v>
      </c>
      <c r="S38">
        <f>IF(R38&lt;&gt;"",LARGE($R$2:$R$441,ROWS($R$2:R38)),"")</f>
        <v>3.17</v>
      </c>
      <c r="T38" s="1" t="str">
        <f>IF(R38&lt;&gt;"",INDEX($P$2:$Q$441,MATCH($S38,$R$2:$R$441,0),COLUMNS($S$2:S38)),"")</f>
        <v>Derby County</v>
      </c>
      <c r="U38" s="1">
        <f>IF(S38&lt;&gt;"",INDEX($P$2:$Q$441,MATCH($S38,$R$2:$R$441,0),COLUMNS($S$2:T38)),"")</f>
        <v>3</v>
      </c>
      <c r="X38" t="b">
        <f t="shared" si="0"/>
        <v>1</v>
      </c>
      <c r="Y38">
        <f>IF(X38=TRUE,ROWS($X$2:X38))</f>
        <v>37</v>
      </c>
      <c r="Z38">
        <f>IFERROR(SMALL($Y$2:$Y$45,ROWS($Y$2:Y38)),"")</f>
        <v>37</v>
      </c>
      <c r="AA38" t="str">
        <f>IFERROR(INDEX($T$2:$U$441,MATCH($Z38,$Y$2:$Y$45,0),COLUMNS($Z$2:Z38)),"")</f>
        <v>Derby County</v>
      </c>
      <c r="AB38">
        <f>IFERROR(INDEX($T$2:$U$441,MATCH($Z38,$Y$2:$Y$45,0),COLUMNS($Z$2:AA38)),"")</f>
        <v>3</v>
      </c>
      <c r="AE38" s="1">
        <f>Table2[[#This Row],[Year]]</f>
        <v>2001</v>
      </c>
      <c r="AF38" s="1">
        <f>Table2[[#This Row],['#]]</f>
        <v>17</v>
      </c>
      <c r="AG38" s="1" t="str">
        <f>Table2[[#This Row],[Team]]</f>
        <v>Sunderland</v>
      </c>
      <c r="AH38" s="1">
        <f>Table2[[#This Row],[Pl]]</f>
        <v>38</v>
      </c>
      <c r="AI38" s="1">
        <f>Table2[[#This Row],[W]]</f>
        <v>10</v>
      </c>
      <c r="AJ38" s="1">
        <f>Table2[[#This Row],[D]]</f>
        <v>10</v>
      </c>
      <c r="AK38" s="1">
        <f>Table2[[#This Row],[L]]</f>
        <v>18</v>
      </c>
      <c r="AL38" s="1">
        <f>Table2[[#This Row],[F]]</f>
        <v>29</v>
      </c>
      <c r="AM38" s="1">
        <f>Table2[[#This Row],[A]]</f>
        <v>51</v>
      </c>
      <c r="AN38" s="1">
        <f>Table2[[#This Row],[GD]]</f>
        <v>-22</v>
      </c>
      <c r="AO38" s="1">
        <f>Table2[[#This Row],[Pts]]</f>
        <v>40</v>
      </c>
      <c r="AP38" s="1">
        <f>Table2[[#This Row],[Column1]]</f>
        <v>17</v>
      </c>
      <c r="AR38" t="b">
        <f t="shared" si="1"/>
        <v>1</v>
      </c>
      <c r="AS38">
        <f>IF(AR38,ROWS($AR$2:AR38),"")</f>
        <v>37</v>
      </c>
      <c r="AT38">
        <f>IFERROR(SMALL($AS$2:$AS$440,ROWS($AS$2:AS38)),"")</f>
        <v>37</v>
      </c>
      <c r="AU38">
        <f>IF(AT38&lt;&gt;"",INDEX($AE$2:$AP$440,MATCH($AT38,$AS$2:$AS$440,0),COLUMNS($AT$2:AT38)),"")</f>
        <v>2001</v>
      </c>
      <c r="AV38">
        <f>IF(AU38&lt;&gt;"",INDEX($AE$2:$AP$440,MATCH($AT38,$AS$2:$AS$440,0),COLUMNS($AT$2:AU38)),"")</f>
        <v>17</v>
      </c>
      <c r="AW38" t="str">
        <f>IF(AV38&lt;&gt;"",INDEX($AE$2:$AP$440,MATCH($AT38,$AS$2:$AS$440,0),COLUMNS($AT$2:AV38)),"")</f>
        <v>Sunderland</v>
      </c>
      <c r="AX38">
        <f>IF(AW38&lt;&gt;"",INDEX($AE$2:$AP$440,MATCH($AT38,$AS$2:$AS$440,0),COLUMNS($AT$2:AW38)),"")</f>
        <v>38</v>
      </c>
      <c r="AY38">
        <f>IF(AX38&lt;&gt;"",INDEX($AE$2:$AP$440,MATCH($AT38,$AS$2:$AS$440,0),COLUMNS($AT$2:AX38)),"")</f>
        <v>10</v>
      </c>
      <c r="AZ38">
        <f>IF(AY38&lt;&gt;"",INDEX($AE$2:$AP$440,MATCH($AT38,$AS$2:$AS$440,0),COLUMNS($AT$2:AY38)),"")</f>
        <v>10</v>
      </c>
      <c r="BA38">
        <f>IF(AZ38&lt;&gt;"",INDEX($AE$2:$AP$440,MATCH($AT38,$AS$2:$AS$440,0),COLUMNS($AT$2:AZ38)),"")</f>
        <v>18</v>
      </c>
      <c r="BB38">
        <f>IF(BA38&lt;&gt;"",INDEX($AE$2:$AP$440,MATCH($AT38,$AS$2:$AS$440,0),COLUMNS($AT$2:BA38)),"")</f>
        <v>29</v>
      </c>
      <c r="BC38">
        <f>IF(BB38&lt;&gt;"",INDEX($AE$2:$AP$440,MATCH($AT38,$AS$2:$AS$440,0),COLUMNS($AT$2:BB38)),"")</f>
        <v>51</v>
      </c>
      <c r="BD38">
        <f>IF(BC38&lt;&gt;"",INDEX($AE$2:$AP$440,MATCH($AT38,$AS$2:$AS$440,0),COLUMNS($AT$2:BC38)),"")</f>
        <v>-22</v>
      </c>
      <c r="BE38">
        <f>IF(BD38&lt;&gt;"",INDEX($AE$2:$AP$440,MATCH($AT38,$AS$2:$AS$440,0),COLUMNS($AT$2:BD38)),"")</f>
        <v>40</v>
      </c>
      <c r="BF38">
        <f>IF(BE38&lt;&gt;"",INDEX($AE$2:$AP$440,MATCH($AT38,$AS$2:$AS$440,0),COLUMNS($AT$2:BE38)),"")</f>
        <v>17</v>
      </c>
      <c r="BM38" s="25" t="s">
        <v>75</v>
      </c>
      <c r="BN38" s="25">
        <v>-0.3307126823475719</v>
      </c>
      <c r="BU38" s="1">
        <v>2012</v>
      </c>
      <c r="BV38" s="1">
        <v>18</v>
      </c>
      <c r="BW38" s="1" t="s">
        <v>40</v>
      </c>
      <c r="BX38" s="1">
        <v>38</v>
      </c>
      <c r="BY38" s="1">
        <v>9</v>
      </c>
      <c r="BZ38" s="1">
        <v>9</v>
      </c>
      <c r="CA38" s="1">
        <v>20</v>
      </c>
      <c r="CB38" s="1">
        <v>47</v>
      </c>
      <c r="CC38" s="1">
        <v>73</v>
      </c>
      <c r="CD38" s="1">
        <v>-26</v>
      </c>
      <c r="CE38" s="1">
        <v>36</v>
      </c>
      <c r="CF38" s="17">
        <f t="shared" si="3"/>
        <v>0.23684210526315788</v>
      </c>
    </row>
    <row r="39" spans="1:84" x14ac:dyDescent="0.25">
      <c r="A39" s="5">
        <v>2001</v>
      </c>
      <c r="B39" s="5">
        <v>18</v>
      </c>
      <c r="C39" s="6" t="s">
        <v>15</v>
      </c>
      <c r="D39" s="5">
        <v>38</v>
      </c>
      <c r="E39" s="5">
        <v>9</v>
      </c>
      <c r="F39" s="5">
        <v>9</v>
      </c>
      <c r="G39" s="5">
        <v>20</v>
      </c>
      <c r="H39" s="5">
        <v>41</v>
      </c>
      <c r="I39" s="5">
        <v>64</v>
      </c>
      <c r="J39" s="5">
        <v>-23</v>
      </c>
      <c r="K39" s="5">
        <v>36</v>
      </c>
      <c r="L39" s="5" t="str">
        <f>IF(Table2[[#This Row],['#]]=1,"Champion", IF(Table2[[#This Row],['#]]&gt;=18,"Relegated",Table2[[#This Row],['#]]))</f>
        <v>Relegated</v>
      </c>
      <c r="N39">
        <f>IF(COUNTIF($O$2:O39,O39)=1,N38+1,N38)</f>
        <v>23</v>
      </c>
      <c r="O39" s="4" t="str">
        <f>Table2[[#This Row],[Team]]</f>
        <v>Ipswich Town</v>
      </c>
      <c r="P39" s="1" t="str">
        <f>IFERROR(VLOOKUP(ROWS($O$2:O39),$N$2:$O$441,2,0),"")</f>
        <v>Swansea City</v>
      </c>
      <c r="Q39" s="1">
        <f>IF(P39&lt;&gt;"",SUMPRODUCT(--(Table2[Team]=P39)),"")</f>
        <v>7</v>
      </c>
      <c r="R39" s="11">
        <f>IF(Q39&lt;&gt;"",Q39+ROWS($Q$2:Q39)/100,"")</f>
        <v>7.38</v>
      </c>
      <c r="S39">
        <f>IF(R39&lt;&gt;"",LARGE($R$2:$R$441,ROWS($R$2:R39)),"")</f>
        <v>2.4300000000000002</v>
      </c>
      <c r="T39" s="1" t="str">
        <f>IF(R39&lt;&gt;"",INDEX($P$2:$Q$441,MATCH($S39,$R$2:$R$441,0),COLUMNS($S$2:S39)),"")</f>
        <v>Huddersfield Town</v>
      </c>
      <c r="U39" s="1">
        <f>IF(S39&lt;&gt;"",INDEX($P$2:$Q$441,MATCH($S39,$R$2:$R$441,0),COLUMNS($S$2:T39)),"")</f>
        <v>2</v>
      </c>
      <c r="X39" t="b">
        <f t="shared" si="0"/>
        <v>1</v>
      </c>
      <c r="Y39">
        <f>IF(X39=TRUE,ROWS($X$2:X39))</f>
        <v>38</v>
      </c>
      <c r="Z39">
        <f>IFERROR(SMALL($Y$2:$Y$45,ROWS($Y$2:Y39)),"")</f>
        <v>38</v>
      </c>
      <c r="AA39" t="str">
        <f>IFERROR(INDEX($T$2:$U$441,MATCH($Z39,$Y$2:$Y$45,0),COLUMNS($Z$2:Z39)),"")</f>
        <v>Huddersfield Town</v>
      </c>
      <c r="AB39">
        <f>IFERROR(INDEX($T$2:$U$441,MATCH($Z39,$Y$2:$Y$45,0),COLUMNS($Z$2:AA39)),"")</f>
        <v>2</v>
      </c>
      <c r="AE39" s="1">
        <f>Table2[[#This Row],[Year]]</f>
        <v>2001</v>
      </c>
      <c r="AF39" s="1">
        <f>Table2[[#This Row],['#]]</f>
        <v>18</v>
      </c>
      <c r="AG39" s="1" t="str">
        <f>Table2[[#This Row],[Team]]</f>
        <v>Ipswich Town</v>
      </c>
      <c r="AH39" s="1">
        <f>Table2[[#This Row],[Pl]]</f>
        <v>38</v>
      </c>
      <c r="AI39" s="1">
        <f>Table2[[#This Row],[W]]</f>
        <v>9</v>
      </c>
      <c r="AJ39" s="1">
        <f>Table2[[#This Row],[D]]</f>
        <v>9</v>
      </c>
      <c r="AK39" s="1">
        <f>Table2[[#This Row],[L]]</f>
        <v>20</v>
      </c>
      <c r="AL39" s="1">
        <f>Table2[[#This Row],[F]]</f>
        <v>41</v>
      </c>
      <c r="AM39" s="1">
        <f>Table2[[#This Row],[A]]</f>
        <v>64</v>
      </c>
      <c r="AN39" s="1">
        <f>Table2[[#This Row],[GD]]</f>
        <v>-23</v>
      </c>
      <c r="AO39" s="1">
        <f>Table2[[#This Row],[Pts]]</f>
        <v>36</v>
      </c>
      <c r="AP39" s="1" t="str">
        <f>Table2[[#This Row],[Column1]]</f>
        <v>Relegated</v>
      </c>
      <c r="AR39" t="b">
        <f t="shared" si="1"/>
        <v>1</v>
      </c>
      <c r="AS39">
        <f>IF(AR39,ROWS($AR$2:AR39),"")</f>
        <v>38</v>
      </c>
      <c r="AT39">
        <f>IFERROR(SMALL($AS$2:$AS$440,ROWS($AS$2:AS39)),"")</f>
        <v>38</v>
      </c>
      <c r="AU39">
        <f>IF(AT39&lt;&gt;"",INDEX($AE$2:$AP$440,MATCH($AT39,$AS$2:$AS$440,0),COLUMNS($AT$2:AT39)),"")</f>
        <v>2001</v>
      </c>
      <c r="AV39">
        <f>IF(AU39&lt;&gt;"",INDEX($AE$2:$AP$440,MATCH($AT39,$AS$2:$AS$440,0),COLUMNS($AT$2:AU39)),"")</f>
        <v>18</v>
      </c>
      <c r="AW39" t="str">
        <f>IF(AV39&lt;&gt;"",INDEX($AE$2:$AP$440,MATCH($AT39,$AS$2:$AS$440,0),COLUMNS($AT$2:AV39)),"")</f>
        <v>Ipswich Town</v>
      </c>
      <c r="AX39">
        <f>IF(AW39&lt;&gt;"",INDEX($AE$2:$AP$440,MATCH($AT39,$AS$2:$AS$440,0),COLUMNS($AT$2:AW39)),"")</f>
        <v>38</v>
      </c>
      <c r="AY39">
        <f>IF(AX39&lt;&gt;"",INDEX($AE$2:$AP$440,MATCH($AT39,$AS$2:$AS$440,0),COLUMNS($AT$2:AX39)),"")</f>
        <v>9</v>
      </c>
      <c r="AZ39">
        <f>IF(AY39&lt;&gt;"",INDEX($AE$2:$AP$440,MATCH($AT39,$AS$2:$AS$440,0),COLUMNS($AT$2:AY39)),"")</f>
        <v>9</v>
      </c>
      <c r="BA39">
        <f>IF(AZ39&lt;&gt;"",INDEX($AE$2:$AP$440,MATCH($AT39,$AS$2:$AS$440,0),COLUMNS($AT$2:AZ39)),"")</f>
        <v>20</v>
      </c>
      <c r="BB39">
        <f>IF(BA39&lt;&gt;"",INDEX($AE$2:$AP$440,MATCH($AT39,$AS$2:$AS$440,0),COLUMNS($AT$2:BA39)),"")</f>
        <v>41</v>
      </c>
      <c r="BC39">
        <f>IF(BB39&lt;&gt;"",INDEX($AE$2:$AP$440,MATCH($AT39,$AS$2:$AS$440,0),COLUMNS($AT$2:BB39)),"")</f>
        <v>64</v>
      </c>
      <c r="BD39">
        <f>IF(BC39&lt;&gt;"",INDEX($AE$2:$AP$440,MATCH($AT39,$AS$2:$AS$440,0),COLUMNS($AT$2:BC39)),"")</f>
        <v>-23</v>
      </c>
      <c r="BE39">
        <f>IF(BD39&lt;&gt;"",INDEX($AE$2:$AP$440,MATCH($AT39,$AS$2:$AS$440,0),COLUMNS($AT$2:BD39)),"")</f>
        <v>36</v>
      </c>
      <c r="BF39" t="str">
        <f>IF(BE39&lt;&gt;"",INDEX($AE$2:$AP$440,MATCH($AT39,$AS$2:$AS$440,0),COLUMNS($AT$2:BE39)),"")</f>
        <v>Relegated</v>
      </c>
      <c r="BM39" s="25" t="s">
        <v>76</v>
      </c>
      <c r="BN39" s="25">
        <v>0.29497786339788834</v>
      </c>
      <c r="BU39" s="1">
        <v>2012</v>
      </c>
      <c r="BV39" s="1">
        <v>19</v>
      </c>
      <c r="BW39" s="1" t="s">
        <v>41</v>
      </c>
      <c r="BX39" s="1">
        <v>38</v>
      </c>
      <c r="BY39" s="1">
        <v>6</v>
      </c>
      <c r="BZ39" s="1">
        <v>10</v>
      </c>
      <c r="CA39" s="1">
        <v>22</v>
      </c>
      <c r="CB39" s="1">
        <v>43</v>
      </c>
      <c r="CC39" s="1">
        <v>73</v>
      </c>
      <c r="CD39" s="1">
        <v>-30</v>
      </c>
      <c r="CE39" s="1">
        <v>28</v>
      </c>
      <c r="CF39" s="17">
        <f t="shared" si="3"/>
        <v>0.15789473684210525</v>
      </c>
    </row>
    <row r="40" spans="1:84" x14ac:dyDescent="0.25">
      <c r="A40" s="3">
        <v>2001</v>
      </c>
      <c r="B40" s="3">
        <v>19</v>
      </c>
      <c r="C40" s="4" t="s">
        <v>27</v>
      </c>
      <c r="D40" s="3">
        <v>38</v>
      </c>
      <c r="E40" s="3">
        <v>8</v>
      </c>
      <c r="F40" s="3">
        <v>6</v>
      </c>
      <c r="G40" s="3">
        <v>24</v>
      </c>
      <c r="H40" s="3">
        <v>33</v>
      </c>
      <c r="I40" s="3">
        <v>63</v>
      </c>
      <c r="J40" s="3">
        <v>-30</v>
      </c>
      <c r="K40" s="3">
        <v>30</v>
      </c>
      <c r="L40" s="5" t="str">
        <f>IF(Table2[[#This Row],['#]]=1,"Champion", IF(Table2[[#This Row],['#]]&gt;=18,"Relegated",Table2[[#This Row],['#]]))</f>
        <v>Relegated</v>
      </c>
      <c r="N40">
        <f>IF(COUNTIF($O$2:O40,O40)=1,N39+1,N39)</f>
        <v>23</v>
      </c>
      <c r="O40" s="4" t="str">
        <f>Table2[[#This Row],[Team]]</f>
        <v>Derby County</v>
      </c>
      <c r="P40" s="1" t="str">
        <f>IFERROR(VLOOKUP(ROWS($O$2:O40),$N$2:$O$441,2,0),"")</f>
        <v>Queens Park Rangers</v>
      </c>
      <c r="Q40" s="1">
        <f>IF(P40&lt;&gt;"",SUMPRODUCT(--(Table2[Team]=P40)),"")</f>
        <v>3</v>
      </c>
      <c r="R40" s="11">
        <f>IF(Q40&lt;&gt;"",Q40+ROWS($Q$2:Q40)/100,"")</f>
        <v>3.39</v>
      </c>
      <c r="S40">
        <f>IF(R40&lt;&gt;"",LARGE($R$2:$R$441,ROWS($R$2:R40)),"")</f>
        <v>2.4</v>
      </c>
      <c r="T40" s="1" t="str">
        <f>IF(R40&lt;&gt;"",INDEX($P$2:$Q$441,MATCH($S40,$R$2:$R$441,0),COLUMNS($S$2:S40)),"")</f>
        <v>Cardiff City</v>
      </c>
      <c r="U40" s="1">
        <f>IF(S40&lt;&gt;"",INDEX($P$2:$Q$441,MATCH($S40,$R$2:$R$441,0),COLUMNS($S$2:T40)),"")</f>
        <v>2</v>
      </c>
      <c r="X40" t="b">
        <f t="shared" si="0"/>
        <v>1</v>
      </c>
      <c r="Y40">
        <f>IF(X40=TRUE,ROWS($X$2:X40))</f>
        <v>39</v>
      </c>
      <c r="Z40">
        <f>IFERROR(SMALL($Y$2:$Y$45,ROWS($Y$2:Y40)),"")</f>
        <v>39</v>
      </c>
      <c r="AA40" t="str">
        <f>IFERROR(INDEX($T$2:$U$441,MATCH($Z40,$Y$2:$Y$45,0),COLUMNS($Z$2:Z40)),"")</f>
        <v>Cardiff City</v>
      </c>
      <c r="AB40">
        <f>IFERROR(INDEX($T$2:$U$441,MATCH($Z40,$Y$2:$Y$45,0),COLUMNS($Z$2:AA40)),"")</f>
        <v>2</v>
      </c>
      <c r="AE40" s="1">
        <f>Table2[[#This Row],[Year]]</f>
        <v>2001</v>
      </c>
      <c r="AF40" s="1">
        <f>Table2[[#This Row],['#]]</f>
        <v>19</v>
      </c>
      <c r="AG40" s="1" t="str">
        <f>Table2[[#This Row],[Team]]</f>
        <v>Derby County</v>
      </c>
      <c r="AH40" s="1">
        <f>Table2[[#This Row],[Pl]]</f>
        <v>38</v>
      </c>
      <c r="AI40" s="1">
        <f>Table2[[#This Row],[W]]</f>
        <v>8</v>
      </c>
      <c r="AJ40" s="1">
        <f>Table2[[#This Row],[D]]</f>
        <v>6</v>
      </c>
      <c r="AK40" s="1">
        <f>Table2[[#This Row],[L]]</f>
        <v>24</v>
      </c>
      <c r="AL40" s="1">
        <f>Table2[[#This Row],[F]]</f>
        <v>33</v>
      </c>
      <c r="AM40" s="1">
        <f>Table2[[#This Row],[A]]</f>
        <v>63</v>
      </c>
      <c r="AN40" s="1">
        <f>Table2[[#This Row],[GD]]</f>
        <v>-30</v>
      </c>
      <c r="AO40" s="1">
        <f>Table2[[#This Row],[Pts]]</f>
        <v>30</v>
      </c>
      <c r="AP40" s="1" t="str">
        <f>Table2[[#This Row],[Column1]]</f>
        <v>Relegated</v>
      </c>
      <c r="AR40" t="b">
        <f t="shared" si="1"/>
        <v>1</v>
      </c>
      <c r="AS40">
        <f>IF(AR40,ROWS($AR$2:AR40),"")</f>
        <v>39</v>
      </c>
      <c r="AT40">
        <f>IFERROR(SMALL($AS$2:$AS$440,ROWS($AS$2:AS40)),"")</f>
        <v>39</v>
      </c>
      <c r="AU40">
        <f>IF(AT40&lt;&gt;"",INDEX($AE$2:$AP$440,MATCH($AT40,$AS$2:$AS$440,0),COLUMNS($AT$2:AT40)),"")</f>
        <v>2001</v>
      </c>
      <c r="AV40">
        <f>IF(AU40&lt;&gt;"",INDEX($AE$2:$AP$440,MATCH($AT40,$AS$2:$AS$440,0),COLUMNS($AT$2:AU40)),"")</f>
        <v>19</v>
      </c>
      <c r="AW40" t="str">
        <f>IF(AV40&lt;&gt;"",INDEX($AE$2:$AP$440,MATCH($AT40,$AS$2:$AS$440,0),COLUMNS($AT$2:AV40)),"")</f>
        <v>Derby County</v>
      </c>
      <c r="AX40">
        <f>IF(AW40&lt;&gt;"",INDEX($AE$2:$AP$440,MATCH($AT40,$AS$2:$AS$440,0),COLUMNS($AT$2:AW40)),"")</f>
        <v>38</v>
      </c>
      <c r="AY40">
        <f>IF(AX40&lt;&gt;"",INDEX($AE$2:$AP$440,MATCH($AT40,$AS$2:$AS$440,0),COLUMNS($AT$2:AX40)),"")</f>
        <v>8</v>
      </c>
      <c r="AZ40">
        <f>IF(AY40&lt;&gt;"",INDEX($AE$2:$AP$440,MATCH($AT40,$AS$2:$AS$440,0),COLUMNS($AT$2:AY40)),"")</f>
        <v>6</v>
      </c>
      <c r="BA40">
        <f>IF(AZ40&lt;&gt;"",INDEX($AE$2:$AP$440,MATCH($AT40,$AS$2:$AS$440,0),COLUMNS($AT$2:AZ40)),"")</f>
        <v>24</v>
      </c>
      <c r="BB40">
        <f>IF(BA40&lt;&gt;"",INDEX($AE$2:$AP$440,MATCH($AT40,$AS$2:$AS$440,0),COLUMNS($AT$2:BA40)),"")</f>
        <v>33</v>
      </c>
      <c r="BC40">
        <f>IF(BB40&lt;&gt;"",INDEX($AE$2:$AP$440,MATCH($AT40,$AS$2:$AS$440,0),COLUMNS($AT$2:BB40)),"")</f>
        <v>63</v>
      </c>
      <c r="BD40">
        <f>IF(BC40&lt;&gt;"",INDEX($AE$2:$AP$440,MATCH($AT40,$AS$2:$AS$440,0),COLUMNS($AT$2:BC40)),"")</f>
        <v>-30</v>
      </c>
      <c r="BE40">
        <f>IF(BD40&lt;&gt;"",INDEX($AE$2:$AP$440,MATCH($AT40,$AS$2:$AS$440,0),COLUMNS($AT$2:BD40)),"")</f>
        <v>30</v>
      </c>
      <c r="BF40" t="str">
        <f>IF(BE40&lt;&gt;"",INDEX($AE$2:$AP$440,MATCH($AT40,$AS$2:$AS$440,0),COLUMNS($AT$2:BE40)),"")</f>
        <v>Relegated</v>
      </c>
      <c r="BM40" s="25" t="s">
        <v>77</v>
      </c>
      <c r="BN40" s="25">
        <v>20</v>
      </c>
      <c r="BU40" s="1">
        <v>2012</v>
      </c>
      <c r="BV40" s="1">
        <v>20</v>
      </c>
      <c r="BW40" s="1" t="s">
        <v>49</v>
      </c>
      <c r="BX40" s="1">
        <v>38</v>
      </c>
      <c r="BY40" s="1">
        <v>4</v>
      </c>
      <c r="BZ40" s="1">
        <v>13</v>
      </c>
      <c r="CA40" s="1">
        <v>21</v>
      </c>
      <c r="CB40" s="1">
        <v>30</v>
      </c>
      <c r="CC40" s="1">
        <v>60</v>
      </c>
      <c r="CD40" s="1">
        <v>-30</v>
      </c>
      <c r="CE40" s="1">
        <v>25</v>
      </c>
      <c r="CF40" s="17">
        <f t="shared" si="3"/>
        <v>0.10526315789473684</v>
      </c>
    </row>
    <row r="41" spans="1:84" x14ac:dyDescent="0.25">
      <c r="A41" s="5">
        <v>2001</v>
      </c>
      <c r="B41" s="5">
        <v>20</v>
      </c>
      <c r="C41" s="6" t="s">
        <v>23</v>
      </c>
      <c r="D41" s="5">
        <v>38</v>
      </c>
      <c r="E41" s="5">
        <v>5</v>
      </c>
      <c r="F41" s="5">
        <v>13</v>
      </c>
      <c r="G41" s="5">
        <v>20</v>
      </c>
      <c r="H41" s="5">
        <v>30</v>
      </c>
      <c r="I41" s="5">
        <v>64</v>
      </c>
      <c r="J41" s="5">
        <v>-34</v>
      </c>
      <c r="K41" s="5">
        <v>28</v>
      </c>
      <c r="L41" s="5" t="str">
        <f>IF(Table2[[#This Row],['#]]=1,"Champion", IF(Table2[[#This Row],['#]]&gt;=18,"Relegated",Table2[[#This Row],['#]]))</f>
        <v>Relegated</v>
      </c>
      <c r="N41">
        <f>IF(COUNTIF($O$2:O41,O41)=1,N40+1,N40)</f>
        <v>23</v>
      </c>
      <c r="O41" s="4" t="str">
        <f>Table2[[#This Row],[Team]]</f>
        <v>Leicester City</v>
      </c>
      <c r="P41" s="1" t="str">
        <f>IFERROR(VLOOKUP(ROWS($O$2:O41),$N$2:$O$441,2,0),"")</f>
        <v>Cardiff City</v>
      </c>
      <c r="Q41" s="1">
        <f>IF(P41&lt;&gt;"",SUMPRODUCT(--(Table2[Team]=P41)),"")</f>
        <v>2</v>
      </c>
      <c r="R41" s="11">
        <f>IF(Q41&lt;&gt;"",Q41+ROWS($Q$2:Q41)/100,"")</f>
        <v>2.4</v>
      </c>
      <c r="S41">
        <f>IF(R41&lt;&gt;"",LARGE($R$2:$R$441,ROWS($R$2:R41)),"")</f>
        <v>2.0499999999999998</v>
      </c>
      <c r="T41" s="1" t="str">
        <f>IF(R41&lt;&gt;"",INDEX($P$2:$Q$441,MATCH($S41,$R$2:$R$441,0),COLUMNS($S$2:S41)),"")</f>
        <v>Ipswich Town</v>
      </c>
      <c r="U41" s="1">
        <f>IF(S41&lt;&gt;"",INDEX($P$2:$Q$441,MATCH($S41,$R$2:$R$441,0),COLUMNS($S$2:T41)),"")</f>
        <v>2</v>
      </c>
      <c r="X41" t="b">
        <f t="shared" si="0"/>
        <v>1</v>
      </c>
      <c r="Y41">
        <f>IF(X41=TRUE,ROWS($X$2:X41))</f>
        <v>40</v>
      </c>
      <c r="Z41">
        <f>IFERROR(SMALL($Y$2:$Y$45,ROWS($Y$2:Y41)),"")</f>
        <v>40</v>
      </c>
      <c r="AA41" t="str">
        <f>IFERROR(INDEX($T$2:$U$441,MATCH($Z41,$Y$2:$Y$45,0),COLUMNS($Z$2:Z41)),"")</f>
        <v>Ipswich Town</v>
      </c>
      <c r="AB41">
        <f>IFERROR(INDEX($T$2:$U$441,MATCH($Z41,$Y$2:$Y$45,0),COLUMNS($Z$2:AA41)),"")</f>
        <v>2</v>
      </c>
      <c r="AE41" s="1">
        <f>Table2[[#This Row],[Year]]</f>
        <v>2001</v>
      </c>
      <c r="AF41" s="1">
        <f>Table2[[#This Row],['#]]</f>
        <v>20</v>
      </c>
      <c r="AG41" s="1" t="str">
        <f>Table2[[#This Row],[Team]]</f>
        <v>Leicester City</v>
      </c>
      <c r="AH41" s="1">
        <f>Table2[[#This Row],[Pl]]</f>
        <v>38</v>
      </c>
      <c r="AI41" s="1">
        <f>Table2[[#This Row],[W]]</f>
        <v>5</v>
      </c>
      <c r="AJ41" s="1">
        <f>Table2[[#This Row],[D]]</f>
        <v>13</v>
      </c>
      <c r="AK41" s="1">
        <f>Table2[[#This Row],[L]]</f>
        <v>20</v>
      </c>
      <c r="AL41" s="1">
        <f>Table2[[#This Row],[F]]</f>
        <v>30</v>
      </c>
      <c r="AM41" s="1">
        <f>Table2[[#This Row],[A]]</f>
        <v>64</v>
      </c>
      <c r="AN41" s="1">
        <f>Table2[[#This Row],[GD]]</f>
        <v>-34</v>
      </c>
      <c r="AO41" s="1">
        <f>Table2[[#This Row],[Pts]]</f>
        <v>28</v>
      </c>
      <c r="AP41" s="1" t="str">
        <f>Table2[[#This Row],[Column1]]</f>
        <v>Relegated</v>
      </c>
      <c r="AR41" t="b">
        <f t="shared" si="1"/>
        <v>1</v>
      </c>
      <c r="AS41">
        <f>IF(AR41,ROWS($AR$2:AR41),"")</f>
        <v>40</v>
      </c>
      <c r="AT41">
        <f>IFERROR(SMALL($AS$2:$AS$440,ROWS($AS$2:AS41)),"")</f>
        <v>40</v>
      </c>
      <c r="AU41">
        <f>IF(AT41&lt;&gt;"",INDEX($AE$2:$AP$440,MATCH($AT41,$AS$2:$AS$440,0),COLUMNS($AT$2:AT41)),"")</f>
        <v>2001</v>
      </c>
      <c r="AV41">
        <f>IF(AU41&lt;&gt;"",INDEX($AE$2:$AP$440,MATCH($AT41,$AS$2:$AS$440,0),COLUMNS($AT$2:AU41)),"")</f>
        <v>20</v>
      </c>
      <c r="AW41" t="str">
        <f>IF(AV41&lt;&gt;"",INDEX($AE$2:$AP$440,MATCH($AT41,$AS$2:$AS$440,0),COLUMNS($AT$2:AV41)),"")</f>
        <v>Leicester City</v>
      </c>
      <c r="AX41">
        <f>IF(AW41&lt;&gt;"",INDEX($AE$2:$AP$440,MATCH($AT41,$AS$2:$AS$440,0),COLUMNS($AT$2:AW41)),"")</f>
        <v>38</v>
      </c>
      <c r="AY41">
        <f>IF(AX41&lt;&gt;"",INDEX($AE$2:$AP$440,MATCH($AT41,$AS$2:$AS$440,0),COLUMNS($AT$2:AX41)),"")</f>
        <v>5</v>
      </c>
      <c r="AZ41">
        <f>IF(AY41&lt;&gt;"",INDEX($AE$2:$AP$440,MATCH($AT41,$AS$2:$AS$440,0),COLUMNS($AT$2:AY41)),"")</f>
        <v>13</v>
      </c>
      <c r="BA41">
        <f>IF(AZ41&lt;&gt;"",INDEX($AE$2:$AP$440,MATCH($AT41,$AS$2:$AS$440,0),COLUMNS($AT$2:AZ41)),"")</f>
        <v>20</v>
      </c>
      <c r="BB41">
        <f>IF(BA41&lt;&gt;"",INDEX($AE$2:$AP$440,MATCH($AT41,$AS$2:$AS$440,0),COLUMNS($AT$2:BA41)),"")</f>
        <v>30</v>
      </c>
      <c r="BC41">
        <f>IF(BB41&lt;&gt;"",INDEX($AE$2:$AP$440,MATCH($AT41,$AS$2:$AS$440,0),COLUMNS($AT$2:BB41)),"")</f>
        <v>64</v>
      </c>
      <c r="BD41">
        <f>IF(BC41&lt;&gt;"",INDEX($AE$2:$AP$440,MATCH($AT41,$AS$2:$AS$440,0),COLUMNS($AT$2:BC41)),"")</f>
        <v>-34</v>
      </c>
      <c r="BE41">
        <f>IF(BD41&lt;&gt;"",INDEX($AE$2:$AP$440,MATCH($AT41,$AS$2:$AS$440,0),COLUMNS($AT$2:BD41)),"")</f>
        <v>28</v>
      </c>
      <c r="BF41" t="str">
        <f>IF(BE41&lt;&gt;"",INDEX($AE$2:$AP$440,MATCH($AT41,$AS$2:$AS$440,0),COLUMNS($AT$2:BE41)),"")</f>
        <v>Relegated</v>
      </c>
      <c r="BM41" s="25" t="s">
        <v>78</v>
      </c>
      <c r="BN41" s="25">
        <v>80</v>
      </c>
      <c r="BU41" s="1">
        <v>2013</v>
      </c>
      <c r="BV41" s="1">
        <v>18</v>
      </c>
      <c r="BW41" s="1" t="s">
        <v>39</v>
      </c>
      <c r="BX41" s="1">
        <v>38</v>
      </c>
      <c r="BY41" s="1">
        <v>8</v>
      </c>
      <c r="BZ41" s="1">
        <v>9</v>
      </c>
      <c r="CA41" s="1">
        <v>21</v>
      </c>
      <c r="CB41" s="1">
        <v>28</v>
      </c>
      <c r="CC41" s="1">
        <v>62</v>
      </c>
      <c r="CD41" s="1">
        <v>-34</v>
      </c>
      <c r="CE41" s="1">
        <v>33</v>
      </c>
      <c r="CF41" s="17">
        <f t="shared" si="3"/>
        <v>0.21052631578947367</v>
      </c>
    </row>
    <row r="42" spans="1:84" x14ac:dyDescent="0.25">
      <c r="A42" s="3">
        <v>2002</v>
      </c>
      <c r="B42" s="3">
        <v>1</v>
      </c>
      <c r="C42" s="4" t="s">
        <v>11</v>
      </c>
      <c r="D42" s="3">
        <v>38</v>
      </c>
      <c r="E42" s="3">
        <v>25</v>
      </c>
      <c r="F42" s="3">
        <v>8</v>
      </c>
      <c r="G42" s="3">
        <v>5</v>
      </c>
      <c r="H42" s="3">
        <v>74</v>
      </c>
      <c r="I42" s="3">
        <v>34</v>
      </c>
      <c r="J42" s="3">
        <v>40</v>
      </c>
      <c r="K42" s="3">
        <v>83</v>
      </c>
      <c r="L42" s="5" t="str">
        <f>IF(Table2[[#This Row],['#]]=1,"Champion", IF(Table2[[#This Row],['#]]&gt;=18,"Relegated",Table2[[#This Row],['#]]))</f>
        <v>Champion</v>
      </c>
      <c r="N42">
        <f>IF(COUNTIF($O$2:O42,O42)=1,N41+1,N41)</f>
        <v>23</v>
      </c>
      <c r="O42" s="4" t="str">
        <f>Table2[[#This Row],[Team]]</f>
        <v>Manchester United</v>
      </c>
      <c r="P42" s="1" t="str">
        <f>IFERROR(VLOOKUP(ROWS($O$2:O42),$N$2:$O$441,2,0),"")</f>
        <v>Bournemouth</v>
      </c>
      <c r="Q42" s="1">
        <f>IF(P42&lt;&gt;"",SUMPRODUCT(--(Table2[Team]=P42)),"")</f>
        <v>5</v>
      </c>
      <c r="R42" s="11">
        <f>IF(Q42&lt;&gt;"",Q42+ROWS($Q$2:Q42)/100,"")</f>
        <v>5.41</v>
      </c>
      <c r="S42">
        <f>IF(R42&lt;&gt;"",LARGE($R$2:$R$441,ROWS($R$2:R42)),"")</f>
        <v>1.44</v>
      </c>
      <c r="T42" s="1" t="str">
        <f>IF(R42&lt;&gt;"",INDEX($P$2:$Q$441,MATCH($S42,$R$2:$R$441,0),COLUMNS($S$2:S42)),"")</f>
        <v>Brentford</v>
      </c>
      <c r="U42" s="1">
        <f>IF(S42&lt;&gt;"",INDEX($P$2:$Q$441,MATCH($S42,$R$2:$R$441,0),COLUMNS($S$2:T42)),"")</f>
        <v>1</v>
      </c>
      <c r="X42" t="b">
        <f t="shared" si="0"/>
        <v>1</v>
      </c>
      <c r="Y42">
        <f>IF(X42=TRUE,ROWS($X$2:X42))</f>
        <v>41</v>
      </c>
      <c r="Z42">
        <f>IFERROR(SMALL($Y$2:$Y$45,ROWS($Y$2:Y42)),"")</f>
        <v>41</v>
      </c>
      <c r="AA42" t="str">
        <f>IFERROR(INDEX($T$2:$U$441,MATCH($Z42,$Y$2:$Y$45,0),COLUMNS($Z$2:Z42)),"")</f>
        <v>Brentford</v>
      </c>
      <c r="AB42">
        <f>IFERROR(INDEX($T$2:$U$441,MATCH($Z42,$Y$2:$Y$45,0),COLUMNS($Z$2:AA42)),"")</f>
        <v>1</v>
      </c>
      <c r="AE42" s="1">
        <f>Table2[[#This Row],[Year]]</f>
        <v>2002</v>
      </c>
      <c r="AF42" s="1">
        <f>Table2[[#This Row],['#]]</f>
        <v>1</v>
      </c>
      <c r="AG42" s="1" t="str">
        <f>Table2[[#This Row],[Team]]</f>
        <v>Manchester United</v>
      </c>
      <c r="AH42" s="1">
        <f>Table2[[#This Row],[Pl]]</f>
        <v>38</v>
      </c>
      <c r="AI42" s="1">
        <f>Table2[[#This Row],[W]]</f>
        <v>25</v>
      </c>
      <c r="AJ42" s="1">
        <f>Table2[[#This Row],[D]]</f>
        <v>8</v>
      </c>
      <c r="AK42" s="1">
        <f>Table2[[#This Row],[L]]</f>
        <v>5</v>
      </c>
      <c r="AL42" s="1">
        <f>Table2[[#This Row],[F]]</f>
        <v>74</v>
      </c>
      <c r="AM42" s="1">
        <f>Table2[[#This Row],[A]]</f>
        <v>34</v>
      </c>
      <c r="AN42" s="1">
        <f>Table2[[#This Row],[GD]]</f>
        <v>40</v>
      </c>
      <c r="AO42" s="1">
        <f>Table2[[#This Row],[Pts]]</f>
        <v>83</v>
      </c>
      <c r="AP42" s="1" t="str">
        <f>Table2[[#This Row],[Column1]]</f>
        <v>Champion</v>
      </c>
      <c r="AR42" t="b">
        <f t="shared" si="1"/>
        <v>1</v>
      </c>
      <c r="AS42">
        <f>IF(AR42,ROWS($AR$2:AR42),"")</f>
        <v>41</v>
      </c>
      <c r="AT42">
        <f>IFERROR(SMALL($AS$2:$AS$440,ROWS($AS$2:AS42)),"")</f>
        <v>41</v>
      </c>
      <c r="AU42">
        <f>IF(AT42&lt;&gt;"",INDEX($AE$2:$AP$440,MATCH($AT42,$AS$2:$AS$440,0),COLUMNS($AT$2:AT42)),"")</f>
        <v>2002</v>
      </c>
      <c r="AV42">
        <f>IF(AU42&lt;&gt;"",INDEX($AE$2:$AP$440,MATCH($AT42,$AS$2:$AS$440,0),COLUMNS($AT$2:AU42)),"")</f>
        <v>1</v>
      </c>
      <c r="AW42" t="str">
        <f>IF(AV42&lt;&gt;"",INDEX($AE$2:$AP$440,MATCH($AT42,$AS$2:$AS$440,0),COLUMNS($AT$2:AV42)),"")</f>
        <v>Manchester United</v>
      </c>
      <c r="AX42">
        <f>IF(AW42&lt;&gt;"",INDEX($AE$2:$AP$440,MATCH($AT42,$AS$2:$AS$440,0),COLUMNS($AT$2:AW42)),"")</f>
        <v>38</v>
      </c>
      <c r="AY42">
        <f>IF(AX42&lt;&gt;"",INDEX($AE$2:$AP$440,MATCH($AT42,$AS$2:$AS$440,0),COLUMNS($AT$2:AX42)),"")</f>
        <v>25</v>
      </c>
      <c r="AZ42">
        <f>IF(AY42&lt;&gt;"",INDEX($AE$2:$AP$440,MATCH($AT42,$AS$2:$AS$440,0),COLUMNS($AT$2:AY42)),"")</f>
        <v>8</v>
      </c>
      <c r="BA42">
        <f>IF(AZ42&lt;&gt;"",INDEX($AE$2:$AP$440,MATCH($AT42,$AS$2:$AS$440,0),COLUMNS($AT$2:AZ42)),"")</f>
        <v>5</v>
      </c>
      <c r="BB42">
        <f>IF(BA42&lt;&gt;"",INDEX($AE$2:$AP$440,MATCH($AT42,$AS$2:$AS$440,0),COLUMNS($AT$2:BA42)),"")</f>
        <v>74</v>
      </c>
      <c r="BC42">
        <f>IF(BB42&lt;&gt;"",INDEX($AE$2:$AP$440,MATCH($AT42,$AS$2:$AS$440,0),COLUMNS($AT$2:BB42)),"")</f>
        <v>34</v>
      </c>
      <c r="BD42">
        <f>IF(BC42&lt;&gt;"",INDEX($AE$2:$AP$440,MATCH($AT42,$AS$2:$AS$440,0),COLUMNS($AT$2:BC42)),"")</f>
        <v>40</v>
      </c>
      <c r="BE42">
        <f>IF(BD42&lt;&gt;"",INDEX($AE$2:$AP$440,MATCH($AT42,$AS$2:$AS$440,0),COLUMNS($AT$2:BD42)),"")</f>
        <v>83</v>
      </c>
      <c r="BF42" t="str">
        <f>IF(BE42&lt;&gt;"",INDEX($AE$2:$AP$440,MATCH($AT42,$AS$2:$AS$440,0),COLUMNS($AT$2:BE42)),"")</f>
        <v>Champion</v>
      </c>
      <c r="BM42" s="25" t="s">
        <v>79</v>
      </c>
      <c r="BN42" s="25">
        <v>100</v>
      </c>
      <c r="BU42" s="1">
        <v>2013</v>
      </c>
      <c r="BV42" s="1">
        <v>19</v>
      </c>
      <c r="BW42" s="1" t="s">
        <v>32</v>
      </c>
      <c r="BX42" s="1">
        <v>38</v>
      </c>
      <c r="BY42" s="1">
        <v>9</v>
      </c>
      <c r="BZ42" s="1">
        <v>5</v>
      </c>
      <c r="CA42" s="1">
        <v>24</v>
      </c>
      <c r="CB42" s="1">
        <v>40</v>
      </c>
      <c r="CC42" s="1">
        <v>85</v>
      </c>
      <c r="CD42" s="1">
        <v>-45</v>
      </c>
      <c r="CE42" s="1">
        <v>32</v>
      </c>
      <c r="CF42" s="17">
        <f t="shared" si="3"/>
        <v>0.23684210526315788</v>
      </c>
    </row>
    <row r="43" spans="1:84" x14ac:dyDescent="0.25">
      <c r="A43" s="5">
        <v>2002</v>
      </c>
      <c r="B43" s="5">
        <v>2</v>
      </c>
      <c r="C43" s="6" t="s">
        <v>12</v>
      </c>
      <c r="D43" s="5">
        <v>38</v>
      </c>
      <c r="E43" s="5">
        <v>23</v>
      </c>
      <c r="F43" s="5">
        <v>9</v>
      </c>
      <c r="G43" s="5">
        <v>6</v>
      </c>
      <c r="H43" s="5">
        <v>85</v>
      </c>
      <c r="I43" s="5">
        <v>42</v>
      </c>
      <c r="J43" s="5">
        <v>43</v>
      </c>
      <c r="K43" s="5">
        <v>78</v>
      </c>
      <c r="L43" s="5">
        <f>IF(Table2[[#This Row],['#]]=1,"Champion", IF(Table2[[#This Row],['#]]&gt;=18,"Relegated",Table2[[#This Row],['#]]))</f>
        <v>2</v>
      </c>
      <c r="N43">
        <f>IF(COUNTIF($O$2:O43,O43)=1,N42+1,N42)</f>
        <v>23</v>
      </c>
      <c r="O43" s="4" t="str">
        <f>Table2[[#This Row],[Team]]</f>
        <v>Arsenal</v>
      </c>
      <c r="P43" s="1" t="str">
        <f>IFERROR(VLOOKUP(ROWS($O$2:O43),$N$2:$O$441,2,0),"")</f>
        <v>Brighton And Hove Albion</v>
      </c>
      <c r="Q43" s="1">
        <f>IF(P43&lt;&gt;"",SUMPRODUCT(--(Table2[Team]=P43)),"")</f>
        <v>5</v>
      </c>
      <c r="R43" s="11">
        <f>IF(Q43&lt;&gt;"",Q43+ROWS($Q$2:Q43)/100,"")</f>
        <v>5.42</v>
      </c>
      <c r="S43">
        <f>IF(R43&lt;&gt;"",LARGE($R$2:$R$441,ROWS($R$2:R43)),"")</f>
        <v>1.37</v>
      </c>
      <c r="T43" s="1" t="str">
        <f>IF(R43&lt;&gt;"",INDEX($P$2:$Q$441,MATCH($S43,$R$2:$R$441,0),COLUMNS($S$2:S43)),"")</f>
        <v>Blackpool</v>
      </c>
      <c r="U43" s="1">
        <f>IF(S43&lt;&gt;"",INDEX($P$2:$Q$441,MATCH($S43,$R$2:$R$441,0),COLUMNS($S$2:T43)),"")</f>
        <v>1</v>
      </c>
      <c r="X43" t="b">
        <f t="shared" si="0"/>
        <v>1</v>
      </c>
      <c r="Y43">
        <f>IF(X43=TRUE,ROWS($X$2:X43))</f>
        <v>42</v>
      </c>
      <c r="Z43">
        <f>IFERROR(SMALL($Y$2:$Y$45,ROWS($Y$2:Y43)),"")</f>
        <v>42</v>
      </c>
      <c r="AA43" t="str">
        <f>IFERROR(INDEX($T$2:$U$441,MATCH($Z43,$Y$2:$Y$45,0),COLUMNS($Z$2:Z43)),"")</f>
        <v>Blackpool</v>
      </c>
      <c r="AB43">
        <f>IFERROR(INDEX($T$2:$U$441,MATCH($Z43,$Y$2:$Y$45,0),COLUMNS($Z$2:AA43)),"")</f>
        <v>1</v>
      </c>
      <c r="AE43" s="1">
        <f>Table2[[#This Row],[Year]]</f>
        <v>2002</v>
      </c>
      <c r="AF43" s="1">
        <f>Table2[[#This Row],['#]]</f>
        <v>2</v>
      </c>
      <c r="AG43" s="1" t="str">
        <f>Table2[[#This Row],[Team]]</f>
        <v>Arsenal</v>
      </c>
      <c r="AH43" s="1">
        <f>Table2[[#This Row],[Pl]]</f>
        <v>38</v>
      </c>
      <c r="AI43" s="1">
        <f>Table2[[#This Row],[W]]</f>
        <v>23</v>
      </c>
      <c r="AJ43" s="1">
        <f>Table2[[#This Row],[D]]</f>
        <v>9</v>
      </c>
      <c r="AK43" s="1">
        <f>Table2[[#This Row],[L]]</f>
        <v>6</v>
      </c>
      <c r="AL43" s="1">
        <f>Table2[[#This Row],[F]]</f>
        <v>85</v>
      </c>
      <c r="AM43" s="1">
        <f>Table2[[#This Row],[A]]</f>
        <v>42</v>
      </c>
      <c r="AN43" s="1">
        <f>Table2[[#This Row],[GD]]</f>
        <v>43</v>
      </c>
      <c r="AO43" s="1">
        <f>Table2[[#This Row],[Pts]]</f>
        <v>78</v>
      </c>
      <c r="AP43" s="1">
        <f>Table2[[#This Row],[Column1]]</f>
        <v>2</v>
      </c>
      <c r="AR43" t="b">
        <f t="shared" si="1"/>
        <v>1</v>
      </c>
      <c r="AS43">
        <f>IF(AR43,ROWS($AR$2:AR43),"")</f>
        <v>42</v>
      </c>
      <c r="AT43">
        <f>IFERROR(SMALL($AS$2:$AS$440,ROWS($AS$2:AS43)),"")</f>
        <v>42</v>
      </c>
      <c r="AU43">
        <f>IF(AT43&lt;&gt;"",INDEX($AE$2:$AP$440,MATCH($AT43,$AS$2:$AS$440,0),COLUMNS($AT$2:AT43)),"")</f>
        <v>2002</v>
      </c>
      <c r="AV43">
        <f>IF(AU43&lt;&gt;"",INDEX($AE$2:$AP$440,MATCH($AT43,$AS$2:$AS$440,0),COLUMNS($AT$2:AU43)),"")</f>
        <v>2</v>
      </c>
      <c r="AW43" t="str">
        <f>IF(AV43&lt;&gt;"",INDEX($AE$2:$AP$440,MATCH($AT43,$AS$2:$AS$440,0),COLUMNS($AT$2:AV43)),"")</f>
        <v>Arsenal</v>
      </c>
      <c r="AX43">
        <f>IF(AW43&lt;&gt;"",INDEX($AE$2:$AP$440,MATCH($AT43,$AS$2:$AS$440,0),COLUMNS($AT$2:AW43)),"")</f>
        <v>38</v>
      </c>
      <c r="AY43">
        <f>IF(AX43&lt;&gt;"",INDEX($AE$2:$AP$440,MATCH($AT43,$AS$2:$AS$440,0),COLUMNS($AT$2:AX43)),"")</f>
        <v>23</v>
      </c>
      <c r="AZ43">
        <f>IF(AY43&lt;&gt;"",INDEX($AE$2:$AP$440,MATCH($AT43,$AS$2:$AS$440,0),COLUMNS($AT$2:AY43)),"")</f>
        <v>9</v>
      </c>
      <c r="BA43">
        <f>IF(AZ43&lt;&gt;"",INDEX($AE$2:$AP$440,MATCH($AT43,$AS$2:$AS$440,0),COLUMNS($AT$2:AZ43)),"")</f>
        <v>6</v>
      </c>
      <c r="BB43">
        <f>IF(BA43&lt;&gt;"",INDEX($AE$2:$AP$440,MATCH($AT43,$AS$2:$AS$440,0),COLUMNS($AT$2:BA43)),"")</f>
        <v>85</v>
      </c>
      <c r="BC43">
        <f>IF(BB43&lt;&gt;"",INDEX($AE$2:$AP$440,MATCH($AT43,$AS$2:$AS$440,0),COLUMNS($AT$2:BB43)),"")</f>
        <v>42</v>
      </c>
      <c r="BD43">
        <f>IF(BC43&lt;&gt;"",INDEX($AE$2:$AP$440,MATCH($AT43,$AS$2:$AS$440,0),COLUMNS($AT$2:BC43)),"")</f>
        <v>43</v>
      </c>
      <c r="BE43">
        <f>IF(BD43&lt;&gt;"",INDEX($AE$2:$AP$440,MATCH($AT43,$AS$2:$AS$440,0),COLUMNS($AT$2:BD43)),"")</f>
        <v>78</v>
      </c>
      <c r="BF43">
        <f>IF(BE43&lt;&gt;"",INDEX($AE$2:$AP$440,MATCH($AT43,$AS$2:$AS$440,0),COLUMNS($AT$2:BE43)),"")</f>
        <v>2</v>
      </c>
      <c r="BM43" s="25" t="s">
        <v>80</v>
      </c>
      <c r="BN43" s="25">
        <v>1959</v>
      </c>
      <c r="BU43" s="1">
        <v>2013</v>
      </c>
      <c r="BV43" s="1">
        <v>20</v>
      </c>
      <c r="BW43" s="1" t="s">
        <v>50</v>
      </c>
      <c r="BX43" s="1">
        <v>38</v>
      </c>
      <c r="BY43" s="1">
        <v>7</v>
      </c>
      <c r="BZ43" s="1">
        <v>9</v>
      </c>
      <c r="CA43" s="1">
        <v>22</v>
      </c>
      <c r="CB43" s="1">
        <v>32</v>
      </c>
      <c r="CC43" s="1">
        <v>74</v>
      </c>
      <c r="CD43" s="1">
        <v>-42</v>
      </c>
      <c r="CE43" s="1">
        <v>30</v>
      </c>
      <c r="CF43" s="17">
        <f t="shared" si="3"/>
        <v>0.18421052631578946</v>
      </c>
    </row>
    <row r="44" spans="1:84" ht="15.75" thickBot="1" x14ac:dyDescent="0.3">
      <c r="A44" s="3">
        <v>2002</v>
      </c>
      <c r="B44" s="3">
        <v>3</v>
      </c>
      <c r="C44" s="4" t="s">
        <v>21</v>
      </c>
      <c r="D44" s="3">
        <v>38</v>
      </c>
      <c r="E44" s="3">
        <v>21</v>
      </c>
      <c r="F44" s="3">
        <v>6</v>
      </c>
      <c r="G44" s="3">
        <v>11</v>
      </c>
      <c r="H44" s="3">
        <v>63</v>
      </c>
      <c r="I44" s="3">
        <v>48</v>
      </c>
      <c r="J44" s="3">
        <v>15</v>
      </c>
      <c r="K44" s="3">
        <v>69</v>
      </c>
      <c r="L44" s="5">
        <f>IF(Table2[[#This Row],['#]]=1,"Champion", IF(Table2[[#This Row],['#]]&gt;=18,"Relegated",Table2[[#This Row],['#]]))</f>
        <v>3</v>
      </c>
      <c r="N44">
        <f>IF(COUNTIF($O$2:O44,O44)=1,N43+1,N43)</f>
        <v>23</v>
      </c>
      <c r="O44" s="4" t="str">
        <f>Table2[[#This Row],[Team]]</f>
        <v>Newcastle United</v>
      </c>
      <c r="P44" s="1" t="str">
        <f>IFERROR(VLOOKUP(ROWS($O$2:O44),$N$2:$O$441,2,0),"")</f>
        <v>Huddersfield Town</v>
      </c>
      <c r="Q44" s="1">
        <f>IF(P44&lt;&gt;"",SUMPRODUCT(--(Table2[Team]=P44)),"")</f>
        <v>2</v>
      </c>
      <c r="R44" s="11">
        <f>IF(Q44&lt;&gt;"",Q44+ROWS($Q$2:Q44)/100,"")</f>
        <v>2.4300000000000002</v>
      </c>
      <c r="S44">
        <f>IF(R44&lt;&gt;"",LARGE($R$2:$R$441,ROWS($R$2:R44)),"")</f>
        <v>1.2</v>
      </c>
      <c r="T44" s="1" t="str">
        <f>IF(R44&lt;&gt;"",INDEX($P$2:$Q$441,MATCH($S44,$R$2:$R$441,0),COLUMNS($S$2:S44)),"")</f>
        <v>Bradford City</v>
      </c>
      <c r="U44" s="1">
        <f>IF(S44&lt;&gt;"",INDEX($P$2:$Q$441,MATCH($S44,$R$2:$R$441,0),COLUMNS($S$2:T44)),"")</f>
        <v>1</v>
      </c>
      <c r="X44" t="b">
        <f t="shared" si="0"/>
        <v>1</v>
      </c>
      <c r="Y44">
        <f>IF(X44=TRUE,ROWS($X$2:X44))</f>
        <v>43</v>
      </c>
      <c r="Z44">
        <f>IFERROR(SMALL($Y$2:$Y$45,ROWS($Y$2:Y44)),"")</f>
        <v>43</v>
      </c>
      <c r="AA44" t="str">
        <f>IFERROR(INDEX($T$2:$U$441,MATCH($Z44,$Y$2:$Y$45,0),COLUMNS($Z$2:Z44)),"")</f>
        <v>Bradford City</v>
      </c>
      <c r="AB44">
        <f>IFERROR(INDEX($T$2:$U$441,MATCH($Z44,$Y$2:$Y$45,0),COLUMNS($Z$2:AA44)),"")</f>
        <v>1</v>
      </c>
      <c r="AE44" s="1">
        <f>Table2[[#This Row],[Year]]</f>
        <v>2002</v>
      </c>
      <c r="AF44" s="1">
        <f>Table2[[#This Row],['#]]</f>
        <v>3</v>
      </c>
      <c r="AG44" s="1" t="str">
        <f>Table2[[#This Row],[Team]]</f>
        <v>Newcastle United</v>
      </c>
      <c r="AH44" s="1">
        <f>Table2[[#This Row],[Pl]]</f>
        <v>38</v>
      </c>
      <c r="AI44" s="1">
        <f>Table2[[#This Row],[W]]</f>
        <v>21</v>
      </c>
      <c r="AJ44" s="1">
        <f>Table2[[#This Row],[D]]</f>
        <v>6</v>
      </c>
      <c r="AK44" s="1">
        <f>Table2[[#This Row],[L]]</f>
        <v>11</v>
      </c>
      <c r="AL44" s="1">
        <f>Table2[[#This Row],[F]]</f>
        <v>63</v>
      </c>
      <c r="AM44" s="1">
        <f>Table2[[#This Row],[A]]</f>
        <v>48</v>
      </c>
      <c r="AN44" s="1">
        <f>Table2[[#This Row],[GD]]</f>
        <v>15</v>
      </c>
      <c r="AO44" s="1">
        <f>Table2[[#This Row],[Pts]]</f>
        <v>69</v>
      </c>
      <c r="AP44" s="1">
        <f>Table2[[#This Row],[Column1]]</f>
        <v>3</v>
      </c>
      <c r="AR44" t="b">
        <f t="shared" si="1"/>
        <v>1</v>
      </c>
      <c r="AS44">
        <f>IF(AR44,ROWS($AR$2:AR44),"")</f>
        <v>43</v>
      </c>
      <c r="AT44">
        <f>IFERROR(SMALL($AS$2:$AS$440,ROWS($AS$2:AS44)),"")</f>
        <v>43</v>
      </c>
      <c r="AU44">
        <f>IF(AT44&lt;&gt;"",INDEX($AE$2:$AP$440,MATCH($AT44,$AS$2:$AS$440,0),COLUMNS($AT$2:AT44)),"")</f>
        <v>2002</v>
      </c>
      <c r="AV44">
        <f>IF(AU44&lt;&gt;"",INDEX($AE$2:$AP$440,MATCH($AT44,$AS$2:$AS$440,0),COLUMNS($AT$2:AU44)),"")</f>
        <v>3</v>
      </c>
      <c r="AW44" t="str">
        <f>IF(AV44&lt;&gt;"",INDEX($AE$2:$AP$440,MATCH($AT44,$AS$2:$AS$440,0),COLUMNS($AT$2:AV44)),"")</f>
        <v>Newcastle United</v>
      </c>
      <c r="AX44">
        <f>IF(AW44&lt;&gt;"",INDEX($AE$2:$AP$440,MATCH($AT44,$AS$2:$AS$440,0),COLUMNS($AT$2:AW44)),"")</f>
        <v>38</v>
      </c>
      <c r="AY44">
        <f>IF(AX44&lt;&gt;"",INDEX($AE$2:$AP$440,MATCH($AT44,$AS$2:$AS$440,0),COLUMNS($AT$2:AX44)),"")</f>
        <v>21</v>
      </c>
      <c r="AZ44">
        <f>IF(AY44&lt;&gt;"",INDEX($AE$2:$AP$440,MATCH($AT44,$AS$2:$AS$440,0),COLUMNS($AT$2:AY44)),"")</f>
        <v>6</v>
      </c>
      <c r="BA44">
        <f>IF(AZ44&lt;&gt;"",INDEX($AE$2:$AP$440,MATCH($AT44,$AS$2:$AS$440,0),COLUMNS($AT$2:AZ44)),"")</f>
        <v>11</v>
      </c>
      <c r="BB44">
        <f>IF(BA44&lt;&gt;"",INDEX($AE$2:$AP$440,MATCH($AT44,$AS$2:$AS$440,0),COLUMNS($AT$2:BA44)),"")</f>
        <v>63</v>
      </c>
      <c r="BC44">
        <f>IF(BB44&lt;&gt;"",INDEX($AE$2:$AP$440,MATCH($AT44,$AS$2:$AS$440,0),COLUMNS($AT$2:BB44)),"")</f>
        <v>48</v>
      </c>
      <c r="BD44">
        <f>IF(BC44&lt;&gt;"",INDEX($AE$2:$AP$440,MATCH($AT44,$AS$2:$AS$440,0),COLUMNS($AT$2:BC44)),"")</f>
        <v>15</v>
      </c>
      <c r="BE44">
        <f>IF(BD44&lt;&gt;"",INDEX($AE$2:$AP$440,MATCH($AT44,$AS$2:$AS$440,0),COLUMNS($AT$2:BD44)),"")</f>
        <v>69</v>
      </c>
      <c r="BF44">
        <f>IF(BE44&lt;&gt;"",INDEX($AE$2:$AP$440,MATCH($AT44,$AS$2:$AS$440,0),COLUMNS($AT$2:BE44)),"")</f>
        <v>3</v>
      </c>
      <c r="BM44" s="26" t="s">
        <v>81</v>
      </c>
      <c r="BN44" s="26">
        <v>22</v>
      </c>
      <c r="BU44" s="1">
        <v>2014</v>
      </c>
      <c r="BV44" s="1">
        <v>18</v>
      </c>
      <c r="BW44" s="1" t="s">
        <v>45</v>
      </c>
      <c r="BX44" s="1">
        <v>38</v>
      </c>
      <c r="BY44" s="1">
        <v>8</v>
      </c>
      <c r="BZ44" s="1">
        <v>11</v>
      </c>
      <c r="CA44" s="1">
        <v>19</v>
      </c>
      <c r="CB44" s="1">
        <v>33</v>
      </c>
      <c r="CC44" s="1">
        <v>51</v>
      </c>
      <c r="CD44" s="1">
        <v>-18</v>
      </c>
      <c r="CE44" s="1">
        <v>35</v>
      </c>
      <c r="CF44" s="17">
        <f t="shared" si="3"/>
        <v>0.21052631578947367</v>
      </c>
    </row>
    <row r="45" spans="1:84" x14ac:dyDescent="0.25">
      <c r="A45" s="5">
        <v>2002</v>
      </c>
      <c r="B45" s="5">
        <v>4</v>
      </c>
      <c r="C45" s="6" t="s">
        <v>16</v>
      </c>
      <c r="D45" s="5">
        <v>38</v>
      </c>
      <c r="E45" s="5">
        <v>19</v>
      </c>
      <c r="F45" s="5">
        <v>10</v>
      </c>
      <c r="G45" s="5">
        <v>9</v>
      </c>
      <c r="H45" s="5">
        <v>68</v>
      </c>
      <c r="I45" s="5">
        <v>38</v>
      </c>
      <c r="J45" s="5">
        <v>30</v>
      </c>
      <c r="K45" s="5">
        <v>67</v>
      </c>
      <c r="L45" s="5">
        <f>IF(Table2[[#This Row],['#]]=1,"Champion", IF(Table2[[#This Row],['#]]&gt;=18,"Relegated",Table2[[#This Row],['#]]))</f>
        <v>4</v>
      </c>
      <c r="N45">
        <f>IF(COUNTIF($O$2:O45,O45)=1,N44+1,N44)</f>
        <v>23</v>
      </c>
      <c r="O45" s="4" t="str">
        <f>Table2[[#This Row],[Team]]</f>
        <v>Chelsea</v>
      </c>
      <c r="P45" s="1" t="str">
        <f>IFERROR(VLOOKUP(ROWS($O$2:O45),$N$2:$O$441,2,0),"")</f>
        <v>Brentford</v>
      </c>
      <c r="Q45" s="1">
        <f>IF(P45&lt;&gt;"",SUMPRODUCT(--(Table2[Team]=P45)),"")</f>
        <v>1</v>
      </c>
      <c r="R45" s="11">
        <f>IF(Q45&lt;&gt;"",Q45+ROWS($Q$2:Q45)/100,"")</f>
        <v>1.44</v>
      </c>
      <c r="S45">
        <f>IF(R45&lt;&gt;"",LARGE($R$2:$R$441,ROWS($R$2:R45)),"")</f>
        <v>1.19</v>
      </c>
      <c r="T45" s="1" t="str">
        <f>IF(R45&lt;&gt;"",INDEX($P$2:$Q$441,MATCH($S45,$R$2:$R$441,0),COLUMNS($S$2:S45)),"")</f>
        <v>Coventry City</v>
      </c>
      <c r="U45" s="1">
        <f>IF(S45&lt;&gt;"",INDEX($P$2:$Q$441,MATCH($S45,$R$2:$R$441,0),COLUMNS($S$2:T45)),"")</f>
        <v>1</v>
      </c>
      <c r="X45" t="b">
        <f t="shared" si="0"/>
        <v>1</v>
      </c>
      <c r="Y45">
        <f>IF(X45=TRUE,ROWS($X$2:X45))</f>
        <v>44</v>
      </c>
      <c r="Z45">
        <f>IFERROR(SMALL($Y$2:$Y$45,ROWS($Y$2:Y45)),"")</f>
        <v>44</v>
      </c>
      <c r="AA45" t="str">
        <f>IFERROR(INDEX($T$2:$U$441,MATCH($Z45,$Y$2:$Y$45,0),COLUMNS($Z$2:Z45)),"")</f>
        <v>Coventry City</v>
      </c>
      <c r="AB45">
        <f>IFERROR(INDEX($T$2:$U$441,MATCH($Z45,$Y$2:$Y$45,0),COLUMNS($Z$2:AA45)),"")</f>
        <v>1</v>
      </c>
      <c r="AE45" s="1">
        <f>Table2[[#This Row],[Year]]</f>
        <v>2002</v>
      </c>
      <c r="AF45" s="1">
        <f>Table2[[#This Row],['#]]</f>
        <v>4</v>
      </c>
      <c r="AG45" s="1" t="str">
        <f>Table2[[#This Row],[Team]]</f>
        <v>Chelsea</v>
      </c>
      <c r="AH45" s="1">
        <f>Table2[[#This Row],[Pl]]</f>
        <v>38</v>
      </c>
      <c r="AI45" s="1">
        <f>Table2[[#This Row],[W]]</f>
        <v>19</v>
      </c>
      <c r="AJ45" s="1">
        <f>Table2[[#This Row],[D]]</f>
        <v>10</v>
      </c>
      <c r="AK45" s="1">
        <f>Table2[[#This Row],[L]]</f>
        <v>9</v>
      </c>
      <c r="AL45" s="1">
        <f>Table2[[#This Row],[F]]</f>
        <v>68</v>
      </c>
      <c r="AM45" s="1">
        <f>Table2[[#This Row],[A]]</f>
        <v>38</v>
      </c>
      <c r="AN45" s="1">
        <f>Table2[[#This Row],[GD]]</f>
        <v>30</v>
      </c>
      <c r="AO45" s="1">
        <f>Table2[[#This Row],[Pts]]</f>
        <v>67</v>
      </c>
      <c r="AP45" s="1">
        <f>Table2[[#This Row],[Column1]]</f>
        <v>4</v>
      </c>
      <c r="AR45" t="b">
        <f t="shared" si="1"/>
        <v>1</v>
      </c>
      <c r="AS45">
        <f>IF(AR45,ROWS($AR$2:AR45),"")</f>
        <v>44</v>
      </c>
      <c r="AT45">
        <f>IFERROR(SMALL($AS$2:$AS$440,ROWS($AS$2:AS45)),"")</f>
        <v>44</v>
      </c>
      <c r="AU45">
        <f>IF(AT45&lt;&gt;"",INDEX($AE$2:$AP$440,MATCH($AT45,$AS$2:$AS$440,0),COLUMNS($AT$2:AT45)),"")</f>
        <v>2002</v>
      </c>
      <c r="AV45">
        <f>IF(AU45&lt;&gt;"",INDEX($AE$2:$AP$440,MATCH($AT45,$AS$2:$AS$440,0),COLUMNS($AT$2:AU45)),"")</f>
        <v>4</v>
      </c>
      <c r="AW45" t="str">
        <f>IF(AV45&lt;&gt;"",INDEX($AE$2:$AP$440,MATCH($AT45,$AS$2:$AS$440,0),COLUMNS($AT$2:AV45)),"")</f>
        <v>Chelsea</v>
      </c>
      <c r="AX45">
        <f>IF(AW45&lt;&gt;"",INDEX($AE$2:$AP$440,MATCH($AT45,$AS$2:$AS$440,0),COLUMNS($AT$2:AW45)),"")</f>
        <v>38</v>
      </c>
      <c r="AY45">
        <f>IF(AX45&lt;&gt;"",INDEX($AE$2:$AP$440,MATCH($AT45,$AS$2:$AS$440,0),COLUMNS($AT$2:AX45)),"")</f>
        <v>19</v>
      </c>
      <c r="AZ45">
        <f>IF(AY45&lt;&gt;"",INDEX($AE$2:$AP$440,MATCH($AT45,$AS$2:$AS$440,0),COLUMNS($AT$2:AY45)),"")</f>
        <v>10</v>
      </c>
      <c r="BA45">
        <f>IF(AZ45&lt;&gt;"",INDEX($AE$2:$AP$440,MATCH($AT45,$AS$2:$AS$440,0),COLUMNS($AT$2:AZ45)),"")</f>
        <v>9</v>
      </c>
      <c r="BB45">
        <f>IF(BA45&lt;&gt;"",INDEX($AE$2:$AP$440,MATCH($AT45,$AS$2:$AS$440,0),COLUMNS($AT$2:BA45)),"")</f>
        <v>68</v>
      </c>
      <c r="BC45">
        <f>IF(BB45&lt;&gt;"",INDEX($AE$2:$AP$440,MATCH($AT45,$AS$2:$AS$440,0),COLUMNS($AT$2:BB45)),"")</f>
        <v>38</v>
      </c>
      <c r="BD45">
        <f>IF(BC45&lt;&gt;"",INDEX($AE$2:$AP$440,MATCH($AT45,$AS$2:$AS$440,0),COLUMNS($AT$2:BC45)),"")</f>
        <v>30</v>
      </c>
      <c r="BE45">
        <f>IF(BD45&lt;&gt;"",INDEX($AE$2:$AP$440,MATCH($AT45,$AS$2:$AS$440,0),COLUMNS($AT$2:BD45)),"")</f>
        <v>67</v>
      </c>
      <c r="BF45">
        <f>IF(BE45&lt;&gt;"",INDEX($AE$2:$AP$440,MATCH($AT45,$AS$2:$AS$440,0),COLUMNS($AT$2:BE45)),"")</f>
        <v>4</v>
      </c>
      <c r="BU45" s="1">
        <v>2014</v>
      </c>
      <c r="BV45" s="1">
        <v>19</v>
      </c>
      <c r="BW45" s="1" t="s">
        <v>46</v>
      </c>
      <c r="BX45" s="1">
        <v>38</v>
      </c>
      <c r="BY45" s="1">
        <v>7</v>
      </c>
      <c r="BZ45" s="1">
        <v>12</v>
      </c>
      <c r="CA45" s="1">
        <v>19</v>
      </c>
      <c r="CB45" s="1">
        <v>28</v>
      </c>
      <c r="CC45" s="1">
        <v>53</v>
      </c>
      <c r="CD45" s="1">
        <v>-25</v>
      </c>
      <c r="CE45" s="1">
        <v>33</v>
      </c>
      <c r="CF45" s="17">
        <f t="shared" si="3"/>
        <v>0.18421052631578946</v>
      </c>
    </row>
    <row r="46" spans="1:84" x14ac:dyDescent="0.25">
      <c r="A46" s="3">
        <v>2002</v>
      </c>
      <c r="B46" s="3">
        <v>5</v>
      </c>
      <c r="C46" s="4" t="s">
        <v>13</v>
      </c>
      <c r="D46" s="3">
        <v>38</v>
      </c>
      <c r="E46" s="3">
        <v>18</v>
      </c>
      <c r="F46" s="3">
        <v>10</v>
      </c>
      <c r="G46" s="3">
        <v>10</v>
      </c>
      <c r="H46" s="3">
        <v>61</v>
      </c>
      <c r="I46" s="3">
        <v>41</v>
      </c>
      <c r="J46" s="3">
        <v>20</v>
      </c>
      <c r="K46" s="3">
        <v>64</v>
      </c>
      <c r="L46" s="5">
        <f>IF(Table2[[#This Row],['#]]=1,"Champion", IF(Table2[[#This Row],['#]]&gt;=18,"Relegated",Table2[[#This Row],['#]]))</f>
        <v>5</v>
      </c>
      <c r="N46">
        <f>IF(COUNTIF($O$1:O47,O46)=1,N45+1,N45)</f>
        <v>23</v>
      </c>
      <c r="O46" s="4" t="str">
        <f>Table2[[#This Row],[Team]]</f>
        <v>Liverpool</v>
      </c>
      <c r="P46" s="1" t="str">
        <f>IFERROR(VLOOKUP(ROWS($O$2:O46),$N$2:$O$441,2,0),"")</f>
        <v/>
      </c>
      <c r="Q46" s="1" t="str">
        <f>IF(P46&lt;&gt;"",SUMPRODUCT(--(Table2[Team]=P46)),"")</f>
        <v/>
      </c>
      <c r="R46" s="11" t="str">
        <f>IF(Q46&lt;&gt;"",Q46+ROWS($Q$2:Q46)/100,"")</f>
        <v/>
      </c>
      <c r="S46" t="str">
        <f>IF(R46&lt;&gt;"",LARGE($R$2:$R$441,ROWS($R$2:R46)),"")</f>
        <v/>
      </c>
      <c r="T46" s="1" t="str">
        <f>IF(R46&lt;&gt;"",INDEX($P$2:$Q$441,MATCH($S46,$R$2:$R$441,0),COLUMNS($S$2:S46)),"")</f>
        <v/>
      </c>
      <c r="U46" s="1" t="str">
        <f>IF(S46&lt;&gt;"",INDEX($P$2:$Q$441,MATCH($S46,$R$2:$R$441,0),COLUMNS($S$2:T46)),"")</f>
        <v/>
      </c>
      <c r="AE46" s="1">
        <f>Table2[[#This Row],[Year]]</f>
        <v>2002</v>
      </c>
      <c r="AF46" s="1">
        <f>Table2[[#This Row],['#]]</f>
        <v>5</v>
      </c>
      <c r="AG46" s="1" t="str">
        <f>Table2[[#This Row],[Team]]</f>
        <v>Liverpool</v>
      </c>
      <c r="AH46" s="1">
        <f>Table2[[#This Row],[Pl]]</f>
        <v>38</v>
      </c>
      <c r="AI46" s="1">
        <f>Table2[[#This Row],[W]]</f>
        <v>18</v>
      </c>
      <c r="AJ46" s="1">
        <f>Table2[[#This Row],[D]]</f>
        <v>10</v>
      </c>
      <c r="AK46" s="1">
        <f>Table2[[#This Row],[L]]</f>
        <v>10</v>
      </c>
      <c r="AL46" s="1">
        <f>Table2[[#This Row],[F]]</f>
        <v>61</v>
      </c>
      <c r="AM46" s="1">
        <f>Table2[[#This Row],[A]]</f>
        <v>41</v>
      </c>
      <c r="AN46" s="1">
        <f>Table2[[#This Row],[GD]]</f>
        <v>20</v>
      </c>
      <c r="AO46" s="1">
        <f>Table2[[#This Row],[Pts]]</f>
        <v>64</v>
      </c>
      <c r="AP46" s="1">
        <f>Table2[[#This Row],[Column1]]</f>
        <v>5</v>
      </c>
      <c r="AR46" t="b">
        <f t="shared" si="1"/>
        <v>1</v>
      </c>
      <c r="AS46">
        <f>IF(AR46,ROWS($AR$2:AR46),"")</f>
        <v>45</v>
      </c>
      <c r="AT46">
        <f>IFERROR(SMALL($AS$2:$AS$440,ROWS($AS$2:AS46)),"")</f>
        <v>45</v>
      </c>
      <c r="AU46">
        <f>IF(AT46&lt;&gt;"",INDEX($AE$2:$AP$440,MATCH($AT46,$AS$2:$AS$440,0),COLUMNS($AT$2:AT46)),"")</f>
        <v>2002</v>
      </c>
      <c r="AV46">
        <f>IF(AU46&lt;&gt;"",INDEX($AE$2:$AP$440,MATCH($AT46,$AS$2:$AS$440,0),COLUMNS($AT$2:AU46)),"")</f>
        <v>5</v>
      </c>
      <c r="AW46" t="str">
        <f>IF(AV46&lt;&gt;"",INDEX($AE$2:$AP$440,MATCH($AT46,$AS$2:$AS$440,0),COLUMNS($AT$2:AV46)),"")</f>
        <v>Liverpool</v>
      </c>
      <c r="AX46">
        <f>IF(AW46&lt;&gt;"",INDEX($AE$2:$AP$440,MATCH($AT46,$AS$2:$AS$440,0),COLUMNS($AT$2:AW46)),"")</f>
        <v>38</v>
      </c>
      <c r="AY46">
        <f>IF(AX46&lt;&gt;"",INDEX($AE$2:$AP$440,MATCH($AT46,$AS$2:$AS$440,0),COLUMNS($AT$2:AX46)),"")</f>
        <v>18</v>
      </c>
      <c r="AZ46">
        <f>IF(AY46&lt;&gt;"",INDEX($AE$2:$AP$440,MATCH($AT46,$AS$2:$AS$440,0),COLUMNS($AT$2:AY46)),"")</f>
        <v>10</v>
      </c>
      <c r="BA46">
        <f>IF(AZ46&lt;&gt;"",INDEX($AE$2:$AP$440,MATCH($AT46,$AS$2:$AS$440,0),COLUMNS($AT$2:AZ46)),"")</f>
        <v>10</v>
      </c>
      <c r="BB46">
        <f>IF(BA46&lt;&gt;"",INDEX($AE$2:$AP$440,MATCH($AT46,$AS$2:$AS$440,0),COLUMNS($AT$2:BA46)),"")</f>
        <v>61</v>
      </c>
      <c r="BC46">
        <f>IF(BB46&lt;&gt;"",INDEX($AE$2:$AP$440,MATCH($AT46,$AS$2:$AS$440,0),COLUMNS($AT$2:BB46)),"")</f>
        <v>41</v>
      </c>
      <c r="BD46">
        <f>IF(BC46&lt;&gt;"",INDEX($AE$2:$AP$440,MATCH($AT46,$AS$2:$AS$440,0),COLUMNS($AT$2:BC46)),"")</f>
        <v>20</v>
      </c>
      <c r="BE46">
        <f>IF(BD46&lt;&gt;"",INDEX($AE$2:$AP$440,MATCH($AT46,$AS$2:$AS$440,0),COLUMNS($AT$2:BD46)),"")</f>
        <v>64</v>
      </c>
      <c r="BF46">
        <f>IF(BE46&lt;&gt;"",INDEX($AE$2:$AP$440,MATCH($AT46,$AS$2:$AS$440,0),COLUMNS($AT$2:BE46)),"")</f>
        <v>5</v>
      </c>
      <c r="BU46" s="1">
        <v>2014</v>
      </c>
      <c r="BV46" s="1">
        <v>20</v>
      </c>
      <c r="BW46" s="1" t="s">
        <v>49</v>
      </c>
      <c r="BX46" s="1">
        <v>38</v>
      </c>
      <c r="BY46" s="1">
        <v>8</v>
      </c>
      <c r="BZ46" s="1">
        <v>6</v>
      </c>
      <c r="CA46" s="1">
        <v>24</v>
      </c>
      <c r="CB46" s="1">
        <v>42</v>
      </c>
      <c r="CC46" s="1">
        <v>73</v>
      </c>
      <c r="CD46" s="1">
        <v>-31</v>
      </c>
      <c r="CE46" s="1">
        <v>30</v>
      </c>
      <c r="CF46" s="17">
        <f t="shared" si="3"/>
        <v>0.21052631578947367</v>
      </c>
    </row>
    <row r="47" spans="1:84" x14ac:dyDescent="0.25">
      <c r="A47" s="5">
        <v>2002</v>
      </c>
      <c r="B47" s="5">
        <v>6</v>
      </c>
      <c r="C47" s="6" t="s">
        <v>31</v>
      </c>
      <c r="D47" s="5">
        <v>38</v>
      </c>
      <c r="E47" s="5">
        <v>16</v>
      </c>
      <c r="F47" s="5">
        <v>12</v>
      </c>
      <c r="G47" s="5">
        <v>10</v>
      </c>
      <c r="H47" s="5">
        <v>52</v>
      </c>
      <c r="I47" s="5">
        <v>43</v>
      </c>
      <c r="J47" s="5">
        <v>9</v>
      </c>
      <c r="K47" s="5">
        <v>60</v>
      </c>
      <c r="L47" s="5">
        <f>IF(Table2[[#This Row],['#]]=1,"Champion", IF(Table2[[#This Row],['#]]&gt;=18,"Relegated",Table2[[#This Row],['#]]))</f>
        <v>6</v>
      </c>
      <c r="N47">
        <f>IF(COUNTIF($O$2:O47,O47)=1,N46+1,N46)</f>
        <v>23</v>
      </c>
      <c r="O47" s="4" t="str">
        <f>Table2[[#This Row],[Team]]</f>
        <v>Blackburn Rovers</v>
      </c>
      <c r="P47" s="1" t="str">
        <f>IFERROR(VLOOKUP(ROWS($O$2:O47),$N$2:$O$441,2,0),"")</f>
        <v/>
      </c>
      <c r="Q47" s="1" t="str">
        <f>IF(P47&lt;&gt;"",SUMPRODUCT(--(Table2[Team]=P47)),"")</f>
        <v/>
      </c>
      <c r="R47" s="11" t="str">
        <f>IF(Q47&lt;&gt;"",Q47+ROWS($Q$2:Q47)/100,"")</f>
        <v/>
      </c>
      <c r="S47" t="str">
        <f>IF(R47&lt;&gt;"",LARGE($R$2:$R$441,ROWS($R$2:R47)),"")</f>
        <v/>
      </c>
      <c r="T47" s="1" t="str">
        <f>IF(R47&lt;&gt;"",INDEX($P$2:$Q$441,MATCH($S47,$R$2:$R$441,0),COLUMNS($S$2:S47)),"")</f>
        <v/>
      </c>
      <c r="U47" s="1" t="str">
        <f>IF(S47&lt;&gt;"",INDEX($P$2:$Q$441,MATCH($S47,$R$2:$R$441,0),COLUMNS($S$2:T47)),"")</f>
        <v/>
      </c>
      <c r="AE47" s="1">
        <f>Table2[[#This Row],[Year]]</f>
        <v>2002</v>
      </c>
      <c r="AF47" s="1">
        <f>Table2[[#This Row],['#]]</f>
        <v>6</v>
      </c>
      <c r="AG47" s="1" t="str">
        <f>Table2[[#This Row],[Team]]</f>
        <v>Blackburn Rovers</v>
      </c>
      <c r="AH47" s="1">
        <f>Table2[[#This Row],[Pl]]</f>
        <v>38</v>
      </c>
      <c r="AI47" s="1">
        <f>Table2[[#This Row],[W]]</f>
        <v>16</v>
      </c>
      <c r="AJ47" s="1">
        <f>Table2[[#This Row],[D]]</f>
        <v>12</v>
      </c>
      <c r="AK47" s="1">
        <f>Table2[[#This Row],[L]]</f>
        <v>10</v>
      </c>
      <c r="AL47" s="1">
        <f>Table2[[#This Row],[F]]</f>
        <v>52</v>
      </c>
      <c r="AM47" s="1">
        <f>Table2[[#This Row],[A]]</f>
        <v>43</v>
      </c>
      <c r="AN47" s="1">
        <f>Table2[[#This Row],[GD]]</f>
        <v>9</v>
      </c>
      <c r="AO47" s="1">
        <f>Table2[[#This Row],[Pts]]</f>
        <v>60</v>
      </c>
      <c r="AP47" s="1">
        <f>Table2[[#This Row],[Column1]]</f>
        <v>6</v>
      </c>
      <c r="AR47" t="b">
        <f t="shared" si="1"/>
        <v>1</v>
      </c>
      <c r="AS47">
        <f>IF(AR47,ROWS($AR$2:AR47),"")</f>
        <v>46</v>
      </c>
      <c r="AT47">
        <f>IFERROR(SMALL($AS$2:$AS$440,ROWS($AS$2:AS47)),"")</f>
        <v>46</v>
      </c>
      <c r="AU47">
        <f>IF(AT47&lt;&gt;"",INDEX($AE$2:$AP$440,MATCH($AT47,$AS$2:$AS$440,0),COLUMNS($AT$2:AT47)),"")</f>
        <v>2002</v>
      </c>
      <c r="AV47">
        <f>IF(AU47&lt;&gt;"",INDEX($AE$2:$AP$440,MATCH($AT47,$AS$2:$AS$440,0),COLUMNS($AT$2:AU47)),"")</f>
        <v>6</v>
      </c>
      <c r="AW47" t="str">
        <f>IF(AV47&lt;&gt;"",INDEX($AE$2:$AP$440,MATCH($AT47,$AS$2:$AS$440,0),COLUMNS($AT$2:AV47)),"")</f>
        <v>Blackburn Rovers</v>
      </c>
      <c r="AX47">
        <f>IF(AW47&lt;&gt;"",INDEX($AE$2:$AP$440,MATCH($AT47,$AS$2:$AS$440,0),COLUMNS($AT$2:AW47)),"")</f>
        <v>38</v>
      </c>
      <c r="AY47">
        <f>IF(AX47&lt;&gt;"",INDEX($AE$2:$AP$440,MATCH($AT47,$AS$2:$AS$440,0),COLUMNS($AT$2:AX47)),"")</f>
        <v>16</v>
      </c>
      <c r="AZ47">
        <f>IF(AY47&lt;&gt;"",INDEX($AE$2:$AP$440,MATCH($AT47,$AS$2:$AS$440,0),COLUMNS($AT$2:AY47)),"")</f>
        <v>12</v>
      </c>
      <c r="BA47">
        <f>IF(AZ47&lt;&gt;"",INDEX($AE$2:$AP$440,MATCH($AT47,$AS$2:$AS$440,0),COLUMNS($AT$2:AZ47)),"")</f>
        <v>10</v>
      </c>
      <c r="BB47">
        <f>IF(BA47&lt;&gt;"",INDEX($AE$2:$AP$440,MATCH($AT47,$AS$2:$AS$440,0),COLUMNS($AT$2:BA47)),"")</f>
        <v>52</v>
      </c>
      <c r="BC47">
        <f>IF(BB47&lt;&gt;"",INDEX($AE$2:$AP$440,MATCH($AT47,$AS$2:$AS$440,0),COLUMNS($AT$2:BB47)),"")</f>
        <v>43</v>
      </c>
      <c r="BD47">
        <f>IF(BC47&lt;&gt;"",INDEX($AE$2:$AP$440,MATCH($AT47,$AS$2:$AS$440,0),COLUMNS($AT$2:BC47)),"")</f>
        <v>9</v>
      </c>
      <c r="BE47">
        <f>IF(BD47&lt;&gt;"",INDEX($AE$2:$AP$440,MATCH($AT47,$AS$2:$AS$440,0),COLUMNS($AT$2:BD47)),"")</f>
        <v>60</v>
      </c>
      <c r="BF47">
        <f>IF(BE47&lt;&gt;"",INDEX($AE$2:$AP$440,MATCH($AT47,$AS$2:$AS$440,0),COLUMNS($AT$2:BE47)),"")</f>
        <v>6</v>
      </c>
      <c r="BU47" s="1">
        <v>2015</v>
      </c>
      <c r="BV47" s="1">
        <v>18</v>
      </c>
      <c r="BW47" s="1" t="s">
        <v>21</v>
      </c>
      <c r="BX47" s="1">
        <v>38</v>
      </c>
      <c r="BY47" s="1">
        <v>9</v>
      </c>
      <c r="BZ47" s="1">
        <v>10</v>
      </c>
      <c r="CA47" s="1">
        <v>19</v>
      </c>
      <c r="CB47" s="1">
        <v>44</v>
      </c>
      <c r="CC47" s="1">
        <v>65</v>
      </c>
      <c r="CD47" s="1">
        <v>-21</v>
      </c>
      <c r="CE47" s="1">
        <v>37</v>
      </c>
      <c r="CF47" s="17">
        <f t="shared" si="3"/>
        <v>0.23684210526315788</v>
      </c>
    </row>
    <row r="48" spans="1:84" x14ac:dyDescent="0.25">
      <c r="A48" s="3">
        <v>2002</v>
      </c>
      <c r="B48" s="3">
        <v>7</v>
      </c>
      <c r="C48" s="4" t="s">
        <v>26</v>
      </c>
      <c r="D48" s="3">
        <v>38</v>
      </c>
      <c r="E48" s="3">
        <v>17</v>
      </c>
      <c r="F48" s="3">
        <v>8</v>
      </c>
      <c r="G48" s="3">
        <v>13</v>
      </c>
      <c r="H48" s="3">
        <v>48</v>
      </c>
      <c r="I48" s="3">
        <v>49</v>
      </c>
      <c r="J48" s="3">
        <v>-1</v>
      </c>
      <c r="K48" s="3">
        <v>59</v>
      </c>
      <c r="L48" s="5">
        <f>IF(Table2[[#This Row],['#]]=1,"Champion", IF(Table2[[#This Row],['#]]&gt;=18,"Relegated",Table2[[#This Row],['#]]))</f>
        <v>7</v>
      </c>
      <c r="N48">
        <f>IF(COUNTIF($O$2:O48,O48)=1,N47+1,N47)</f>
        <v>23</v>
      </c>
      <c r="O48" s="4" t="str">
        <f>Table2[[#This Row],[Team]]</f>
        <v>Everton</v>
      </c>
      <c r="P48" s="1" t="str">
        <f>IFERROR(VLOOKUP(ROWS($O$2:O48),$N$2:$O$441,2,0),"")</f>
        <v/>
      </c>
      <c r="Q48" s="1" t="str">
        <f>IF(P48&lt;&gt;"",SUMPRODUCT(--(Table2[Team]=P48)),"")</f>
        <v/>
      </c>
      <c r="R48" s="11" t="str">
        <f>IF(Q48&lt;&gt;"",Q48+ROWS($Q$2:Q48)/100,"")</f>
        <v/>
      </c>
      <c r="S48" t="str">
        <f>IF(R48&lt;&gt;"",LARGE($R$2:$R$441,ROWS($R$2:R48)),"")</f>
        <v/>
      </c>
      <c r="T48" s="1" t="str">
        <f>IF(R48&lt;&gt;"",INDEX($P$2:$Q$441,MATCH($S48,$R$2:$R$441,0),COLUMNS($S$2:S48)),"")</f>
        <v/>
      </c>
      <c r="U48" s="1" t="str">
        <f>IF(S48&lt;&gt;"",INDEX($P$2:$Q$441,MATCH($S48,$R$2:$R$441,0),COLUMNS($S$2:T48)),"")</f>
        <v/>
      </c>
      <c r="AE48" s="1">
        <f>Table2[[#This Row],[Year]]</f>
        <v>2002</v>
      </c>
      <c r="AF48" s="1">
        <f>Table2[[#This Row],['#]]</f>
        <v>7</v>
      </c>
      <c r="AG48" s="1" t="str">
        <f>Table2[[#This Row],[Team]]</f>
        <v>Everton</v>
      </c>
      <c r="AH48" s="1">
        <f>Table2[[#This Row],[Pl]]</f>
        <v>38</v>
      </c>
      <c r="AI48" s="1">
        <f>Table2[[#This Row],[W]]</f>
        <v>17</v>
      </c>
      <c r="AJ48" s="1">
        <f>Table2[[#This Row],[D]]</f>
        <v>8</v>
      </c>
      <c r="AK48" s="1">
        <f>Table2[[#This Row],[L]]</f>
        <v>13</v>
      </c>
      <c r="AL48" s="1">
        <f>Table2[[#This Row],[F]]</f>
        <v>48</v>
      </c>
      <c r="AM48" s="1">
        <f>Table2[[#This Row],[A]]</f>
        <v>49</v>
      </c>
      <c r="AN48" s="1">
        <f>Table2[[#This Row],[GD]]</f>
        <v>-1</v>
      </c>
      <c r="AO48" s="1">
        <f>Table2[[#This Row],[Pts]]</f>
        <v>59</v>
      </c>
      <c r="AP48" s="1">
        <f>Table2[[#This Row],[Column1]]</f>
        <v>7</v>
      </c>
      <c r="AR48" t="b">
        <f t="shared" si="1"/>
        <v>1</v>
      </c>
      <c r="AS48">
        <f>IF(AR48,ROWS($AR$2:AR48),"")</f>
        <v>47</v>
      </c>
      <c r="AT48">
        <f>IFERROR(SMALL($AS$2:$AS$440,ROWS($AS$2:AS48)),"")</f>
        <v>47</v>
      </c>
      <c r="AU48">
        <f>IF(AT48&lt;&gt;"",INDEX($AE$2:$AP$440,MATCH($AT48,$AS$2:$AS$440,0),COLUMNS($AT$2:AT48)),"")</f>
        <v>2002</v>
      </c>
      <c r="AV48">
        <f>IF(AU48&lt;&gt;"",INDEX($AE$2:$AP$440,MATCH($AT48,$AS$2:$AS$440,0),COLUMNS($AT$2:AU48)),"")</f>
        <v>7</v>
      </c>
      <c r="AW48" t="str">
        <f>IF(AV48&lt;&gt;"",INDEX($AE$2:$AP$440,MATCH($AT48,$AS$2:$AS$440,0),COLUMNS($AT$2:AV48)),"")</f>
        <v>Everton</v>
      </c>
      <c r="AX48">
        <f>IF(AW48&lt;&gt;"",INDEX($AE$2:$AP$440,MATCH($AT48,$AS$2:$AS$440,0),COLUMNS($AT$2:AW48)),"")</f>
        <v>38</v>
      </c>
      <c r="AY48">
        <f>IF(AX48&lt;&gt;"",INDEX($AE$2:$AP$440,MATCH($AT48,$AS$2:$AS$440,0),COLUMNS($AT$2:AX48)),"")</f>
        <v>17</v>
      </c>
      <c r="AZ48">
        <f>IF(AY48&lt;&gt;"",INDEX($AE$2:$AP$440,MATCH($AT48,$AS$2:$AS$440,0),COLUMNS($AT$2:AY48)),"")</f>
        <v>8</v>
      </c>
      <c r="BA48">
        <f>IF(AZ48&lt;&gt;"",INDEX($AE$2:$AP$440,MATCH($AT48,$AS$2:$AS$440,0),COLUMNS($AT$2:AZ48)),"")</f>
        <v>13</v>
      </c>
      <c r="BB48">
        <f>IF(BA48&lt;&gt;"",INDEX($AE$2:$AP$440,MATCH($AT48,$AS$2:$AS$440,0),COLUMNS($AT$2:BA48)),"")</f>
        <v>48</v>
      </c>
      <c r="BC48">
        <f>IF(BB48&lt;&gt;"",INDEX($AE$2:$AP$440,MATCH($AT48,$AS$2:$AS$440,0),COLUMNS($AT$2:BB48)),"")</f>
        <v>49</v>
      </c>
      <c r="BD48">
        <f>IF(BC48&lt;&gt;"",INDEX($AE$2:$AP$440,MATCH($AT48,$AS$2:$AS$440,0),COLUMNS($AT$2:BC48)),"")</f>
        <v>-1</v>
      </c>
      <c r="BE48">
        <f>IF(BD48&lt;&gt;"",INDEX($AE$2:$AP$440,MATCH($AT48,$AS$2:$AS$440,0),COLUMNS($AT$2:BD48)),"")</f>
        <v>59</v>
      </c>
      <c r="BF48">
        <f>IF(BE48&lt;&gt;"",INDEX($AE$2:$AP$440,MATCH($AT48,$AS$2:$AS$440,0),COLUMNS($AT$2:BE48)),"")</f>
        <v>7</v>
      </c>
      <c r="BU48" s="1">
        <v>2015</v>
      </c>
      <c r="BV48" s="1">
        <v>19</v>
      </c>
      <c r="BW48" s="1" t="s">
        <v>39</v>
      </c>
      <c r="BX48" s="1">
        <v>38</v>
      </c>
      <c r="BY48" s="1">
        <v>9</v>
      </c>
      <c r="BZ48" s="1">
        <v>7</v>
      </c>
      <c r="CA48" s="1">
        <v>22</v>
      </c>
      <c r="CB48" s="1">
        <v>39</v>
      </c>
      <c r="CC48" s="1">
        <v>67</v>
      </c>
      <c r="CD48" s="1">
        <v>-28</v>
      </c>
      <c r="CE48" s="1">
        <v>34</v>
      </c>
      <c r="CF48" s="17">
        <f t="shared" si="3"/>
        <v>0.23684210526315788</v>
      </c>
    </row>
    <row r="49" spans="1:84" x14ac:dyDescent="0.25">
      <c r="A49" s="5">
        <v>2002</v>
      </c>
      <c r="B49" s="5">
        <v>8</v>
      </c>
      <c r="C49" s="6" t="s">
        <v>20</v>
      </c>
      <c r="D49" s="5">
        <v>38</v>
      </c>
      <c r="E49" s="5">
        <v>13</v>
      </c>
      <c r="F49" s="5">
        <v>13</v>
      </c>
      <c r="G49" s="5">
        <v>12</v>
      </c>
      <c r="H49" s="5">
        <v>43</v>
      </c>
      <c r="I49" s="5">
        <v>46</v>
      </c>
      <c r="J49" s="5">
        <v>-3</v>
      </c>
      <c r="K49" s="5">
        <v>52</v>
      </c>
      <c r="L49" s="5">
        <f>IF(Table2[[#This Row],['#]]=1,"Champion", IF(Table2[[#This Row],['#]]&gt;=18,"Relegated",Table2[[#This Row],['#]]))</f>
        <v>8</v>
      </c>
      <c r="N49">
        <f>IF(COUNTIF($O$2:O49,O49)=1,N48+1,N48)</f>
        <v>23</v>
      </c>
      <c r="O49" s="4" t="str">
        <f>Table2[[#This Row],[Team]]</f>
        <v>Southampton</v>
      </c>
      <c r="P49" s="1" t="str">
        <f>IFERROR(VLOOKUP(ROWS($O$2:O49),$N$2:$O$441,2,0),"")</f>
        <v/>
      </c>
      <c r="Q49" s="1" t="str">
        <f>IF(P49&lt;&gt;"",SUMPRODUCT(--(Table2[Team]=P49)),"")</f>
        <v/>
      </c>
      <c r="R49" s="11" t="str">
        <f>IF(Q49&lt;&gt;"",Q49+ROWS($Q$2:Q49)/100,"")</f>
        <v/>
      </c>
      <c r="S49" t="str">
        <f>IF(R49&lt;&gt;"",LARGE($R$2:$R$441,ROWS($R$2:R49)),"")</f>
        <v/>
      </c>
      <c r="T49" s="1" t="str">
        <f>IF(R49&lt;&gt;"",INDEX($P$2:$Q$441,MATCH($S49,$R$2:$R$441,0),COLUMNS($S$2:S49)),"")</f>
        <v/>
      </c>
      <c r="U49" s="1" t="str">
        <f>IF(S49&lt;&gt;"",INDEX($P$2:$Q$441,MATCH($S49,$R$2:$R$441,0),COLUMNS($S$2:T49)),"")</f>
        <v/>
      </c>
      <c r="AE49" s="1">
        <f>Table2[[#This Row],[Year]]</f>
        <v>2002</v>
      </c>
      <c r="AF49" s="1">
        <f>Table2[[#This Row],['#]]</f>
        <v>8</v>
      </c>
      <c r="AG49" s="1" t="str">
        <f>Table2[[#This Row],[Team]]</f>
        <v>Southampton</v>
      </c>
      <c r="AH49" s="1">
        <f>Table2[[#This Row],[Pl]]</f>
        <v>38</v>
      </c>
      <c r="AI49" s="1">
        <f>Table2[[#This Row],[W]]</f>
        <v>13</v>
      </c>
      <c r="AJ49" s="1">
        <f>Table2[[#This Row],[D]]</f>
        <v>13</v>
      </c>
      <c r="AK49" s="1">
        <f>Table2[[#This Row],[L]]</f>
        <v>12</v>
      </c>
      <c r="AL49" s="1">
        <f>Table2[[#This Row],[F]]</f>
        <v>43</v>
      </c>
      <c r="AM49" s="1">
        <f>Table2[[#This Row],[A]]</f>
        <v>46</v>
      </c>
      <c r="AN49" s="1">
        <f>Table2[[#This Row],[GD]]</f>
        <v>-3</v>
      </c>
      <c r="AO49" s="1">
        <f>Table2[[#This Row],[Pts]]</f>
        <v>52</v>
      </c>
      <c r="AP49" s="1">
        <f>Table2[[#This Row],[Column1]]</f>
        <v>8</v>
      </c>
      <c r="AR49" t="b">
        <f t="shared" si="1"/>
        <v>1</v>
      </c>
      <c r="AS49">
        <f>IF(AR49,ROWS($AR$2:AR49),"")</f>
        <v>48</v>
      </c>
      <c r="AT49">
        <f>IFERROR(SMALL($AS$2:$AS$440,ROWS($AS$2:AS49)),"")</f>
        <v>48</v>
      </c>
      <c r="AU49">
        <f>IF(AT49&lt;&gt;"",INDEX($AE$2:$AP$440,MATCH($AT49,$AS$2:$AS$440,0),COLUMNS($AT$2:AT49)),"")</f>
        <v>2002</v>
      </c>
      <c r="AV49">
        <f>IF(AU49&lt;&gt;"",INDEX($AE$2:$AP$440,MATCH($AT49,$AS$2:$AS$440,0),COLUMNS($AT$2:AU49)),"")</f>
        <v>8</v>
      </c>
      <c r="AW49" t="str">
        <f>IF(AV49&lt;&gt;"",INDEX($AE$2:$AP$440,MATCH($AT49,$AS$2:$AS$440,0),COLUMNS($AT$2:AV49)),"")</f>
        <v>Southampton</v>
      </c>
      <c r="AX49">
        <f>IF(AW49&lt;&gt;"",INDEX($AE$2:$AP$440,MATCH($AT49,$AS$2:$AS$440,0),COLUMNS($AT$2:AW49)),"")</f>
        <v>38</v>
      </c>
      <c r="AY49">
        <f>IF(AX49&lt;&gt;"",INDEX($AE$2:$AP$440,MATCH($AT49,$AS$2:$AS$440,0),COLUMNS($AT$2:AX49)),"")</f>
        <v>13</v>
      </c>
      <c r="AZ49">
        <f>IF(AY49&lt;&gt;"",INDEX($AE$2:$AP$440,MATCH($AT49,$AS$2:$AS$440,0),COLUMNS($AT$2:AY49)),"")</f>
        <v>13</v>
      </c>
      <c r="BA49">
        <f>IF(AZ49&lt;&gt;"",INDEX($AE$2:$AP$440,MATCH($AT49,$AS$2:$AS$440,0),COLUMNS($AT$2:AZ49)),"")</f>
        <v>12</v>
      </c>
      <c r="BB49">
        <f>IF(BA49&lt;&gt;"",INDEX($AE$2:$AP$440,MATCH($AT49,$AS$2:$AS$440,0),COLUMNS($AT$2:BA49)),"")</f>
        <v>43</v>
      </c>
      <c r="BC49">
        <f>IF(BB49&lt;&gt;"",INDEX($AE$2:$AP$440,MATCH($AT49,$AS$2:$AS$440,0),COLUMNS($AT$2:BB49)),"")</f>
        <v>46</v>
      </c>
      <c r="BD49">
        <f>IF(BC49&lt;&gt;"",INDEX($AE$2:$AP$440,MATCH($AT49,$AS$2:$AS$440,0),COLUMNS($AT$2:BC49)),"")</f>
        <v>-3</v>
      </c>
      <c r="BE49">
        <f>IF(BD49&lt;&gt;"",INDEX($AE$2:$AP$440,MATCH($AT49,$AS$2:$AS$440,0),COLUMNS($AT$2:BD49)),"")</f>
        <v>52</v>
      </c>
      <c r="BF49">
        <f>IF(BE49&lt;&gt;"",INDEX($AE$2:$AP$440,MATCH($AT49,$AS$2:$AS$440,0),COLUMNS($AT$2:BE49)),"")</f>
        <v>8</v>
      </c>
      <c r="BU49" s="1">
        <v>2015</v>
      </c>
      <c r="BV49" s="1">
        <v>20</v>
      </c>
      <c r="BW49" s="1" t="s">
        <v>18</v>
      </c>
      <c r="BX49" s="1">
        <v>38</v>
      </c>
      <c r="BY49" s="1">
        <v>3</v>
      </c>
      <c r="BZ49" s="1">
        <v>8</v>
      </c>
      <c r="CA49" s="1">
        <v>27</v>
      </c>
      <c r="CB49" s="1">
        <v>27</v>
      </c>
      <c r="CC49" s="1">
        <v>76</v>
      </c>
      <c r="CD49" s="1">
        <v>-49</v>
      </c>
      <c r="CE49" s="1">
        <v>17</v>
      </c>
      <c r="CF49" s="17">
        <f t="shared" si="3"/>
        <v>7.8947368421052627E-2</v>
      </c>
    </row>
    <row r="50" spans="1:84" x14ac:dyDescent="0.25">
      <c r="A50" s="3">
        <v>2002</v>
      </c>
      <c r="B50" s="3">
        <v>9</v>
      </c>
      <c r="C50" s="4" t="s">
        <v>28</v>
      </c>
      <c r="D50" s="3">
        <v>38</v>
      </c>
      <c r="E50" s="3">
        <v>15</v>
      </c>
      <c r="F50" s="3">
        <v>6</v>
      </c>
      <c r="G50" s="3">
        <v>17</v>
      </c>
      <c r="H50" s="3">
        <v>47</v>
      </c>
      <c r="I50" s="3">
        <v>54</v>
      </c>
      <c r="J50" s="3">
        <v>-7</v>
      </c>
      <c r="K50" s="3">
        <v>51</v>
      </c>
      <c r="L50" s="5">
        <f>IF(Table2[[#This Row],['#]]=1,"Champion", IF(Table2[[#This Row],['#]]&gt;=18,"Relegated",Table2[[#This Row],['#]]))</f>
        <v>9</v>
      </c>
      <c r="N50">
        <f>IF(COUNTIF($O$2:O50,O50)=1,N49+1,N49)</f>
        <v>23</v>
      </c>
      <c r="O50" s="4" t="str">
        <f>Table2[[#This Row],[Team]]</f>
        <v>Manchester City</v>
      </c>
      <c r="P50" s="1" t="str">
        <f>IFERROR(VLOOKUP(ROWS($O$2:O50),$N$2:$O$441,2,0),"")</f>
        <v/>
      </c>
      <c r="Q50" s="1" t="str">
        <f>IF(P50&lt;&gt;"",SUMPRODUCT(--(Table2[Team]=P50)),"")</f>
        <v/>
      </c>
      <c r="R50" s="11" t="str">
        <f>IF(Q50&lt;&gt;"",Q50+ROWS($Q$2:Q50)/100,"")</f>
        <v/>
      </c>
      <c r="S50" t="str">
        <f>IF(R50&lt;&gt;"",LARGE($R$2:$R$441,ROWS($R$2:R50)),"")</f>
        <v/>
      </c>
      <c r="T50" s="1" t="str">
        <f>IF(R50&lt;&gt;"",INDEX($P$2:$Q$441,MATCH($S50,$R$2:$R$441,0),COLUMNS($S$2:S50)),"")</f>
        <v/>
      </c>
      <c r="U50" s="1" t="str">
        <f>IF(S50&lt;&gt;"",INDEX($P$2:$Q$441,MATCH($S50,$R$2:$R$441,0),COLUMNS($S$2:T50)),"")</f>
        <v/>
      </c>
      <c r="AE50" s="1">
        <f>Table2[[#This Row],[Year]]</f>
        <v>2002</v>
      </c>
      <c r="AF50" s="1">
        <f>Table2[[#This Row],['#]]</f>
        <v>9</v>
      </c>
      <c r="AG50" s="1" t="str">
        <f>Table2[[#This Row],[Team]]</f>
        <v>Manchester City</v>
      </c>
      <c r="AH50" s="1">
        <f>Table2[[#This Row],[Pl]]</f>
        <v>38</v>
      </c>
      <c r="AI50" s="1">
        <f>Table2[[#This Row],[W]]</f>
        <v>15</v>
      </c>
      <c r="AJ50" s="1">
        <f>Table2[[#This Row],[D]]</f>
        <v>6</v>
      </c>
      <c r="AK50" s="1">
        <f>Table2[[#This Row],[L]]</f>
        <v>17</v>
      </c>
      <c r="AL50" s="1">
        <f>Table2[[#This Row],[F]]</f>
        <v>47</v>
      </c>
      <c r="AM50" s="1">
        <f>Table2[[#This Row],[A]]</f>
        <v>54</v>
      </c>
      <c r="AN50" s="1">
        <f>Table2[[#This Row],[GD]]</f>
        <v>-7</v>
      </c>
      <c r="AO50" s="1">
        <f>Table2[[#This Row],[Pts]]</f>
        <v>51</v>
      </c>
      <c r="AP50" s="1">
        <f>Table2[[#This Row],[Column1]]</f>
        <v>9</v>
      </c>
      <c r="AR50" t="b">
        <f t="shared" si="1"/>
        <v>1</v>
      </c>
      <c r="AS50">
        <f>IF(AR50,ROWS($AR$2:AR50),"")</f>
        <v>49</v>
      </c>
      <c r="AT50">
        <f>IFERROR(SMALL($AS$2:$AS$440,ROWS($AS$2:AS50)),"")</f>
        <v>49</v>
      </c>
      <c r="AU50">
        <f>IF(AT50&lt;&gt;"",INDEX($AE$2:$AP$440,MATCH($AT50,$AS$2:$AS$440,0),COLUMNS($AT$2:AT50)),"")</f>
        <v>2002</v>
      </c>
      <c r="AV50">
        <f>IF(AU50&lt;&gt;"",INDEX($AE$2:$AP$440,MATCH($AT50,$AS$2:$AS$440,0),COLUMNS($AT$2:AU50)),"")</f>
        <v>9</v>
      </c>
      <c r="AW50" t="str">
        <f>IF(AV50&lt;&gt;"",INDEX($AE$2:$AP$440,MATCH($AT50,$AS$2:$AS$440,0),COLUMNS($AT$2:AV50)),"")</f>
        <v>Manchester City</v>
      </c>
      <c r="AX50">
        <f>IF(AW50&lt;&gt;"",INDEX($AE$2:$AP$440,MATCH($AT50,$AS$2:$AS$440,0),COLUMNS($AT$2:AW50)),"")</f>
        <v>38</v>
      </c>
      <c r="AY50">
        <f>IF(AX50&lt;&gt;"",INDEX($AE$2:$AP$440,MATCH($AT50,$AS$2:$AS$440,0),COLUMNS($AT$2:AX50)),"")</f>
        <v>15</v>
      </c>
      <c r="AZ50">
        <f>IF(AY50&lt;&gt;"",INDEX($AE$2:$AP$440,MATCH($AT50,$AS$2:$AS$440,0),COLUMNS($AT$2:AY50)),"")</f>
        <v>6</v>
      </c>
      <c r="BA50">
        <f>IF(AZ50&lt;&gt;"",INDEX($AE$2:$AP$440,MATCH($AT50,$AS$2:$AS$440,0),COLUMNS($AT$2:AZ50)),"")</f>
        <v>17</v>
      </c>
      <c r="BB50">
        <f>IF(BA50&lt;&gt;"",INDEX($AE$2:$AP$440,MATCH($AT50,$AS$2:$AS$440,0),COLUMNS($AT$2:BA50)),"")</f>
        <v>47</v>
      </c>
      <c r="BC50">
        <f>IF(BB50&lt;&gt;"",INDEX($AE$2:$AP$440,MATCH($AT50,$AS$2:$AS$440,0),COLUMNS($AT$2:BB50)),"")</f>
        <v>54</v>
      </c>
      <c r="BD50">
        <f>IF(BC50&lt;&gt;"",INDEX($AE$2:$AP$440,MATCH($AT50,$AS$2:$AS$440,0),COLUMNS($AT$2:BC50)),"")</f>
        <v>-7</v>
      </c>
      <c r="BE50">
        <f>IF(BD50&lt;&gt;"",INDEX($AE$2:$AP$440,MATCH($AT50,$AS$2:$AS$440,0),COLUMNS($AT$2:BD50)),"")</f>
        <v>51</v>
      </c>
      <c r="BF50">
        <f>IF(BE50&lt;&gt;"",INDEX($AE$2:$AP$440,MATCH($AT50,$AS$2:$AS$440,0),COLUMNS($AT$2:BE50)),"")</f>
        <v>9</v>
      </c>
      <c r="BU50" s="1">
        <v>2016</v>
      </c>
      <c r="BV50" s="1">
        <v>18</v>
      </c>
      <c r="BW50" s="1" t="s">
        <v>45</v>
      </c>
      <c r="BX50" s="1">
        <v>38</v>
      </c>
      <c r="BY50" s="1">
        <v>9</v>
      </c>
      <c r="BZ50" s="1">
        <v>7</v>
      </c>
      <c r="CA50" s="1">
        <v>22</v>
      </c>
      <c r="CB50" s="1">
        <v>37</v>
      </c>
      <c r="CC50" s="1">
        <v>80</v>
      </c>
      <c r="CD50" s="1">
        <v>-43</v>
      </c>
      <c r="CE50" s="1">
        <v>34</v>
      </c>
      <c r="CF50" s="17">
        <f t="shared" si="3"/>
        <v>0.23684210526315788</v>
      </c>
    </row>
    <row r="51" spans="1:84" x14ac:dyDescent="0.25">
      <c r="A51" s="5">
        <v>2002</v>
      </c>
      <c r="B51" s="5">
        <v>10</v>
      </c>
      <c r="C51" s="6" t="s">
        <v>22</v>
      </c>
      <c r="D51" s="5">
        <v>38</v>
      </c>
      <c r="E51" s="5">
        <v>14</v>
      </c>
      <c r="F51" s="5">
        <v>8</v>
      </c>
      <c r="G51" s="5">
        <v>16</v>
      </c>
      <c r="H51" s="5">
        <v>51</v>
      </c>
      <c r="I51" s="5">
        <v>62</v>
      </c>
      <c r="J51" s="5">
        <v>-11</v>
      </c>
      <c r="K51" s="5">
        <v>50</v>
      </c>
      <c r="L51" s="5">
        <f>IF(Table2[[#This Row],['#]]=1,"Champion", IF(Table2[[#This Row],['#]]&gt;=18,"Relegated",Table2[[#This Row],['#]]))</f>
        <v>10</v>
      </c>
      <c r="N51">
        <f>IF(COUNTIF($O$2:O51,O51)=1,N50+1,N50)</f>
        <v>23</v>
      </c>
      <c r="O51" s="4" t="str">
        <f>Table2[[#This Row],[Team]]</f>
        <v>Tottenham Hotspur</v>
      </c>
      <c r="P51" s="1" t="str">
        <f>IFERROR(VLOOKUP(ROWS($O$2:O51),$N$2:$O$441,2,0),"")</f>
        <v/>
      </c>
      <c r="Q51" s="1" t="str">
        <f>IF(P51&lt;&gt;"",SUMPRODUCT(--(Table2[Team]=P51)),"")</f>
        <v/>
      </c>
      <c r="R51" s="11" t="str">
        <f>IF(Q51&lt;&gt;"",Q51+ROWS($Q$2:Q51)/100,"")</f>
        <v/>
      </c>
      <c r="S51" t="str">
        <f>IF(R51&lt;&gt;"",LARGE($R$2:$R$441,ROWS($R$2:R51)),"")</f>
        <v/>
      </c>
      <c r="T51" s="1" t="str">
        <f>IF(R51&lt;&gt;"",INDEX($P$2:$Q$441,MATCH($S51,$R$2:$R$441,0),COLUMNS($S$2:S51)),"")</f>
        <v/>
      </c>
      <c r="U51" s="1" t="str">
        <f>IF(S51&lt;&gt;"",INDEX($P$2:$Q$441,MATCH($S51,$R$2:$R$441,0),COLUMNS($S$2:T51)),"")</f>
        <v/>
      </c>
      <c r="AE51" s="1">
        <f>Table2[[#This Row],[Year]]</f>
        <v>2002</v>
      </c>
      <c r="AF51" s="1">
        <f>Table2[[#This Row],['#]]</f>
        <v>10</v>
      </c>
      <c r="AG51" s="1" t="str">
        <f>Table2[[#This Row],[Team]]</f>
        <v>Tottenham Hotspur</v>
      </c>
      <c r="AH51" s="1">
        <f>Table2[[#This Row],[Pl]]</f>
        <v>38</v>
      </c>
      <c r="AI51" s="1">
        <f>Table2[[#This Row],[W]]</f>
        <v>14</v>
      </c>
      <c r="AJ51" s="1">
        <f>Table2[[#This Row],[D]]</f>
        <v>8</v>
      </c>
      <c r="AK51" s="1">
        <f>Table2[[#This Row],[L]]</f>
        <v>16</v>
      </c>
      <c r="AL51" s="1">
        <f>Table2[[#This Row],[F]]</f>
        <v>51</v>
      </c>
      <c r="AM51" s="1">
        <f>Table2[[#This Row],[A]]</f>
        <v>62</v>
      </c>
      <c r="AN51" s="1">
        <f>Table2[[#This Row],[GD]]</f>
        <v>-11</v>
      </c>
      <c r="AO51" s="1">
        <f>Table2[[#This Row],[Pts]]</f>
        <v>50</v>
      </c>
      <c r="AP51" s="1">
        <f>Table2[[#This Row],[Column1]]</f>
        <v>10</v>
      </c>
      <c r="AR51" t="b">
        <f t="shared" si="1"/>
        <v>1</v>
      </c>
      <c r="AS51">
        <f>IF(AR51,ROWS($AR$2:AR51),"")</f>
        <v>50</v>
      </c>
      <c r="AT51">
        <f>IFERROR(SMALL($AS$2:$AS$440,ROWS($AS$2:AS51)),"")</f>
        <v>50</v>
      </c>
      <c r="AU51">
        <f>IF(AT51&lt;&gt;"",INDEX($AE$2:$AP$440,MATCH($AT51,$AS$2:$AS$440,0),COLUMNS($AT$2:AT51)),"")</f>
        <v>2002</v>
      </c>
      <c r="AV51">
        <f>IF(AU51&lt;&gt;"",INDEX($AE$2:$AP$440,MATCH($AT51,$AS$2:$AS$440,0),COLUMNS($AT$2:AU51)),"")</f>
        <v>10</v>
      </c>
      <c r="AW51" t="str">
        <f>IF(AV51&lt;&gt;"",INDEX($AE$2:$AP$440,MATCH($AT51,$AS$2:$AS$440,0),COLUMNS($AT$2:AV51)),"")</f>
        <v>Tottenham Hotspur</v>
      </c>
      <c r="AX51">
        <f>IF(AW51&lt;&gt;"",INDEX($AE$2:$AP$440,MATCH($AT51,$AS$2:$AS$440,0),COLUMNS($AT$2:AW51)),"")</f>
        <v>38</v>
      </c>
      <c r="AY51">
        <f>IF(AX51&lt;&gt;"",INDEX($AE$2:$AP$440,MATCH($AT51,$AS$2:$AS$440,0),COLUMNS($AT$2:AX51)),"")</f>
        <v>14</v>
      </c>
      <c r="AZ51">
        <f>IF(AY51&lt;&gt;"",INDEX($AE$2:$AP$440,MATCH($AT51,$AS$2:$AS$440,0),COLUMNS($AT$2:AY51)),"")</f>
        <v>8</v>
      </c>
      <c r="BA51">
        <f>IF(AZ51&lt;&gt;"",INDEX($AE$2:$AP$440,MATCH($AT51,$AS$2:$AS$440,0),COLUMNS($AT$2:AZ51)),"")</f>
        <v>16</v>
      </c>
      <c r="BB51">
        <f>IF(BA51&lt;&gt;"",INDEX($AE$2:$AP$440,MATCH($AT51,$AS$2:$AS$440,0),COLUMNS($AT$2:BA51)),"")</f>
        <v>51</v>
      </c>
      <c r="BC51">
        <f>IF(BB51&lt;&gt;"",INDEX($AE$2:$AP$440,MATCH($AT51,$AS$2:$AS$440,0),COLUMNS($AT$2:BB51)),"")</f>
        <v>62</v>
      </c>
      <c r="BD51">
        <f>IF(BC51&lt;&gt;"",INDEX($AE$2:$AP$440,MATCH($AT51,$AS$2:$AS$440,0),COLUMNS($AT$2:BC51)),"")</f>
        <v>-11</v>
      </c>
      <c r="BE51">
        <f>IF(BD51&lt;&gt;"",INDEX($AE$2:$AP$440,MATCH($AT51,$AS$2:$AS$440,0),COLUMNS($AT$2:BD51)),"")</f>
        <v>50</v>
      </c>
      <c r="BF51">
        <f>IF(BE51&lt;&gt;"",INDEX($AE$2:$AP$440,MATCH($AT51,$AS$2:$AS$440,0),COLUMNS($AT$2:BE51)),"")</f>
        <v>10</v>
      </c>
      <c r="BU51" s="1">
        <v>2016</v>
      </c>
      <c r="BV51" s="1">
        <v>19</v>
      </c>
      <c r="BW51" s="1" t="s">
        <v>24</v>
      </c>
      <c r="BX51" s="1">
        <v>38</v>
      </c>
      <c r="BY51" s="1">
        <v>5</v>
      </c>
      <c r="BZ51" s="1">
        <v>13</v>
      </c>
      <c r="CA51" s="1">
        <v>20</v>
      </c>
      <c r="CB51" s="1">
        <v>27</v>
      </c>
      <c r="CC51" s="1">
        <v>53</v>
      </c>
      <c r="CD51" s="1">
        <v>-26</v>
      </c>
      <c r="CE51" s="1">
        <v>28</v>
      </c>
      <c r="CF51" s="17">
        <f t="shared" si="3"/>
        <v>0.13157894736842105</v>
      </c>
    </row>
    <row r="52" spans="1:84" x14ac:dyDescent="0.25">
      <c r="A52" s="3">
        <v>2002</v>
      </c>
      <c r="B52" s="3">
        <v>11</v>
      </c>
      <c r="C52" s="4" t="s">
        <v>24</v>
      </c>
      <c r="D52" s="3">
        <v>38</v>
      </c>
      <c r="E52" s="3">
        <v>13</v>
      </c>
      <c r="F52" s="3">
        <v>10</v>
      </c>
      <c r="G52" s="3">
        <v>15</v>
      </c>
      <c r="H52" s="3">
        <v>48</v>
      </c>
      <c r="I52" s="3">
        <v>44</v>
      </c>
      <c r="J52" s="3">
        <v>4</v>
      </c>
      <c r="K52" s="3">
        <v>49</v>
      </c>
      <c r="L52" s="5">
        <f>IF(Table2[[#This Row],['#]]=1,"Champion", IF(Table2[[#This Row],['#]]&gt;=18,"Relegated",Table2[[#This Row],['#]]))</f>
        <v>11</v>
      </c>
      <c r="N52">
        <f>IF(COUNTIF($O$2:O52,O52)=1,N51+1,N51)</f>
        <v>23</v>
      </c>
      <c r="O52" s="4" t="str">
        <f>Table2[[#This Row],[Team]]</f>
        <v>Middlesbrough</v>
      </c>
      <c r="P52" s="1" t="str">
        <f>IFERROR(VLOOKUP(ROWS($O$2:O52),$N$2:$O$441,2,0),"")</f>
        <v/>
      </c>
      <c r="Q52" s="1" t="str">
        <f>IF(P52&lt;&gt;"",SUMPRODUCT(--(Table2[Team]=P52)),"")</f>
        <v/>
      </c>
      <c r="R52" s="11" t="str">
        <f>IF(Q52&lt;&gt;"",Q52+ROWS($Q$2:Q52)/100,"")</f>
        <v/>
      </c>
      <c r="S52" t="str">
        <f>IF(R52&lt;&gt;"",LARGE($R$2:$R$441,ROWS($R$2:R52)),"")</f>
        <v/>
      </c>
      <c r="T52" s="1" t="str">
        <f>IF(R52&lt;&gt;"",INDEX($P$2:$Q$441,MATCH($S52,$R$2:$R$441,0),COLUMNS($S$2:S52)),"")</f>
        <v/>
      </c>
      <c r="U52" s="1" t="str">
        <f>IF(S52&lt;&gt;"",INDEX($P$2:$Q$441,MATCH($S52,$R$2:$R$441,0),COLUMNS($S$2:T52)),"")</f>
        <v/>
      </c>
      <c r="AE52" s="1">
        <f>Table2[[#This Row],[Year]]</f>
        <v>2002</v>
      </c>
      <c r="AF52" s="1">
        <f>Table2[[#This Row],['#]]</f>
        <v>11</v>
      </c>
      <c r="AG52" s="1" t="str">
        <f>Table2[[#This Row],[Team]]</f>
        <v>Middlesbrough</v>
      </c>
      <c r="AH52" s="1">
        <f>Table2[[#This Row],[Pl]]</f>
        <v>38</v>
      </c>
      <c r="AI52" s="1">
        <f>Table2[[#This Row],[W]]</f>
        <v>13</v>
      </c>
      <c r="AJ52" s="1">
        <f>Table2[[#This Row],[D]]</f>
        <v>10</v>
      </c>
      <c r="AK52" s="1">
        <f>Table2[[#This Row],[L]]</f>
        <v>15</v>
      </c>
      <c r="AL52" s="1">
        <f>Table2[[#This Row],[F]]</f>
        <v>48</v>
      </c>
      <c r="AM52" s="1">
        <f>Table2[[#This Row],[A]]</f>
        <v>44</v>
      </c>
      <c r="AN52" s="1">
        <f>Table2[[#This Row],[GD]]</f>
        <v>4</v>
      </c>
      <c r="AO52" s="1">
        <f>Table2[[#This Row],[Pts]]</f>
        <v>49</v>
      </c>
      <c r="AP52" s="1">
        <f>Table2[[#This Row],[Column1]]</f>
        <v>11</v>
      </c>
      <c r="AR52" t="b">
        <f t="shared" si="1"/>
        <v>1</v>
      </c>
      <c r="AS52">
        <f>IF(AR52,ROWS($AR$2:AR52),"")</f>
        <v>51</v>
      </c>
      <c r="AT52">
        <f>IFERROR(SMALL($AS$2:$AS$440,ROWS($AS$2:AS52)),"")</f>
        <v>51</v>
      </c>
      <c r="AU52">
        <f>IF(AT52&lt;&gt;"",INDEX($AE$2:$AP$440,MATCH($AT52,$AS$2:$AS$440,0),COLUMNS($AT$2:AT52)),"")</f>
        <v>2002</v>
      </c>
      <c r="AV52">
        <f>IF(AU52&lt;&gt;"",INDEX($AE$2:$AP$440,MATCH($AT52,$AS$2:$AS$440,0),COLUMNS($AT$2:AU52)),"")</f>
        <v>11</v>
      </c>
      <c r="AW52" t="str">
        <f>IF(AV52&lt;&gt;"",INDEX($AE$2:$AP$440,MATCH($AT52,$AS$2:$AS$440,0),COLUMNS($AT$2:AV52)),"")</f>
        <v>Middlesbrough</v>
      </c>
      <c r="AX52">
        <f>IF(AW52&lt;&gt;"",INDEX($AE$2:$AP$440,MATCH($AT52,$AS$2:$AS$440,0),COLUMNS($AT$2:AW52)),"")</f>
        <v>38</v>
      </c>
      <c r="AY52">
        <f>IF(AX52&lt;&gt;"",INDEX($AE$2:$AP$440,MATCH($AT52,$AS$2:$AS$440,0),COLUMNS($AT$2:AX52)),"")</f>
        <v>13</v>
      </c>
      <c r="AZ52">
        <f>IF(AY52&lt;&gt;"",INDEX($AE$2:$AP$440,MATCH($AT52,$AS$2:$AS$440,0),COLUMNS($AT$2:AY52)),"")</f>
        <v>10</v>
      </c>
      <c r="BA52">
        <f>IF(AZ52&lt;&gt;"",INDEX($AE$2:$AP$440,MATCH($AT52,$AS$2:$AS$440,0),COLUMNS($AT$2:AZ52)),"")</f>
        <v>15</v>
      </c>
      <c r="BB52">
        <f>IF(BA52&lt;&gt;"",INDEX($AE$2:$AP$440,MATCH($AT52,$AS$2:$AS$440,0),COLUMNS($AT$2:BA52)),"")</f>
        <v>48</v>
      </c>
      <c r="BC52">
        <f>IF(BB52&lt;&gt;"",INDEX($AE$2:$AP$440,MATCH($AT52,$AS$2:$AS$440,0),COLUMNS($AT$2:BB52)),"")</f>
        <v>44</v>
      </c>
      <c r="BD52">
        <f>IF(BC52&lt;&gt;"",INDEX($AE$2:$AP$440,MATCH($AT52,$AS$2:$AS$440,0),COLUMNS($AT$2:BC52)),"")</f>
        <v>4</v>
      </c>
      <c r="BE52">
        <f>IF(BD52&lt;&gt;"",INDEX($AE$2:$AP$440,MATCH($AT52,$AS$2:$AS$440,0),COLUMNS($AT$2:BD52)),"")</f>
        <v>49</v>
      </c>
      <c r="BF52">
        <f>IF(BE52&lt;&gt;"",INDEX($AE$2:$AP$440,MATCH($AT52,$AS$2:$AS$440,0),COLUMNS($AT$2:BE52)),"")</f>
        <v>11</v>
      </c>
      <c r="BU52" s="1">
        <v>2016</v>
      </c>
      <c r="BV52" s="1">
        <v>20</v>
      </c>
      <c r="BW52" s="1" t="s">
        <v>17</v>
      </c>
      <c r="BX52" s="1">
        <v>38</v>
      </c>
      <c r="BY52" s="1">
        <v>6</v>
      </c>
      <c r="BZ52" s="1">
        <v>6</v>
      </c>
      <c r="CA52" s="1">
        <v>26</v>
      </c>
      <c r="CB52" s="1">
        <v>29</v>
      </c>
      <c r="CC52" s="1">
        <v>69</v>
      </c>
      <c r="CD52" s="1">
        <v>-40</v>
      </c>
      <c r="CE52" s="1">
        <v>24</v>
      </c>
      <c r="CF52" s="17">
        <f t="shared" si="3"/>
        <v>0.15789473684210525</v>
      </c>
    </row>
    <row r="53" spans="1:84" x14ac:dyDescent="0.25">
      <c r="A53" s="5">
        <v>2002</v>
      </c>
      <c r="B53" s="5">
        <v>12</v>
      </c>
      <c r="C53" s="6" t="s">
        <v>19</v>
      </c>
      <c r="D53" s="5">
        <v>38</v>
      </c>
      <c r="E53" s="5">
        <v>14</v>
      </c>
      <c r="F53" s="5">
        <v>7</v>
      </c>
      <c r="G53" s="5">
        <v>17</v>
      </c>
      <c r="H53" s="5">
        <v>45</v>
      </c>
      <c r="I53" s="5">
        <v>56</v>
      </c>
      <c r="J53" s="5">
        <v>-11</v>
      </c>
      <c r="K53" s="5">
        <v>49</v>
      </c>
      <c r="L53" s="5">
        <f>IF(Table2[[#This Row],['#]]=1,"Champion", IF(Table2[[#This Row],['#]]&gt;=18,"Relegated",Table2[[#This Row],['#]]))</f>
        <v>12</v>
      </c>
      <c r="N53">
        <f>IF(COUNTIF($O$2:O53,O53)=1,N52+1,N52)</f>
        <v>23</v>
      </c>
      <c r="O53" s="4" t="str">
        <f>Table2[[#This Row],[Team]]</f>
        <v>Charlton Athletic</v>
      </c>
      <c r="P53" s="1" t="str">
        <f>IFERROR(VLOOKUP(ROWS($O$2:O53),$N$2:$O$441,2,0),"")</f>
        <v/>
      </c>
      <c r="Q53" s="1" t="str">
        <f>IF(P53&lt;&gt;"",SUMPRODUCT(--(Table2[Team]=P53)),"")</f>
        <v/>
      </c>
      <c r="R53" s="11" t="str">
        <f>IF(Q53&lt;&gt;"",Q53+ROWS($Q$2:Q53)/100,"")</f>
        <v/>
      </c>
      <c r="S53" t="str">
        <f>IF(R53&lt;&gt;"",LARGE($R$2:$R$441,ROWS($R$2:R53)),"")</f>
        <v/>
      </c>
      <c r="T53" s="1" t="str">
        <f>IF(R53&lt;&gt;"",INDEX($P$2:$Q$441,MATCH($S53,$R$2:$R$441,0),COLUMNS($S$2:S53)),"")</f>
        <v/>
      </c>
      <c r="U53" s="1" t="str">
        <f>IF(S53&lt;&gt;"",INDEX($P$2:$Q$441,MATCH($S53,$R$2:$R$441,0),COLUMNS($S$2:T53)),"")</f>
        <v/>
      </c>
      <c r="AE53" s="1">
        <f>Table2[[#This Row],[Year]]</f>
        <v>2002</v>
      </c>
      <c r="AF53" s="1">
        <f>Table2[[#This Row],['#]]</f>
        <v>12</v>
      </c>
      <c r="AG53" s="1" t="str">
        <f>Table2[[#This Row],[Team]]</f>
        <v>Charlton Athletic</v>
      </c>
      <c r="AH53" s="1">
        <f>Table2[[#This Row],[Pl]]</f>
        <v>38</v>
      </c>
      <c r="AI53" s="1">
        <f>Table2[[#This Row],[W]]</f>
        <v>14</v>
      </c>
      <c r="AJ53" s="1">
        <f>Table2[[#This Row],[D]]</f>
        <v>7</v>
      </c>
      <c r="AK53" s="1">
        <f>Table2[[#This Row],[L]]</f>
        <v>17</v>
      </c>
      <c r="AL53" s="1">
        <f>Table2[[#This Row],[F]]</f>
        <v>45</v>
      </c>
      <c r="AM53" s="1">
        <f>Table2[[#This Row],[A]]</f>
        <v>56</v>
      </c>
      <c r="AN53" s="1">
        <f>Table2[[#This Row],[GD]]</f>
        <v>-11</v>
      </c>
      <c r="AO53" s="1">
        <f>Table2[[#This Row],[Pts]]</f>
        <v>49</v>
      </c>
      <c r="AP53" s="1">
        <f>Table2[[#This Row],[Column1]]</f>
        <v>12</v>
      </c>
      <c r="AR53" t="b">
        <f t="shared" si="1"/>
        <v>1</v>
      </c>
      <c r="AS53">
        <f>IF(AR53,ROWS($AR$2:AR53),"")</f>
        <v>52</v>
      </c>
      <c r="AT53">
        <f>IFERROR(SMALL($AS$2:$AS$440,ROWS($AS$2:AS53)),"")</f>
        <v>52</v>
      </c>
      <c r="AU53">
        <f>IF(AT53&lt;&gt;"",INDEX($AE$2:$AP$440,MATCH($AT53,$AS$2:$AS$440,0),COLUMNS($AT$2:AT53)),"")</f>
        <v>2002</v>
      </c>
      <c r="AV53">
        <f>IF(AU53&lt;&gt;"",INDEX($AE$2:$AP$440,MATCH($AT53,$AS$2:$AS$440,0),COLUMNS($AT$2:AU53)),"")</f>
        <v>12</v>
      </c>
      <c r="AW53" t="str">
        <f>IF(AV53&lt;&gt;"",INDEX($AE$2:$AP$440,MATCH($AT53,$AS$2:$AS$440,0),COLUMNS($AT$2:AV53)),"")</f>
        <v>Charlton Athletic</v>
      </c>
      <c r="AX53">
        <f>IF(AW53&lt;&gt;"",INDEX($AE$2:$AP$440,MATCH($AT53,$AS$2:$AS$440,0),COLUMNS($AT$2:AW53)),"")</f>
        <v>38</v>
      </c>
      <c r="AY53">
        <f>IF(AX53&lt;&gt;"",INDEX($AE$2:$AP$440,MATCH($AT53,$AS$2:$AS$440,0),COLUMNS($AT$2:AX53)),"")</f>
        <v>14</v>
      </c>
      <c r="AZ53">
        <f>IF(AY53&lt;&gt;"",INDEX($AE$2:$AP$440,MATCH($AT53,$AS$2:$AS$440,0),COLUMNS($AT$2:AY53)),"")</f>
        <v>7</v>
      </c>
      <c r="BA53">
        <f>IF(AZ53&lt;&gt;"",INDEX($AE$2:$AP$440,MATCH($AT53,$AS$2:$AS$440,0),COLUMNS($AT$2:AZ53)),"")</f>
        <v>17</v>
      </c>
      <c r="BB53">
        <f>IF(BA53&lt;&gt;"",INDEX($AE$2:$AP$440,MATCH($AT53,$AS$2:$AS$440,0),COLUMNS($AT$2:BA53)),"")</f>
        <v>45</v>
      </c>
      <c r="BC53">
        <f>IF(BB53&lt;&gt;"",INDEX($AE$2:$AP$440,MATCH($AT53,$AS$2:$AS$440,0),COLUMNS($AT$2:BB53)),"")</f>
        <v>56</v>
      </c>
      <c r="BD53">
        <f>IF(BC53&lt;&gt;"",INDEX($AE$2:$AP$440,MATCH($AT53,$AS$2:$AS$440,0),COLUMNS($AT$2:BC53)),"")</f>
        <v>-11</v>
      </c>
      <c r="BE53">
        <f>IF(BD53&lt;&gt;"",INDEX($AE$2:$AP$440,MATCH($AT53,$AS$2:$AS$440,0),COLUMNS($AT$2:BD53)),"")</f>
        <v>49</v>
      </c>
      <c r="BF53">
        <f>IF(BE53&lt;&gt;"",INDEX($AE$2:$AP$440,MATCH($AT53,$AS$2:$AS$440,0),COLUMNS($AT$2:BE53)),"")</f>
        <v>12</v>
      </c>
      <c r="BU53" s="1">
        <v>2017</v>
      </c>
      <c r="BV53" s="1">
        <v>18</v>
      </c>
      <c r="BW53" s="1" t="s">
        <v>48</v>
      </c>
      <c r="BX53" s="1">
        <v>38</v>
      </c>
      <c r="BY53" s="1">
        <v>8</v>
      </c>
      <c r="BZ53" s="1">
        <v>9</v>
      </c>
      <c r="CA53" s="1">
        <v>21</v>
      </c>
      <c r="CB53" s="1">
        <v>28</v>
      </c>
      <c r="CC53" s="1">
        <v>56</v>
      </c>
      <c r="CD53" s="1">
        <v>-28</v>
      </c>
      <c r="CE53" s="1">
        <v>33</v>
      </c>
      <c r="CF53" s="17">
        <f t="shared" si="3"/>
        <v>0.21052631578947367</v>
      </c>
    </row>
    <row r="54" spans="1:84" x14ac:dyDescent="0.25">
      <c r="A54" s="3">
        <v>2002</v>
      </c>
      <c r="B54" s="3">
        <v>13</v>
      </c>
      <c r="C54" s="4" t="s">
        <v>34</v>
      </c>
      <c r="D54" s="3">
        <v>38</v>
      </c>
      <c r="E54" s="3">
        <v>13</v>
      </c>
      <c r="F54" s="3">
        <v>9</v>
      </c>
      <c r="G54" s="3">
        <v>16</v>
      </c>
      <c r="H54" s="3">
        <v>41</v>
      </c>
      <c r="I54" s="3">
        <v>49</v>
      </c>
      <c r="J54" s="3">
        <v>-8</v>
      </c>
      <c r="K54" s="3">
        <v>48</v>
      </c>
      <c r="L54" s="5">
        <f>IF(Table2[[#This Row],['#]]=1,"Champion", IF(Table2[[#This Row],['#]]&gt;=18,"Relegated",Table2[[#This Row],['#]]))</f>
        <v>13</v>
      </c>
      <c r="N54">
        <f>IF(COUNTIF($O$2:O54,O54)=1,N53+1,N53)</f>
        <v>24</v>
      </c>
      <c r="O54" s="4" t="str">
        <f>Table2[[#This Row],[Team]]</f>
        <v>Birmingham City</v>
      </c>
      <c r="P54" s="1" t="str">
        <f>IFERROR(VLOOKUP(ROWS($O$2:O54),$N$2:$O$441,2,0),"")</f>
        <v/>
      </c>
      <c r="Q54" s="1" t="str">
        <f>IF(P54&lt;&gt;"",SUMPRODUCT(--(Table2[Team]=P54)),"")</f>
        <v/>
      </c>
      <c r="R54" s="11" t="str">
        <f>IF(Q54&lt;&gt;"",Q54+ROWS($Q$2:Q54)/100,"")</f>
        <v/>
      </c>
      <c r="S54" t="str">
        <f>IF(R54&lt;&gt;"",LARGE($R$2:$R$441,ROWS($R$2:R54)),"")</f>
        <v/>
      </c>
      <c r="T54" s="1" t="str">
        <f>IF(R54&lt;&gt;"",INDEX($P$2:$Q$441,MATCH($S54,$R$2:$R$441,0),COLUMNS($S$2:S54)),"")</f>
        <v/>
      </c>
      <c r="U54" s="1" t="str">
        <f>IF(S54&lt;&gt;"",INDEX($P$2:$Q$441,MATCH($S54,$R$2:$R$441,0),COLUMNS($S$2:T54)),"")</f>
        <v/>
      </c>
      <c r="AE54" s="1">
        <f>Table2[[#This Row],[Year]]</f>
        <v>2002</v>
      </c>
      <c r="AF54" s="1">
        <f>Table2[[#This Row],['#]]</f>
        <v>13</v>
      </c>
      <c r="AG54" s="1" t="str">
        <f>Table2[[#This Row],[Team]]</f>
        <v>Birmingham City</v>
      </c>
      <c r="AH54" s="1">
        <f>Table2[[#This Row],[Pl]]</f>
        <v>38</v>
      </c>
      <c r="AI54" s="1">
        <f>Table2[[#This Row],[W]]</f>
        <v>13</v>
      </c>
      <c r="AJ54" s="1">
        <f>Table2[[#This Row],[D]]</f>
        <v>9</v>
      </c>
      <c r="AK54" s="1">
        <f>Table2[[#This Row],[L]]</f>
        <v>16</v>
      </c>
      <c r="AL54" s="1">
        <f>Table2[[#This Row],[F]]</f>
        <v>41</v>
      </c>
      <c r="AM54" s="1">
        <f>Table2[[#This Row],[A]]</f>
        <v>49</v>
      </c>
      <c r="AN54" s="1">
        <f>Table2[[#This Row],[GD]]</f>
        <v>-8</v>
      </c>
      <c r="AO54" s="1">
        <f>Table2[[#This Row],[Pts]]</f>
        <v>48</v>
      </c>
      <c r="AP54" s="1">
        <f>Table2[[#This Row],[Column1]]</f>
        <v>13</v>
      </c>
      <c r="AR54" t="b">
        <f t="shared" si="1"/>
        <v>1</v>
      </c>
      <c r="AS54">
        <f>IF(AR54,ROWS($AR$2:AR54),"")</f>
        <v>53</v>
      </c>
      <c r="AT54">
        <f>IFERROR(SMALL($AS$2:$AS$440,ROWS($AS$2:AS54)),"")</f>
        <v>53</v>
      </c>
      <c r="AU54">
        <f>IF(AT54&lt;&gt;"",INDEX($AE$2:$AP$440,MATCH($AT54,$AS$2:$AS$440,0),COLUMNS($AT$2:AT54)),"")</f>
        <v>2002</v>
      </c>
      <c r="AV54">
        <f>IF(AU54&lt;&gt;"",INDEX($AE$2:$AP$440,MATCH($AT54,$AS$2:$AS$440,0),COLUMNS($AT$2:AU54)),"")</f>
        <v>13</v>
      </c>
      <c r="AW54" t="str">
        <f>IF(AV54&lt;&gt;"",INDEX($AE$2:$AP$440,MATCH($AT54,$AS$2:$AS$440,0),COLUMNS($AT$2:AV54)),"")</f>
        <v>Birmingham City</v>
      </c>
      <c r="AX54">
        <f>IF(AW54&lt;&gt;"",INDEX($AE$2:$AP$440,MATCH($AT54,$AS$2:$AS$440,0),COLUMNS($AT$2:AW54)),"")</f>
        <v>38</v>
      </c>
      <c r="AY54">
        <f>IF(AX54&lt;&gt;"",INDEX($AE$2:$AP$440,MATCH($AT54,$AS$2:$AS$440,0),COLUMNS($AT$2:AX54)),"")</f>
        <v>13</v>
      </c>
      <c r="AZ54">
        <f>IF(AY54&lt;&gt;"",INDEX($AE$2:$AP$440,MATCH($AT54,$AS$2:$AS$440,0),COLUMNS($AT$2:AY54)),"")</f>
        <v>9</v>
      </c>
      <c r="BA54">
        <f>IF(AZ54&lt;&gt;"",INDEX($AE$2:$AP$440,MATCH($AT54,$AS$2:$AS$440,0),COLUMNS($AT$2:AZ54)),"")</f>
        <v>16</v>
      </c>
      <c r="BB54">
        <f>IF(BA54&lt;&gt;"",INDEX($AE$2:$AP$440,MATCH($AT54,$AS$2:$AS$440,0),COLUMNS($AT$2:BA54)),"")</f>
        <v>41</v>
      </c>
      <c r="BC54">
        <f>IF(BB54&lt;&gt;"",INDEX($AE$2:$AP$440,MATCH($AT54,$AS$2:$AS$440,0),COLUMNS($AT$2:BB54)),"")</f>
        <v>49</v>
      </c>
      <c r="BD54">
        <f>IF(BC54&lt;&gt;"",INDEX($AE$2:$AP$440,MATCH($AT54,$AS$2:$AS$440,0),COLUMNS($AT$2:BC54)),"")</f>
        <v>-8</v>
      </c>
      <c r="BE54">
        <f>IF(BD54&lt;&gt;"",INDEX($AE$2:$AP$440,MATCH($AT54,$AS$2:$AS$440,0),COLUMNS($AT$2:BD54)),"")</f>
        <v>48</v>
      </c>
      <c r="BF54">
        <f>IF(BE54&lt;&gt;"",INDEX($AE$2:$AP$440,MATCH($AT54,$AS$2:$AS$440,0),COLUMNS($AT$2:BE54)),"")</f>
        <v>13</v>
      </c>
      <c r="BU54" s="1">
        <v>2017</v>
      </c>
      <c r="BV54" s="1">
        <v>19</v>
      </c>
      <c r="BW54" s="1" t="s">
        <v>44</v>
      </c>
      <c r="BX54" s="1">
        <v>38</v>
      </c>
      <c r="BY54" s="1">
        <v>7</v>
      </c>
      <c r="BZ54" s="1">
        <v>12</v>
      </c>
      <c r="CA54" s="1">
        <v>19</v>
      </c>
      <c r="CB54" s="1">
        <v>35</v>
      </c>
      <c r="CC54" s="1">
        <v>68</v>
      </c>
      <c r="CD54" s="1">
        <v>-33</v>
      </c>
      <c r="CE54" s="1">
        <v>33</v>
      </c>
      <c r="CF54" s="17">
        <f t="shared" si="3"/>
        <v>0.18421052631578946</v>
      </c>
    </row>
    <row r="55" spans="1:84" x14ac:dyDescent="0.25">
      <c r="A55" s="5">
        <v>2002</v>
      </c>
      <c r="B55" s="5">
        <v>14</v>
      </c>
      <c r="C55" s="6" t="s">
        <v>32</v>
      </c>
      <c r="D55" s="5">
        <v>38</v>
      </c>
      <c r="E55" s="5">
        <v>13</v>
      </c>
      <c r="F55" s="5">
        <v>9</v>
      </c>
      <c r="G55" s="5">
        <v>16</v>
      </c>
      <c r="H55" s="5">
        <v>41</v>
      </c>
      <c r="I55" s="5">
        <v>50</v>
      </c>
      <c r="J55" s="5">
        <v>-9</v>
      </c>
      <c r="K55" s="5">
        <v>48</v>
      </c>
      <c r="L55" s="5">
        <f>IF(Table2[[#This Row],['#]]=1,"Champion", IF(Table2[[#This Row],['#]]&gt;=18,"Relegated",Table2[[#This Row],['#]]))</f>
        <v>14</v>
      </c>
      <c r="N55">
        <f>IF(COUNTIF($O$2:O55,O55)=1,N54+1,N54)</f>
        <v>24</v>
      </c>
      <c r="O55" s="4" t="str">
        <f>Table2[[#This Row],[Team]]</f>
        <v>Fulham</v>
      </c>
      <c r="P55" s="1" t="str">
        <f>IFERROR(VLOOKUP(ROWS($O$2:O55),$N$2:$O$441,2,0),"")</f>
        <v/>
      </c>
      <c r="Q55" s="1" t="str">
        <f>IF(P55&lt;&gt;"",SUMPRODUCT(--(Table2[Team]=P55)),"")</f>
        <v/>
      </c>
      <c r="R55" s="11" t="str">
        <f>IF(Q55&lt;&gt;"",Q55+ROWS($Q$2:Q55)/100,"")</f>
        <v/>
      </c>
      <c r="S55" t="str">
        <f>IF(R55&lt;&gt;"",LARGE($R$2:$R$441,ROWS($R$2:R55)),"")</f>
        <v/>
      </c>
      <c r="T55" s="1" t="str">
        <f>IF(R55&lt;&gt;"",INDEX($P$2:$Q$441,MATCH($S55,$R$2:$R$441,0),COLUMNS($S$2:S55)),"")</f>
        <v/>
      </c>
      <c r="U55" s="1" t="str">
        <f>IF(S55&lt;&gt;"",INDEX($P$2:$Q$441,MATCH($S55,$R$2:$R$441,0),COLUMNS($S$2:T55)),"")</f>
        <v/>
      </c>
      <c r="AE55" s="1">
        <f>Table2[[#This Row],[Year]]</f>
        <v>2002</v>
      </c>
      <c r="AF55" s="1">
        <f>Table2[[#This Row],['#]]</f>
        <v>14</v>
      </c>
      <c r="AG55" s="1" t="str">
        <f>Table2[[#This Row],[Team]]</f>
        <v>Fulham</v>
      </c>
      <c r="AH55" s="1">
        <f>Table2[[#This Row],[Pl]]</f>
        <v>38</v>
      </c>
      <c r="AI55" s="1">
        <f>Table2[[#This Row],[W]]</f>
        <v>13</v>
      </c>
      <c r="AJ55" s="1">
        <f>Table2[[#This Row],[D]]</f>
        <v>9</v>
      </c>
      <c r="AK55" s="1">
        <f>Table2[[#This Row],[L]]</f>
        <v>16</v>
      </c>
      <c r="AL55" s="1">
        <f>Table2[[#This Row],[F]]</f>
        <v>41</v>
      </c>
      <c r="AM55" s="1">
        <f>Table2[[#This Row],[A]]</f>
        <v>50</v>
      </c>
      <c r="AN55" s="1">
        <f>Table2[[#This Row],[GD]]</f>
        <v>-9</v>
      </c>
      <c r="AO55" s="1">
        <f>Table2[[#This Row],[Pts]]</f>
        <v>48</v>
      </c>
      <c r="AP55" s="1">
        <f>Table2[[#This Row],[Column1]]</f>
        <v>14</v>
      </c>
      <c r="AR55" t="b">
        <f t="shared" si="1"/>
        <v>1</v>
      </c>
      <c r="AS55">
        <f>IF(AR55,ROWS($AR$2:AR55),"")</f>
        <v>54</v>
      </c>
      <c r="AT55">
        <f>IFERROR(SMALL($AS$2:$AS$440,ROWS($AS$2:AS55)),"")</f>
        <v>54</v>
      </c>
      <c r="AU55">
        <f>IF(AT55&lt;&gt;"",INDEX($AE$2:$AP$440,MATCH($AT55,$AS$2:$AS$440,0),COLUMNS($AT$2:AT55)),"")</f>
        <v>2002</v>
      </c>
      <c r="AV55">
        <f>IF(AU55&lt;&gt;"",INDEX($AE$2:$AP$440,MATCH($AT55,$AS$2:$AS$440,0),COLUMNS($AT$2:AU55)),"")</f>
        <v>14</v>
      </c>
      <c r="AW55" t="str">
        <f>IF(AV55&lt;&gt;"",INDEX($AE$2:$AP$440,MATCH($AT55,$AS$2:$AS$440,0),COLUMNS($AT$2:AV55)),"")</f>
        <v>Fulham</v>
      </c>
      <c r="AX55">
        <f>IF(AW55&lt;&gt;"",INDEX($AE$2:$AP$440,MATCH($AT55,$AS$2:$AS$440,0),COLUMNS($AT$2:AW55)),"")</f>
        <v>38</v>
      </c>
      <c r="AY55">
        <f>IF(AX55&lt;&gt;"",INDEX($AE$2:$AP$440,MATCH($AT55,$AS$2:$AS$440,0),COLUMNS($AT$2:AX55)),"")</f>
        <v>13</v>
      </c>
      <c r="AZ55">
        <f>IF(AY55&lt;&gt;"",INDEX($AE$2:$AP$440,MATCH($AT55,$AS$2:$AS$440,0),COLUMNS($AT$2:AY55)),"")</f>
        <v>9</v>
      </c>
      <c r="BA55">
        <f>IF(AZ55&lt;&gt;"",INDEX($AE$2:$AP$440,MATCH($AT55,$AS$2:$AS$440,0),COLUMNS($AT$2:AZ55)),"")</f>
        <v>16</v>
      </c>
      <c r="BB55">
        <f>IF(BA55&lt;&gt;"",INDEX($AE$2:$AP$440,MATCH($AT55,$AS$2:$AS$440,0),COLUMNS($AT$2:BA55)),"")</f>
        <v>41</v>
      </c>
      <c r="BC55">
        <f>IF(BB55&lt;&gt;"",INDEX($AE$2:$AP$440,MATCH($AT55,$AS$2:$AS$440,0),COLUMNS($AT$2:BB55)),"")</f>
        <v>50</v>
      </c>
      <c r="BD55">
        <f>IF(BC55&lt;&gt;"",INDEX($AE$2:$AP$440,MATCH($AT55,$AS$2:$AS$440,0),COLUMNS($AT$2:BC55)),"")</f>
        <v>-9</v>
      </c>
      <c r="BE55">
        <f>IF(BD55&lt;&gt;"",INDEX($AE$2:$AP$440,MATCH($AT55,$AS$2:$AS$440,0),COLUMNS($AT$2:BD55)),"")</f>
        <v>48</v>
      </c>
      <c r="BF55">
        <f>IF(BE55&lt;&gt;"",INDEX($AE$2:$AP$440,MATCH($AT55,$AS$2:$AS$440,0),COLUMNS($AT$2:BE55)),"")</f>
        <v>14</v>
      </c>
      <c r="BU55" s="1">
        <v>2017</v>
      </c>
      <c r="BV55" s="1">
        <v>20</v>
      </c>
      <c r="BW55" s="1" t="s">
        <v>35</v>
      </c>
      <c r="BX55" s="1">
        <v>38</v>
      </c>
      <c r="BY55" s="1">
        <v>6</v>
      </c>
      <c r="BZ55" s="1">
        <v>13</v>
      </c>
      <c r="CA55" s="1">
        <v>19</v>
      </c>
      <c r="CB55" s="1">
        <v>31</v>
      </c>
      <c r="CC55" s="1">
        <v>56</v>
      </c>
      <c r="CD55" s="1">
        <v>-25</v>
      </c>
      <c r="CE55" s="1">
        <v>31</v>
      </c>
      <c r="CF55" s="17">
        <f t="shared" si="3"/>
        <v>0.15789473684210525</v>
      </c>
    </row>
    <row r="56" spans="1:84" x14ac:dyDescent="0.25">
      <c r="A56" s="3">
        <v>2002</v>
      </c>
      <c r="B56" s="3">
        <v>15</v>
      </c>
      <c r="C56" s="4" t="s">
        <v>14</v>
      </c>
      <c r="D56" s="3">
        <v>38</v>
      </c>
      <c r="E56" s="3">
        <v>14</v>
      </c>
      <c r="F56" s="3">
        <v>5</v>
      </c>
      <c r="G56" s="3">
        <v>19</v>
      </c>
      <c r="H56" s="3">
        <v>58</v>
      </c>
      <c r="I56" s="3">
        <v>57</v>
      </c>
      <c r="J56" s="3">
        <v>1</v>
      </c>
      <c r="K56" s="3">
        <v>47</v>
      </c>
      <c r="L56" s="5">
        <f>IF(Table2[[#This Row],['#]]=1,"Champion", IF(Table2[[#This Row],['#]]&gt;=18,"Relegated",Table2[[#This Row],['#]]))</f>
        <v>15</v>
      </c>
      <c r="N56">
        <f>IF(COUNTIF($O$2:O56,O56)=1,N55+1,N55)</f>
        <v>24</v>
      </c>
      <c r="O56" s="4" t="str">
        <f>Table2[[#This Row],[Team]]</f>
        <v>Leeds United</v>
      </c>
      <c r="P56" s="1" t="str">
        <f>IFERROR(VLOOKUP(ROWS($O$2:O56),$N$2:$O$441,2,0),"")</f>
        <v/>
      </c>
      <c r="Q56" s="1" t="str">
        <f>IF(P56&lt;&gt;"",SUMPRODUCT(--(Table2[Team]=P56)),"")</f>
        <v/>
      </c>
      <c r="R56" s="11" t="str">
        <f>IF(Q56&lt;&gt;"",Q56+ROWS($Q$2:Q56)/100,"")</f>
        <v/>
      </c>
      <c r="S56" t="str">
        <f>IF(R56&lt;&gt;"",LARGE($R$2:$R$441,ROWS($R$2:R56)),"")</f>
        <v/>
      </c>
      <c r="T56" s="1" t="str">
        <f>IF(R56&lt;&gt;"",INDEX($P$2:$Q$441,MATCH($S56,$R$2:$R$441,0),COLUMNS($S$2:S56)),"")</f>
        <v/>
      </c>
      <c r="U56" s="1" t="str">
        <f>IF(S56&lt;&gt;"",INDEX($P$2:$Q$441,MATCH($S56,$R$2:$R$441,0),COLUMNS($S$2:T56)),"")</f>
        <v/>
      </c>
      <c r="AE56" s="1">
        <f>Table2[[#This Row],[Year]]</f>
        <v>2002</v>
      </c>
      <c r="AF56" s="1">
        <f>Table2[[#This Row],['#]]</f>
        <v>15</v>
      </c>
      <c r="AG56" s="1" t="str">
        <f>Table2[[#This Row],[Team]]</f>
        <v>Leeds United</v>
      </c>
      <c r="AH56" s="1">
        <f>Table2[[#This Row],[Pl]]</f>
        <v>38</v>
      </c>
      <c r="AI56" s="1">
        <f>Table2[[#This Row],[W]]</f>
        <v>14</v>
      </c>
      <c r="AJ56" s="1">
        <f>Table2[[#This Row],[D]]</f>
        <v>5</v>
      </c>
      <c r="AK56" s="1">
        <f>Table2[[#This Row],[L]]</f>
        <v>19</v>
      </c>
      <c r="AL56" s="1">
        <f>Table2[[#This Row],[F]]</f>
        <v>58</v>
      </c>
      <c r="AM56" s="1">
        <f>Table2[[#This Row],[A]]</f>
        <v>57</v>
      </c>
      <c r="AN56" s="1">
        <f>Table2[[#This Row],[GD]]</f>
        <v>1</v>
      </c>
      <c r="AO56" s="1">
        <f>Table2[[#This Row],[Pts]]</f>
        <v>47</v>
      </c>
      <c r="AP56" s="1">
        <f>Table2[[#This Row],[Column1]]</f>
        <v>15</v>
      </c>
      <c r="AR56" t="b">
        <f t="shared" si="1"/>
        <v>1</v>
      </c>
      <c r="AS56">
        <f>IF(AR56,ROWS($AR$2:AR56),"")</f>
        <v>55</v>
      </c>
      <c r="AT56">
        <f>IFERROR(SMALL($AS$2:$AS$440,ROWS($AS$2:AS56)),"")</f>
        <v>55</v>
      </c>
      <c r="AU56">
        <f>IF(AT56&lt;&gt;"",INDEX($AE$2:$AP$440,MATCH($AT56,$AS$2:$AS$440,0),COLUMNS($AT$2:AT56)),"")</f>
        <v>2002</v>
      </c>
      <c r="AV56">
        <f>IF(AU56&lt;&gt;"",INDEX($AE$2:$AP$440,MATCH($AT56,$AS$2:$AS$440,0),COLUMNS($AT$2:AU56)),"")</f>
        <v>15</v>
      </c>
      <c r="AW56" t="str">
        <f>IF(AV56&lt;&gt;"",INDEX($AE$2:$AP$440,MATCH($AT56,$AS$2:$AS$440,0),COLUMNS($AT$2:AV56)),"")</f>
        <v>Leeds United</v>
      </c>
      <c r="AX56">
        <f>IF(AW56&lt;&gt;"",INDEX($AE$2:$AP$440,MATCH($AT56,$AS$2:$AS$440,0),COLUMNS($AT$2:AW56)),"")</f>
        <v>38</v>
      </c>
      <c r="AY56">
        <f>IF(AX56&lt;&gt;"",INDEX($AE$2:$AP$440,MATCH($AT56,$AS$2:$AS$440,0),COLUMNS($AT$2:AX56)),"")</f>
        <v>14</v>
      </c>
      <c r="AZ56">
        <f>IF(AY56&lt;&gt;"",INDEX($AE$2:$AP$440,MATCH($AT56,$AS$2:$AS$440,0),COLUMNS($AT$2:AY56)),"")</f>
        <v>5</v>
      </c>
      <c r="BA56">
        <f>IF(AZ56&lt;&gt;"",INDEX($AE$2:$AP$440,MATCH($AT56,$AS$2:$AS$440,0),COLUMNS($AT$2:AZ56)),"")</f>
        <v>19</v>
      </c>
      <c r="BB56">
        <f>IF(BA56&lt;&gt;"",INDEX($AE$2:$AP$440,MATCH($AT56,$AS$2:$AS$440,0),COLUMNS($AT$2:BA56)),"")</f>
        <v>58</v>
      </c>
      <c r="BC56">
        <f>IF(BB56&lt;&gt;"",INDEX($AE$2:$AP$440,MATCH($AT56,$AS$2:$AS$440,0),COLUMNS($AT$2:BB56)),"")</f>
        <v>57</v>
      </c>
      <c r="BD56">
        <f>IF(BC56&lt;&gt;"",INDEX($AE$2:$AP$440,MATCH($AT56,$AS$2:$AS$440,0),COLUMNS($AT$2:BC56)),"")</f>
        <v>1</v>
      </c>
      <c r="BE56">
        <f>IF(BD56&lt;&gt;"",INDEX($AE$2:$AP$440,MATCH($AT56,$AS$2:$AS$440,0),COLUMNS($AT$2:BD56)),"")</f>
        <v>47</v>
      </c>
      <c r="BF56">
        <f>IF(BE56&lt;&gt;"",INDEX($AE$2:$AP$440,MATCH($AT56,$AS$2:$AS$440,0),COLUMNS($AT$2:BE56)),"")</f>
        <v>15</v>
      </c>
      <c r="BU56" s="1">
        <v>2018</v>
      </c>
      <c r="BV56" s="1">
        <v>18</v>
      </c>
      <c r="BW56" s="1" t="s">
        <v>50</v>
      </c>
      <c r="BX56" s="1">
        <v>38</v>
      </c>
      <c r="BY56" s="1">
        <v>10</v>
      </c>
      <c r="BZ56" s="1">
        <v>4</v>
      </c>
      <c r="CA56" s="1">
        <v>24</v>
      </c>
      <c r="CB56" s="1">
        <v>34</v>
      </c>
      <c r="CC56" s="1">
        <v>69</v>
      </c>
      <c r="CD56" s="1">
        <v>-35</v>
      </c>
      <c r="CE56" s="1">
        <v>34</v>
      </c>
      <c r="CF56" s="17">
        <f t="shared" si="3"/>
        <v>0.26315789473684209</v>
      </c>
    </row>
    <row r="57" spans="1:84" x14ac:dyDescent="0.25">
      <c r="A57" s="5">
        <v>2002</v>
      </c>
      <c r="B57" s="5">
        <v>16</v>
      </c>
      <c r="C57" s="6" t="s">
        <v>18</v>
      </c>
      <c r="D57" s="5">
        <v>38</v>
      </c>
      <c r="E57" s="5">
        <v>12</v>
      </c>
      <c r="F57" s="5">
        <v>9</v>
      </c>
      <c r="G57" s="5">
        <v>17</v>
      </c>
      <c r="H57" s="5">
        <v>42</v>
      </c>
      <c r="I57" s="5">
        <v>47</v>
      </c>
      <c r="J57" s="5">
        <v>-5</v>
      </c>
      <c r="K57" s="5">
        <v>45</v>
      </c>
      <c r="L57" s="5">
        <f>IF(Table2[[#This Row],['#]]=1,"Champion", IF(Table2[[#This Row],['#]]&gt;=18,"Relegated",Table2[[#This Row],['#]]))</f>
        <v>16</v>
      </c>
      <c r="N57">
        <f>IF(COUNTIF($O$2:O57,O57)=1,N56+1,N56)</f>
        <v>24</v>
      </c>
      <c r="O57" s="4" t="str">
        <f>Table2[[#This Row],[Team]]</f>
        <v>Aston Villa</v>
      </c>
      <c r="P57" s="1" t="str">
        <f>IFERROR(VLOOKUP(ROWS($O$2:O57),$N$2:$O$441,2,0),"")</f>
        <v/>
      </c>
      <c r="Q57" s="1" t="str">
        <f>IF(P57&lt;&gt;"",SUMPRODUCT(--(Table2[Team]=P57)),"")</f>
        <v/>
      </c>
      <c r="R57" s="11" t="str">
        <f>IF(Q57&lt;&gt;"",Q57+ROWS($Q$2:Q57)/100,"")</f>
        <v/>
      </c>
      <c r="S57" t="str">
        <f>IF(R57&lt;&gt;"",LARGE($R$2:$R$441,ROWS($R$2:R57)),"")</f>
        <v/>
      </c>
      <c r="T57" s="1" t="str">
        <f>IF(R57&lt;&gt;"",INDEX($P$2:$Q$441,MATCH($S57,$R$2:$R$441,0),COLUMNS($S$2:S57)),"")</f>
        <v/>
      </c>
      <c r="U57" s="1" t="str">
        <f>IF(S57&lt;&gt;"",INDEX($P$2:$Q$441,MATCH($S57,$R$2:$R$441,0),COLUMNS($S$2:T57)),"")</f>
        <v/>
      </c>
      <c r="AE57" s="1">
        <f>Table2[[#This Row],[Year]]</f>
        <v>2002</v>
      </c>
      <c r="AF57" s="1">
        <f>Table2[[#This Row],['#]]</f>
        <v>16</v>
      </c>
      <c r="AG57" s="1" t="str">
        <f>Table2[[#This Row],[Team]]</f>
        <v>Aston Villa</v>
      </c>
      <c r="AH57" s="1">
        <f>Table2[[#This Row],[Pl]]</f>
        <v>38</v>
      </c>
      <c r="AI57" s="1">
        <f>Table2[[#This Row],[W]]</f>
        <v>12</v>
      </c>
      <c r="AJ57" s="1">
        <f>Table2[[#This Row],[D]]</f>
        <v>9</v>
      </c>
      <c r="AK57" s="1">
        <f>Table2[[#This Row],[L]]</f>
        <v>17</v>
      </c>
      <c r="AL57" s="1">
        <f>Table2[[#This Row],[F]]</f>
        <v>42</v>
      </c>
      <c r="AM57" s="1">
        <f>Table2[[#This Row],[A]]</f>
        <v>47</v>
      </c>
      <c r="AN57" s="1">
        <f>Table2[[#This Row],[GD]]</f>
        <v>-5</v>
      </c>
      <c r="AO57" s="1">
        <f>Table2[[#This Row],[Pts]]</f>
        <v>45</v>
      </c>
      <c r="AP57" s="1">
        <f>Table2[[#This Row],[Column1]]</f>
        <v>16</v>
      </c>
      <c r="AR57" t="b">
        <f t="shared" si="1"/>
        <v>1</v>
      </c>
      <c r="AS57">
        <f>IF(AR57,ROWS($AR$2:AR57),"")</f>
        <v>56</v>
      </c>
      <c r="AT57">
        <f>IFERROR(SMALL($AS$2:$AS$440,ROWS($AS$2:AS57)),"")</f>
        <v>56</v>
      </c>
      <c r="AU57">
        <f>IF(AT57&lt;&gt;"",INDEX($AE$2:$AP$440,MATCH($AT57,$AS$2:$AS$440,0),COLUMNS($AT$2:AT57)),"")</f>
        <v>2002</v>
      </c>
      <c r="AV57">
        <f>IF(AU57&lt;&gt;"",INDEX($AE$2:$AP$440,MATCH($AT57,$AS$2:$AS$440,0),COLUMNS($AT$2:AU57)),"")</f>
        <v>16</v>
      </c>
      <c r="AW57" t="str">
        <f>IF(AV57&lt;&gt;"",INDEX($AE$2:$AP$440,MATCH($AT57,$AS$2:$AS$440,0),COLUMNS($AT$2:AV57)),"")</f>
        <v>Aston Villa</v>
      </c>
      <c r="AX57">
        <f>IF(AW57&lt;&gt;"",INDEX($AE$2:$AP$440,MATCH($AT57,$AS$2:$AS$440,0),COLUMNS($AT$2:AW57)),"")</f>
        <v>38</v>
      </c>
      <c r="AY57">
        <f>IF(AX57&lt;&gt;"",INDEX($AE$2:$AP$440,MATCH($AT57,$AS$2:$AS$440,0),COLUMNS($AT$2:AX57)),"")</f>
        <v>12</v>
      </c>
      <c r="AZ57">
        <f>IF(AY57&lt;&gt;"",INDEX($AE$2:$AP$440,MATCH($AT57,$AS$2:$AS$440,0),COLUMNS($AT$2:AY57)),"")</f>
        <v>9</v>
      </c>
      <c r="BA57">
        <f>IF(AZ57&lt;&gt;"",INDEX($AE$2:$AP$440,MATCH($AT57,$AS$2:$AS$440,0),COLUMNS($AT$2:AZ57)),"")</f>
        <v>17</v>
      </c>
      <c r="BB57">
        <f>IF(BA57&lt;&gt;"",INDEX($AE$2:$AP$440,MATCH($AT57,$AS$2:$AS$440,0),COLUMNS($AT$2:BA57)),"")</f>
        <v>42</v>
      </c>
      <c r="BC57">
        <f>IF(BB57&lt;&gt;"",INDEX($AE$2:$AP$440,MATCH($AT57,$AS$2:$AS$440,0),COLUMNS($AT$2:BB57)),"")</f>
        <v>47</v>
      </c>
      <c r="BD57">
        <f>IF(BC57&lt;&gt;"",INDEX($AE$2:$AP$440,MATCH($AT57,$AS$2:$AS$440,0),COLUMNS($AT$2:BC57)),"")</f>
        <v>-5</v>
      </c>
      <c r="BE57">
        <f>IF(BD57&lt;&gt;"",INDEX($AE$2:$AP$440,MATCH($AT57,$AS$2:$AS$440,0),COLUMNS($AT$2:BD57)),"")</f>
        <v>45</v>
      </c>
      <c r="BF57">
        <f>IF(BE57&lt;&gt;"",INDEX($AE$2:$AP$440,MATCH($AT57,$AS$2:$AS$440,0),COLUMNS($AT$2:BE57)),"")</f>
        <v>16</v>
      </c>
      <c r="BU57" s="1">
        <v>2018</v>
      </c>
      <c r="BV57" s="1">
        <v>19</v>
      </c>
      <c r="BW57" s="1" t="s">
        <v>32</v>
      </c>
      <c r="BX57" s="1">
        <v>38</v>
      </c>
      <c r="BY57" s="1">
        <v>7</v>
      </c>
      <c r="BZ57" s="1">
        <v>5</v>
      </c>
      <c r="CA57" s="1">
        <v>26</v>
      </c>
      <c r="CB57" s="1">
        <v>34</v>
      </c>
      <c r="CC57" s="1">
        <v>81</v>
      </c>
      <c r="CD57" s="1">
        <v>-47</v>
      </c>
      <c r="CE57" s="1">
        <v>26</v>
      </c>
      <c r="CF57" s="17">
        <f t="shared" si="3"/>
        <v>0.18421052631578946</v>
      </c>
    </row>
    <row r="58" spans="1:84" x14ac:dyDescent="0.25">
      <c r="A58" s="3">
        <v>2002</v>
      </c>
      <c r="B58" s="3">
        <v>17</v>
      </c>
      <c r="C58" s="4" t="s">
        <v>33</v>
      </c>
      <c r="D58" s="3">
        <v>38</v>
      </c>
      <c r="E58" s="3">
        <v>10</v>
      </c>
      <c r="F58" s="3">
        <v>14</v>
      </c>
      <c r="G58" s="3">
        <v>14</v>
      </c>
      <c r="H58" s="3">
        <v>41</v>
      </c>
      <c r="I58" s="3">
        <v>51</v>
      </c>
      <c r="J58" s="3">
        <v>-10</v>
      </c>
      <c r="K58" s="3">
        <v>44</v>
      </c>
      <c r="L58" s="5">
        <f>IF(Table2[[#This Row],['#]]=1,"Champion", IF(Table2[[#This Row],['#]]&gt;=18,"Relegated",Table2[[#This Row],['#]]))</f>
        <v>17</v>
      </c>
      <c r="N58">
        <f>IF(COUNTIF($O$2:O58,O58)=1,N57+1,N57)</f>
        <v>24</v>
      </c>
      <c r="O58" s="4" t="str">
        <f>Table2[[#This Row],[Team]]</f>
        <v>Bolton Wanderers</v>
      </c>
      <c r="P58" s="1" t="str">
        <f>IFERROR(VLOOKUP(ROWS($O$2:O58),$N$2:$O$441,2,0),"")</f>
        <v/>
      </c>
      <c r="Q58" s="1" t="str">
        <f>IF(P58&lt;&gt;"",SUMPRODUCT(--(Table2[Team]=P58)),"")</f>
        <v/>
      </c>
      <c r="R58" s="11" t="str">
        <f>IF(Q58&lt;&gt;"",Q58+ROWS($Q$2:Q58)/100,"")</f>
        <v/>
      </c>
      <c r="S58" t="str">
        <f>IF(R58&lt;&gt;"",LARGE($R$2:$R$441,ROWS($R$2:R58)),"")</f>
        <v/>
      </c>
      <c r="T58" s="1" t="str">
        <f>IF(R58&lt;&gt;"",INDEX($P$2:$Q$441,MATCH($S58,$R$2:$R$441,0),COLUMNS($S$2:S58)),"")</f>
        <v/>
      </c>
      <c r="U58" s="1" t="str">
        <f>IF(S58&lt;&gt;"",INDEX($P$2:$Q$441,MATCH($S58,$R$2:$R$441,0),COLUMNS($S$2:T58)),"")</f>
        <v/>
      </c>
      <c r="AE58" s="1">
        <f>Table2[[#This Row],[Year]]</f>
        <v>2002</v>
      </c>
      <c r="AF58" s="1">
        <f>Table2[[#This Row],['#]]</f>
        <v>17</v>
      </c>
      <c r="AG58" s="1" t="str">
        <f>Table2[[#This Row],[Team]]</f>
        <v>Bolton Wanderers</v>
      </c>
      <c r="AH58" s="1">
        <f>Table2[[#This Row],[Pl]]</f>
        <v>38</v>
      </c>
      <c r="AI58" s="1">
        <f>Table2[[#This Row],[W]]</f>
        <v>10</v>
      </c>
      <c r="AJ58" s="1">
        <f>Table2[[#This Row],[D]]</f>
        <v>14</v>
      </c>
      <c r="AK58" s="1">
        <f>Table2[[#This Row],[L]]</f>
        <v>14</v>
      </c>
      <c r="AL58" s="1">
        <f>Table2[[#This Row],[F]]</f>
        <v>41</v>
      </c>
      <c r="AM58" s="1">
        <f>Table2[[#This Row],[A]]</f>
        <v>51</v>
      </c>
      <c r="AN58" s="1">
        <f>Table2[[#This Row],[GD]]</f>
        <v>-10</v>
      </c>
      <c r="AO58" s="1">
        <f>Table2[[#This Row],[Pts]]</f>
        <v>44</v>
      </c>
      <c r="AP58" s="1">
        <f>Table2[[#This Row],[Column1]]</f>
        <v>17</v>
      </c>
      <c r="AR58" t="b">
        <f t="shared" si="1"/>
        <v>1</v>
      </c>
      <c r="AS58">
        <f>IF(AR58,ROWS($AR$2:AR58),"")</f>
        <v>57</v>
      </c>
      <c r="AT58">
        <f>IFERROR(SMALL($AS$2:$AS$440,ROWS($AS$2:AS58)),"")</f>
        <v>57</v>
      </c>
      <c r="AU58">
        <f>IF(AT58&lt;&gt;"",INDEX($AE$2:$AP$440,MATCH($AT58,$AS$2:$AS$440,0),COLUMNS($AT$2:AT58)),"")</f>
        <v>2002</v>
      </c>
      <c r="AV58">
        <f>IF(AU58&lt;&gt;"",INDEX($AE$2:$AP$440,MATCH($AT58,$AS$2:$AS$440,0),COLUMNS($AT$2:AU58)),"")</f>
        <v>17</v>
      </c>
      <c r="AW58" t="str">
        <f>IF(AV58&lt;&gt;"",INDEX($AE$2:$AP$440,MATCH($AT58,$AS$2:$AS$440,0),COLUMNS($AT$2:AV58)),"")</f>
        <v>Bolton Wanderers</v>
      </c>
      <c r="AX58">
        <f>IF(AW58&lt;&gt;"",INDEX($AE$2:$AP$440,MATCH($AT58,$AS$2:$AS$440,0),COLUMNS($AT$2:AW58)),"")</f>
        <v>38</v>
      </c>
      <c r="AY58">
        <f>IF(AX58&lt;&gt;"",INDEX($AE$2:$AP$440,MATCH($AT58,$AS$2:$AS$440,0),COLUMNS($AT$2:AX58)),"")</f>
        <v>10</v>
      </c>
      <c r="AZ58">
        <f>IF(AY58&lt;&gt;"",INDEX($AE$2:$AP$440,MATCH($AT58,$AS$2:$AS$440,0),COLUMNS($AT$2:AY58)),"")</f>
        <v>14</v>
      </c>
      <c r="BA58">
        <f>IF(AZ58&lt;&gt;"",INDEX($AE$2:$AP$440,MATCH($AT58,$AS$2:$AS$440,0),COLUMNS($AT$2:AZ58)),"")</f>
        <v>14</v>
      </c>
      <c r="BB58">
        <f>IF(BA58&lt;&gt;"",INDEX($AE$2:$AP$440,MATCH($AT58,$AS$2:$AS$440,0),COLUMNS($AT$2:BA58)),"")</f>
        <v>41</v>
      </c>
      <c r="BC58">
        <f>IF(BB58&lt;&gt;"",INDEX($AE$2:$AP$440,MATCH($AT58,$AS$2:$AS$440,0),COLUMNS($AT$2:BB58)),"")</f>
        <v>51</v>
      </c>
      <c r="BD58">
        <f>IF(BC58&lt;&gt;"",INDEX($AE$2:$AP$440,MATCH($AT58,$AS$2:$AS$440,0),COLUMNS($AT$2:BC58)),"")</f>
        <v>-10</v>
      </c>
      <c r="BE58">
        <f>IF(BD58&lt;&gt;"",INDEX($AE$2:$AP$440,MATCH($AT58,$AS$2:$AS$440,0),COLUMNS($AT$2:BD58)),"")</f>
        <v>44</v>
      </c>
      <c r="BF58">
        <f>IF(BE58&lt;&gt;"",INDEX($AE$2:$AP$440,MATCH($AT58,$AS$2:$AS$440,0),COLUMNS($AT$2:BE58)),"")</f>
        <v>17</v>
      </c>
      <c r="BU58" s="1">
        <v>2018</v>
      </c>
      <c r="BV58" s="1">
        <v>20</v>
      </c>
      <c r="BW58" s="1" t="s">
        <v>52</v>
      </c>
      <c r="BX58" s="1">
        <v>38</v>
      </c>
      <c r="BY58" s="1">
        <v>3</v>
      </c>
      <c r="BZ58" s="1">
        <v>7</v>
      </c>
      <c r="CA58" s="1">
        <v>28</v>
      </c>
      <c r="CB58" s="1">
        <v>22</v>
      </c>
      <c r="CC58" s="1">
        <v>76</v>
      </c>
      <c r="CD58" s="1">
        <v>-54</v>
      </c>
      <c r="CE58" s="1">
        <v>16</v>
      </c>
      <c r="CF58" s="17">
        <f t="shared" si="3"/>
        <v>7.8947368421052627E-2</v>
      </c>
    </row>
    <row r="59" spans="1:84" x14ac:dyDescent="0.25">
      <c r="A59" s="5">
        <v>2002</v>
      </c>
      <c r="B59" s="5">
        <v>18</v>
      </c>
      <c r="C59" s="6" t="s">
        <v>25</v>
      </c>
      <c r="D59" s="5">
        <v>38</v>
      </c>
      <c r="E59" s="5">
        <v>10</v>
      </c>
      <c r="F59" s="5">
        <v>12</v>
      </c>
      <c r="G59" s="5">
        <v>16</v>
      </c>
      <c r="H59" s="5">
        <v>42</v>
      </c>
      <c r="I59" s="5">
        <v>59</v>
      </c>
      <c r="J59" s="5">
        <v>-17</v>
      </c>
      <c r="K59" s="5">
        <v>42</v>
      </c>
      <c r="L59" s="5" t="str">
        <f>IF(Table2[[#This Row],['#]]=1,"Champion", IF(Table2[[#This Row],['#]]&gt;=18,"Relegated",Table2[[#This Row],['#]]))</f>
        <v>Relegated</v>
      </c>
      <c r="N59">
        <f>IF(COUNTIF($O$2:O59,O59)=1,N58+1,N58)</f>
        <v>24</v>
      </c>
      <c r="O59" s="4" t="str">
        <f>Table2[[#This Row],[Team]]</f>
        <v>West Ham United</v>
      </c>
      <c r="P59" s="1" t="str">
        <f>IFERROR(VLOOKUP(ROWS($O$2:O59),$N$2:$O$441,2,0),"")</f>
        <v/>
      </c>
      <c r="Q59" s="1" t="str">
        <f>IF(P59&lt;&gt;"",SUMPRODUCT(--(Table2[Team]=P59)),"")</f>
        <v/>
      </c>
      <c r="R59" s="11" t="str">
        <f>IF(Q59&lt;&gt;"",Q59+ROWS($Q$2:Q59)/100,"")</f>
        <v/>
      </c>
      <c r="S59" t="str">
        <f>IF(R59&lt;&gt;"",LARGE($R$2:$R$441,ROWS($R$2:R59)),"")</f>
        <v/>
      </c>
      <c r="T59" s="1" t="str">
        <f>IF(R59&lt;&gt;"",INDEX($P$2:$Q$441,MATCH($S59,$R$2:$R$441,0),COLUMNS($S$2:S59)),"")</f>
        <v/>
      </c>
      <c r="U59" s="1" t="str">
        <f>IF(S59&lt;&gt;"",INDEX($P$2:$Q$441,MATCH($S59,$R$2:$R$441,0),COLUMNS($S$2:T59)),"")</f>
        <v/>
      </c>
      <c r="AE59" s="1">
        <f>Table2[[#This Row],[Year]]</f>
        <v>2002</v>
      </c>
      <c r="AF59" s="1">
        <f>Table2[[#This Row],['#]]</f>
        <v>18</v>
      </c>
      <c r="AG59" s="1" t="str">
        <f>Table2[[#This Row],[Team]]</f>
        <v>West Ham United</v>
      </c>
      <c r="AH59" s="1">
        <f>Table2[[#This Row],[Pl]]</f>
        <v>38</v>
      </c>
      <c r="AI59" s="1">
        <f>Table2[[#This Row],[W]]</f>
        <v>10</v>
      </c>
      <c r="AJ59" s="1">
        <f>Table2[[#This Row],[D]]</f>
        <v>12</v>
      </c>
      <c r="AK59" s="1">
        <f>Table2[[#This Row],[L]]</f>
        <v>16</v>
      </c>
      <c r="AL59" s="1">
        <f>Table2[[#This Row],[F]]</f>
        <v>42</v>
      </c>
      <c r="AM59" s="1">
        <f>Table2[[#This Row],[A]]</f>
        <v>59</v>
      </c>
      <c r="AN59" s="1">
        <f>Table2[[#This Row],[GD]]</f>
        <v>-17</v>
      </c>
      <c r="AO59" s="1">
        <f>Table2[[#This Row],[Pts]]</f>
        <v>42</v>
      </c>
      <c r="AP59" s="1" t="str">
        <f>Table2[[#This Row],[Column1]]</f>
        <v>Relegated</v>
      </c>
      <c r="AR59" t="b">
        <f t="shared" si="1"/>
        <v>1</v>
      </c>
      <c r="AS59">
        <f>IF(AR59,ROWS($AR$2:AR59),"")</f>
        <v>58</v>
      </c>
      <c r="AT59">
        <f>IFERROR(SMALL($AS$2:$AS$440,ROWS($AS$2:AS59)),"")</f>
        <v>58</v>
      </c>
      <c r="AU59">
        <f>IF(AT59&lt;&gt;"",INDEX($AE$2:$AP$440,MATCH($AT59,$AS$2:$AS$440,0),COLUMNS($AT$2:AT59)),"")</f>
        <v>2002</v>
      </c>
      <c r="AV59">
        <f>IF(AU59&lt;&gt;"",INDEX($AE$2:$AP$440,MATCH($AT59,$AS$2:$AS$440,0),COLUMNS($AT$2:AU59)),"")</f>
        <v>18</v>
      </c>
      <c r="AW59" t="str">
        <f>IF(AV59&lt;&gt;"",INDEX($AE$2:$AP$440,MATCH($AT59,$AS$2:$AS$440,0),COLUMNS($AT$2:AV59)),"")</f>
        <v>West Ham United</v>
      </c>
      <c r="AX59">
        <f>IF(AW59&lt;&gt;"",INDEX($AE$2:$AP$440,MATCH($AT59,$AS$2:$AS$440,0),COLUMNS($AT$2:AW59)),"")</f>
        <v>38</v>
      </c>
      <c r="AY59">
        <f>IF(AX59&lt;&gt;"",INDEX($AE$2:$AP$440,MATCH($AT59,$AS$2:$AS$440,0),COLUMNS($AT$2:AX59)),"")</f>
        <v>10</v>
      </c>
      <c r="AZ59">
        <f>IF(AY59&lt;&gt;"",INDEX($AE$2:$AP$440,MATCH($AT59,$AS$2:$AS$440,0),COLUMNS($AT$2:AY59)),"")</f>
        <v>12</v>
      </c>
      <c r="BA59">
        <f>IF(AZ59&lt;&gt;"",INDEX($AE$2:$AP$440,MATCH($AT59,$AS$2:$AS$440,0),COLUMNS($AT$2:AZ59)),"")</f>
        <v>16</v>
      </c>
      <c r="BB59">
        <f>IF(BA59&lt;&gt;"",INDEX($AE$2:$AP$440,MATCH($AT59,$AS$2:$AS$440,0),COLUMNS($AT$2:BA59)),"")</f>
        <v>42</v>
      </c>
      <c r="BC59">
        <f>IF(BB59&lt;&gt;"",INDEX($AE$2:$AP$440,MATCH($AT59,$AS$2:$AS$440,0),COLUMNS($AT$2:BB59)),"")</f>
        <v>59</v>
      </c>
      <c r="BD59">
        <f>IF(BC59&lt;&gt;"",INDEX($AE$2:$AP$440,MATCH($AT59,$AS$2:$AS$440,0),COLUMNS($AT$2:BC59)),"")</f>
        <v>-17</v>
      </c>
      <c r="BE59">
        <f>IF(BD59&lt;&gt;"",INDEX($AE$2:$AP$440,MATCH($AT59,$AS$2:$AS$440,0),COLUMNS($AT$2:BD59)),"")</f>
        <v>42</v>
      </c>
      <c r="BF59" t="str">
        <f>IF(BE59&lt;&gt;"",INDEX($AE$2:$AP$440,MATCH($AT59,$AS$2:$AS$440,0),COLUMNS($AT$2:BE59)),"")</f>
        <v>Relegated</v>
      </c>
      <c r="BU59" s="1">
        <v>2019</v>
      </c>
      <c r="BV59" s="1">
        <v>18</v>
      </c>
      <c r="BW59" s="1" t="s">
        <v>51</v>
      </c>
      <c r="BX59" s="1">
        <v>38</v>
      </c>
      <c r="BY59" s="1">
        <v>9</v>
      </c>
      <c r="BZ59" s="1">
        <v>7</v>
      </c>
      <c r="CA59" s="1">
        <v>22</v>
      </c>
      <c r="CB59" s="1">
        <v>40</v>
      </c>
      <c r="CC59" s="1">
        <v>65</v>
      </c>
      <c r="CD59" s="1">
        <v>-25</v>
      </c>
      <c r="CE59" s="1">
        <v>34</v>
      </c>
      <c r="CF59" s="17">
        <f t="shared" si="3"/>
        <v>0.23684210526315788</v>
      </c>
    </row>
    <row r="60" spans="1:84" x14ac:dyDescent="0.25">
      <c r="A60" s="3">
        <v>2002</v>
      </c>
      <c r="B60" s="3">
        <v>19</v>
      </c>
      <c r="C60" s="4" t="s">
        <v>35</v>
      </c>
      <c r="D60" s="3">
        <v>38</v>
      </c>
      <c r="E60" s="3">
        <v>6</v>
      </c>
      <c r="F60" s="3">
        <v>8</v>
      </c>
      <c r="G60" s="3">
        <v>24</v>
      </c>
      <c r="H60" s="3">
        <v>29</v>
      </c>
      <c r="I60" s="3">
        <v>65</v>
      </c>
      <c r="J60" s="3">
        <v>-36</v>
      </c>
      <c r="K60" s="3">
        <v>26</v>
      </c>
      <c r="L60" s="5" t="str">
        <f>IF(Table2[[#This Row],['#]]=1,"Champion", IF(Table2[[#This Row],['#]]&gt;=18,"Relegated",Table2[[#This Row],['#]]))</f>
        <v>Relegated</v>
      </c>
      <c r="N60">
        <f>IF(COUNTIF($O$2:O60,O60)=1,N59+1,N59)</f>
        <v>25</v>
      </c>
      <c r="O60" s="4" t="str">
        <f>Table2[[#This Row],[Team]]</f>
        <v>West Bromwich Albion</v>
      </c>
      <c r="P60" s="1" t="str">
        <f>IFERROR(VLOOKUP(ROWS($O$2:O60),$N$2:$O$441,2,0),"")</f>
        <v/>
      </c>
      <c r="Q60" s="1" t="str">
        <f>IF(P60&lt;&gt;"",SUMPRODUCT(--(Table2[Team]=P60)),"")</f>
        <v/>
      </c>
      <c r="R60" s="11" t="str">
        <f>IF(Q60&lt;&gt;"",Q60+ROWS($Q$2:Q60)/100,"")</f>
        <v/>
      </c>
      <c r="S60" t="str">
        <f>IF(R60&lt;&gt;"",LARGE($R$2:$R$441,ROWS($R$2:R60)),"")</f>
        <v/>
      </c>
      <c r="T60" s="1" t="str">
        <f>IF(R60&lt;&gt;"",INDEX($P$2:$Q$441,MATCH($S60,$R$2:$R$441,0),COLUMNS($S$2:S60)),"")</f>
        <v/>
      </c>
      <c r="U60" s="1" t="str">
        <f>IF(S60&lt;&gt;"",INDEX($P$2:$Q$441,MATCH($S60,$R$2:$R$441,0),COLUMNS($S$2:T60)),"")</f>
        <v/>
      </c>
      <c r="AE60" s="1">
        <f>Table2[[#This Row],[Year]]</f>
        <v>2002</v>
      </c>
      <c r="AF60" s="1">
        <f>Table2[[#This Row],['#]]</f>
        <v>19</v>
      </c>
      <c r="AG60" s="1" t="str">
        <f>Table2[[#This Row],[Team]]</f>
        <v>West Bromwich Albion</v>
      </c>
      <c r="AH60" s="1">
        <f>Table2[[#This Row],[Pl]]</f>
        <v>38</v>
      </c>
      <c r="AI60" s="1">
        <f>Table2[[#This Row],[W]]</f>
        <v>6</v>
      </c>
      <c r="AJ60" s="1">
        <f>Table2[[#This Row],[D]]</f>
        <v>8</v>
      </c>
      <c r="AK60" s="1">
        <f>Table2[[#This Row],[L]]</f>
        <v>24</v>
      </c>
      <c r="AL60" s="1">
        <f>Table2[[#This Row],[F]]</f>
        <v>29</v>
      </c>
      <c r="AM60" s="1">
        <f>Table2[[#This Row],[A]]</f>
        <v>65</v>
      </c>
      <c r="AN60" s="1">
        <f>Table2[[#This Row],[GD]]</f>
        <v>-36</v>
      </c>
      <c r="AO60" s="1">
        <f>Table2[[#This Row],[Pts]]</f>
        <v>26</v>
      </c>
      <c r="AP60" s="1" t="str">
        <f>Table2[[#This Row],[Column1]]</f>
        <v>Relegated</v>
      </c>
      <c r="AR60" t="b">
        <f t="shared" si="1"/>
        <v>1</v>
      </c>
      <c r="AS60">
        <f>IF(AR60,ROWS($AR$2:AR60),"")</f>
        <v>59</v>
      </c>
      <c r="AT60">
        <f>IFERROR(SMALL($AS$2:$AS$440,ROWS($AS$2:AS60)),"")</f>
        <v>59</v>
      </c>
      <c r="AU60">
        <f>IF(AT60&lt;&gt;"",INDEX($AE$2:$AP$440,MATCH($AT60,$AS$2:$AS$440,0),COLUMNS($AT$2:AT60)),"")</f>
        <v>2002</v>
      </c>
      <c r="AV60">
        <f>IF(AU60&lt;&gt;"",INDEX($AE$2:$AP$440,MATCH($AT60,$AS$2:$AS$440,0),COLUMNS($AT$2:AU60)),"")</f>
        <v>19</v>
      </c>
      <c r="AW60" t="str">
        <f>IF(AV60&lt;&gt;"",INDEX($AE$2:$AP$440,MATCH($AT60,$AS$2:$AS$440,0),COLUMNS($AT$2:AV60)),"")</f>
        <v>West Bromwich Albion</v>
      </c>
      <c r="AX60">
        <f>IF(AW60&lt;&gt;"",INDEX($AE$2:$AP$440,MATCH($AT60,$AS$2:$AS$440,0),COLUMNS($AT$2:AW60)),"")</f>
        <v>38</v>
      </c>
      <c r="AY60">
        <f>IF(AX60&lt;&gt;"",INDEX($AE$2:$AP$440,MATCH($AT60,$AS$2:$AS$440,0),COLUMNS($AT$2:AX60)),"")</f>
        <v>6</v>
      </c>
      <c r="AZ60">
        <f>IF(AY60&lt;&gt;"",INDEX($AE$2:$AP$440,MATCH($AT60,$AS$2:$AS$440,0),COLUMNS($AT$2:AY60)),"")</f>
        <v>8</v>
      </c>
      <c r="BA60">
        <f>IF(AZ60&lt;&gt;"",INDEX($AE$2:$AP$440,MATCH($AT60,$AS$2:$AS$440,0),COLUMNS($AT$2:AZ60)),"")</f>
        <v>24</v>
      </c>
      <c r="BB60">
        <f>IF(BA60&lt;&gt;"",INDEX($AE$2:$AP$440,MATCH($AT60,$AS$2:$AS$440,0),COLUMNS($AT$2:BA60)),"")</f>
        <v>29</v>
      </c>
      <c r="BC60">
        <f>IF(BB60&lt;&gt;"",INDEX($AE$2:$AP$440,MATCH($AT60,$AS$2:$AS$440,0),COLUMNS($AT$2:BB60)),"")</f>
        <v>65</v>
      </c>
      <c r="BD60">
        <f>IF(BC60&lt;&gt;"",INDEX($AE$2:$AP$440,MATCH($AT60,$AS$2:$AS$440,0),COLUMNS($AT$2:BC60)),"")</f>
        <v>-36</v>
      </c>
      <c r="BE60">
        <f>IF(BD60&lt;&gt;"",INDEX($AE$2:$AP$440,MATCH($AT60,$AS$2:$AS$440,0),COLUMNS($AT$2:BD60)),"")</f>
        <v>26</v>
      </c>
      <c r="BF60" t="str">
        <f>IF(BE60&lt;&gt;"",INDEX($AE$2:$AP$440,MATCH($AT60,$AS$2:$AS$440,0),COLUMNS($AT$2:BE60)),"")</f>
        <v>Relegated</v>
      </c>
      <c r="BU60" s="1">
        <v>2019</v>
      </c>
      <c r="BV60" s="1">
        <v>19</v>
      </c>
      <c r="BW60" s="1" t="s">
        <v>43</v>
      </c>
      <c r="BX60" s="1">
        <v>38</v>
      </c>
      <c r="BY60" s="1">
        <v>8</v>
      </c>
      <c r="BZ60" s="1">
        <v>10</v>
      </c>
      <c r="CA60" s="1">
        <v>20</v>
      </c>
      <c r="CB60" s="1">
        <v>36</v>
      </c>
      <c r="CC60" s="1">
        <v>64</v>
      </c>
      <c r="CD60" s="1">
        <v>-28</v>
      </c>
      <c r="CE60" s="1">
        <v>34</v>
      </c>
      <c r="CF60" s="17">
        <f t="shared" si="3"/>
        <v>0.21052631578947367</v>
      </c>
    </row>
    <row r="61" spans="1:84" x14ac:dyDescent="0.25">
      <c r="A61" s="5">
        <v>2002</v>
      </c>
      <c r="B61" s="5">
        <v>20</v>
      </c>
      <c r="C61" s="6" t="s">
        <v>17</v>
      </c>
      <c r="D61" s="5">
        <v>38</v>
      </c>
      <c r="E61" s="5">
        <v>4</v>
      </c>
      <c r="F61" s="5">
        <v>7</v>
      </c>
      <c r="G61" s="5">
        <v>27</v>
      </c>
      <c r="H61" s="5">
        <v>21</v>
      </c>
      <c r="I61" s="5">
        <v>65</v>
      </c>
      <c r="J61" s="5">
        <v>-44</v>
      </c>
      <c r="K61" s="5">
        <v>19</v>
      </c>
      <c r="L61" s="5" t="str">
        <f>IF(Table2[[#This Row],['#]]=1,"Champion", IF(Table2[[#This Row],['#]]&gt;=18,"Relegated",Table2[[#This Row],['#]]))</f>
        <v>Relegated</v>
      </c>
      <c r="N61">
        <f>IF(COUNTIF($O$2:O61,O61)=1,N60+1,N60)</f>
        <v>25</v>
      </c>
      <c r="O61" s="4" t="str">
        <f>Table2[[#This Row],[Team]]</f>
        <v>Sunderland</v>
      </c>
      <c r="P61" s="1" t="str">
        <f>IFERROR(VLOOKUP(ROWS($O$2:O61),$N$2:$O$441,2,0),"")</f>
        <v/>
      </c>
      <c r="Q61" s="1" t="str">
        <f>IF(P61&lt;&gt;"",SUMPRODUCT(--(Table2[Team]=P61)),"")</f>
        <v/>
      </c>
      <c r="R61" s="11" t="str">
        <f>IF(Q61&lt;&gt;"",Q61+ROWS($Q$2:Q61)/100,"")</f>
        <v/>
      </c>
      <c r="S61" t="str">
        <f>IF(R61&lt;&gt;"",LARGE($R$2:$R$441,ROWS($R$2:R61)),"")</f>
        <v/>
      </c>
      <c r="T61" s="1" t="str">
        <f>IF(R61&lt;&gt;"",INDEX($P$2:$Q$441,MATCH($S61,$R$2:$R$441,0),COLUMNS($S$2:S61)),"")</f>
        <v/>
      </c>
      <c r="U61" s="1" t="str">
        <f>IF(S61&lt;&gt;"",INDEX($P$2:$Q$441,MATCH($S61,$R$2:$R$441,0),COLUMNS($S$2:T61)),"")</f>
        <v/>
      </c>
      <c r="AE61" s="1">
        <f>Table2[[#This Row],[Year]]</f>
        <v>2002</v>
      </c>
      <c r="AF61" s="1">
        <f>Table2[[#This Row],['#]]</f>
        <v>20</v>
      </c>
      <c r="AG61" s="1" t="str">
        <f>Table2[[#This Row],[Team]]</f>
        <v>Sunderland</v>
      </c>
      <c r="AH61" s="1">
        <f>Table2[[#This Row],[Pl]]</f>
        <v>38</v>
      </c>
      <c r="AI61" s="1">
        <f>Table2[[#This Row],[W]]</f>
        <v>4</v>
      </c>
      <c r="AJ61" s="1">
        <f>Table2[[#This Row],[D]]</f>
        <v>7</v>
      </c>
      <c r="AK61" s="1">
        <f>Table2[[#This Row],[L]]</f>
        <v>27</v>
      </c>
      <c r="AL61" s="1">
        <f>Table2[[#This Row],[F]]</f>
        <v>21</v>
      </c>
      <c r="AM61" s="1">
        <f>Table2[[#This Row],[A]]</f>
        <v>65</v>
      </c>
      <c r="AN61" s="1">
        <f>Table2[[#This Row],[GD]]</f>
        <v>-44</v>
      </c>
      <c r="AO61" s="1">
        <f>Table2[[#This Row],[Pts]]</f>
        <v>19</v>
      </c>
      <c r="AP61" s="1" t="str">
        <f>Table2[[#This Row],[Column1]]</f>
        <v>Relegated</v>
      </c>
      <c r="AR61" t="b">
        <f t="shared" si="1"/>
        <v>1</v>
      </c>
      <c r="AS61">
        <f>IF(AR61,ROWS($AR$2:AR61),"")</f>
        <v>60</v>
      </c>
      <c r="AT61">
        <f>IFERROR(SMALL($AS$2:$AS$440,ROWS($AS$2:AS61)),"")</f>
        <v>60</v>
      </c>
      <c r="AU61">
        <f>IF(AT61&lt;&gt;"",INDEX($AE$2:$AP$440,MATCH($AT61,$AS$2:$AS$440,0),COLUMNS($AT$2:AT61)),"")</f>
        <v>2002</v>
      </c>
      <c r="AV61">
        <f>IF(AU61&lt;&gt;"",INDEX($AE$2:$AP$440,MATCH($AT61,$AS$2:$AS$440,0),COLUMNS($AT$2:AU61)),"")</f>
        <v>20</v>
      </c>
      <c r="AW61" t="str">
        <f>IF(AV61&lt;&gt;"",INDEX($AE$2:$AP$440,MATCH($AT61,$AS$2:$AS$440,0),COLUMNS($AT$2:AV61)),"")</f>
        <v>Sunderland</v>
      </c>
      <c r="AX61">
        <f>IF(AW61&lt;&gt;"",INDEX($AE$2:$AP$440,MATCH($AT61,$AS$2:$AS$440,0),COLUMNS($AT$2:AW61)),"")</f>
        <v>38</v>
      </c>
      <c r="AY61">
        <f>IF(AX61&lt;&gt;"",INDEX($AE$2:$AP$440,MATCH($AT61,$AS$2:$AS$440,0),COLUMNS($AT$2:AX61)),"")</f>
        <v>4</v>
      </c>
      <c r="AZ61">
        <f>IF(AY61&lt;&gt;"",INDEX($AE$2:$AP$440,MATCH($AT61,$AS$2:$AS$440,0),COLUMNS($AT$2:AY61)),"")</f>
        <v>7</v>
      </c>
      <c r="BA61">
        <f>IF(AZ61&lt;&gt;"",INDEX($AE$2:$AP$440,MATCH($AT61,$AS$2:$AS$440,0),COLUMNS($AT$2:AZ61)),"")</f>
        <v>27</v>
      </c>
      <c r="BB61">
        <f>IF(BA61&lt;&gt;"",INDEX($AE$2:$AP$440,MATCH($AT61,$AS$2:$AS$440,0),COLUMNS($AT$2:BA61)),"")</f>
        <v>21</v>
      </c>
      <c r="BC61">
        <f>IF(BB61&lt;&gt;"",INDEX($AE$2:$AP$440,MATCH($AT61,$AS$2:$AS$440,0),COLUMNS($AT$2:BB61)),"")</f>
        <v>65</v>
      </c>
      <c r="BD61">
        <f>IF(BC61&lt;&gt;"",INDEX($AE$2:$AP$440,MATCH($AT61,$AS$2:$AS$440,0),COLUMNS($AT$2:BC61)),"")</f>
        <v>-44</v>
      </c>
      <c r="BE61">
        <f>IF(BD61&lt;&gt;"",INDEX($AE$2:$AP$440,MATCH($AT61,$AS$2:$AS$440,0),COLUMNS($AT$2:BD61)),"")</f>
        <v>19</v>
      </c>
      <c r="BF61" t="str">
        <f>IF(BE61&lt;&gt;"",INDEX($AE$2:$AP$440,MATCH($AT61,$AS$2:$AS$440,0),COLUMNS($AT$2:BE61)),"")</f>
        <v>Relegated</v>
      </c>
      <c r="BU61" s="1">
        <v>2019</v>
      </c>
      <c r="BV61" s="1">
        <v>20</v>
      </c>
      <c r="BW61" s="1" t="s">
        <v>39</v>
      </c>
      <c r="BX61" s="1">
        <v>38</v>
      </c>
      <c r="BY61" s="1">
        <v>5</v>
      </c>
      <c r="BZ61" s="1">
        <v>6</v>
      </c>
      <c r="CA61" s="1">
        <v>27</v>
      </c>
      <c r="CB61" s="1">
        <v>26</v>
      </c>
      <c r="CC61" s="1">
        <v>75</v>
      </c>
      <c r="CD61" s="1">
        <v>-49</v>
      </c>
      <c r="CE61" s="1">
        <v>21</v>
      </c>
      <c r="CF61" s="17">
        <f t="shared" si="3"/>
        <v>0.13157894736842105</v>
      </c>
    </row>
    <row r="62" spans="1:84" x14ac:dyDescent="0.25">
      <c r="A62" s="3">
        <v>2003</v>
      </c>
      <c r="B62" s="3">
        <v>1</v>
      </c>
      <c r="C62" s="6" t="s">
        <v>12</v>
      </c>
      <c r="D62" s="3">
        <v>38</v>
      </c>
      <c r="E62" s="3">
        <v>26</v>
      </c>
      <c r="F62" s="3">
        <v>12</v>
      </c>
      <c r="G62" s="3">
        <v>0</v>
      </c>
      <c r="H62" s="3">
        <v>73</v>
      </c>
      <c r="I62" s="3">
        <v>26</v>
      </c>
      <c r="J62" s="3">
        <v>47</v>
      </c>
      <c r="K62" s="3">
        <v>90</v>
      </c>
      <c r="L62" s="5" t="str">
        <f>IF(Table2[[#This Row],['#]]=1,"Champion", IF(Table2[[#This Row],['#]]&gt;=18,"Relegated",Table2[[#This Row],['#]]))</f>
        <v>Champion</v>
      </c>
      <c r="N62">
        <f>IF(COUNTIF($O$2:O62,O62)=1,N61+1,N61)</f>
        <v>25</v>
      </c>
      <c r="O62" s="4" t="str">
        <f>Table2[[#This Row],[Team]]</f>
        <v>Arsenal</v>
      </c>
      <c r="P62" s="1" t="str">
        <f>IFERROR(VLOOKUP(ROWS($O$2:O62),$N$2:$O$441,2,0),"")</f>
        <v/>
      </c>
      <c r="Q62" s="1" t="str">
        <f>IF(P62&lt;&gt;"",SUMPRODUCT(--(Table2[Team]=P62)),"")</f>
        <v/>
      </c>
      <c r="R62" s="11" t="str">
        <f>IF(Q62&lt;&gt;"",Q62+ROWS($Q$2:Q62)/100,"")</f>
        <v/>
      </c>
      <c r="S62" t="str">
        <f>IF(R62&lt;&gt;"",LARGE($R$2:$R$441,ROWS($R$2:R62)),"")</f>
        <v/>
      </c>
      <c r="T62" s="1" t="str">
        <f>IF(R62&lt;&gt;"",INDEX($P$2:$Q$441,MATCH($S62,$R$2:$R$441,0),COLUMNS($S$2:S62)),"")</f>
        <v/>
      </c>
      <c r="U62" s="1" t="str">
        <f>IF(S62&lt;&gt;"",INDEX($P$2:$Q$441,MATCH($S62,$R$2:$R$441,0),COLUMNS($S$2:T62)),"")</f>
        <v/>
      </c>
      <c r="AE62" s="1">
        <f>Table2[[#This Row],[Year]]</f>
        <v>2003</v>
      </c>
      <c r="AF62" s="1">
        <f>Table2[[#This Row],['#]]</f>
        <v>1</v>
      </c>
      <c r="AG62" s="1" t="str">
        <f>Table2[[#This Row],[Team]]</f>
        <v>Arsenal</v>
      </c>
      <c r="AH62" s="1">
        <f>Table2[[#This Row],[Pl]]</f>
        <v>38</v>
      </c>
      <c r="AI62" s="1">
        <f>Table2[[#This Row],[W]]</f>
        <v>26</v>
      </c>
      <c r="AJ62" s="1">
        <f>Table2[[#This Row],[D]]</f>
        <v>12</v>
      </c>
      <c r="AK62" s="1">
        <f>Table2[[#This Row],[L]]</f>
        <v>0</v>
      </c>
      <c r="AL62" s="1">
        <f>Table2[[#This Row],[F]]</f>
        <v>73</v>
      </c>
      <c r="AM62" s="1">
        <f>Table2[[#This Row],[A]]</f>
        <v>26</v>
      </c>
      <c r="AN62" s="1">
        <f>Table2[[#This Row],[GD]]</f>
        <v>47</v>
      </c>
      <c r="AO62" s="1">
        <f>Table2[[#This Row],[Pts]]</f>
        <v>90</v>
      </c>
      <c r="AP62" s="1" t="str">
        <f>Table2[[#This Row],[Column1]]</f>
        <v>Champion</v>
      </c>
      <c r="AR62" t="b">
        <f t="shared" si="1"/>
        <v>1</v>
      </c>
      <c r="AS62">
        <f>IF(AR62,ROWS($AR$2:AR62),"")</f>
        <v>61</v>
      </c>
      <c r="AT62">
        <f>IFERROR(SMALL($AS$2:$AS$440,ROWS($AS$2:AS62)),"")</f>
        <v>61</v>
      </c>
      <c r="AU62">
        <f>IF(AT62&lt;&gt;"",INDEX($AE$2:$AP$440,MATCH($AT62,$AS$2:$AS$440,0),COLUMNS($AT$2:AT62)),"")</f>
        <v>2003</v>
      </c>
      <c r="AV62">
        <f>IF(AU62&lt;&gt;"",INDEX($AE$2:$AP$440,MATCH($AT62,$AS$2:$AS$440,0),COLUMNS($AT$2:AU62)),"")</f>
        <v>1</v>
      </c>
      <c r="AW62" t="str">
        <f>IF(AV62&lt;&gt;"",INDEX($AE$2:$AP$440,MATCH($AT62,$AS$2:$AS$440,0),COLUMNS($AT$2:AV62)),"")</f>
        <v>Arsenal</v>
      </c>
      <c r="AX62">
        <f>IF(AW62&lt;&gt;"",INDEX($AE$2:$AP$440,MATCH($AT62,$AS$2:$AS$440,0),COLUMNS($AT$2:AW62)),"")</f>
        <v>38</v>
      </c>
      <c r="AY62">
        <f>IF(AX62&lt;&gt;"",INDEX($AE$2:$AP$440,MATCH($AT62,$AS$2:$AS$440,0),COLUMNS($AT$2:AX62)),"")</f>
        <v>26</v>
      </c>
      <c r="AZ62">
        <f>IF(AY62&lt;&gt;"",INDEX($AE$2:$AP$440,MATCH($AT62,$AS$2:$AS$440,0),COLUMNS($AT$2:AY62)),"")</f>
        <v>12</v>
      </c>
      <c r="BA62">
        <f>IF(AZ62&lt;&gt;"",INDEX($AE$2:$AP$440,MATCH($AT62,$AS$2:$AS$440,0),COLUMNS($AT$2:AZ62)),"")</f>
        <v>0</v>
      </c>
      <c r="BB62">
        <f>IF(BA62&lt;&gt;"",INDEX($AE$2:$AP$440,MATCH($AT62,$AS$2:$AS$440,0),COLUMNS($AT$2:BA62)),"")</f>
        <v>73</v>
      </c>
      <c r="BC62">
        <f>IF(BB62&lt;&gt;"",INDEX($AE$2:$AP$440,MATCH($AT62,$AS$2:$AS$440,0),COLUMNS($AT$2:BB62)),"")</f>
        <v>26</v>
      </c>
      <c r="BD62">
        <f>IF(BC62&lt;&gt;"",INDEX($AE$2:$AP$440,MATCH($AT62,$AS$2:$AS$440,0),COLUMNS($AT$2:BC62)),"")</f>
        <v>47</v>
      </c>
      <c r="BE62">
        <f>IF(BD62&lt;&gt;"",INDEX($AE$2:$AP$440,MATCH($AT62,$AS$2:$AS$440,0),COLUMNS($AT$2:BD62)),"")</f>
        <v>90</v>
      </c>
      <c r="BF62" t="str">
        <f>IF(BE62&lt;&gt;"",INDEX($AE$2:$AP$440,MATCH($AT62,$AS$2:$AS$440,0),COLUMNS($AT$2:BE62)),"")</f>
        <v>Champion</v>
      </c>
      <c r="BU62" s="1">
        <v>2020</v>
      </c>
      <c r="BV62" s="1">
        <v>18</v>
      </c>
      <c r="BW62" s="1" t="s">
        <v>32</v>
      </c>
      <c r="BX62" s="1">
        <v>38</v>
      </c>
      <c r="BY62" s="1">
        <v>5</v>
      </c>
      <c r="BZ62" s="1">
        <v>13</v>
      </c>
      <c r="CA62" s="1">
        <v>20</v>
      </c>
      <c r="CB62" s="1">
        <v>27</v>
      </c>
      <c r="CC62" s="1">
        <v>53</v>
      </c>
      <c r="CD62" s="1">
        <v>-26</v>
      </c>
      <c r="CE62" s="1">
        <v>28</v>
      </c>
      <c r="CF62" s="17">
        <f t="shared" si="3"/>
        <v>0.13157894736842105</v>
      </c>
    </row>
    <row r="63" spans="1:84" x14ac:dyDescent="0.25">
      <c r="A63" s="5">
        <v>2003</v>
      </c>
      <c r="B63" s="5">
        <v>2</v>
      </c>
      <c r="C63" s="6" t="s">
        <v>16</v>
      </c>
      <c r="D63" s="5">
        <v>38</v>
      </c>
      <c r="E63" s="5">
        <v>24</v>
      </c>
      <c r="F63" s="5">
        <v>7</v>
      </c>
      <c r="G63" s="5">
        <v>7</v>
      </c>
      <c r="H63" s="5">
        <v>67</v>
      </c>
      <c r="I63" s="5">
        <v>30</v>
      </c>
      <c r="J63" s="5">
        <v>37</v>
      </c>
      <c r="K63" s="5">
        <v>79</v>
      </c>
      <c r="L63" s="5">
        <f>IF(Table2[[#This Row],['#]]=1,"Champion", IF(Table2[[#This Row],['#]]&gt;=18,"Relegated",Table2[[#This Row],['#]]))</f>
        <v>2</v>
      </c>
      <c r="N63">
        <f>IF(COUNTIF($O$2:O63,O63)=1,N62+1,N62)</f>
        <v>25</v>
      </c>
      <c r="O63" s="4" t="str">
        <f>Table2[[#This Row],[Team]]</f>
        <v>Chelsea</v>
      </c>
      <c r="P63" s="1" t="str">
        <f>IFERROR(VLOOKUP(ROWS($O$2:O63),$N$2:$O$441,2,0),"")</f>
        <v/>
      </c>
      <c r="Q63" s="1" t="str">
        <f>IF(P63&lt;&gt;"",SUMPRODUCT(--(Table2[Team]=P63)),"")</f>
        <v/>
      </c>
      <c r="R63" s="11" t="str">
        <f>IF(Q63&lt;&gt;"",Q63+ROWS($Q$2:Q63)/100,"")</f>
        <v/>
      </c>
      <c r="S63" t="str">
        <f>IF(R63&lt;&gt;"",LARGE($R$2:$R$441,ROWS($R$2:R63)),"")</f>
        <v/>
      </c>
      <c r="T63" s="1" t="str">
        <f>IF(R63&lt;&gt;"",INDEX($P$2:$Q$441,MATCH($S63,$R$2:$R$441,0),COLUMNS($S$2:S63)),"")</f>
        <v/>
      </c>
      <c r="U63" s="1" t="str">
        <f>IF(S63&lt;&gt;"",INDEX($P$2:$Q$441,MATCH($S63,$R$2:$R$441,0),COLUMNS($S$2:T63)),"")</f>
        <v/>
      </c>
      <c r="AE63" s="1">
        <f>Table2[[#This Row],[Year]]</f>
        <v>2003</v>
      </c>
      <c r="AF63" s="1">
        <f>Table2[[#This Row],['#]]</f>
        <v>2</v>
      </c>
      <c r="AG63" s="1" t="str">
        <f>Table2[[#This Row],[Team]]</f>
        <v>Chelsea</v>
      </c>
      <c r="AH63" s="1">
        <f>Table2[[#This Row],[Pl]]</f>
        <v>38</v>
      </c>
      <c r="AI63" s="1">
        <f>Table2[[#This Row],[W]]</f>
        <v>24</v>
      </c>
      <c r="AJ63" s="1">
        <f>Table2[[#This Row],[D]]</f>
        <v>7</v>
      </c>
      <c r="AK63" s="1">
        <f>Table2[[#This Row],[L]]</f>
        <v>7</v>
      </c>
      <c r="AL63" s="1">
        <f>Table2[[#This Row],[F]]</f>
        <v>67</v>
      </c>
      <c r="AM63" s="1">
        <f>Table2[[#This Row],[A]]</f>
        <v>30</v>
      </c>
      <c r="AN63" s="1">
        <f>Table2[[#This Row],[GD]]</f>
        <v>37</v>
      </c>
      <c r="AO63" s="1">
        <f>Table2[[#This Row],[Pts]]</f>
        <v>79</v>
      </c>
      <c r="AP63" s="1">
        <f>Table2[[#This Row],[Column1]]</f>
        <v>2</v>
      </c>
      <c r="AR63" t="b">
        <f t="shared" si="1"/>
        <v>1</v>
      </c>
      <c r="AS63">
        <f>IF(AR63,ROWS($AR$2:AR63),"")</f>
        <v>62</v>
      </c>
      <c r="AT63">
        <f>IFERROR(SMALL($AS$2:$AS$440,ROWS($AS$2:AS63)),"")</f>
        <v>62</v>
      </c>
      <c r="AU63">
        <f>IF(AT63&lt;&gt;"",INDEX($AE$2:$AP$440,MATCH($AT63,$AS$2:$AS$440,0),COLUMNS($AT$2:AT63)),"")</f>
        <v>2003</v>
      </c>
      <c r="AV63">
        <f>IF(AU63&lt;&gt;"",INDEX($AE$2:$AP$440,MATCH($AT63,$AS$2:$AS$440,0),COLUMNS($AT$2:AU63)),"")</f>
        <v>2</v>
      </c>
      <c r="AW63" t="str">
        <f>IF(AV63&lt;&gt;"",INDEX($AE$2:$AP$440,MATCH($AT63,$AS$2:$AS$440,0),COLUMNS($AT$2:AV63)),"")</f>
        <v>Chelsea</v>
      </c>
      <c r="AX63">
        <f>IF(AW63&lt;&gt;"",INDEX($AE$2:$AP$440,MATCH($AT63,$AS$2:$AS$440,0),COLUMNS($AT$2:AW63)),"")</f>
        <v>38</v>
      </c>
      <c r="AY63">
        <f>IF(AX63&lt;&gt;"",INDEX($AE$2:$AP$440,MATCH($AT63,$AS$2:$AS$440,0),COLUMNS($AT$2:AX63)),"")</f>
        <v>24</v>
      </c>
      <c r="AZ63">
        <f>IF(AY63&lt;&gt;"",INDEX($AE$2:$AP$440,MATCH($AT63,$AS$2:$AS$440,0),COLUMNS($AT$2:AY63)),"")</f>
        <v>7</v>
      </c>
      <c r="BA63">
        <f>IF(AZ63&lt;&gt;"",INDEX($AE$2:$AP$440,MATCH($AT63,$AS$2:$AS$440,0),COLUMNS($AT$2:AZ63)),"")</f>
        <v>7</v>
      </c>
      <c r="BB63">
        <f>IF(BA63&lt;&gt;"",INDEX($AE$2:$AP$440,MATCH($AT63,$AS$2:$AS$440,0),COLUMNS($AT$2:BA63)),"")</f>
        <v>67</v>
      </c>
      <c r="BC63">
        <f>IF(BB63&lt;&gt;"",INDEX($AE$2:$AP$440,MATCH($AT63,$AS$2:$AS$440,0),COLUMNS($AT$2:BB63)),"")</f>
        <v>30</v>
      </c>
      <c r="BD63">
        <f>IF(BC63&lt;&gt;"",INDEX($AE$2:$AP$440,MATCH($AT63,$AS$2:$AS$440,0),COLUMNS($AT$2:BC63)),"")</f>
        <v>37</v>
      </c>
      <c r="BE63">
        <f>IF(BD63&lt;&gt;"",INDEX($AE$2:$AP$440,MATCH($AT63,$AS$2:$AS$440,0),COLUMNS($AT$2:BD63)),"")</f>
        <v>79</v>
      </c>
      <c r="BF63">
        <f>IF(BE63&lt;&gt;"",INDEX($AE$2:$AP$440,MATCH($AT63,$AS$2:$AS$440,0),COLUMNS($AT$2:BE63)),"")</f>
        <v>2</v>
      </c>
      <c r="BU63" s="1">
        <v>2020</v>
      </c>
      <c r="BV63" s="1">
        <v>19</v>
      </c>
      <c r="BW63" s="1" t="s">
        <v>35</v>
      </c>
      <c r="BX63" s="1">
        <v>38</v>
      </c>
      <c r="BY63" s="1">
        <v>5</v>
      </c>
      <c r="BZ63" s="1">
        <v>11</v>
      </c>
      <c r="CA63" s="1">
        <v>22</v>
      </c>
      <c r="CB63" s="1">
        <v>35</v>
      </c>
      <c r="CC63" s="1">
        <v>76</v>
      </c>
      <c r="CD63" s="1">
        <v>-41</v>
      </c>
      <c r="CE63" s="1">
        <v>26</v>
      </c>
      <c r="CF63" s="17">
        <f t="shared" si="3"/>
        <v>0.13157894736842105</v>
      </c>
    </row>
    <row r="64" spans="1:84" x14ac:dyDescent="0.25">
      <c r="A64" s="3">
        <v>2003</v>
      </c>
      <c r="B64" s="3">
        <v>3</v>
      </c>
      <c r="C64" s="4" t="s">
        <v>11</v>
      </c>
      <c r="D64" s="3">
        <v>38</v>
      </c>
      <c r="E64" s="3">
        <v>23</v>
      </c>
      <c r="F64" s="3">
        <v>6</v>
      </c>
      <c r="G64" s="3">
        <v>9</v>
      </c>
      <c r="H64" s="3">
        <v>64</v>
      </c>
      <c r="I64" s="3">
        <v>35</v>
      </c>
      <c r="J64" s="3">
        <v>29</v>
      </c>
      <c r="K64" s="3">
        <v>75</v>
      </c>
      <c r="L64" s="5">
        <f>IF(Table2[[#This Row],['#]]=1,"Champion", IF(Table2[[#This Row],['#]]&gt;=18,"Relegated",Table2[[#This Row],['#]]))</f>
        <v>3</v>
      </c>
      <c r="N64">
        <f>IF(COUNTIF($O$2:O64,O64)=1,N63+1,N63)</f>
        <v>25</v>
      </c>
      <c r="O64" s="4" t="str">
        <f>Table2[[#This Row],[Team]]</f>
        <v>Manchester United</v>
      </c>
      <c r="P64" s="1" t="str">
        <f>IFERROR(VLOOKUP(ROWS($O$2:O64),$N$2:$O$441,2,0),"")</f>
        <v/>
      </c>
      <c r="Q64" s="1" t="str">
        <f>IF(P64&lt;&gt;"",SUMPRODUCT(--(Table2[Team]=P64)),"")</f>
        <v/>
      </c>
      <c r="R64" s="11" t="str">
        <f>IF(Q64&lt;&gt;"",Q64+ROWS($Q$2:Q64)/100,"")</f>
        <v/>
      </c>
      <c r="S64" t="str">
        <f>IF(R64&lt;&gt;"",LARGE($R$2:$R$441,ROWS($R$2:R64)),"")</f>
        <v/>
      </c>
      <c r="T64" s="1" t="str">
        <f>IF(R64&lt;&gt;"",INDEX($P$2:$Q$441,MATCH($S64,$R$2:$R$441,0),COLUMNS($S$2:S64)),"")</f>
        <v/>
      </c>
      <c r="U64" s="1" t="str">
        <f>IF(S64&lt;&gt;"",INDEX($P$2:$Q$441,MATCH($S64,$R$2:$R$441,0),COLUMNS($S$2:T64)),"")</f>
        <v/>
      </c>
      <c r="AE64" s="1">
        <f>Table2[[#This Row],[Year]]</f>
        <v>2003</v>
      </c>
      <c r="AF64" s="1">
        <f>Table2[[#This Row],['#]]</f>
        <v>3</v>
      </c>
      <c r="AG64" s="1" t="str">
        <f>Table2[[#This Row],[Team]]</f>
        <v>Manchester United</v>
      </c>
      <c r="AH64" s="1">
        <f>Table2[[#This Row],[Pl]]</f>
        <v>38</v>
      </c>
      <c r="AI64" s="1">
        <f>Table2[[#This Row],[W]]</f>
        <v>23</v>
      </c>
      <c r="AJ64" s="1">
        <f>Table2[[#This Row],[D]]</f>
        <v>6</v>
      </c>
      <c r="AK64" s="1">
        <f>Table2[[#This Row],[L]]</f>
        <v>9</v>
      </c>
      <c r="AL64" s="1">
        <f>Table2[[#This Row],[F]]</f>
        <v>64</v>
      </c>
      <c r="AM64" s="1">
        <f>Table2[[#This Row],[A]]</f>
        <v>35</v>
      </c>
      <c r="AN64" s="1">
        <f>Table2[[#This Row],[GD]]</f>
        <v>29</v>
      </c>
      <c r="AO64" s="1">
        <f>Table2[[#This Row],[Pts]]</f>
        <v>75</v>
      </c>
      <c r="AP64" s="1">
        <f>Table2[[#This Row],[Column1]]</f>
        <v>3</v>
      </c>
      <c r="AR64" t="b">
        <f t="shared" si="1"/>
        <v>1</v>
      </c>
      <c r="AS64">
        <f>IF(AR64,ROWS($AR$2:AR64),"")</f>
        <v>63</v>
      </c>
      <c r="AT64">
        <f>IFERROR(SMALL($AS$2:$AS$440,ROWS($AS$2:AS64)),"")</f>
        <v>63</v>
      </c>
      <c r="AU64">
        <f>IF(AT64&lt;&gt;"",INDEX($AE$2:$AP$440,MATCH($AT64,$AS$2:$AS$440,0),COLUMNS($AT$2:AT64)),"")</f>
        <v>2003</v>
      </c>
      <c r="AV64">
        <f>IF(AU64&lt;&gt;"",INDEX($AE$2:$AP$440,MATCH($AT64,$AS$2:$AS$440,0),COLUMNS($AT$2:AU64)),"")</f>
        <v>3</v>
      </c>
      <c r="AW64" t="str">
        <f>IF(AV64&lt;&gt;"",INDEX($AE$2:$AP$440,MATCH($AT64,$AS$2:$AS$440,0),COLUMNS($AT$2:AV64)),"")</f>
        <v>Manchester United</v>
      </c>
      <c r="AX64">
        <f>IF(AW64&lt;&gt;"",INDEX($AE$2:$AP$440,MATCH($AT64,$AS$2:$AS$440,0),COLUMNS($AT$2:AW64)),"")</f>
        <v>38</v>
      </c>
      <c r="AY64">
        <f>IF(AX64&lt;&gt;"",INDEX($AE$2:$AP$440,MATCH($AT64,$AS$2:$AS$440,0),COLUMNS($AT$2:AX64)),"")</f>
        <v>23</v>
      </c>
      <c r="AZ64">
        <f>IF(AY64&lt;&gt;"",INDEX($AE$2:$AP$440,MATCH($AT64,$AS$2:$AS$440,0),COLUMNS($AT$2:AY64)),"")</f>
        <v>6</v>
      </c>
      <c r="BA64">
        <f>IF(AZ64&lt;&gt;"",INDEX($AE$2:$AP$440,MATCH($AT64,$AS$2:$AS$440,0),COLUMNS($AT$2:AZ64)),"")</f>
        <v>9</v>
      </c>
      <c r="BB64">
        <f>IF(BA64&lt;&gt;"",INDEX($AE$2:$AP$440,MATCH($AT64,$AS$2:$AS$440,0),COLUMNS($AT$2:BA64)),"")</f>
        <v>64</v>
      </c>
      <c r="BC64">
        <f>IF(BB64&lt;&gt;"",INDEX($AE$2:$AP$440,MATCH($AT64,$AS$2:$AS$440,0),COLUMNS($AT$2:BB64)),"")</f>
        <v>35</v>
      </c>
      <c r="BD64">
        <f>IF(BC64&lt;&gt;"",INDEX($AE$2:$AP$440,MATCH($AT64,$AS$2:$AS$440,0),COLUMNS($AT$2:BC64)),"")</f>
        <v>29</v>
      </c>
      <c r="BE64">
        <f>IF(BD64&lt;&gt;"",INDEX($AE$2:$AP$440,MATCH($AT64,$AS$2:$AS$440,0),COLUMNS($AT$2:BD64)),"")</f>
        <v>75</v>
      </c>
      <c r="BF64">
        <f>IF(BE64&lt;&gt;"",INDEX($AE$2:$AP$440,MATCH($AT64,$AS$2:$AS$440,0),COLUMNS($AT$2:BE64)),"")</f>
        <v>3</v>
      </c>
      <c r="BU64" s="1">
        <v>2020</v>
      </c>
      <c r="BV64" s="1">
        <v>20</v>
      </c>
      <c r="BW64" s="1" t="s">
        <v>42</v>
      </c>
      <c r="BX64" s="1">
        <v>38</v>
      </c>
      <c r="BY64" s="1">
        <v>7</v>
      </c>
      <c r="BZ64" s="1">
        <v>2</v>
      </c>
      <c r="CA64" s="1">
        <v>29</v>
      </c>
      <c r="CB64" s="1">
        <v>20</v>
      </c>
      <c r="CC64" s="1">
        <v>63</v>
      </c>
      <c r="CD64" s="1">
        <v>-43</v>
      </c>
      <c r="CE64" s="1">
        <v>23</v>
      </c>
      <c r="CF64" s="17">
        <f t="shared" si="3"/>
        <v>0.18421052631578946</v>
      </c>
    </row>
    <row r="65" spans="1:84" x14ac:dyDescent="0.25">
      <c r="A65" s="5">
        <v>2003</v>
      </c>
      <c r="B65" s="5">
        <v>4</v>
      </c>
      <c r="C65" s="4" t="s">
        <v>13</v>
      </c>
      <c r="D65" s="5">
        <v>38</v>
      </c>
      <c r="E65" s="5">
        <v>16</v>
      </c>
      <c r="F65" s="5">
        <v>12</v>
      </c>
      <c r="G65" s="5">
        <v>10</v>
      </c>
      <c r="H65" s="5">
        <v>55</v>
      </c>
      <c r="I65" s="5">
        <v>37</v>
      </c>
      <c r="J65" s="5">
        <v>18</v>
      </c>
      <c r="K65" s="5">
        <v>60</v>
      </c>
      <c r="L65" s="5">
        <f>IF(Table2[[#This Row],['#]]=1,"Champion", IF(Table2[[#This Row],['#]]&gt;=18,"Relegated",Table2[[#This Row],['#]]))</f>
        <v>4</v>
      </c>
      <c r="N65">
        <f>IF(COUNTIF($O$2:O65,O65)=1,N64+1,N64)</f>
        <v>25</v>
      </c>
      <c r="O65" s="4" t="str">
        <f>Table2[[#This Row],[Team]]</f>
        <v>Liverpool</v>
      </c>
      <c r="P65" s="1" t="str">
        <f>IFERROR(VLOOKUP(ROWS($O$2:O65),$N$2:$O$441,2,0),"")</f>
        <v/>
      </c>
      <c r="Q65" s="1" t="str">
        <f>IF(P65&lt;&gt;"",SUMPRODUCT(--(Table2[Team]=P65)),"")</f>
        <v/>
      </c>
      <c r="R65" s="11" t="str">
        <f>IF(Q65&lt;&gt;"",Q65+ROWS($Q$2:Q65)/100,"")</f>
        <v/>
      </c>
      <c r="S65" t="str">
        <f>IF(R65&lt;&gt;"",LARGE($R$2:$R$441,ROWS($R$2:R65)),"")</f>
        <v/>
      </c>
      <c r="T65" s="1" t="str">
        <f>IF(R65&lt;&gt;"",INDEX($P$2:$Q$441,MATCH($S65,$R$2:$R$441,0),COLUMNS($S$2:S65)),"")</f>
        <v/>
      </c>
      <c r="U65" s="1" t="str">
        <f>IF(S65&lt;&gt;"",INDEX($P$2:$Q$441,MATCH($S65,$R$2:$R$441,0),COLUMNS($S$2:T65)),"")</f>
        <v/>
      </c>
      <c r="AE65" s="1">
        <f>Table2[[#This Row],[Year]]</f>
        <v>2003</v>
      </c>
      <c r="AF65" s="1">
        <f>Table2[[#This Row],['#]]</f>
        <v>4</v>
      </c>
      <c r="AG65" s="1" t="str">
        <f>Table2[[#This Row],[Team]]</f>
        <v>Liverpool</v>
      </c>
      <c r="AH65" s="1">
        <f>Table2[[#This Row],[Pl]]</f>
        <v>38</v>
      </c>
      <c r="AI65" s="1">
        <f>Table2[[#This Row],[W]]</f>
        <v>16</v>
      </c>
      <c r="AJ65" s="1">
        <f>Table2[[#This Row],[D]]</f>
        <v>12</v>
      </c>
      <c r="AK65" s="1">
        <f>Table2[[#This Row],[L]]</f>
        <v>10</v>
      </c>
      <c r="AL65" s="1">
        <f>Table2[[#This Row],[F]]</f>
        <v>55</v>
      </c>
      <c r="AM65" s="1">
        <f>Table2[[#This Row],[A]]</f>
        <v>37</v>
      </c>
      <c r="AN65" s="1">
        <f>Table2[[#This Row],[GD]]</f>
        <v>18</v>
      </c>
      <c r="AO65" s="1">
        <f>Table2[[#This Row],[Pts]]</f>
        <v>60</v>
      </c>
      <c r="AP65" s="1">
        <f>Table2[[#This Row],[Column1]]</f>
        <v>4</v>
      </c>
      <c r="AR65" t="b">
        <f t="shared" si="1"/>
        <v>1</v>
      </c>
      <c r="AS65">
        <f>IF(AR65,ROWS($AR$2:AR65),"")</f>
        <v>64</v>
      </c>
      <c r="AT65">
        <f>IFERROR(SMALL($AS$2:$AS$440,ROWS($AS$2:AS65)),"")</f>
        <v>64</v>
      </c>
      <c r="AU65">
        <f>IF(AT65&lt;&gt;"",INDEX($AE$2:$AP$440,MATCH($AT65,$AS$2:$AS$440,0),COLUMNS($AT$2:AT65)),"")</f>
        <v>2003</v>
      </c>
      <c r="AV65">
        <f>IF(AU65&lt;&gt;"",INDEX($AE$2:$AP$440,MATCH($AT65,$AS$2:$AS$440,0),COLUMNS($AT$2:AU65)),"")</f>
        <v>4</v>
      </c>
      <c r="AW65" t="str">
        <f>IF(AV65&lt;&gt;"",INDEX($AE$2:$AP$440,MATCH($AT65,$AS$2:$AS$440,0),COLUMNS($AT$2:AV65)),"")</f>
        <v>Liverpool</v>
      </c>
      <c r="AX65">
        <f>IF(AW65&lt;&gt;"",INDEX($AE$2:$AP$440,MATCH($AT65,$AS$2:$AS$440,0),COLUMNS($AT$2:AW65)),"")</f>
        <v>38</v>
      </c>
      <c r="AY65">
        <f>IF(AX65&lt;&gt;"",INDEX($AE$2:$AP$440,MATCH($AT65,$AS$2:$AS$440,0),COLUMNS($AT$2:AX65)),"")</f>
        <v>16</v>
      </c>
      <c r="AZ65">
        <f>IF(AY65&lt;&gt;"",INDEX($AE$2:$AP$440,MATCH($AT65,$AS$2:$AS$440,0),COLUMNS($AT$2:AY65)),"")</f>
        <v>12</v>
      </c>
      <c r="BA65">
        <f>IF(AZ65&lt;&gt;"",INDEX($AE$2:$AP$440,MATCH($AT65,$AS$2:$AS$440,0),COLUMNS($AT$2:AZ65)),"")</f>
        <v>10</v>
      </c>
      <c r="BB65">
        <f>IF(BA65&lt;&gt;"",INDEX($AE$2:$AP$440,MATCH($AT65,$AS$2:$AS$440,0),COLUMNS($AT$2:BA65)),"")</f>
        <v>55</v>
      </c>
      <c r="BC65">
        <f>IF(BB65&lt;&gt;"",INDEX($AE$2:$AP$440,MATCH($AT65,$AS$2:$AS$440,0),COLUMNS($AT$2:BB65)),"")</f>
        <v>37</v>
      </c>
      <c r="BD65">
        <f>IF(BC65&lt;&gt;"",INDEX($AE$2:$AP$440,MATCH($AT65,$AS$2:$AS$440,0),COLUMNS($AT$2:BC65)),"")</f>
        <v>18</v>
      </c>
      <c r="BE65">
        <f>IF(BD65&lt;&gt;"",INDEX($AE$2:$AP$440,MATCH($AT65,$AS$2:$AS$440,0),COLUMNS($AT$2:BD65)),"")</f>
        <v>60</v>
      </c>
      <c r="BF65">
        <f>IF(BE65&lt;&gt;"",INDEX($AE$2:$AP$440,MATCH($AT65,$AS$2:$AS$440,0),COLUMNS($AT$2:BE65)),"")</f>
        <v>4</v>
      </c>
      <c r="BU65" s="1">
        <v>2021</v>
      </c>
      <c r="BV65" s="1">
        <v>18</v>
      </c>
      <c r="BW65" s="1" t="s">
        <v>46</v>
      </c>
      <c r="BX65" s="1">
        <v>38</v>
      </c>
      <c r="BY65" s="1">
        <v>7</v>
      </c>
      <c r="BZ65" s="1">
        <v>14</v>
      </c>
      <c r="CA65" s="1">
        <v>17</v>
      </c>
      <c r="CB65" s="1">
        <v>34</v>
      </c>
      <c r="CC65" s="1">
        <v>53</v>
      </c>
      <c r="CD65" s="1">
        <v>-19</v>
      </c>
      <c r="CE65" s="1">
        <v>35</v>
      </c>
      <c r="CF65" s="17">
        <f t="shared" si="3"/>
        <v>0.18421052631578946</v>
      </c>
    </row>
    <row r="66" spans="1:84" x14ac:dyDescent="0.25">
      <c r="A66" s="3">
        <v>2003</v>
      </c>
      <c r="B66" s="3">
        <v>5</v>
      </c>
      <c r="C66" s="4" t="s">
        <v>21</v>
      </c>
      <c r="D66" s="3">
        <v>38</v>
      </c>
      <c r="E66" s="3">
        <v>13</v>
      </c>
      <c r="F66" s="3">
        <v>17</v>
      </c>
      <c r="G66" s="3">
        <v>8</v>
      </c>
      <c r="H66" s="3">
        <v>52</v>
      </c>
      <c r="I66" s="3">
        <v>40</v>
      </c>
      <c r="J66" s="3">
        <v>12</v>
      </c>
      <c r="K66" s="3">
        <v>56</v>
      </c>
      <c r="L66" s="5">
        <f>IF(Table2[[#This Row],['#]]=1,"Champion", IF(Table2[[#This Row],['#]]&gt;=18,"Relegated",Table2[[#This Row],['#]]))</f>
        <v>5</v>
      </c>
      <c r="N66">
        <f>IF(COUNTIF($O$2:O66,O66)=1,N65+1,N65)</f>
        <v>25</v>
      </c>
      <c r="O66" s="4" t="str">
        <f>Table2[[#This Row],[Team]]</f>
        <v>Newcastle United</v>
      </c>
      <c r="P66" s="1" t="str">
        <f>IFERROR(VLOOKUP(ROWS($O$2:O66),$N$2:$O$441,2,0),"")</f>
        <v/>
      </c>
      <c r="Q66" s="1" t="str">
        <f>IF(P66&lt;&gt;"",SUMPRODUCT(--(Table2[Team]=P66)),"")</f>
        <v/>
      </c>
      <c r="R66" s="11" t="str">
        <f>IF(Q66&lt;&gt;"",Q66+ROWS($Q$2:Q66)/100,"")</f>
        <v/>
      </c>
      <c r="S66" t="str">
        <f>IF(R66&lt;&gt;"",LARGE($R$2:$R$441,ROWS($R$2:R66)),"")</f>
        <v/>
      </c>
      <c r="T66" s="1" t="str">
        <f>IF(R66&lt;&gt;"",INDEX($P$2:$Q$441,MATCH($S66,$R$2:$R$441,0),COLUMNS($S$2:S66)),"")</f>
        <v/>
      </c>
      <c r="U66" s="1" t="str">
        <f>IF(S66&lt;&gt;"",INDEX($P$2:$Q$441,MATCH($S66,$R$2:$R$441,0),COLUMNS($S$2:T66)),"")</f>
        <v/>
      </c>
      <c r="AE66" s="1">
        <f>Table2[[#This Row],[Year]]</f>
        <v>2003</v>
      </c>
      <c r="AF66" s="1">
        <f>Table2[[#This Row],['#]]</f>
        <v>5</v>
      </c>
      <c r="AG66" s="1" t="str">
        <f>Table2[[#This Row],[Team]]</f>
        <v>Newcastle United</v>
      </c>
      <c r="AH66" s="1">
        <f>Table2[[#This Row],[Pl]]</f>
        <v>38</v>
      </c>
      <c r="AI66" s="1">
        <f>Table2[[#This Row],[W]]</f>
        <v>13</v>
      </c>
      <c r="AJ66" s="1">
        <f>Table2[[#This Row],[D]]</f>
        <v>17</v>
      </c>
      <c r="AK66" s="1">
        <f>Table2[[#This Row],[L]]</f>
        <v>8</v>
      </c>
      <c r="AL66" s="1">
        <f>Table2[[#This Row],[F]]</f>
        <v>52</v>
      </c>
      <c r="AM66" s="1">
        <f>Table2[[#This Row],[A]]</f>
        <v>40</v>
      </c>
      <c r="AN66" s="1">
        <f>Table2[[#This Row],[GD]]</f>
        <v>12</v>
      </c>
      <c r="AO66" s="1">
        <f>Table2[[#This Row],[Pts]]</f>
        <v>56</v>
      </c>
      <c r="AP66" s="1">
        <f>Table2[[#This Row],[Column1]]</f>
        <v>5</v>
      </c>
      <c r="AR66" t="b">
        <f t="shared" si="1"/>
        <v>1</v>
      </c>
      <c r="AS66">
        <f>IF(AR66,ROWS($AR$2:AR66),"")</f>
        <v>65</v>
      </c>
      <c r="AT66">
        <f>IFERROR(SMALL($AS$2:$AS$440,ROWS($AS$2:AS66)),"")</f>
        <v>65</v>
      </c>
      <c r="AU66">
        <f>IF(AT66&lt;&gt;"",INDEX($AE$2:$AP$440,MATCH($AT66,$AS$2:$AS$440,0),COLUMNS($AT$2:AT66)),"")</f>
        <v>2003</v>
      </c>
      <c r="AV66">
        <f>IF(AU66&lt;&gt;"",INDEX($AE$2:$AP$440,MATCH($AT66,$AS$2:$AS$440,0),COLUMNS($AT$2:AU66)),"")</f>
        <v>5</v>
      </c>
      <c r="AW66" t="str">
        <f>IF(AV66&lt;&gt;"",INDEX($AE$2:$AP$440,MATCH($AT66,$AS$2:$AS$440,0),COLUMNS($AT$2:AV66)),"")</f>
        <v>Newcastle United</v>
      </c>
      <c r="AX66">
        <f>IF(AW66&lt;&gt;"",INDEX($AE$2:$AP$440,MATCH($AT66,$AS$2:$AS$440,0),COLUMNS($AT$2:AW66)),"")</f>
        <v>38</v>
      </c>
      <c r="AY66">
        <f>IF(AX66&lt;&gt;"",INDEX($AE$2:$AP$440,MATCH($AT66,$AS$2:$AS$440,0),COLUMNS($AT$2:AX66)),"")</f>
        <v>13</v>
      </c>
      <c r="AZ66">
        <f>IF(AY66&lt;&gt;"",INDEX($AE$2:$AP$440,MATCH($AT66,$AS$2:$AS$440,0),COLUMNS($AT$2:AY66)),"")</f>
        <v>17</v>
      </c>
      <c r="BA66">
        <f>IF(AZ66&lt;&gt;"",INDEX($AE$2:$AP$440,MATCH($AT66,$AS$2:$AS$440,0),COLUMNS($AT$2:AZ66)),"")</f>
        <v>8</v>
      </c>
      <c r="BB66">
        <f>IF(BA66&lt;&gt;"",INDEX($AE$2:$AP$440,MATCH($AT66,$AS$2:$AS$440,0),COLUMNS($AT$2:BA66)),"")</f>
        <v>52</v>
      </c>
      <c r="BC66">
        <f>IF(BB66&lt;&gt;"",INDEX($AE$2:$AP$440,MATCH($AT66,$AS$2:$AS$440,0),COLUMNS($AT$2:BB66)),"")</f>
        <v>40</v>
      </c>
      <c r="BD66">
        <f>IF(BC66&lt;&gt;"",INDEX($AE$2:$AP$440,MATCH($AT66,$AS$2:$AS$440,0),COLUMNS($AT$2:BC66)),"")</f>
        <v>12</v>
      </c>
      <c r="BE66">
        <f>IF(BD66&lt;&gt;"",INDEX($AE$2:$AP$440,MATCH($AT66,$AS$2:$AS$440,0),COLUMNS($AT$2:BD66)),"")</f>
        <v>56</v>
      </c>
      <c r="BF66">
        <f>IF(BE66&lt;&gt;"",INDEX($AE$2:$AP$440,MATCH($AT66,$AS$2:$AS$440,0),COLUMNS($AT$2:BE66)),"")</f>
        <v>5</v>
      </c>
      <c r="BU66" s="1">
        <v>2021</v>
      </c>
      <c r="BV66" s="1">
        <v>19</v>
      </c>
      <c r="BW66" s="1" t="s">
        <v>43</v>
      </c>
      <c r="BX66" s="1">
        <v>38</v>
      </c>
      <c r="BY66" s="1">
        <v>6</v>
      </c>
      <c r="BZ66" s="1">
        <v>5</v>
      </c>
      <c r="CA66" s="1">
        <v>27</v>
      </c>
      <c r="CB66" s="1">
        <v>34</v>
      </c>
      <c r="CC66" s="1">
        <v>77</v>
      </c>
      <c r="CD66" s="1">
        <v>-43</v>
      </c>
      <c r="CE66" s="1">
        <v>23</v>
      </c>
      <c r="CF66" s="17">
        <f t="shared" si="3"/>
        <v>0.15789473684210525</v>
      </c>
    </row>
    <row r="67" spans="1:84" x14ac:dyDescent="0.25">
      <c r="A67" s="5">
        <v>2003</v>
      </c>
      <c r="B67" s="5">
        <v>6</v>
      </c>
      <c r="C67" s="6" t="s">
        <v>18</v>
      </c>
      <c r="D67" s="5">
        <v>38</v>
      </c>
      <c r="E67" s="5">
        <v>15</v>
      </c>
      <c r="F67" s="5">
        <v>11</v>
      </c>
      <c r="G67" s="5">
        <v>12</v>
      </c>
      <c r="H67" s="5">
        <v>48</v>
      </c>
      <c r="I67" s="5">
        <v>44</v>
      </c>
      <c r="J67" s="5">
        <v>4</v>
      </c>
      <c r="K67" s="5">
        <v>56</v>
      </c>
      <c r="L67" s="5">
        <f>IF(Table2[[#This Row],['#]]=1,"Champion", IF(Table2[[#This Row],['#]]&gt;=18,"Relegated",Table2[[#This Row],['#]]))</f>
        <v>6</v>
      </c>
      <c r="N67">
        <f>IF(COUNTIF($O$2:O67,O67)=1,N66+1,N66)</f>
        <v>25</v>
      </c>
      <c r="O67" s="4" t="str">
        <f>Table2[[#This Row],[Team]]</f>
        <v>Aston Villa</v>
      </c>
      <c r="P67" s="1" t="str">
        <f>IFERROR(VLOOKUP(ROWS($O$2:O67),$N$2:$O$441,2,0),"")</f>
        <v/>
      </c>
      <c r="Q67" s="1" t="str">
        <f>IF(P67&lt;&gt;"",SUMPRODUCT(--(Table2[Team]=P67)),"")</f>
        <v/>
      </c>
      <c r="R67" s="11" t="str">
        <f>IF(Q67&lt;&gt;"",Q67+ROWS($Q$2:Q67)/100,"")</f>
        <v/>
      </c>
      <c r="S67" t="str">
        <f>IF(R67&lt;&gt;"",LARGE($R$2:$R$441,ROWS($R$2:R67)),"")</f>
        <v/>
      </c>
      <c r="T67" s="1" t="str">
        <f>IF(R67&lt;&gt;"",INDEX($P$2:$Q$441,MATCH($S67,$R$2:$R$441,0),COLUMNS($S$2:S67)),"")</f>
        <v/>
      </c>
      <c r="U67" s="1" t="str">
        <f>IF(S67&lt;&gt;"",INDEX($P$2:$Q$441,MATCH($S67,$R$2:$R$441,0),COLUMNS($S$2:T67)),"")</f>
        <v/>
      </c>
      <c r="AE67" s="1">
        <f>Table2[[#This Row],[Year]]</f>
        <v>2003</v>
      </c>
      <c r="AF67" s="1">
        <f>Table2[[#This Row],['#]]</f>
        <v>6</v>
      </c>
      <c r="AG67" s="1" t="str">
        <f>Table2[[#This Row],[Team]]</f>
        <v>Aston Villa</v>
      </c>
      <c r="AH67" s="1">
        <f>Table2[[#This Row],[Pl]]</f>
        <v>38</v>
      </c>
      <c r="AI67" s="1">
        <f>Table2[[#This Row],[W]]</f>
        <v>15</v>
      </c>
      <c r="AJ67" s="1">
        <f>Table2[[#This Row],[D]]</f>
        <v>11</v>
      </c>
      <c r="AK67" s="1">
        <f>Table2[[#This Row],[L]]</f>
        <v>12</v>
      </c>
      <c r="AL67" s="1">
        <f>Table2[[#This Row],[F]]</f>
        <v>48</v>
      </c>
      <c r="AM67" s="1">
        <f>Table2[[#This Row],[A]]</f>
        <v>44</v>
      </c>
      <c r="AN67" s="1">
        <f>Table2[[#This Row],[GD]]</f>
        <v>4</v>
      </c>
      <c r="AO67" s="1">
        <f>Table2[[#This Row],[Pts]]</f>
        <v>56</v>
      </c>
      <c r="AP67" s="1">
        <f>Table2[[#This Row],[Column1]]</f>
        <v>6</v>
      </c>
      <c r="AR67" t="b">
        <f t="shared" ref="AR67:AR130" si="4">IF($X$1="",TRUE,ISNUMBER(SEARCH($X$1,AG67)))</f>
        <v>1</v>
      </c>
      <c r="AS67">
        <f>IF(AR67,ROWS($AR$2:AR67),"")</f>
        <v>66</v>
      </c>
      <c r="AT67">
        <f>IFERROR(SMALL($AS$2:$AS$440,ROWS($AS$2:AS67)),"")</f>
        <v>66</v>
      </c>
      <c r="AU67">
        <f>IF(AT67&lt;&gt;"",INDEX($AE$2:$AP$440,MATCH($AT67,$AS$2:$AS$440,0),COLUMNS($AT$2:AT67)),"")</f>
        <v>2003</v>
      </c>
      <c r="AV67">
        <f>IF(AU67&lt;&gt;"",INDEX($AE$2:$AP$440,MATCH($AT67,$AS$2:$AS$440,0),COLUMNS($AT$2:AU67)),"")</f>
        <v>6</v>
      </c>
      <c r="AW67" t="str">
        <f>IF(AV67&lt;&gt;"",INDEX($AE$2:$AP$440,MATCH($AT67,$AS$2:$AS$440,0),COLUMNS($AT$2:AV67)),"")</f>
        <v>Aston Villa</v>
      </c>
      <c r="AX67">
        <f>IF(AW67&lt;&gt;"",INDEX($AE$2:$AP$440,MATCH($AT67,$AS$2:$AS$440,0),COLUMNS($AT$2:AW67)),"")</f>
        <v>38</v>
      </c>
      <c r="AY67">
        <f>IF(AX67&lt;&gt;"",INDEX($AE$2:$AP$440,MATCH($AT67,$AS$2:$AS$440,0),COLUMNS($AT$2:AX67)),"")</f>
        <v>15</v>
      </c>
      <c r="AZ67">
        <f>IF(AY67&lt;&gt;"",INDEX($AE$2:$AP$440,MATCH($AT67,$AS$2:$AS$440,0),COLUMNS($AT$2:AY67)),"")</f>
        <v>11</v>
      </c>
      <c r="BA67">
        <f>IF(AZ67&lt;&gt;"",INDEX($AE$2:$AP$440,MATCH($AT67,$AS$2:$AS$440,0),COLUMNS($AT$2:AZ67)),"")</f>
        <v>12</v>
      </c>
      <c r="BB67">
        <f>IF(BA67&lt;&gt;"",INDEX($AE$2:$AP$440,MATCH($AT67,$AS$2:$AS$440,0),COLUMNS($AT$2:BA67)),"")</f>
        <v>48</v>
      </c>
      <c r="BC67">
        <f>IF(BB67&lt;&gt;"",INDEX($AE$2:$AP$440,MATCH($AT67,$AS$2:$AS$440,0),COLUMNS($AT$2:BB67)),"")</f>
        <v>44</v>
      </c>
      <c r="BD67">
        <f>IF(BC67&lt;&gt;"",INDEX($AE$2:$AP$440,MATCH($AT67,$AS$2:$AS$440,0),COLUMNS($AT$2:BC67)),"")</f>
        <v>4</v>
      </c>
      <c r="BE67">
        <f>IF(BD67&lt;&gt;"",INDEX($AE$2:$AP$440,MATCH($AT67,$AS$2:$AS$440,0),COLUMNS($AT$2:BD67)),"")</f>
        <v>56</v>
      </c>
      <c r="BF67">
        <f>IF(BE67&lt;&gt;"",INDEX($AE$2:$AP$440,MATCH($AT67,$AS$2:$AS$440,0),COLUMNS($AT$2:BE67)),"")</f>
        <v>6</v>
      </c>
      <c r="BU67" s="1">
        <v>2021</v>
      </c>
      <c r="BV67" s="1">
        <v>20</v>
      </c>
      <c r="BW67" s="1" t="s">
        <v>39</v>
      </c>
      <c r="BX67" s="1">
        <v>38</v>
      </c>
      <c r="BY67" s="1">
        <v>5</v>
      </c>
      <c r="BZ67" s="1">
        <v>7</v>
      </c>
      <c r="CA67" s="1">
        <v>26</v>
      </c>
      <c r="CB67" s="1">
        <v>23</v>
      </c>
      <c r="CC67" s="1">
        <v>84</v>
      </c>
      <c r="CD67" s="1">
        <v>-61</v>
      </c>
      <c r="CE67" s="1">
        <v>22</v>
      </c>
      <c r="CF67" s="17">
        <f t="shared" ref="CF67" si="5">BY67/BX67</f>
        <v>0.13157894736842105</v>
      </c>
    </row>
    <row r="68" spans="1:84" x14ac:dyDescent="0.25">
      <c r="A68" s="3">
        <v>2003</v>
      </c>
      <c r="B68" s="3">
        <v>7</v>
      </c>
      <c r="C68" s="4" t="s">
        <v>19</v>
      </c>
      <c r="D68" s="3">
        <v>38</v>
      </c>
      <c r="E68" s="3">
        <v>14</v>
      </c>
      <c r="F68" s="3">
        <v>11</v>
      </c>
      <c r="G68" s="3">
        <v>13</v>
      </c>
      <c r="H68" s="3">
        <v>51</v>
      </c>
      <c r="I68" s="3">
        <v>51</v>
      </c>
      <c r="J68" s="3">
        <v>0</v>
      </c>
      <c r="K68" s="3">
        <v>53</v>
      </c>
      <c r="L68" s="5">
        <f>IF(Table2[[#This Row],['#]]=1,"Champion", IF(Table2[[#This Row],['#]]&gt;=18,"Relegated",Table2[[#This Row],['#]]))</f>
        <v>7</v>
      </c>
      <c r="N68">
        <f>IF(COUNTIF($O$2:O68,O68)=1,N67+1,N67)</f>
        <v>25</v>
      </c>
      <c r="O68" s="4" t="str">
        <f>Table2[[#This Row],[Team]]</f>
        <v>Charlton Athletic</v>
      </c>
      <c r="P68" s="1" t="str">
        <f>IFERROR(VLOOKUP(ROWS($O$2:O68),$N$2:$O$441,2,0),"")</f>
        <v/>
      </c>
      <c r="Q68" s="1" t="str">
        <f>IF(P68&lt;&gt;"",SUMPRODUCT(--(Table2[Team]=P68)),"")</f>
        <v/>
      </c>
      <c r="R68" s="11" t="str">
        <f>IF(Q68&lt;&gt;"",Q68+ROWS($Q$2:Q68)/100,"")</f>
        <v/>
      </c>
      <c r="S68" t="str">
        <f>IF(R68&lt;&gt;"",LARGE($R$2:$R$441,ROWS($R$2:R68)),"")</f>
        <v/>
      </c>
      <c r="T68" s="1" t="str">
        <f>IF(R68&lt;&gt;"",INDEX($P$2:$Q$441,MATCH($S68,$R$2:$R$441,0),COLUMNS($S$2:S68)),"")</f>
        <v/>
      </c>
      <c r="U68" s="1" t="str">
        <f>IF(S68&lt;&gt;"",INDEX($P$2:$Q$441,MATCH($S68,$R$2:$R$441,0),COLUMNS($S$2:T68)),"")</f>
        <v/>
      </c>
      <c r="AE68" s="1">
        <f>Table2[[#This Row],[Year]]</f>
        <v>2003</v>
      </c>
      <c r="AF68" s="1">
        <f>Table2[[#This Row],['#]]</f>
        <v>7</v>
      </c>
      <c r="AG68" s="1" t="str">
        <f>Table2[[#This Row],[Team]]</f>
        <v>Charlton Athletic</v>
      </c>
      <c r="AH68" s="1">
        <f>Table2[[#This Row],[Pl]]</f>
        <v>38</v>
      </c>
      <c r="AI68" s="1">
        <f>Table2[[#This Row],[W]]</f>
        <v>14</v>
      </c>
      <c r="AJ68" s="1">
        <f>Table2[[#This Row],[D]]</f>
        <v>11</v>
      </c>
      <c r="AK68" s="1">
        <f>Table2[[#This Row],[L]]</f>
        <v>13</v>
      </c>
      <c r="AL68" s="1">
        <f>Table2[[#This Row],[F]]</f>
        <v>51</v>
      </c>
      <c r="AM68" s="1">
        <f>Table2[[#This Row],[A]]</f>
        <v>51</v>
      </c>
      <c r="AN68" s="1">
        <f>Table2[[#This Row],[GD]]</f>
        <v>0</v>
      </c>
      <c r="AO68" s="1">
        <f>Table2[[#This Row],[Pts]]</f>
        <v>53</v>
      </c>
      <c r="AP68" s="1">
        <f>Table2[[#This Row],[Column1]]</f>
        <v>7</v>
      </c>
      <c r="AR68" t="b">
        <f t="shared" si="4"/>
        <v>1</v>
      </c>
      <c r="AS68">
        <f>IF(AR68,ROWS($AR$2:AR68),"")</f>
        <v>67</v>
      </c>
      <c r="AT68">
        <f>IFERROR(SMALL($AS$2:$AS$440,ROWS($AS$2:AS68)),"")</f>
        <v>67</v>
      </c>
      <c r="AU68">
        <f>IF(AT68&lt;&gt;"",INDEX($AE$2:$AP$440,MATCH($AT68,$AS$2:$AS$440,0),COLUMNS($AT$2:AT68)),"")</f>
        <v>2003</v>
      </c>
      <c r="AV68">
        <f>IF(AU68&lt;&gt;"",INDEX($AE$2:$AP$440,MATCH($AT68,$AS$2:$AS$440,0),COLUMNS($AT$2:AU68)),"")</f>
        <v>7</v>
      </c>
      <c r="AW68" t="str">
        <f>IF(AV68&lt;&gt;"",INDEX($AE$2:$AP$440,MATCH($AT68,$AS$2:$AS$440,0),COLUMNS($AT$2:AV68)),"")</f>
        <v>Charlton Athletic</v>
      </c>
      <c r="AX68">
        <f>IF(AW68&lt;&gt;"",INDEX($AE$2:$AP$440,MATCH($AT68,$AS$2:$AS$440,0),COLUMNS($AT$2:AW68)),"")</f>
        <v>38</v>
      </c>
      <c r="AY68">
        <f>IF(AX68&lt;&gt;"",INDEX($AE$2:$AP$440,MATCH($AT68,$AS$2:$AS$440,0),COLUMNS($AT$2:AX68)),"")</f>
        <v>14</v>
      </c>
      <c r="AZ68">
        <f>IF(AY68&lt;&gt;"",INDEX($AE$2:$AP$440,MATCH($AT68,$AS$2:$AS$440,0),COLUMNS($AT$2:AY68)),"")</f>
        <v>11</v>
      </c>
      <c r="BA68">
        <f>IF(AZ68&lt;&gt;"",INDEX($AE$2:$AP$440,MATCH($AT68,$AS$2:$AS$440,0),COLUMNS($AT$2:AZ68)),"")</f>
        <v>13</v>
      </c>
      <c r="BB68">
        <f>IF(BA68&lt;&gt;"",INDEX($AE$2:$AP$440,MATCH($AT68,$AS$2:$AS$440,0),COLUMNS($AT$2:BA68)),"")</f>
        <v>51</v>
      </c>
      <c r="BC68">
        <f>IF(BB68&lt;&gt;"",INDEX($AE$2:$AP$440,MATCH($AT68,$AS$2:$AS$440,0),COLUMNS($AT$2:BB68)),"")</f>
        <v>51</v>
      </c>
      <c r="BD68">
        <f>IF(BC68&lt;&gt;"",INDEX($AE$2:$AP$440,MATCH($AT68,$AS$2:$AS$440,0),COLUMNS($AT$2:BC68)),"")</f>
        <v>0</v>
      </c>
      <c r="BE68">
        <f>IF(BD68&lt;&gt;"",INDEX($AE$2:$AP$440,MATCH($AT68,$AS$2:$AS$440,0),COLUMNS($AT$2:BD68)),"")</f>
        <v>53</v>
      </c>
      <c r="BF68">
        <f>IF(BE68&lt;&gt;"",INDEX($AE$2:$AP$440,MATCH($AT68,$AS$2:$AS$440,0),COLUMNS($AT$2:BE68)),"")</f>
        <v>7</v>
      </c>
    </row>
    <row r="69" spans="1:84" x14ac:dyDescent="0.25">
      <c r="A69" s="5">
        <v>2003</v>
      </c>
      <c r="B69" s="5">
        <v>8</v>
      </c>
      <c r="C69" s="6" t="s">
        <v>33</v>
      </c>
      <c r="D69" s="5">
        <v>38</v>
      </c>
      <c r="E69" s="5">
        <v>14</v>
      </c>
      <c r="F69" s="5">
        <v>11</v>
      </c>
      <c r="G69" s="5">
        <v>13</v>
      </c>
      <c r="H69" s="5">
        <v>48</v>
      </c>
      <c r="I69" s="5">
        <v>56</v>
      </c>
      <c r="J69" s="5">
        <v>-8</v>
      </c>
      <c r="K69" s="5">
        <v>53</v>
      </c>
      <c r="L69" s="5">
        <f>IF(Table2[[#This Row],['#]]=1,"Champion", IF(Table2[[#This Row],['#]]&gt;=18,"Relegated",Table2[[#This Row],['#]]))</f>
        <v>8</v>
      </c>
      <c r="N69">
        <f>IF(COUNTIF($O$2:O69,O69)=1,N68+1,N68)</f>
        <v>25</v>
      </c>
      <c r="O69" s="4" t="str">
        <f>Table2[[#This Row],[Team]]</f>
        <v>Bolton Wanderers</v>
      </c>
      <c r="P69" s="1" t="str">
        <f>IFERROR(VLOOKUP(ROWS($O$2:O69),$N$2:$O$441,2,0),"")</f>
        <v/>
      </c>
      <c r="Q69" s="1" t="str">
        <f>IF(P69&lt;&gt;"",SUMPRODUCT(--(Table2[Team]=P69)),"")</f>
        <v/>
      </c>
      <c r="R69" s="11" t="str">
        <f>IF(Q69&lt;&gt;"",Q69+ROWS($Q$2:Q69)/100,"")</f>
        <v/>
      </c>
      <c r="S69" t="str">
        <f>IF(R69&lt;&gt;"",LARGE($R$2:$R$441,ROWS($R$2:R69)),"")</f>
        <v/>
      </c>
      <c r="T69" s="1" t="str">
        <f>IF(R69&lt;&gt;"",INDEX($P$2:$Q$441,MATCH($S69,$R$2:$R$441,0),COLUMNS($S$2:S69)),"")</f>
        <v/>
      </c>
      <c r="U69" s="1" t="str">
        <f>IF(S69&lt;&gt;"",INDEX($P$2:$Q$441,MATCH($S69,$R$2:$R$441,0),COLUMNS($S$2:T69)),"")</f>
        <v/>
      </c>
      <c r="AE69" s="1">
        <f>Table2[[#This Row],[Year]]</f>
        <v>2003</v>
      </c>
      <c r="AF69" s="1">
        <f>Table2[[#This Row],['#]]</f>
        <v>8</v>
      </c>
      <c r="AG69" s="1" t="str">
        <f>Table2[[#This Row],[Team]]</f>
        <v>Bolton Wanderers</v>
      </c>
      <c r="AH69" s="1">
        <f>Table2[[#This Row],[Pl]]</f>
        <v>38</v>
      </c>
      <c r="AI69" s="1">
        <f>Table2[[#This Row],[W]]</f>
        <v>14</v>
      </c>
      <c r="AJ69" s="1">
        <f>Table2[[#This Row],[D]]</f>
        <v>11</v>
      </c>
      <c r="AK69" s="1">
        <f>Table2[[#This Row],[L]]</f>
        <v>13</v>
      </c>
      <c r="AL69" s="1">
        <f>Table2[[#This Row],[F]]</f>
        <v>48</v>
      </c>
      <c r="AM69" s="1">
        <f>Table2[[#This Row],[A]]</f>
        <v>56</v>
      </c>
      <c r="AN69" s="1">
        <f>Table2[[#This Row],[GD]]</f>
        <v>-8</v>
      </c>
      <c r="AO69" s="1">
        <f>Table2[[#This Row],[Pts]]</f>
        <v>53</v>
      </c>
      <c r="AP69" s="1">
        <f>Table2[[#This Row],[Column1]]</f>
        <v>8</v>
      </c>
      <c r="AR69" t="b">
        <f t="shared" si="4"/>
        <v>1</v>
      </c>
      <c r="AS69">
        <f>IF(AR69,ROWS($AR$2:AR69),"")</f>
        <v>68</v>
      </c>
      <c r="AT69">
        <f>IFERROR(SMALL($AS$2:$AS$440,ROWS($AS$2:AS69)),"")</f>
        <v>68</v>
      </c>
      <c r="AU69">
        <f>IF(AT69&lt;&gt;"",INDEX($AE$2:$AP$440,MATCH($AT69,$AS$2:$AS$440,0),COLUMNS($AT$2:AT69)),"")</f>
        <v>2003</v>
      </c>
      <c r="AV69">
        <f>IF(AU69&lt;&gt;"",INDEX($AE$2:$AP$440,MATCH($AT69,$AS$2:$AS$440,0),COLUMNS($AT$2:AU69)),"")</f>
        <v>8</v>
      </c>
      <c r="AW69" t="str">
        <f>IF(AV69&lt;&gt;"",INDEX($AE$2:$AP$440,MATCH($AT69,$AS$2:$AS$440,0),COLUMNS($AT$2:AV69)),"")</f>
        <v>Bolton Wanderers</v>
      </c>
      <c r="AX69">
        <f>IF(AW69&lt;&gt;"",INDEX($AE$2:$AP$440,MATCH($AT69,$AS$2:$AS$440,0),COLUMNS($AT$2:AW69)),"")</f>
        <v>38</v>
      </c>
      <c r="AY69">
        <f>IF(AX69&lt;&gt;"",INDEX($AE$2:$AP$440,MATCH($AT69,$AS$2:$AS$440,0),COLUMNS($AT$2:AX69)),"")</f>
        <v>14</v>
      </c>
      <c r="AZ69">
        <f>IF(AY69&lt;&gt;"",INDEX($AE$2:$AP$440,MATCH($AT69,$AS$2:$AS$440,0),COLUMNS($AT$2:AY69)),"")</f>
        <v>11</v>
      </c>
      <c r="BA69">
        <f>IF(AZ69&lt;&gt;"",INDEX($AE$2:$AP$440,MATCH($AT69,$AS$2:$AS$440,0),COLUMNS($AT$2:AZ69)),"")</f>
        <v>13</v>
      </c>
      <c r="BB69">
        <f>IF(BA69&lt;&gt;"",INDEX($AE$2:$AP$440,MATCH($AT69,$AS$2:$AS$440,0),COLUMNS($AT$2:BA69)),"")</f>
        <v>48</v>
      </c>
      <c r="BC69">
        <f>IF(BB69&lt;&gt;"",INDEX($AE$2:$AP$440,MATCH($AT69,$AS$2:$AS$440,0),COLUMNS($AT$2:BB69)),"")</f>
        <v>56</v>
      </c>
      <c r="BD69">
        <f>IF(BC69&lt;&gt;"",INDEX($AE$2:$AP$440,MATCH($AT69,$AS$2:$AS$440,0),COLUMNS($AT$2:BC69)),"")</f>
        <v>-8</v>
      </c>
      <c r="BE69">
        <f>IF(BD69&lt;&gt;"",INDEX($AE$2:$AP$440,MATCH($AT69,$AS$2:$AS$440,0),COLUMNS($AT$2:BD69)),"")</f>
        <v>53</v>
      </c>
      <c r="BF69">
        <f>IF(BE69&lt;&gt;"",INDEX($AE$2:$AP$440,MATCH($AT69,$AS$2:$AS$440,0),COLUMNS($AT$2:BE69)),"")</f>
        <v>8</v>
      </c>
    </row>
    <row r="70" spans="1:84" x14ac:dyDescent="0.25">
      <c r="A70" s="3">
        <v>2003</v>
      </c>
      <c r="B70" s="3">
        <v>9</v>
      </c>
      <c r="C70" s="4" t="s">
        <v>32</v>
      </c>
      <c r="D70" s="3">
        <v>38</v>
      </c>
      <c r="E70" s="3">
        <v>14</v>
      </c>
      <c r="F70" s="3">
        <v>10</v>
      </c>
      <c r="G70" s="3">
        <v>14</v>
      </c>
      <c r="H70" s="3">
        <v>52</v>
      </c>
      <c r="I70" s="3">
        <v>46</v>
      </c>
      <c r="J70" s="3">
        <v>6</v>
      </c>
      <c r="K70" s="3">
        <v>52</v>
      </c>
      <c r="L70" s="5">
        <f>IF(Table2[[#This Row],['#]]=1,"Champion", IF(Table2[[#This Row],['#]]&gt;=18,"Relegated",Table2[[#This Row],['#]]))</f>
        <v>9</v>
      </c>
      <c r="N70">
        <f>IF(COUNTIF($O$2:O70,O70)=1,N69+1,N69)</f>
        <v>25</v>
      </c>
      <c r="O70" s="4" t="str">
        <f>Table2[[#This Row],[Team]]</f>
        <v>Fulham</v>
      </c>
      <c r="P70" s="1" t="str">
        <f>IFERROR(VLOOKUP(ROWS($O$2:O70),$N$2:$O$441,2,0),"")</f>
        <v/>
      </c>
      <c r="Q70" s="1" t="str">
        <f>IF(P70&lt;&gt;"",SUMPRODUCT(--(Table2[Team]=P70)),"")</f>
        <v/>
      </c>
      <c r="R70" s="11" t="str">
        <f>IF(Q70&lt;&gt;"",Q70+ROWS($Q$2:Q70)/100,"")</f>
        <v/>
      </c>
      <c r="S70" t="str">
        <f>IF(R70&lt;&gt;"",LARGE($R$2:$R$441,ROWS($R$2:R70)),"")</f>
        <v/>
      </c>
      <c r="T70" s="1" t="str">
        <f>IF(R70&lt;&gt;"",INDEX($P$2:$Q$441,MATCH($S70,$R$2:$R$441,0),COLUMNS($S$2:S70)),"")</f>
        <v/>
      </c>
      <c r="U70" s="1" t="str">
        <f>IF(S70&lt;&gt;"",INDEX($P$2:$Q$441,MATCH($S70,$R$2:$R$441,0),COLUMNS($S$2:T70)),"")</f>
        <v/>
      </c>
      <c r="AE70" s="1">
        <f>Table2[[#This Row],[Year]]</f>
        <v>2003</v>
      </c>
      <c r="AF70" s="1">
        <f>Table2[[#This Row],['#]]</f>
        <v>9</v>
      </c>
      <c r="AG70" s="1" t="str">
        <f>Table2[[#This Row],[Team]]</f>
        <v>Fulham</v>
      </c>
      <c r="AH70" s="1">
        <f>Table2[[#This Row],[Pl]]</f>
        <v>38</v>
      </c>
      <c r="AI70" s="1">
        <f>Table2[[#This Row],[W]]</f>
        <v>14</v>
      </c>
      <c r="AJ70" s="1">
        <f>Table2[[#This Row],[D]]</f>
        <v>10</v>
      </c>
      <c r="AK70" s="1">
        <f>Table2[[#This Row],[L]]</f>
        <v>14</v>
      </c>
      <c r="AL70" s="1">
        <f>Table2[[#This Row],[F]]</f>
        <v>52</v>
      </c>
      <c r="AM70" s="1">
        <f>Table2[[#This Row],[A]]</f>
        <v>46</v>
      </c>
      <c r="AN70" s="1">
        <f>Table2[[#This Row],[GD]]</f>
        <v>6</v>
      </c>
      <c r="AO70" s="1">
        <f>Table2[[#This Row],[Pts]]</f>
        <v>52</v>
      </c>
      <c r="AP70" s="1">
        <f>Table2[[#This Row],[Column1]]</f>
        <v>9</v>
      </c>
      <c r="AR70" t="b">
        <f t="shared" si="4"/>
        <v>1</v>
      </c>
      <c r="AS70">
        <f>IF(AR70,ROWS($AR$2:AR70),"")</f>
        <v>69</v>
      </c>
      <c r="AT70">
        <f>IFERROR(SMALL($AS$2:$AS$440,ROWS($AS$2:AS70)),"")</f>
        <v>69</v>
      </c>
      <c r="AU70">
        <f>IF(AT70&lt;&gt;"",INDEX($AE$2:$AP$440,MATCH($AT70,$AS$2:$AS$440,0),COLUMNS($AT$2:AT70)),"")</f>
        <v>2003</v>
      </c>
      <c r="AV70">
        <f>IF(AU70&lt;&gt;"",INDEX($AE$2:$AP$440,MATCH($AT70,$AS$2:$AS$440,0),COLUMNS($AT$2:AU70)),"")</f>
        <v>9</v>
      </c>
      <c r="AW70" t="str">
        <f>IF(AV70&lt;&gt;"",INDEX($AE$2:$AP$440,MATCH($AT70,$AS$2:$AS$440,0),COLUMNS($AT$2:AV70)),"")</f>
        <v>Fulham</v>
      </c>
      <c r="AX70">
        <f>IF(AW70&lt;&gt;"",INDEX($AE$2:$AP$440,MATCH($AT70,$AS$2:$AS$440,0),COLUMNS($AT$2:AW70)),"")</f>
        <v>38</v>
      </c>
      <c r="AY70">
        <f>IF(AX70&lt;&gt;"",INDEX($AE$2:$AP$440,MATCH($AT70,$AS$2:$AS$440,0),COLUMNS($AT$2:AX70)),"")</f>
        <v>14</v>
      </c>
      <c r="AZ70">
        <f>IF(AY70&lt;&gt;"",INDEX($AE$2:$AP$440,MATCH($AT70,$AS$2:$AS$440,0),COLUMNS($AT$2:AY70)),"")</f>
        <v>10</v>
      </c>
      <c r="BA70">
        <f>IF(AZ70&lt;&gt;"",INDEX($AE$2:$AP$440,MATCH($AT70,$AS$2:$AS$440,0),COLUMNS($AT$2:AZ70)),"")</f>
        <v>14</v>
      </c>
      <c r="BB70">
        <f>IF(BA70&lt;&gt;"",INDEX($AE$2:$AP$440,MATCH($AT70,$AS$2:$AS$440,0),COLUMNS($AT$2:BA70)),"")</f>
        <v>52</v>
      </c>
      <c r="BC70">
        <f>IF(BB70&lt;&gt;"",INDEX($AE$2:$AP$440,MATCH($AT70,$AS$2:$AS$440,0),COLUMNS($AT$2:BB70)),"")</f>
        <v>46</v>
      </c>
      <c r="BD70">
        <f>IF(BC70&lt;&gt;"",INDEX($AE$2:$AP$440,MATCH($AT70,$AS$2:$AS$440,0),COLUMNS($AT$2:BC70)),"")</f>
        <v>6</v>
      </c>
      <c r="BE70">
        <f>IF(BD70&lt;&gt;"",INDEX($AE$2:$AP$440,MATCH($AT70,$AS$2:$AS$440,0),COLUMNS($AT$2:BD70)),"")</f>
        <v>52</v>
      </c>
      <c r="BF70">
        <f>IF(BE70&lt;&gt;"",INDEX($AE$2:$AP$440,MATCH($AT70,$AS$2:$AS$440,0),COLUMNS($AT$2:BE70)),"")</f>
        <v>9</v>
      </c>
    </row>
    <row r="71" spans="1:84" x14ac:dyDescent="0.25">
      <c r="A71" s="5">
        <v>2003</v>
      </c>
      <c r="B71" s="5">
        <v>10</v>
      </c>
      <c r="C71" s="6" t="s">
        <v>34</v>
      </c>
      <c r="D71" s="5">
        <v>38</v>
      </c>
      <c r="E71" s="5">
        <v>12</v>
      </c>
      <c r="F71" s="5">
        <v>14</v>
      </c>
      <c r="G71" s="5">
        <v>12</v>
      </c>
      <c r="H71" s="5">
        <v>43</v>
      </c>
      <c r="I71" s="5">
        <v>48</v>
      </c>
      <c r="J71" s="5">
        <v>-5</v>
      </c>
      <c r="K71" s="5">
        <v>50</v>
      </c>
      <c r="L71" s="5">
        <f>IF(Table2[[#This Row],['#]]=1,"Champion", IF(Table2[[#This Row],['#]]&gt;=18,"Relegated",Table2[[#This Row],['#]]))</f>
        <v>10</v>
      </c>
      <c r="N71">
        <f>IF(COUNTIF($O$2:O71,O71)=1,N70+1,N70)</f>
        <v>25</v>
      </c>
      <c r="O71" s="4" t="str">
        <f>Table2[[#This Row],[Team]]</f>
        <v>Birmingham City</v>
      </c>
      <c r="P71" s="1" t="str">
        <f>IFERROR(VLOOKUP(ROWS($O$2:O71),$N$2:$O$441,2,0),"")</f>
        <v/>
      </c>
      <c r="Q71" s="1" t="str">
        <f>IF(P71&lt;&gt;"",SUMPRODUCT(--(Table2[Team]=P71)),"")</f>
        <v/>
      </c>
      <c r="R71" s="11" t="str">
        <f>IF(Q71&lt;&gt;"",Q71+ROWS($Q$2:Q71)/100,"")</f>
        <v/>
      </c>
      <c r="S71" t="str">
        <f>IF(R71&lt;&gt;"",LARGE($R$2:$R$441,ROWS($R$2:R71)),"")</f>
        <v/>
      </c>
      <c r="T71" s="1" t="str">
        <f>IF(R71&lt;&gt;"",INDEX($P$2:$Q$441,MATCH($S71,$R$2:$R$441,0),COLUMNS($S$2:S71)),"")</f>
        <v/>
      </c>
      <c r="U71" s="1" t="str">
        <f>IF(S71&lt;&gt;"",INDEX($P$2:$Q$441,MATCH($S71,$R$2:$R$441,0),COLUMNS($S$2:T71)),"")</f>
        <v/>
      </c>
      <c r="AE71" s="1">
        <f>Table2[[#This Row],[Year]]</f>
        <v>2003</v>
      </c>
      <c r="AF71" s="1">
        <f>Table2[[#This Row],['#]]</f>
        <v>10</v>
      </c>
      <c r="AG71" s="1" t="str">
        <f>Table2[[#This Row],[Team]]</f>
        <v>Birmingham City</v>
      </c>
      <c r="AH71" s="1">
        <f>Table2[[#This Row],[Pl]]</f>
        <v>38</v>
      </c>
      <c r="AI71" s="1">
        <f>Table2[[#This Row],[W]]</f>
        <v>12</v>
      </c>
      <c r="AJ71" s="1">
        <f>Table2[[#This Row],[D]]</f>
        <v>14</v>
      </c>
      <c r="AK71" s="1">
        <f>Table2[[#This Row],[L]]</f>
        <v>12</v>
      </c>
      <c r="AL71" s="1">
        <f>Table2[[#This Row],[F]]</f>
        <v>43</v>
      </c>
      <c r="AM71" s="1">
        <f>Table2[[#This Row],[A]]</f>
        <v>48</v>
      </c>
      <c r="AN71" s="1">
        <f>Table2[[#This Row],[GD]]</f>
        <v>-5</v>
      </c>
      <c r="AO71" s="1">
        <f>Table2[[#This Row],[Pts]]</f>
        <v>50</v>
      </c>
      <c r="AP71" s="1">
        <f>Table2[[#This Row],[Column1]]</f>
        <v>10</v>
      </c>
      <c r="AR71" t="b">
        <f t="shared" si="4"/>
        <v>1</v>
      </c>
      <c r="AS71">
        <f>IF(AR71,ROWS($AR$2:AR71),"")</f>
        <v>70</v>
      </c>
      <c r="AT71">
        <f>IFERROR(SMALL($AS$2:$AS$440,ROWS($AS$2:AS71)),"")</f>
        <v>70</v>
      </c>
      <c r="AU71">
        <f>IF(AT71&lt;&gt;"",INDEX($AE$2:$AP$440,MATCH($AT71,$AS$2:$AS$440,0),COLUMNS($AT$2:AT71)),"")</f>
        <v>2003</v>
      </c>
      <c r="AV71">
        <f>IF(AU71&lt;&gt;"",INDEX($AE$2:$AP$440,MATCH($AT71,$AS$2:$AS$440,0),COLUMNS($AT$2:AU71)),"")</f>
        <v>10</v>
      </c>
      <c r="AW71" t="str">
        <f>IF(AV71&lt;&gt;"",INDEX($AE$2:$AP$440,MATCH($AT71,$AS$2:$AS$440,0),COLUMNS($AT$2:AV71)),"")</f>
        <v>Birmingham City</v>
      </c>
      <c r="AX71">
        <f>IF(AW71&lt;&gt;"",INDEX($AE$2:$AP$440,MATCH($AT71,$AS$2:$AS$440,0),COLUMNS($AT$2:AW71)),"")</f>
        <v>38</v>
      </c>
      <c r="AY71">
        <f>IF(AX71&lt;&gt;"",INDEX($AE$2:$AP$440,MATCH($AT71,$AS$2:$AS$440,0),COLUMNS($AT$2:AX71)),"")</f>
        <v>12</v>
      </c>
      <c r="AZ71">
        <f>IF(AY71&lt;&gt;"",INDEX($AE$2:$AP$440,MATCH($AT71,$AS$2:$AS$440,0),COLUMNS($AT$2:AY71)),"")</f>
        <v>14</v>
      </c>
      <c r="BA71">
        <f>IF(AZ71&lt;&gt;"",INDEX($AE$2:$AP$440,MATCH($AT71,$AS$2:$AS$440,0),COLUMNS($AT$2:AZ71)),"")</f>
        <v>12</v>
      </c>
      <c r="BB71">
        <f>IF(BA71&lt;&gt;"",INDEX($AE$2:$AP$440,MATCH($AT71,$AS$2:$AS$440,0),COLUMNS($AT$2:BA71)),"")</f>
        <v>43</v>
      </c>
      <c r="BC71">
        <f>IF(BB71&lt;&gt;"",INDEX($AE$2:$AP$440,MATCH($AT71,$AS$2:$AS$440,0),COLUMNS($AT$2:BB71)),"")</f>
        <v>48</v>
      </c>
      <c r="BD71">
        <f>IF(BC71&lt;&gt;"",INDEX($AE$2:$AP$440,MATCH($AT71,$AS$2:$AS$440,0),COLUMNS($AT$2:BC71)),"")</f>
        <v>-5</v>
      </c>
      <c r="BE71">
        <f>IF(BD71&lt;&gt;"",INDEX($AE$2:$AP$440,MATCH($AT71,$AS$2:$AS$440,0),COLUMNS($AT$2:BD71)),"")</f>
        <v>50</v>
      </c>
      <c r="BF71">
        <f>IF(BE71&lt;&gt;"",INDEX($AE$2:$AP$440,MATCH($AT71,$AS$2:$AS$440,0),COLUMNS($AT$2:BE71)),"")</f>
        <v>10</v>
      </c>
    </row>
    <row r="72" spans="1:84" x14ac:dyDescent="0.25">
      <c r="A72" s="3">
        <v>2003</v>
      </c>
      <c r="B72" s="3">
        <v>11</v>
      </c>
      <c r="C72" s="4" t="s">
        <v>24</v>
      </c>
      <c r="D72" s="3">
        <v>38</v>
      </c>
      <c r="E72" s="3">
        <v>13</v>
      </c>
      <c r="F72" s="3">
        <v>9</v>
      </c>
      <c r="G72" s="3">
        <v>16</v>
      </c>
      <c r="H72" s="3">
        <v>44</v>
      </c>
      <c r="I72" s="3">
        <v>52</v>
      </c>
      <c r="J72" s="3">
        <v>-8</v>
      </c>
      <c r="K72" s="3">
        <v>48</v>
      </c>
      <c r="L72" s="5">
        <f>IF(Table2[[#This Row],['#]]=1,"Champion", IF(Table2[[#This Row],['#]]&gt;=18,"Relegated",Table2[[#This Row],['#]]))</f>
        <v>11</v>
      </c>
      <c r="N72">
        <f>IF(COUNTIF($O$2:O72,O72)=1,N71+1,N71)</f>
        <v>25</v>
      </c>
      <c r="O72" s="4" t="str">
        <f>Table2[[#This Row],[Team]]</f>
        <v>Middlesbrough</v>
      </c>
      <c r="P72" s="1" t="str">
        <f>IFERROR(VLOOKUP(ROWS($O$2:O72),$N$2:$O$441,2,0),"")</f>
        <v/>
      </c>
      <c r="Q72" s="1" t="str">
        <f>IF(P72&lt;&gt;"",SUMPRODUCT(--(Table2[Team]=P72)),"")</f>
        <v/>
      </c>
      <c r="R72" s="11" t="str">
        <f>IF(Q72&lt;&gt;"",Q72+ROWS($Q$2:Q72)/100,"")</f>
        <v/>
      </c>
      <c r="S72" t="str">
        <f>IF(R72&lt;&gt;"",LARGE($R$2:$R$441,ROWS($R$2:R72)),"")</f>
        <v/>
      </c>
      <c r="T72" s="1" t="str">
        <f>IF(R72&lt;&gt;"",INDEX($P$2:$Q$441,MATCH($S72,$R$2:$R$441,0),COLUMNS($S$2:S72)),"")</f>
        <v/>
      </c>
      <c r="U72" s="1" t="str">
        <f>IF(S72&lt;&gt;"",INDEX($P$2:$Q$441,MATCH($S72,$R$2:$R$441,0),COLUMNS($S$2:T72)),"")</f>
        <v/>
      </c>
      <c r="AE72" s="1">
        <f>Table2[[#This Row],[Year]]</f>
        <v>2003</v>
      </c>
      <c r="AF72" s="1">
        <f>Table2[[#This Row],['#]]</f>
        <v>11</v>
      </c>
      <c r="AG72" s="1" t="str">
        <f>Table2[[#This Row],[Team]]</f>
        <v>Middlesbrough</v>
      </c>
      <c r="AH72" s="1">
        <f>Table2[[#This Row],[Pl]]</f>
        <v>38</v>
      </c>
      <c r="AI72" s="1">
        <f>Table2[[#This Row],[W]]</f>
        <v>13</v>
      </c>
      <c r="AJ72" s="1">
        <f>Table2[[#This Row],[D]]</f>
        <v>9</v>
      </c>
      <c r="AK72" s="1">
        <f>Table2[[#This Row],[L]]</f>
        <v>16</v>
      </c>
      <c r="AL72" s="1">
        <f>Table2[[#This Row],[F]]</f>
        <v>44</v>
      </c>
      <c r="AM72" s="1">
        <f>Table2[[#This Row],[A]]</f>
        <v>52</v>
      </c>
      <c r="AN72" s="1">
        <f>Table2[[#This Row],[GD]]</f>
        <v>-8</v>
      </c>
      <c r="AO72" s="1">
        <f>Table2[[#This Row],[Pts]]</f>
        <v>48</v>
      </c>
      <c r="AP72" s="1">
        <f>Table2[[#This Row],[Column1]]</f>
        <v>11</v>
      </c>
      <c r="AR72" t="b">
        <f t="shared" si="4"/>
        <v>1</v>
      </c>
      <c r="AS72">
        <f>IF(AR72,ROWS($AR$2:AR72),"")</f>
        <v>71</v>
      </c>
      <c r="AT72">
        <f>IFERROR(SMALL($AS$2:$AS$440,ROWS($AS$2:AS72)),"")</f>
        <v>71</v>
      </c>
      <c r="AU72">
        <f>IF(AT72&lt;&gt;"",INDEX($AE$2:$AP$440,MATCH($AT72,$AS$2:$AS$440,0),COLUMNS($AT$2:AT72)),"")</f>
        <v>2003</v>
      </c>
      <c r="AV72">
        <f>IF(AU72&lt;&gt;"",INDEX($AE$2:$AP$440,MATCH($AT72,$AS$2:$AS$440,0),COLUMNS($AT$2:AU72)),"")</f>
        <v>11</v>
      </c>
      <c r="AW72" t="str">
        <f>IF(AV72&lt;&gt;"",INDEX($AE$2:$AP$440,MATCH($AT72,$AS$2:$AS$440,0),COLUMNS($AT$2:AV72)),"")</f>
        <v>Middlesbrough</v>
      </c>
      <c r="AX72">
        <f>IF(AW72&lt;&gt;"",INDEX($AE$2:$AP$440,MATCH($AT72,$AS$2:$AS$440,0),COLUMNS($AT$2:AW72)),"")</f>
        <v>38</v>
      </c>
      <c r="AY72">
        <f>IF(AX72&lt;&gt;"",INDEX($AE$2:$AP$440,MATCH($AT72,$AS$2:$AS$440,0),COLUMNS($AT$2:AX72)),"")</f>
        <v>13</v>
      </c>
      <c r="AZ72">
        <f>IF(AY72&lt;&gt;"",INDEX($AE$2:$AP$440,MATCH($AT72,$AS$2:$AS$440,0),COLUMNS($AT$2:AY72)),"")</f>
        <v>9</v>
      </c>
      <c r="BA72">
        <f>IF(AZ72&lt;&gt;"",INDEX($AE$2:$AP$440,MATCH($AT72,$AS$2:$AS$440,0),COLUMNS($AT$2:AZ72)),"")</f>
        <v>16</v>
      </c>
      <c r="BB72">
        <f>IF(BA72&lt;&gt;"",INDEX($AE$2:$AP$440,MATCH($AT72,$AS$2:$AS$440,0),COLUMNS($AT$2:BA72)),"")</f>
        <v>44</v>
      </c>
      <c r="BC72">
        <f>IF(BB72&lt;&gt;"",INDEX($AE$2:$AP$440,MATCH($AT72,$AS$2:$AS$440,0),COLUMNS($AT$2:BB72)),"")</f>
        <v>52</v>
      </c>
      <c r="BD72">
        <f>IF(BC72&lt;&gt;"",INDEX($AE$2:$AP$440,MATCH($AT72,$AS$2:$AS$440,0),COLUMNS($AT$2:BC72)),"")</f>
        <v>-8</v>
      </c>
      <c r="BE72">
        <f>IF(BD72&lt;&gt;"",INDEX($AE$2:$AP$440,MATCH($AT72,$AS$2:$AS$440,0),COLUMNS($AT$2:BD72)),"")</f>
        <v>48</v>
      </c>
      <c r="BF72">
        <f>IF(BE72&lt;&gt;"",INDEX($AE$2:$AP$440,MATCH($AT72,$AS$2:$AS$440,0),COLUMNS($AT$2:BE72)),"")</f>
        <v>11</v>
      </c>
    </row>
    <row r="73" spans="1:84" x14ac:dyDescent="0.25">
      <c r="A73" s="5">
        <v>2003</v>
      </c>
      <c r="B73" s="5">
        <v>12</v>
      </c>
      <c r="C73" s="6" t="s">
        <v>20</v>
      </c>
      <c r="D73" s="5">
        <v>38</v>
      </c>
      <c r="E73" s="5">
        <v>12</v>
      </c>
      <c r="F73" s="5">
        <v>11</v>
      </c>
      <c r="G73" s="5">
        <v>15</v>
      </c>
      <c r="H73" s="5">
        <v>44</v>
      </c>
      <c r="I73" s="5">
        <v>45</v>
      </c>
      <c r="J73" s="5">
        <v>-1</v>
      </c>
      <c r="K73" s="5">
        <v>47</v>
      </c>
      <c r="L73" s="5">
        <f>IF(Table2[[#This Row],['#]]=1,"Champion", IF(Table2[[#This Row],['#]]&gt;=18,"Relegated",Table2[[#This Row],['#]]))</f>
        <v>12</v>
      </c>
      <c r="N73">
        <f>IF(COUNTIF($O$2:O73,O73)=1,N72+1,N72)</f>
        <v>25</v>
      </c>
      <c r="O73" s="4" t="str">
        <f>Table2[[#This Row],[Team]]</f>
        <v>Southampton</v>
      </c>
      <c r="P73" s="1" t="str">
        <f>IFERROR(VLOOKUP(ROWS($O$2:O73),$N$2:$O$441,2,0),"")</f>
        <v/>
      </c>
      <c r="Q73" s="1" t="str">
        <f>IF(P73&lt;&gt;"",SUMPRODUCT(--(Table2[Team]=P73)),"")</f>
        <v/>
      </c>
      <c r="R73" s="11" t="str">
        <f>IF(Q73&lt;&gt;"",Q73+ROWS($Q$2:Q73)/100,"")</f>
        <v/>
      </c>
      <c r="S73" t="str">
        <f>IF(R73&lt;&gt;"",LARGE($R$2:$R$441,ROWS($R$2:R73)),"")</f>
        <v/>
      </c>
      <c r="T73" s="1" t="str">
        <f>IF(R73&lt;&gt;"",INDEX($P$2:$Q$441,MATCH($S73,$R$2:$R$441,0),COLUMNS($S$2:S73)),"")</f>
        <v/>
      </c>
      <c r="U73" s="1" t="str">
        <f>IF(S73&lt;&gt;"",INDEX($P$2:$Q$441,MATCH($S73,$R$2:$R$441,0),COLUMNS($S$2:T73)),"")</f>
        <v/>
      </c>
      <c r="AE73" s="1">
        <f>Table2[[#This Row],[Year]]</f>
        <v>2003</v>
      </c>
      <c r="AF73" s="1">
        <f>Table2[[#This Row],['#]]</f>
        <v>12</v>
      </c>
      <c r="AG73" s="1" t="str">
        <f>Table2[[#This Row],[Team]]</f>
        <v>Southampton</v>
      </c>
      <c r="AH73" s="1">
        <f>Table2[[#This Row],[Pl]]</f>
        <v>38</v>
      </c>
      <c r="AI73" s="1">
        <f>Table2[[#This Row],[W]]</f>
        <v>12</v>
      </c>
      <c r="AJ73" s="1">
        <f>Table2[[#This Row],[D]]</f>
        <v>11</v>
      </c>
      <c r="AK73" s="1">
        <f>Table2[[#This Row],[L]]</f>
        <v>15</v>
      </c>
      <c r="AL73" s="1">
        <f>Table2[[#This Row],[F]]</f>
        <v>44</v>
      </c>
      <c r="AM73" s="1">
        <f>Table2[[#This Row],[A]]</f>
        <v>45</v>
      </c>
      <c r="AN73" s="1">
        <f>Table2[[#This Row],[GD]]</f>
        <v>-1</v>
      </c>
      <c r="AO73" s="1">
        <f>Table2[[#This Row],[Pts]]</f>
        <v>47</v>
      </c>
      <c r="AP73" s="1">
        <f>Table2[[#This Row],[Column1]]</f>
        <v>12</v>
      </c>
      <c r="AR73" t="b">
        <f t="shared" si="4"/>
        <v>1</v>
      </c>
      <c r="AS73">
        <f>IF(AR73,ROWS($AR$2:AR73),"")</f>
        <v>72</v>
      </c>
      <c r="AT73">
        <f>IFERROR(SMALL($AS$2:$AS$440,ROWS($AS$2:AS73)),"")</f>
        <v>72</v>
      </c>
      <c r="AU73">
        <f>IF(AT73&lt;&gt;"",INDEX($AE$2:$AP$440,MATCH($AT73,$AS$2:$AS$440,0),COLUMNS($AT$2:AT73)),"")</f>
        <v>2003</v>
      </c>
      <c r="AV73">
        <f>IF(AU73&lt;&gt;"",INDEX($AE$2:$AP$440,MATCH($AT73,$AS$2:$AS$440,0),COLUMNS($AT$2:AU73)),"")</f>
        <v>12</v>
      </c>
      <c r="AW73" t="str">
        <f>IF(AV73&lt;&gt;"",INDEX($AE$2:$AP$440,MATCH($AT73,$AS$2:$AS$440,0),COLUMNS($AT$2:AV73)),"")</f>
        <v>Southampton</v>
      </c>
      <c r="AX73">
        <f>IF(AW73&lt;&gt;"",INDEX($AE$2:$AP$440,MATCH($AT73,$AS$2:$AS$440,0),COLUMNS($AT$2:AW73)),"")</f>
        <v>38</v>
      </c>
      <c r="AY73">
        <f>IF(AX73&lt;&gt;"",INDEX($AE$2:$AP$440,MATCH($AT73,$AS$2:$AS$440,0),COLUMNS($AT$2:AX73)),"")</f>
        <v>12</v>
      </c>
      <c r="AZ73">
        <f>IF(AY73&lt;&gt;"",INDEX($AE$2:$AP$440,MATCH($AT73,$AS$2:$AS$440,0),COLUMNS($AT$2:AY73)),"")</f>
        <v>11</v>
      </c>
      <c r="BA73">
        <f>IF(AZ73&lt;&gt;"",INDEX($AE$2:$AP$440,MATCH($AT73,$AS$2:$AS$440,0),COLUMNS($AT$2:AZ73)),"")</f>
        <v>15</v>
      </c>
      <c r="BB73">
        <f>IF(BA73&lt;&gt;"",INDEX($AE$2:$AP$440,MATCH($AT73,$AS$2:$AS$440,0),COLUMNS($AT$2:BA73)),"")</f>
        <v>44</v>
      </c>
      <c r="BC73">
        <f>IF(BB73&lt;&gt;"",INDEX($AE$2:$AP$440,MATCH($AT73,$AS$2:$AS$440,0),COLUMNS($AT$2:BB73)),"")</f>
        <v>45</v>
      </c>
      <c r="BD73">
        <f>IF(BC73&lt;&gt;"",INDEX($AE$2:$AP$440,MATCH($AT73,$AS$2:$AS$440,0),COLUMNS($AT$2:BC73)),"")</f>
        <v>-1</v>
      </c>
      <c r="BE73">
        <f>IF(BD73&lt;&gt;"",INDEX($AE$2:$AP$440,MATCH($AT73,$AS$2:$AS$440,0),COLUMNS($AT$2:BD73)),"")</f>
        <v>47</v>
      </c>
      <c r="BF73">
        <f>IF(BE73&lt;&gt;"",INDEX($AE$2:$AP$440,MATCH($AT73,$AS$2:$AS$440,0),COLUMNS($AT$2:BE73)),"")</f>
        <v>12</v>
      </c>
    </row>
    <row r="74" spans="1:84" x14ac:dyDescent="0.25">
      <c r="A74" s="3">
        <v>2003</v>
      </c>
      <c r="B74" s="3">
        <v>13</v>
      </c>
      <c r="C74" s="4" t="s">
        <v>36</v>
      </c>
      <c r="D74" s="3">
        <v>38</v>
      </c>
      <c r="E74" s="3">
        <v>12</v>
      </c>
      <c r="F74" s="3">
        <v>9</v>
      </c>
      <c r="G74" s="3">
        <v>17</v>
      </c>
      <c r="H74" s="3">
        <v>47</v>
      </c>
      <c r="I74" s="3">
        <v>54</v>
      </c>
      <c r="J74" s="3">
        <v>-7</v>
      </c>
      <c r="K74" s="3">
        <v>45</v>
      </c>
      <c r="L74" s="5">
        <f>IF(Table2[[#This Row],['#]]=1,"Champion", IF(Table2[[#This Row],['#]]&gt;=18,"Relegated",Table2[[#This Row],['#]]))</f>
        <v>13</v>
      </c>
      <c r="N74">
        <f>IF(COUNTIF($O$2:O74,O74)=1,N73+1,N73)</f>
        <v>26</v>
      </c>
      <c r="O74" s="4" t="str">
        <f>Table2[[#This Row],[Team]]</f>
        <v>Portsmouth</v>
      </c>
      <c r="P74" s="1" t="str">
        <f>IFERROR(VLOOKUP(ROWS($O$2:O74),$N$2:$O$441,2,0),"")</f>
        <v/>
      </c>
      <c r="Q74" s="1" t="str">
        <f>IF(P74&lt;&gt;"",SUMPRODUCT(--(Table2[Team]=P74)),"")</f>
        <v/>
      </c>
      <c r="R74" s="11" t="str">
        <f>IF(Q74&lt;&gt;"",Q74+ROWS($Q$2:Q74)/100,"")</f>
        <v/>
      </c>
      <c r="S74" t="str">
        <f>IF(R74&lt;&gt;"",LARGE($R$2:$R$441,ROWS($R$2:R74)),"")</f>
        <v/>
      </c>
      <c r="T74" s="1" t="str">
        <f>IF(R74&lt;&gt;"",INDEX($P$2:$Q$441,MATCH($S74,$R$2:$R$441,0),COLUMNS($S$2:S74)),"")</f>
        <v/>
      </c>
      <c r="U74" s="1" t="str">
        <f>IF(S74&lt;&gt;"",INDEX($P$2:$Q$441,MATCH($S74,$R$2:$R$441,0),COLUMNS($S$2:T74)),"")</f>
        <v/>
      </c>
      <c r="AE74" s="1">
        <f>Table2[[#This Row],[Year]]</f>
        <v>2003</v>
      </c>
      <c r="AF74" s="1">
        <f>Table2[[#This Row],['#]]</f>
        <v>13</v>
      </c>
      <c r="AG74" s="1" t="str">
        <f>Table2[[#This Row],[Team]]</f>
        <v>Portsmouth</v>
      </c>
      <c r="AH74" s="1">
        <f>Table2[[#This Row],[Pl]]</f>
        <v>38</v>
      </c>
      <c r="AI74" s="1">
        <f>Table2[[#This Row],[W]]</f>
        <v>12</v>
      </c>
      <c r="AJ74" s="1">
        <f>Table2[[#This Row],[D]]</f>
        <v>9</v>
      </c>
      <c r="AK74" s="1">
        <f>Table2[[#This Row],[L]]</f>
        <v>17</v>
      </c>
      <c r="AL74" s="1">
        <f>Table2[[#This Row],[F]]</f>
        <v>47</v>
      </c>
      <c r="AM74" s="1">
        <f>Table2[[#This Row],[A]]</f>
        <v>54</v>
      </c>
      <c r="AN74" s="1">
        <f>Table2[[#This Row],[GD]]</f>
        <v>-7</v>
      </c>
      <c r="AO74" s="1">
        <f>Table2[[#This Row],[Pts]]</f>
        <v>45</v>
      </c>
      <c r="AP74" s="1">
        <f>Table2[[#This Row],[Column1]]</f>
        <v>13</v>
      </c>
      <c r="AR74" t="b">
        <f t="shared" si="4"/>
        <v>1</v>
      </c>
      <c r="AS74">
        <f>IF(AR74,ROWS($AR$2:AR74),"")</f>
        <v>73</v>
      </c>
      <c r="AT74">
        <f>IFERROR(SMALL($AS$2:$AS$440,ROWS($AS$2:AS74)),"")</f>
        <v>73</v>
      </c>
      <c r="AU74">
        <f>IF(AT74&lt;&gt;"",INDEX($AE$2:$AP$440,MATCH($AT74,$AS$2:$AS$440,0),COLUMNS($AT$2:AT74)),"")</f>
        <v>2003</v>
      </c>
      <c r="AV74">
        <f>IF(AU74&lt;&gt;"",INDEX($AE$2:$AP$440,MATCH($AT74,$AS$2:$AS$440,0),COLUMNS($AT$2:AU74)),"")</f>
        <v>13</v>
      </c>
      <c r="AW74" t="str">
        <f>IF(AV74&lt;&gt;"",INDEX($AE$2:$AP$440,MATCH($AT74,$AS$2:$AS$440,0),COLUMNS($AT$2:AV74)),"")</f>
        <v>Portsmouth</v>
      </c>
      <c r="AX74">
        <f>IF(AW74&lt;&gt;"",INDEX($AE$2:$AP$440,MATCH($AT74,$AS$2:$AS$440,0),COLUMNS($AT$2:AW74)),"")</f>
        <v>38</v>
      </c>
      <c r="AY74">
        <f>IF(AX74&lt;&gt;"",INDEX($AE$2:$AP$440,MATCH($AT74,$AS$2:$AS$440,0),COLUMNS($AT$2:AX74)),"")</f>
        <v>12</v>
      </c>
      <c r="AZ74">
        <f>IF(AY74&lt;&gt;"",INDEX($AE$2:$AP$440,MATCH($AT74,$AS$2:$AS$440,0),COLUMNS($AT$2:AY74)),"")</f>
        <v>9</v>
      </c>
      <c r="BA74">
        <f>IF(AZ74&lt;&gt;"",INDEX($AE$2:$AP$440,MATCH($AT74,$AS$2:$AS$440,0),COLUMNS($AT$2:AZ74)),"")</f>
        <v>17</v>
      </c>
      <c r="BB74">
        <f>IF(BA74&lt;&gt;"",INDEX($AE$2:$AP$440,MATCH($AT74,$AS$2:$AS$440,0),COLUMNS($AT$2:BA74)),"")</f>
        <v>47</v>
      </c>
      <c r="BC74">
        <f>IF(BB74&lt;&gt;"",INDEX($AE$2:$AP$440,MATCH($AT74,$AS$2:$AS$440,0),COLUMNS($AT$2:BB74)),"")</f>
        <v>54</v>
      </c>
      <c r="BD74">
        <f>IF(BC74&lt;&gt;"",INDEX($AE$2:$AP$440,MATCH($AT74,$AS$2:$AS$440,0),COLUMNS($AT$2:BC74)),"")</f>
        <v>-7</v>
      </c>
      <c r="BE74">
        <f>IF(BD74&lt;&gt;"",INDEX($AE$2:$AP$440,MATCH($AT74,$AS$2:$AS$440,0),COLUMNS($AT$2:BD74)),"")</f>
        <v>45</v>
      </c>
      <c r="BF74">
        <f>IF(BE74&lt;&gt;"",INDEX($AE$2:$AP$440,MATCH($AT74,$AS$2:$AS$440,0),COLUMNS($AT$2:BE74)),"")</f>
        <v>13</v>
      </c>
    </row>
    <row r="75" spans="1:84" x14ac:dyDescent="0.25">
      <c r="A75" s="5">
        <v>2003</v>
      </c>
      <c r="B75" s="5">
        <v>14</v>
      </c>
      <c r="C75" s="6" t="s">
        <v>22</v>
      </c>
      <c r="D75" s="5">
        <v>38</v>
      </c>
      <c r="E75" s="5">
        <v>13</v>
      </c>
      <c r="F75" s="5">
        <v>6</v>
      </c>
      <c r="G75" s="5">
        <v>19</v>
      </c>
      <c r="H75" s="5">
        <v>47</v>
      </c>
      <c r="I75" s="5">
        <v>57</v>
      </c>
      <c r="J75" s="5">
        <v>-10</v>
      </c>
      <c r="K75" s="5">
        <v>45</v>
      </c>
      <c r="L75" s="5">
        <f>IF(Table2[[#This Row],['#]]=1,"Champion", IF(Table2[[#This Row],['#]]&gt;=18,"Relegated",Table2[[#This Row],['#]]))</f>
        <v>14</v>
      </c>
      <c r="N75">
        <f>IF(COUNTIF($O$2:O75,O75)=1,N74+1,N74)</f>
        <v>26</v>
      </c>
      <c r="O75" s="4" t="str">
        <f>Table2[[#This Row],[Team]]</f>
        <v>Tottenham Hotspur</v>
      </c>
      <c r="P75" s="1" t="str">
        <f>IFERROR(VLOOKUP(ROWS($O$2:O75),$N$2:$O$441,2,0),"")</f>
        <v/>
      </c>
      <c r="Q75" s="1" t="str">
        <f>IF(P75&lt;&gt;"",SUMPRODUCT(--(Table2[Team]=P75)),"")</f>
        <v/>
      </c>
      <c r="R75" s="11" t="str">
        <f>IF(Q75&lt;&gt;"",Q75+ROWS($Q$2:Q75)/100,"")</f>
        <v/>
      </c>
      <c r="S75" t="str">
        <f>IF(R75&lt;&gt;"",LARGE($R$2:$R$441,ROWS($R$2:R75)),"")</f>
        <v/>
      </c>
      <c r="T75" s="1" t="str">
        <f>IF(R75&lt;&gt;"",INDEX($P$2:$Q$441,MATCH($S75,$R$2:$R$441,0),COLUMNS($S$2:S75)),"")</f>
        <v/>
      </c>
      <c r="U75" s="1" t="str">
        <f>IF(S75&lt;&gt;"",INDEX($P$2:$Q$441,MATCH($S75,$R$2:$R$441,0),COLUMNS($S$2:T75)),"")</f>
        <v/>
      </c>
      <c r="AE75" s="1">
        <f>Table2[[#This Row],[Year]]</f>
        <v>2003</v>
      </c>
      <c r="AF75" s="1">
        <f>Table2[[#This Row],['#]]</f>
        <v>14</v>
      </c>
      <c r="AG75" s="1" t="str">
        <f>Table2[[#This Row],[Team]]</f>
        <v>Tottenham Hotspur</v>
      </c>
      <c r="AH75" s="1">
        <f>Table2[[#This Row],[Pl]]</f>
        <v>38</v>
      </c>
      <c r="AI75" s="1">
        <f>Table2[[#This Row],[W]]</f>
        <v>13</v>
      </c>
      <c r="AJ75" s="1">
        <f>Table2[[#This Row],[D]]</f>
        <v>6</v>
      </c>
      <c r="AK75" s="1">
        <f>Table2[[#This Row],[L]]</f>
        <v>19</v>
      </c>
      <c r="AL75" s="1">
        <f>Table2[[#This Row],[F]]</f>
        <v>47</v>
      </c>
      <c r="AM75" s="1">
        <f>Table2[[#This Row],[A]]</f>
        <v>57</v>
      </c>
      <c r="AN75" s="1">
        <f>Table2[[#This Row],[GD]]</f>
        <v>-10</v>
      </c>
      <c r="AO75" s="1">
        <f>Table2[[#This Row],[Pts]]</f>
        <v>45</v>
      </c>
      <c r="AP75" s="1">
        <f>Table2[[#This Row],[Column1]]</f>
        <v>14</v>
      </c>
      <c r="AR75" t="b">
        <f t="shared" si="4"/>
        <v>1</v>
      </c>
      <c r="AS75">
        <f>IF(AR75,ROWS($AR$2:AR75),"")</f>
        <v>74</v>
      </c>
      <c r="AT75">
        <f>IFERROR(SMALL($AS$2:$AS$440,ROWS($AS$2:AS75)),"")</f>
        <v>74</v>
      </c>
      <c r="AU75">
        <f>IF(AT75&lt;&gt;"",INDEX($AE$2:$AP$440,MATCH($AT75,$AS$2:$AS$440,0),COLUMNS($AT$2:AT75)),"")</f>
        <v>2003</v>
      </c>
      <c r="AV75">
        <f>IF(AU75&lt;&gt;"",INDEX($AE$2:$AP$440,MATCH($AT75,$AS$2:$AS$440,0),COLUMNS($AT$2:AU75)),"")</f>
        <v>14</v>
      </c>
      <c r="AW75" t="str">
        <f>IF(AV75&lt;&gt;"",INDEX($AE$2:$AP$440,MATCH($AT75,$AS$2:$AS$440,0),COLUMNS($AT$2:AV75)),"")</f>
        <v>Tottenham Hotspur</v>
      </c>
      <c r="AX75">
        <f>IF(AW75&lt;&gt;"",INDEX($AE$2:$AP$440,MATCH($AT75,$AS$2:$AS$440,0),COLUMNS($AT$2:AW75)),"")</f>
        <v>38</v>
      </c>
      <c r="AY75">
        <f>IF(AX75&lt;&gt;"",INDEX($AE$2:$AP$440,MATCH($AT75,$AS$2:$AS$440,0),COLUMNS($AT$2:AX75)),"")</f>
        <v>13</v>
      </c>
      <c r="AZ75">
        <f>IF(AY75&lt;&gt;"",INDEX($AE$2:$AP$440,MATCH($AT75,$AS$2:$AS$440,0),COLUMNS($AT$2:AY75)),"")</f>
        <v>6</v>
      </c>
      <c r="BA75">
        <f>IF(AZ75&lt;&gt;"",INDEX($AE$2:$AP$440,MATCH($AT75,$AS$2:$AS$440,0),COLUMNS($AT$2:AZ75)),"")</f>
        <v>19</v>
      </c>
      <c r="BB75">
        <f>IF(BA75&lt;&gt;"",INDEX($AE$2:$AP$440,MATCH($AT75,$AS$2:$AS$440,0),COLUMNS($AT$2:BA75)),"")</f>
        <v>47</v>
      </c>
      <c r="BC75">
        <f>IF(BB75&lt;&gt;"",INDEX($AE$2:$AP$440,MATCH($AT75,$AS$2:$AS$440,0),COLUMNS($AT$2:BB75)),"")</f>
        <v>57</v>
      </c>
      <c r="BD75">
        <f>IF(BC75&lt;&gt;"",INDEX($AE$2:$AP$440,MATCH($AT75,$AS$2:$AS$440,0),COLUMNS($AT$2:BC75)),"")</f>
        <v>-10</v>
      </c>
      <c r="BE75">
        <f>IF(BD75&lt;&gt;"",INDEX($AE$2:$AP$440,MATCH($AT75,$AS$2:$AS$440,0),COLUMNS($AT$2:BD75)),"")</f>
        <v>45</v>
      </c>
      <c r="BF75">
        <f>IF(BE75&lt;&gt;"",INDEX($AE$2:$AP$440,MATCH($AT75,$AS$2:$AS$440,0),COLUMNS($AT$2:BE75)),"")</f>
        <v>14</v>
      </c>
    </row>
    <row r="76" spans="1:84" x14ac:dyDescent="0.25">
      <c r="A76" s="3">
        <v>2003</v>
      </c>
      <c r="B76" s="3">
        <v>15</v>
      </c>
      <c r="C76" s="4" t="s">
        <v>31</v>
      </c>
      <c r="D76" s="3">
        <v>38</v>
      </c>
      <c r="E76" s="3">
        <v>12</v>
      </c>
      <c r="F76" s="3">
        <v>8</v>
      </c>
      <c r="G76" s="3">
        <v>18</v>
      </c>
      <c r="H76" s="3">
        <v>51</v>
      </c>
      <c r="I76" s="3">
        <v>59</v>
      </c>
      <c r="J76" s="3">
        <v>-8</v>
      </c>
      <c r="K76" s="3">
        <v>44</v>
      </c>
      <c r="L76" s="5">
        <f>IF(Table2[[#This Row],['#]]=1,"Champion", IF(Table2[[#This Row],['#]]&gt;=18,"Relegated",Table2[[#This Row],['#]]))</f>
        <v>15</v>
      </c>
      <c r="N76">
        <f>IF(COUNTIF($O$2:O76,O76)=1,N75+1,N75)</f>
        <v>26</v>
      </c>
      <c r="O76" s="4" t="str">
        <f>Table2[[#This Row],[Team]]</f>
        <v>Blackburn Rovers</v>
      </c>
      <c r="P76" s="1" t="str">
        <f>IFERROR(VLOOKUP(ROWS($O$2:O76),$N$2:$O$441,2,0),"")</f>
        <v/>
      </c>
      <c r="Q76" s="1" t="str">
        <f>IF(P76&lt;&gt;"",SUMPRODUCT(--(Table2[Team]=P76)),"")</f>
        <v/>
      </c>
      <c r="R76" s="11" t="str">
        <f>IF(Q76&lt;&gt;"",Q76+ROWS($Q$2:Q76)/100,"")</f>
        <v/>
      </c>
      <c r="S76" t="str">
        <f>IF(R76&lt;&gt;"",LARGE($R$2:$R$441,ROWS($R$2:R76)),"")</f>
        <v/>
      </c>
      <c r="T76" s="1" t="str">
        <f>IF(R76&lt;&gt;"",INDEX($P$2:$Q$441,MATCH($S76,$R$2:$R$441,0),COLUMNS($S$2:S76)),"")</f>
        <v/>
      </c>
      <c r="U76" s="1" t="str">
        <f>IF(S76&lt;&gt;"",INDEX($P$2:$Q$441,MATCH($S76,$R$2:$R$441,0),COLUMNS($S$2:T76)),"")</f>
        <v/>
      </c>
      <c r="AE76" s="1">
        <f>Table2[[#This Row],[Year]]</f>
        <v>2003</v>
      </c>
      <c r="AF76" s="1">
        <f>Table2[[#This Row],['#]]</f>
        <v>15</v>
      </c>
      <c r="AG76" s="1" t="str">
        <f>Table2[[#This Row],[Team]]</f>
        <v>Blackburn Rovers</v>
      </c>
      <c r="AH76" s="1">
        <f>Table2[[#This Row],[Pl]]</f>
        <v>38</v>
      </c>
      <c r="AI76" s="1">
        <f>Table2[[#This Row],[W]]</f>
        <v>12</v>
      </c>
      <c r="AJ76" s="1">
        <f>Table2[[#This Row],[D]]</f>
        <v>8</v>
      </c>
      <c r="AK76" s="1">
        <f>Table2[[#This Row],[L]]</f>
        <v>18</v>
      </c>
      <c r="AL76" s="1">
        <f>Table2[[#This Row],[F]]</f>
        <v>51</v>
      </c>
      <c r="AM76" s="1">
        <f>Table2[[#This Row],[A]]</f>
        <v>59</v>
      </c>
      <c r="AN76" s="1">
        <f>Table2[[#This Row],[GD]]</f>
        <v>-8</v>
      </c>
      <c r="AO76" s="1">
        <f>Table2[[#This Row],[Pts]]</f>
        <v>44</v>
      </c>
      <c r="AP76" s="1">
        <f>Table2[[#This Row],[Column1]]</f>
        <v>15</v>
      </c>
      <c r="AR76" t="b">
        <f t="shared" si="4"/>
        <v>1</v>
      </c>
      <c r="AS76">
        <f>IF(AR76,ROWS($AR$2:AR76),"")</f>
        <v>75</v>
      </c>
      <c r="AT76">
        <f>IFERROR(SMALL($AS$2:$AS$440,ROWS($AS$2:AS76)),"")</f>
        <v>75</v>
      </c>
      <c r="AU76">
        <f>IF(AT76&lt;&gt;"",INDEX($AE$2:$AP$440,MATCH($AT76,$AS$2:$AS$440,0),COLUMNS($AT$2:AT76)),"")</f>
        <v>2003</v>
      </c>
      <c r="AV76">
        <f>IF(AU76&lt;&gt;"",INDEX($AE$2:$AP$440,MATCH($AT76,$AS$2:$AS$440,0),COLUMNS($AT$2:AU76)),"")</f>
        <v>15</v>
      </c>
      <c r="AW76" t="str">
        <f>IF(AV76&lt;&gt;"",INDEX($AE$2:$AP$440,MATCH($AT76,$AS$2:$AS$440,0),COLUMNS($AT$2:AV76)),"")</f>
        <v>Blackburn Rovers</v>
      </c>
      <c r="AX76">
        <f>IF(AW76&lt;&gt;"",INDEX($AE$2:$AP$440,MATCH($AT76,$AS$2:$AS$440,0),COLUMNS($AT$2:AW76)),"")</f>
        <v>38</v>
      </c>
      <c r="AY76">
        <f>IF(AX76&lt;&gt;"",INDEX($AE$2:$AP$440,MATCH($AT76,$AS$2:$AS$440,0),COLUMNS($AT$2:AX76)),"")</f>
        <v>12</v>
      </c>
      <c r="AZ76">
        <f>IF(AY76&lt;&gt;"",INDEX($AE$2:$AP$440,MATCH($AT76,$AS$2:$AS$440,0),COLUMNS($AT$2:AY76)),"")</f>
        <v>8</v>
      </c>
      <c r="BA76">
        <f>IF(AZ76&lt;&gt;"",INDEX($AE$2:$AP$440,MATCH($AT76,$AS$2:$AS$440,0),COLUMNS($AT$2:AZ76)),"")</f>
        <v>18</v>
      </c>
      <c r="BB76">
        <f>IF(BA76&lt;&gt;"",INDEX($AE$2:$AP$440,MATCH($AT76,$AS$2:$AS$440,0),COLUMNS($AT$2:BA76)),"")</f>
        <v>51</v>
      </c>
      <c r="BC76">
        <f>IF(BB76&lt;&gt;"",INDEX($AE$2:$AP$440,MATCH($AT76,$AS$2:$AS$440,0),COLUMNS($AT$2:BB76)),"")</f>
        <v>59</v>
      </c>
      <c r="BD76">
        <f>IF(BC76&lt;&gt;"",INDEX($AE$2:$AP$440,MATCH($AT76,$AS$2:$AS$440,0),COLUMNS($AT$2:BC76)),"")</f>
        <v>-8</v>
      </c>
      <c r="BE76">
        <f>IF(BD76&lt;&gt;"",INDEX($AE$2:$AP$440,MATCH($AT76,$AS$2:$AS$440,0),COLUMNS($AT$2:BD76)),"")</f>
        <v>44</v>
      </c>
      <c r="BF76">
        <f>IF(BE76&lt;&gt;"",INDEX($AE$2:$AP$440,MATCH($AT76,$AS$2:$AS$440,0),COLUMNS($AT$2:BE76)),"")</f>
        <v>15</v>
      </c>
    </row>
    <row r="77" spans="1:84" x14ac:dyDescent="0.25">
      <c r="A77" s="5">
        <v>2003</v>
      </c>
      <c r="B77" s="5">
        <v>16</v>
      </c>
      <c r="C77" s="6" t="s">
        <v>28</v>
      </c>
      <c r="D77" s="5">
        <v>38</v>
      </c>
      <c r="E77" s="5">
        <v>9</v>
      </c>
      <c r="F77" s="5">
        <v>14</v>
      </c>
      <c r="G77" s="5">
        <v>15</v>
      </c>
      <c r="H77" s="5">
        <v>55</v>
      </c>
      <c r="I77" s="5">
        <v>54</v>
      </c>
      <c r="J77" s="5">
        <v>1</v>
      </c>
      <c r="K77" s="5">
        <v>41</v>
      </c>
      <c r="L77" s="5">
        <f>IF(Table2[[#This Row],['#]]=1,"Champion", IF(Table2[[#This Row],['#]]&gt;=18,"Relegated",Table2[[#This Row],['#]]))</f>
        <v>16</v>
      </c>
      <c r="N77">
        <f>IF(COUNTIF($O$2:O77,O77)=1,N76+1,N76)</f>
        <v>26</v>
      </c>
      <c r="O77" s="4" t="str">
        <f>Table2[[#This Row],[Team]]</f>
        <v>Manchester City</v>
      </c>
      <c r="P77" s="1" t="str">
        <f>IFERROR(VLOOKUP(ROWS($O$2:O77),$N$2:$O$441,2,0),"")</f>
        <v/>
      </c>
      <c r="Q77" s="1" t="str">
        <f>IF(P77&lt;&gt;"",SUMPRODUCT(--(Table2[Team]=P77)),"")</f>
        <v/>
      </c>
      <c r="R77" s="11" t="str">
        <f>IF(Q77&lt;&gt;"",Q77+ROWS($Q$2:Q77)/100,"")</f>
        <v/>
      </c>
      <c r="S77" t="str">
        <f>IF(R77&lt;&gt;"",LARGE($R$2:$R$441,ROWS($R$2:R77)),"")</f>
        <v/>
      </c>
      <c r="T77" s="1" t="str">
        <f>IF(R77&lt;&gt;"",INDEX($P$2:$Q$441,MATCH($S77,$R$2:$R$441,0),COLUMNS($S$2:S77)),"")</f>
        <v/>
      </c>
      <c r="U77" s="1" t="str">
        <f>IF(S77&lt;&gt;"",INDEX($P$2:$Q$441,MATCH($S77,$R$2:$R$441,0),COLUMNS($S$2:T77)),"")</f>
        <v/>
      </c>
      <c r="AE77" s="1">
        <f>Table2[[#This Row],[Year]]</f>
        <v>2003</v>
      </c>
      <c r="AF77" s="1">
        <f>Table2[[#This Row],['#]]</f>
        <v>16</v>
      </c>
      <c r="AG77" s="1" t="str">
        <f>Table2[[#This Row],[Team]]</f>
        <v>Manchester City</v>
      </c>
      <c r="AH77" s="1">
        <f>Table2[[#This Row],[Pl]]</f>
        <v>38</v>
      </c>
      <c r="AI77" s="1">
        <f>Table2[[#This Row],[W]]</f>
        <v>9</v>
      </c>
      <c r="AJ77" s="1">
        <f>Table2[[#This Row],[D]]</f>
        <v>14</v>
      </c>
      <c r="AK77" s="1">
        <f>Table2[[#This Row],[L]]</f>
        <v>15</v>
      </c>
      <c r="AL77" s="1">
        <f>Table2[[#This Row],[F]]</f>
        <v>55</v>
      </c>
      <c r="AM77" s="1">
        <f>Table2[[#This Row],[A]]</f>
        <v>54</v>
      </c>
      <c r="AN77" s="1">
        <f>Table2[[#This Row],[GD]]</f>
        <v>1</v>
      </c>
      <c r="AO77" s="1">
        <f>Table2[[#This Row],[Pts]]</f>
        <v>41</v>
      </c>
      <c r="AP77" s="1">
        <f>Table2[[#This Row],[Column1]]</f>
        <v>16</v>
      </c>
      <c r="AR77" t="b">
        <f t="shared" si="4"/>
        <v>1</v>
      </c>
      <c r="AS77">
        <f>IF(AR77,ROWS($AR$2:AR77),"")</f>
        <v>76</v>
      </c>
      <c r="AT77">
        <f>IFERROR(SMALL($AS$2:$AS$440,ROWS($AS$2:AS77)),"")</f>
        <v>76</v>
      </c>
      <c r="AU77">
        <f>IF(AT77&lt;&gt;"",INDEX($AE$2:$AP$440,MATCH($AT77,$AS$2:$AS$440,0),COLUMNS($AT$2:AT77)),"")</f>
        <v>2003</v>
      </c>
      <c r="AV77">
        <f>IF(AU77&lt;&gt;"",INDEX($AE$2:$AP$440,MATCH($AT77,$AS$2:$AS$440,0),COLUMNS($AT$2:AU77)),"")</f>
        <v>16</v>
      </c>
      <c r="AW77" t="str">
        <f>IF(AV77&lt;&gt;"",INDEX($AE$2:$AP$440,MATCH($AT77,$AS$2:$AS$440,0),COLUMNS($AT$2:AV77)),"")</f>
        <v>Manchester City</v>
      </c>
      <c r="AX77">
        <f>IF(AW77&lt;&gt;"",INDEX($AE$2:$AP$440,MATCH($AT77,$AS$2:$AS$440,0),COLUMNS($AT$2:AW77)),"")</f>
        <v>38</v>
      </c>
      <c r="AY77">
        <f>IF(AX77&lt;&gt;"",INDEX($AE$2:$AP$440,MATCH($AT77,$AS$2:$AS$440,0),COLUMNS($AT$2:AX77)),"")</f>
        <v>9</v>
      </c>
      <c r="AZ77">
        <f>IF(AY77&lt;&gt;"",INDEX($AE$2:$AP$440,MATCH($AT77,$AS$2:$AS$440,0),COLUMNS($AT$2:AY77)),"")</f>
        <v>14</v>
      </c>
      <c r="BA77">
        <f>IF(AZ77&lt;&gt;"",INDEX($AE$2:$AP$440,MATCH($AT77,$AS$2:$AS$440,0),COLUMNS($AT$2:AZ77)),"")</f>
        <v>15</v>
      </c>
      <c r="BB77">
        <f>IF(BA77&lt;&gt;"",INDEX($AE$2:$AP$440,MATCH($AT77,$AS$2:$AS$440,0),COLUMNS($AT$2:BA77)),"")</f>
        <v>55</v>
      </c>
      <c r="BC77">
        <f>IF(BB77&lt;&gt;"",INDEX($AE$2:$AP$440,MATCH($AT77,$AS$2:$AS$440,0),COLUMNS($AT$2:BB77)),"")</f>
        <v>54</v>
      </c>
      <c r="BD77">
        <f>IF(BC77&lt;&gt;"",INDEX($AE$2:$AP$440,MATCH($AT77,$AS$2:$AS$440,0),COLUMNS($AT$2:BC77)),"")</f>
        <v>1</v>
      </c>
      <c r="BE77">
        <f>IF(BD77&lt;&gt;"",INDEX($AE$2:$AP$440,MATCH($AT77,$AS$2:$AS$440,0),COLUMNS($AT$2:BD77)),"")</f>
        <v>41</v>
      </c>
      <c r="BF77">
        <f>IF(BE77&lt;&gt;"",INDEX($AE$2:$AP$440,MATCH($AT77,$AS$2:$AS$440,0),COLUMNS($AT$2:BE77)),"")</f>
        <v>16</v>
      </c>
    </row>
    <row r="78" spans="1:84" x14ac:dyDescent="0.25">
      <c r="A78" s="3">
        <v>2003</v>
      </c>
      <c r="B78" s="3">
        <v>17</v>
      </c>
      <c r="C78" s="4" t="s">
        <v>26</v>
      </c>
      <c r="D78" s="3">
        <v>38</v>
      </c>
      <c r="E78" s="3">
        <v>9</v>
      </c>
      <c r="F78" s="3">
        <v>12</v>
      </c>
      <c r="G78" s="3">
        <v>17</v>
      </c>
      <c r="H78" s="3">
        <v>45</v>
      </c>
      <c r="I78" s="3">
        <v>57</v>
      </c>
      <c r="J78" s="3">
        <v>-12</v>
      </c>
      <c r="K78" s="3">
        <v>39</v>
      </c>
      <c r="L78" s="5">
        <f>IF(Table2[[#This Row],['#]]=1,"Champion", IF(Table2[[#This Row],['#]]&gt;=18,"Relegated",Table2[[#This Row],['#]]))</f>
        <v>17</v>
      </c>
      <c r="N78">
        <f>IF(COUNTIF($O$2:O78,O78)=1,N77+1,N77)</f>
        <v>26</v>
      </c>
      <c r="O78" s="4" t="str">
        <f>Table2[[#This Row],[Team]]</f>
        <v>Everton</v>
      </c>
      <c r="P78" s="1" t="str">
        <f>IFERROR(VLOOKUP(ROWS($O$2:O78),$N$2:$O$441,2,0),"")</f>
        <v/>
      </c>
      <c r="Q78" s="1" t="str">
        <f>IF(P78&lt;&gt;"",SUMPRODUCT(--(Table2[Team]=P78)),"")</f>
        <v/>
      </c>
      <c r="R78" s="11" t="str">
        <f>IF(Q78&lt;&gt;"",Q78+ROWS($Q$2:Q78)/100,"")</f>
        <v/>
      </c>
      <c r="S78" t="str">
        <f>IF(R78&lt;&gt;"",LARGE($R$2:$R$441,ROWS($R$2:R78)),"")</f>
        <v/>
      </c>
      <c r="T78" s="1" t="str">
        <f>IF(R78&lt;&gt;"",INDEX($P$2:$Q$441,MATCH($S78,$R$2:$R$441,0),COLUMNS($S$2:S78)),"")</f>
        <v/>
      </c>
      <c r="U78" s="1" t="str">
        <f>IF(S78&lt;&gt;"",INDEX($P$2:$Q$441,MATCH($S78,$R$2:$R$441,0),COLUMNS($S$2:T78)),"")</f>
        <v/>
      </c>
      <c r="AE78" s="1">
        <f>Table2[[#This Row],[Year]]</f>
        <v>2003</v>
      </c>
      <c r="AF78" s="1">
        <f>Table2[[#This Row],['#]]</f>
        <v>17</v>
      </c>
      <c r="AG78" s="1" t="str">
        <f>Table2[[#This Row],[Team]]</f>
        <v>Everton</v>
      </c>
      <c r="AH78" s="1">
        <f>Table2[[#This Row],[Pl]]</f>
        <v>38</v>
      </c>
      <c r="AI78" s="1">
        <f>Table2[[#This Row],[W]]</f>
        <v>9</v>
      </c>
      <c r="AJ78" s="1">
        <f>Table2[[#This Row],[D]]</f>
        <v>12</v>
      </c>
      <c r="AK78" s="1">
        <f>Table2[[#This Row],[L]]</f>
        <v>17</v>
      </c>
      <c r="AL78" s="1">
        <f>Table2[[#This Row],[F]]</f>
        <v>45</v>
      </c>
      <c r="AM78" s="1">
        <f>Table2[[#This Row],[A]]</f>
        <v>57</v>
      </c>
      <c r="AN78" s="1">
        <f>Table2[[#This Row],[GD]]</f>
        <v>-12</v>
      </c>
      <c r="AO78" s="1">
        <f>Table2[[#This Row],[Pts]]</f>
        <v>39</v>
      </c>
      <c r="AP78" s="1">
        <f>Table2[[#This Row],[Column1]]</f>
        <v>17</v>
      </c>
      <c r="AR78" t="b">
        <f t="shared" si="4"/>
        <v>1</v>
      </c>
      <c r="AS78">
        <f>IF(AR78,ROWS($AR$2:AR78),"")</f>
        <v>77</v>
      </c>
      <c r="AT78">
        <f>IFERROR(SMALL($AS$2:$AS$440,ROWS($AS$2:AS78)),"")</f>
        <v>77</v>
      </c>
      <c r="AU78">
        <f>IF(AT78&lt;&gt;"",INDEX($AE$2:$AP$440,MATCH($AT78,$AS$2:$AS$440,0),COLUMNS($AT$2:AT78)),"")</f>
        <v>2003</v>
      </c>
      <c r="AV78">
        <f>IF(AU78&lt;&gt;"",INDEX($AE$2:$AP$440,MATCH($AT78,$AS$2:$AS$440,0),COLUMNS($AT$2:AU78)),"")</f>
        <v>17</v>
      </c>
      <c r="AW78" t="str">
        <f>IF(AV78&lt;&gt;"",INDEX($AE$2:$AP$440,MATCH($AT78,$AS$2:$AS$440,0),COLUMNS($AT$2:AV78)),"")</f>
        <v>Everton</v>
      </c>
      <c r="AX78">
        <f>IF(AW78&lt;&gt;"",INDEX($AE$2:$AP$440,MATCH($AT78,$AS$2:$AS$440,0),COLUMNS($AT$2:AW78)),"")</f>
        <v>38</v>
      </c>
      <c r="AY78">
        <f>IF(AX78&lt;&gt;"",INDEX($AE$2:$AP$440,MATCH($AT78,$AS$2:$AS$440,0),COLUMNS($AT$2:AX78)),"")</f>
        <v>9</v>
      </c>
      <c r="AZ78">
        <f>IF(AY78&lt;&gt;"",INDEX($AE$2:$AP$440,MATCH($AT78,$AS$2:$AS$440,0),COLUMNS($AT$2:AY78)),"")</f>
        <v>12</v>
      </c>
      <c r="BA78">
        <f>IF(AZ78&lt;&gt;"",INDEX($AE$2:$AP$440,MATCH($AT78,$AS$2:$AS$440,0),COLUMNS($AT$2:AZ78)),"")</f>
        <v>17</v>
      </c>
      <c r="BB78">
        <f>IF(BA78&lt;&gt;"",INDEX($AE$2:$AP$440,MATCH($AT78,$AS$2:$AS$440,0),COLUMNS($AT$2:BA78)),"")</f>
        <v>45</v>
      </c>
      <c r="BC78">
        <f>IF(BB78&lt;&gt;"",INDEX($AE$2:$AP$440,MATCH($AT78,$AS$2:$AS$440,0),COLUMNS($AT$2:BB78)),"")</f>
        <v>57</v>
      </c>
      <c r="BD78">
        <f>IF(BC78&lt;&gt;"",INDEX($AE$2:$AP$440,MATCH($AT78,$AS$2:$AS$440,0),COLUMNS($AT$2:BC78)),"")</f>
        <v>-12</v>
      </c>
      <c r="BE78">
        <f>IF(BD78&lt;&gt;"",INDEX($AE$2:$AP$440,MATCH($AT78,$AS$2:$AS$440,0),COLUMNS($AT$2:BD78)),"")</f>
        <v>39</v>
      </c>
      <c r="BF78">
        <f>IF(BE78&lt;&gt;"",INDEX($AE$2:$AP$440,MATCH($AT78,$AS$2:$AS$440,0),COLUMNS($AT$2:BE78)),"")</f>
        <v>17</v>
      </c>
    </row>
    <row r="79" spans="1:84" x14ac:dyDescent="0.25">
      <c r="A79" s="5">
        <v>2003</v>
      </c>
      <c r="B79" s="5">
        <v>18</v>
      </c>
      <c r="C79" s="6" t="s">
        <v>23</v>
      </c>
      <c r="D79" s="5">
        <v>38</v>
      </c>
      <c r="E79" s="5">
        <v>6</v>
      </c>
      <c r="F79" s="5">
        <v>15</v>
      </c>
      <c r="G79" s="5">
        <v>17</v>
      </c>
      <c r="H79" s="5">
        <v>48</v>
      </c>
      <c r="I79" s="5">
        <v>65</v>
      </c>
      <c r="J79" s="5">
        <v>-17</v>
      </c>
      <c r="K79" s="5">
        <v>33</v>
      </c>
      <c r="L79" s="5" t="str">
        <f>IF(Table2[[#This Row],['#]]=1,"Champion", IF(Table2[[#This Row],['#]]&gt;=18,"Relegated",Table2[[#This Row],['#]]))</f>
        <v>Relegated</v>
      </c>
      <c r="N79">
        <f>IF(COUNTIF($O$2:O79,O79)=1,N78+1,N78)</f>
        <v>26</v>
      </c>
      <c r="O79" s="4" t="str">
        <f>Table2[[#This Row],[Team]]</f>
        <v>Leicester City</v>
      </c>
      <c r="P79" s="1" t="str">
        <f>IFERROR(VLOOKUP(ROWS($O$2:O79),$N$2:$O$441,2,0),"")</f>
        <v/>
      </c>
      <c r="Q79" s="1" t="str">
        <f>IF(P79&lt;&gt;"",SUMPRODUCT(--(Table2[Team]=P79)),"")</f>
        <v/>
      </c>
      <c r="R79" s="11" t="str">
        <f>IF(Q79&lt;&gt;"",Q79+ROWS($Q$2:Q79)/100,"")</f>
        <v/>
      </c>
      <c r="S79" t="str">
        <f>IF(R79&lt;&gt;"",LARGE($R$2:$R$441,ROWS($R$2:R79)),"")</f>
        <v/>
      </c>
      <c r="T79" s="1" t="str">
        <f>IF(R79&lt;&gt;"",INDEX($P$2:$Q$441,MATCH($S79,$R$2:$R$441,0),COLUMNS($S$2:S79)),"")</f>
        <v/>
      </c>
      <c r="U79" s="1" t="str">
        <f>IF(S79&lt;&gt;"",INDEX($P$2:$Q$441,MATCH($S79,$R$2:$R$441,0),COLUMNS($S$2:T79)),"")</f>
        <v/>
      </c>
      <c r="AE79" s="1">
        <f>Table2[[#This Row],[Year]]</f>
        <v>2003</v>
      </c>
      <c r="AF79" s="1">
        <f>Table2[[#This Row],['#]]</f>
        <v>18</v>
      </c>
      <c r="AG79" s="1" t="str">
        <f>Table2[[#This Row],[Team]]</f>
        <v>Leicester City</v>
      </c>
      <c r="AH79" s="1">
        <f>Table2[[#This Row],[Pl]]</f>
        <v>38</v>
      </c>
      <c r="AI79" s="1">
        <f>Table2[[#This Row],[W]]</f>
        <v>6</v>
      </c>
      <c r="AJ79" s="1">
        <f>Table2[[#This Row],[D]]</f>
        <v>15</v>
      </c>
      <c r="AK79" s="1">
        <f>Table2[[#This Row],[L]]</f>
        <v>17</v>
      </c>
      <c r="AL79" s="1">
        <f>Table2[[#This Row],[F]]</f>
        <v>48</v>
      </c>
      <c r="AM79" s="1">
        <f>Table2[[#This Row],[A]]</f>
        <v>65</v>
      </c>
      <c r="AN79" s="1">
        <f>Table2[[#This Row],[GD]]</f>
        <v>-17</v>
      </c>
      <c r="AO79" s="1">
        <f>Table2[[#This Row],[Pts]]</f>
        <v>33</v>
      </c>
      <c r="AP79" s="1" t="str">
        <f>Table2[[#This Row],[Column1]]</f>
        <v>Relegated</v>
      </c>
      <c r="AR79" t="b">
        <f t="shared" si="4"/>
        <v>1</v>
      </c>
      <c r="AS79">
        <f>IF(AR79,ROWS($AR$2:AR79),"")</f>
        <v>78</v>
      </c>
      <c r="AT79">
        <f>IFERROR(SMALL($AS$2:$AS$440,ROWS($AS$2:AS79)),"")</f>
        <v>78</v>
      </c>
      <c r="AU79">
        <f>IF(AT79&lt;&gt;"",INDEX($AE$2:$AP$440,MATCH($AT79,$AS$2:$AS$440,0),COLUMNS($AT$2:AT79)),"")</f>
        <v>2003</v>
      </c>
      <c r="AV79">
        <f>IF(AU79&lt;&gt;"",INDEX($AE$2:$AP$440,MATCH($AT79,$AS$2:$AS$440,0),COLUMNS($AT$2:AU79)),"")</f>
        <v>18</v>
      </c>
      <c r="AW79" t="str">
        <f>IF(AV79&lt;&gt;"",INDEX($AE$2:$AP$440,MATCH($AT79,$AS$2:$AS$440,0),COLUMNS($AT$2:AV79)),"")</f>
        <v>Leicester City</v>
      </c>
      <c r="AX79">
        <f>IF(AW79&lt;&gt;"",INDEX($AE$2:$AP$440,MATCH($AT79,$AS$2:$AS$440,0),COLUMNS($AT$2:AW79)),"")</f>
        <v>38</v>
      </c>
      <c r="AY79">
        <f>IF(AX79&lt;&gt;"",INDEX($AE$2:$AP$440,MATCH($AT79,$AS$2:$AS$440,0),COLUMNS($AT$2:AX79)),"")</f>
        <v>6</v>
      </c>
      <c r="AZ79">
        <f>IF(AY79&lt;&gt;"",INDEX($AE$2:$AP$440,MATCH($AT79,$AS$2:$AS$440,0),COLUMNS($AT$2:AY79)),"")</f>
        <v>15</v>
      </c>
      <c r="BA79">
        <f>IF(AZ79&lt;&gt;"",INDEX($AE$2:$AP$440,MATCH($AT79,$AS$2:$AS$440,0),COLUMNS($AT$2:AZ79)),"")</f>
        <v>17</v>
      </c>
      <c r="BB79">
        <f>IF(BA79&lt;&gt;"",INDEX($AE$2:$AP$440,MATCH($AT79,$AS$2:$AS$440,0),COLUMNS($AT$2:BA79)),"")</f>
        <v>48</v>
      </c>
      <c r="BC79">
        <f>IF(BB79&lt;&gt;"",INDEX($AE$2:$AP$440,MATCH($AT79,$AS$2:$AS$440,0),COLUMNS($AT$2:BB79)),"")</f>
        <v>65</v>
      </c>
      <c r="BD79">
        <f>IF(BC79&lt;&gt;"",INDEX($AE$2:$AP$440,MATCH($AT79,$AS$2:$AS$440,0),COLUMNS($AT$2:BC79)),"")</f>
        <v>-17</v>
      </c>
      <c r="BE79">
        <f>IF(BD79&lt;&gt;"",INDEX($AE$2:$AP$440,MATCH($AT79,$AS$2:$AS$440,0),COLUMNS($AT$2:BD79)),"")</f>
        <v>33</v>
      </c>
      <c r="BF79" t="str">
        <f>IF(BE79&lt;&gt;"",INDEX($AE$2:$AP$440,MATCH($AT79,$AS$2:$AS$440,0),COLUMNS($AT$2:BE79)),"")</f>
        <v>Relegated</v>
      </c>
    </row>
    <row r="80" spans="1:84" x14ac:dyDescent="0.25">
      <c r="A80" s="3">
        <v>2003</v>
      </c>
      <c r="B80" s="3">
        <v>19</v>
      </c>
      <c r="C80" s="4" t="s">
        <v>14</v>
      </c>
      <c r="D80" s="3">
        <v>38</v>
      </c>
      <c r="E80" s="3">
        <v>8</v>
      </c>
      <c r="F80" s="3">
        <v>9</v>
      </c>
      <c r="G80" s="3">
        <v>21</v>
      </c>
      <c r="H80" s="3">
        <v>40</v>
      </c>
      <c r="I80" s="3">
        <v>79</v>
      </c>
      <c r="J80" s="3">
        <v>-39</v>
      </c>
      <c r="K80" s="3">
        <v>33</v>
      </c>
      <c r="L80" s="5" t="str">
        <f>IF(Table2[[#This Row],['#]]=1,"Champion", IF(Table2[[#This Row],['#]]&gt;=18,"Relegated",Table2[[#This Row],['#]]))</f>
        <v>Relegated</v>
      </c>
      <c r="N80">
        <f>IF(COUNTIF($O$2:O80,O80)=1,N79+1,N79)</f>
        <v>26</v>
      </c>
      <c r="O80" s="4" t="str">
        <f>Table2[[#This Row],[Team]]</f>
        <v>Leeds United</v>
      </c>
      <c r="P80" s="1" t="str">
        <f>IFERROR(VLOOKUP(ROWS($O$2:O80),$N$2:$O$441,2,0),"")</f>
        <v/>
      </c>
      <c r="Q80" s="1" t="str">
        <f>IF(P80&lt;&gt;"",SUMPRODUCT(--(Table2[Team]=P80)),"")</f>
        <v/>
      </c>
      <c r="R80" s="11" t="str">
        <f>IF(Q80&lt;&gt;"",Q80+ROWS($Q$2:Q80)/100,"")</f>
        <v/>
      </c>
      <c r="S80" t="str">
        <f>IF(R80&lt;&gt;"",LARGE($R$2:$R$441,ROWS($R$2:R80)),"")</f>
        <v/>
      </c>
      <c r="T80" s="1" t="str">
        <f>IF(R80&lt;&gt;"",INDEX($P$2:$Q$441,MATCH($S80,$R$2:$R$441,0),COLUMNS($S$2:S80)),"")</f>
        <v/>
      </c>
      <c r="U80" s="1" t="str">
        <f>IF(S80&lt;&gt;"",INDEX($P$2:$Q$441,MATCH($S80,$R$2:$R$441,0),COLUMNS($S$2:T80)),"")</f>
        <v/>
      </c>
      <c r="AE80" s="1">
        <f>Table2[[#This Row],[Year]]</f>
        <v>2003</v>
      </c>
      <c r="AF80" s="1">
        <f>Table2[[#This Row],['#]]</f>
        <v>19</v>
      </c>
      <c r="AG80" s="1" t="str">
        <f>Table2[[#This Row],[Team]]</f>
        <v>Leeds United</v>
      </c>
      <c r="AH80" s="1">
        <f>Table2[[#This Row],[Pl]]</f>
        <v>38</v>
      </c>
      <c r="AI80" s="1">
        <f>Table2[[#This Row],[W]]</f>
        <v>8</v>
      </c>
      <c r="AJ80" s="1">
        <f>Table2[[#This Row],[D]]</f>
        <v>9</v>
      </c>
      <c r="AK80" s="1">
        <f>Table2[[#This Row],[L]]</f>
        <v>21</v>
      </c>
      <c r="AL80" s="1">
        <f>Table2[[#This Row],[F]]</f>
        <v>40</v>
      </c>
      <c r="AM80" s="1">
        <f>Table2[[#This Row],[A]]</f>
        <v>79</v>
      </c>
      <c r="AN80" s="1">
        <f>Table2[[#This Row],[GD]]</f>
        <v>-39</v>
      </c>
      <c r="AO80" s="1">
        <f>Table2[[#This Row],[Pts]]</f>
        <v>33</v>
      </c>
      <c r="AP80" s="1" t="str">
        <f>Table2[[#This Row],[Column1]]</f>
        <v>Relegated</v>
      </c>
      <c r="AR80" t="b">
        <f t="shared" si="4"/>
        <v>1</v>
      </c>
      <c r="AS80">
        <f>IF(AR80,ROWS($AR$2:AR80),"")</f>
        <v>79</v>
      </c>
      <c r="AT80">
        <f>IFERROR(SMALL($AS$2:$AS$440,ROWS($AS$2:AS80)),"")</f>
        <v>79</v>
      </c>
      <c r="AU80">
        <f>IF(AT80&lt;&gt;"",INDEX($AE$2:$AP$440,MATCH($AT80,$AS$2:$AS$440,0),COLUMNS($AT$2:AT80)),"")</f>
        <v>2003</v>
      </c>
      <c r="AV80">
        <f>IF(AU80&lt;&gt;"",INDEX($AE$2:$AP$440,MATCH($AT80,$AS$2:$AS$440,0),COLUMNS($AT$2:AU80)),"")</f>
        <v>19</v>
      </c>
      <c r="AW80" t="str">
        <f>IF(AV80&lt;&gt;"",INDEX($AE$2:$AP$440,MATCH($AT80,$AS$2:$AS$440,0),COLUMNS($AT$2:AV80)),"")</f>
        <v>Leeds United</v>
      </c>
      <c r="AX80">
        <f>IF(AW80&lt;&gt;"",INDEX($AE$2:$AP$440,MATCH($AT80,$AS$2:$AS$440,0),COLUMNS($AT$2:AW80)),"")</f>
        <v>38</v>
      </c>
      <c r="AY80">
        <f>IF(AX80&lt;&gt;"",INDEX($AE$2:$AP$440,MATCH($AT80,$AS$2:$AS$440,0),COLUMNS($AT$2:AX80)),"")</f>
        <v>8</v>
      </c>
      <c r="AZ80">
        <f>IF(AY80&lt;&gt;"",INDEX($AE$2:$AP$440,MATCH($AT80,$AS$2:$AS$440,0),COLUMNS($AT$2:AY80)),"")</f>
        <v>9</v>
      </c>
      <c r="BA80">
        <f>IF(AZ80&lt;&gt;"",INDEX($AE$2:$AP$440,MATCH($AT80,$AS$2:$AS$440,0),COLUMNS($AT$2:AZ80)),"")</f>
        <v>21</v>
      </c>
      <c r="BB80">
        <f>IF(BA80&lt;&gt;"",INDEX($AE$2:$AP$440,MATCH($AT80,$AS$2:$AS$440,0),COLUMNS($AT$2:BA80)),"")</f>
        <v>40</v>
      </c>
      <c r="BC80">
        <f>IF(BB80&lt;&gt;"",INDEX($AE$2:$AP$440,MATCH($AT80,$AS$2:$AS$440,0),COLUMNS($AT$2:BB80)),"")</f>
        <v>79</v>
      </c>
      <c r="BD80">
        <f>IF(BC80&lt;&gt;"",INDEX($AE$2:$AP$440,MATCH($AT80,$AS$2:$AS$440,0),COLUMNS($AT$2:BC80)),"")</f>
        <v>-39</v>
      </c>
      <c r="BE80">
        <f>IF(BD80&lt;&gt;"",INDEX($AE$2:$AP$440,MATCH($AT80,$AS$2:$AS$440,0),COLUMNS($AT$2:BD80)),"")</f>
        <v>33</v>
      </c>
      <c r="BF80" t="str">
        <f>IF(BE80&lt;&gt;"",INDEX($AE$2:$AP$440,MATCH($AT80,$AS$2:$AS$440,0),COLUMNS($AT$2:BE80)),"")</f>
        <v>Relegated</v>
      </c>
    </row>
    <row r="81" spans="1:58" x14ac:dyDescent="0.25">
      <c r="A81" s="5">
        <v>2003</v>
      </c>
      <c r="B81" s="5">
        <v>20</v>
      </c>
      <c r="C81" s="6" t="s">
        <v>37</v>
      </c>
      <c r="D81" s="5">
        <v>38</v>
      </c>
      <c r="E81" s="5">
        <v>7</v>
      </c>
      <c r="F81" s="5">
        <v>12</v>
      </c>
      <c r="G81" s="5">
        <v>19</v>
      </c>
      <c r="H81" s="5">
        <v>38</v>
      </c>
      <c r="I81" s="5">
        <v>77</v>
      </c>
      <c r="J81" s="5">
        <v>-39</v>
      </c>
      <c r="K81" s="5">
        <v>33</v>
      </c>
      <c r="L81" s="5" t="str">
        <f>IF(Table2[[#This Row],['#]]=1,"Champion", IF(Table2[[#This Row],['#]]&gt;=18,"Relegated",Table2[[#This Row],['#]]))</f>
        <v>Relegated</v>
      </c>
      <c r="N81">
        <f>IF(COUNTIF($O$2:O81,O81)=1,N80+1,N80)</f>
        <v>27</v>
      </c>
      <c r="O81" s="4" t="str">
        <f>Table2[[#This Row],[Team]]</f>
        <v>Wolverhampton Wanderers</v>
      </c>
      <c r="P81" s="1" t="str">
        <f>IFERROR(VLOOKUP(ROWS($O$2:O81),$N$2:$O$441,2,0),"")</f>
        <v/>
      </c>
      <c r="Q81" s="1" t="str">
        <f>IF(P81&lt;&gt;"",SUMPRODUCT(--(Table2[Team]=P81)),"")</f>
        <v/>
      </c>
      <c r="R81" s="11" t="str">
        <f>IF(Q81&lt;&gt;"",Q81+ROWS($Q$2:Q81)/100,"")</f>
        <v/>
      </c>
      <c r="S81" t="str">
        <f>IF(R81&lt;&gt;"",LARGE($R$2:$R$441,ROWS($R$2:R81)),"")</f>
        <v/>
      </c>
      <c r="T81" s="1" t="str">
        <f>IF(R81&lt;&gt;"",INDEX($P$2:$Q$441,MATCH($S81,$R$2:$R$441,0),COLUMNS($S$2:S81)),"")</f>
        <v/>
      </c>
      <c r="U81" s="1" t="str">
        <f>IF(S81&lt;&gt;"",INDEX($P$2:$Q$441,MATCH($S81,$R$2:$R$441,0),COLUMNS($S$2:T81)),"")</f>
        <v/>
      </c>
      <c r="AE81" s="1">
        <f>Table2[[#This Row],[Year]]</f>
        <v>2003</v>
      </c>
      <c r="AF81" s="1">
        <f>Table2[[#This Row],['#]]</f>
        <v>20</v>
      </c>
      <c r="AG81" s="1" t="str">
        <f>Table2[[#This Row],[Team]]</f>
        <v>Wolverhampton Wanderers</v>
      </c>
      <c r="AH81" s="1">
        <f>Table2[[#This Row],[Pl]]</f>
        <v>38</v>
      </c>
      <c r="AI81" s="1">
        <f>Table2[[#This Row],[W]]</f>
        <v>7</v>
      </c>
      <c r="AJ81" s="1">
        <f>Table2[[#This Row],[D]]</f>
        <v>12</v>
      </c>
      <c r="AK81" s="1">
        <f>Table2[[#This Row],[L]]</f>
        <v>19</v>
      </c>
      <c r="AL81" s="1">
        <f>Table2[[#This Row],[F]]</f>
        <v>38</v>
      </c>
      <c r="AM81" s="1">
        <f>Table2[[#This Row],[A]]</f>
        <v>77</v>
      </c>
      <c r="AN81" s="1">
        <f>Table2[[#This Row],[GD]]</f>
        <v>-39</v>
      </c>
      <c r="AO81" s="1">
        <f>Table2[[#This Row],[Pts]]</f>
        <v>33</v>
      </c>
      <c r="AP81" s="1" t="str">
        <f>Table2[[#This Row],[Column1]]</f>
        <v>Relegated</v>
      </c>
      <c r="AR81" t="b">
        <f t="shared" si="4"/>
        <v>1</v>
      </c>
      <c r="AS81">
        <f>IF(AR81,ROWS($AR$2:AR81),"")</f>
        <v>80</v>
      </c>
      <c r="AT81">
        <f>IFERROR(SMALL($AS$2:$AS$440,ROWS($AS$2:AS81)),"")</f>
        <v>80</v>
      </c>
      <c r="AU81">
        <f>IF(AT81&lt;&gt;"",INDEX($AE$2:$AP$440,MATCH($AT81,$AS$2:$AS$440,0),COLUMNS($AT$2:AT81)),"")</f>
        <v>2003</v>
      </c>
      <c r="AV81">
        <f>IF(AU81&lt;&gt;"",INDEX($AE$2:$AP$440,MATCH($AT81,$AS$2:$AS$440,0),COLUMNS($AT$2:AU81)),"")</f>
        <v>20</v>
      </c>
      <c r="AW81" t="str">
        <f>IF(AV81&lt;&gt;"",INDEX($AE$2:$AP$440,MATCH($AT81,$AS$2:$AS$440,0),COLUMNS($AT$2:AV81)),"")</f>
        <v>Wolverhampton Wanderers</v>
      </c>
      <c r="AX81">
        <f>IF(AW81&lt;&gt;"",INDEX($AE$2:$AP$440,MATCH($AT81,$AS$2:$AS$440,0),COLUMNS($AT$2:AW81)),"")</f>
        <v>38</v>
      </c>
      <c r="AY81">
        <f>IF(AX81&lt;&gt;"",INDEX($AE$2:$AP$440,MATCH($AT81,$AS$2:$AS$440,0),COLUMNS($AT$2:AX81)),"")</f>
        <v>7</v>
      </c>
      <c r="AZ81">
        <f>IF(AY81&lt;&gt;"",INDEX($AE$2:$AP$440,MATCH($AT81,$AS$2:$AS$440,0),COLUMNS($AT$2:AY81)),"")</f>
        <v>12</v>
      </c>
      <c r="BA81">
        <f>IF(AZ81&lt;&gt;"",INDEX($AE$2:$AP$440,MATCH($AT81,$AS$2:$AS$440,0),COLUMNS($AT$2:AZ81)),"")</f>
        <v>19</v>
      </c>
      <c r="BB81">
        <f>IF(BA81&lt;&gt;"",INDEX($AE$2:$AP$440,MATCH($AT81,$AS$2:$AS$440,0),COLUMNS($AT$2:BA81)),"")</f>
        <v>38</v>
      </c>
      <c r="BC81">
        <f>IF(BB81&lt;&gt;"",INDEX($AE$2:$AP$440,MATCH($AT81,$AS$2:$AS$440,0),COLUMNS($AT$2:BB81)),"")</f>
        <v>77</v>
      </c>
      <c r="BD81">
        <f>IF(BC81&lt;&gt;"",INDEX($AE$2:$AP$440,MATCH($AT81,$AS$2:$AS$440,0),COLUMNS($AT$2:BC81)),"")</f>
        <v>-39</v>
      </c>
      <c r="BE81">
        <f>IF(BD81&lt;&gt;"",INDEX($AE$2:$AP$440,MATCH($AT81,$AS$2:$AS$440,0),COLUMNS($AT$2:BD81)),"")</f>
        <v>33</v>
      </c>
      <c r="BF81" t="str">
        <f>IF(BE81&lt;&gt;"",INDEX($AE$2:$AP$440,MATCH($AT81,$AS$2:$AS$440,0),COLUMNS($AT$2:BE81)),"")</f>
        <v>Relegated</v>
      </c>
    </row>
    <row r="82" spans="1:58" x14ac:dyDescent="0.25">
      <c r="A82" s="3">
        <v>2004</v>
      </c>
      <c r="B82" s="3">
        <v>1</v>
      </c>
      <c r="C82" s="4" t="s">
        <v>16</v>
      </c>
      <c r="D82" s="3">
        <v>38</v>
      </c>
      <c r="E82" s="3">
        <v>29</v>
      </c>
      <c r="F82" s="3">
        <v>8</v>
      </c>
      <c r="G82" s="3">
        <v>1</v>
      </c>
      <c r="H82" s="3">
        <v>72</v>
      </c>
      <c r="I82" s="3">
        <v>15</v>
      </c>
      <c r="J82" s="3">
        <v>57</v>
      </c>
      <c r="K82" s="3">
        <v>95</v>
      </c>
      <c r="L82" s="5" t="str">
        <f>IF(Table2[[#This Row],['#]]=1,"Champion", IF(Table2[[#This Row],['#]]&gt;=18,"Relegated",Table2[[#This Row],['#]]))</f>
        <v>Champion</v>
      </c>
      <c r="N82">
        <f>IF(COUNTIF($O$2:O82,O82)=1,N81+1,N81)</f>
        <v>27</v>
      </c>
      <c r="O82" s="4" t="str">
        <f>Table2[[#This Row],[Team]]</f>
        <v>Chelsea</v>
      </c>
      <c r="P82" s="1" t="str">
        <f>IFERROR(VLOOKUP(ROWS($O$2:O82),$N$2:$O$441,2,0),"")</f>
        <v/>
      </c>
      <c r="Q82" s="1" t="str">
        <f>IF(P82&lt;&gt;"",SUMPRODUCT(--(Table2[Team]=P82)),"")</f>
        <v/>
      </c>
      <c r="R82" s="11" t="str">
        <f>IF(Q82&lt;&gt;"",Q82+ROWS($Q$2:Q82)/100,"")</f>
        <v/>
      </c>
      <c r="S82" t="str">
        <f>IF(R82&lt;&gt;"",LARGE($R$2:$R$441,ROWS($R$2:R82)),"")</f>
        <v/>
      </c>
      <c r="T82" s="1" t="str">
        <f>IF(R82&lt;&gt;"",INDEX($P$2:$Q$441,MATCH($S82,$R$2:$R$441,0),COLUMNS($S$2:S82)),"")</f>
        <v/>
      </c>
      <c r="U82" s="1" t="str">
        <f>IF(S82&lt;&gt;"",INDEX($P$2:$Q$441,MATCH($S82,$R$2:$R$441,0),COLUMNS($S$2:T82)),"")</f>
        <v/>
      </c>
      <c r="AE82" s="1">
        <f>Table2[[#This Row],[Year]]</f>
        <v>2004</v>
      </c>
      <c r="AF82" s="1">
        <f>Table2[[#This Row],['#]]</f>
        <v>1</v>
      </c>
      <c r="AG82" s="1" t="str">
        <f>Table2[[#This Row],[Team]]</f>
        <v>Chelsea</v>
      </c>
      <c r="AH82" s="1">
        <f>Table2[[#This Row],[Pl]]</f>
        <v>38</v>
      </c>
      <c r="AI82" s="1">
        <f>Table2[[#This Row],[W]]</f>
        <v>29</v>
      </c>
      <c r="AJ82" s="1">
        <f>Table2[[#This Row],[D]]</f>
        <v>8</v>
      </c>
      <c r="AK82" s="1">
        <f>Table2[[#This Row],[L]]</f>
        <v>1</v>
      </c>
      <c r="AL82" s="1">
        <f>Table2[[#This Row],[F]]</f>
        <v>72</v>
      </c>
      <c r="AM82" s="1">
        <f>Table2[[#This Row],[A]]</f>
        <v>15</v>
      </c>
      <c r="AN82" s="1">
        <f>Table2[[#This Row],[GD]]</f>
        <v>57</v>
      </c>
      <c r="AO82" s="1">
        <f>Table2[[#This Row],[Pts]]</f>
        <v>95</v>
      </c>
      <c r="AP82" s="1" t="str">
        <f>Table2[[#This Row],[Column1]]</f>
        <v>Champion</v>
      </c>
      <c r="AR82" t="b">
        <f t="shared" si="4"/>
        <v>1</v>
      </c>
      <c r="AS82">
        <f>IF(AR82,ROWS($AR$2:AR82),"")</f>
        <v>81</v>
      </c>
      <c r="AT82">
        <f>IFERROR(SMALL($AS$2:$AS$440,ROWS($AS$2:AS82)),"")</f>
        <v>81</v>
      </c>
      <c r="AU82">
        <f>IF(AT82&lt;&gt;"",INDEX($AE$2:$AP$440,MATCH($AT82,$AS$2:$AS$440,0),COLUMNS($AT$2:AT82)),"")</f>
        <v>2004</v>
      </c>
      <c r="AV82">
        <f>IF(AU82&lt;&gt;"",INDEX($AE$2:$AP$440,MATCH($AT82,$AS$2:$AS$440,0),COLUMNS($AT$2:AU82)),"")</f>
        <v>1</v>
      </c>
      <c r="AW82" t="str">
        <f>IF(AV82&lt;&gt;"",INDEX($AE$2:$AP$440,MATCH($AT82,$AS$2:$AS$440,0),COLUMNS($AT$2:AV82)),"")</f>
        <v>Chelsea</v>
      </c>
      <c r="AX82">
        <f>IF(AW82&lt;&gt;"",INDEX($AE$2:$AP$440,MATCH($AT82,$AS$2:$AS$440,0),COLUMNS($AT$2:AW82)),"")</f>
        <v>38</v>
      </c>
      <c r="AY82">
        <f>IF(AX82&lt;&gt;"",INDEX($AE$2:$AP$440,MATCH($AT82,$AS$2:$AS$440,0),COLUMNS($AT$2:AX82)),"")</f>
        <v>29</v>
      </c>
      <c r="AZ82">
        <f>IF(AY82&lt;&gt;"",INDEX($AE$2:$AP$440,MATCH($AT82,$AS$2:$AS$440,0),COLUMNS($AT$2:AY82)),"")</f>
        <v>8</v>
      </c>
      <c r="BA82">
        <f>IF(AZ82&lt;&gt;"",INDEX($AE$2:$AP$440,MATCH($AT82,$AS$2:$AS$440,0),COLUMNS($AT$2:AZ82)),"")</f>
        <v>1</v>
      </c>
      <c r="BB82">
        <f>IF(BA82&lt;&gt;"",INDEX($AE$2:$AP$440,MATCH($AT82,$AS$2:$AS$440,0),COLUMNS($AT$2:BA82)),"")</f>
        <v>72</v>
      </c>
      <c r="BC82">
        <f>IF(BB82&lt;&gt;"",INDEX($AE$2:$AP$440,MATCH($AT82,$AS$2:$AS$440,0),COLUMNS($AT$2:BB82)),"")</f>
        <v>15</v>
      </c>
      <c r="BD82">
        <f>IF(BC82&lt;&gt;"",INDEX($AE$2:$AP$440,MATCH($AT82,$AS$2:$AS$440,0),COLUMNS($AT$2:BC82)),"")</f>
        <v>57</v>
      </c>
      <c r="BE82">
        <f>IF(BD82&lt;&gt;"",INDEX($AE$2:$AP$440,MATCH($AT82,$AS$2:$AS$440,0),COLUMNS($AT$2:BD82)),"")</f>
        <v>95</v>
      </c>
      <c r="BF82" t="str">
        <f>IF(BE82&lt;&gt;"",INDEX($AE$2:$AP$440,MATCH($AT82,$AS$2:$AS$440,0),COLUMNS($AT$2:BE82)),"")</f>
        <v>Champion</v>
      </c>
    </row>
    <row r="83" spans="1:58" x14ac:dyDescent="0.25">
      <c r="A83" s="5">
        <v>2004</v>
      </c>
      <c r="B83" s="5">
        <v>2</v>
      </c>
      <c r="C83" s="6" t="s">
        <v>12</v>
      </c>
      <c r="D83" s="5">
        <v>38</v>
      </c>
      <c r="E83" s="5">
        <v>25</v>
      </c>
      <c r="F83" s="5">
        <v>8</v>
      </c>
      <c r="G83" s="5">
        <v>5</v>
      </c>
      <c r="H83" s="5">
        <v>87</v>
      </c>
      <c r="I83" s="5">
        <v>36</v>
      </c>
      <c r="J83" s="5">
        <v>51</v>
      </c>
      <c r="K83" s="5">
        <v>83</v>
      </c>
      <c r="L83" s="5">
        <f>IF(Table2[[#This Row],['#]]=1,"Champion", IF(Table2[[#This Row],['#]]&gt;=18,"Relegated",Table2[[#This Row],['#]]))</f>
        <v>2</v>
      </c>
      <c r="N83">
        <f>IF(COUNTIF($O$2:O83,O83)=1,N82+1,N82)</f>
        <v>27</v>
      </c>
      <c r="O83" s="4" t="str">
        <f>Table2[[#This Row],[Team]]</f>
        <v>Arsenal</v>
      </c>
      <c r="P83" s="1" t="str">
        <f>IFERROR(VLOOKUP(ROWS($O$2:O83),$N$2:$O$441,2,0),"")</f>
        <v/>
      </c>
      <c r="Q83" s="1" t="str">
        <f>IF(P83&lt;&gt;"",SUMPRODUCT(--(Table2[Team]=P83)),"")</f>
        <v/>
      </c>
      <c r="R83" s="11" t="str">
        <f>IF(Q83&lt;&gt;"",Q83+ROWS($Q$2:Q83)/100,"")</f>
        <v/>
      </c>
      <c r="S83" t="str">
        <f>IF(R83&lt;&gt;"",LARGE($R$2:$R$441,ROWS($R$2:R83)),"")</f>
        <v/>
      </c>
      <c r="T83" s="1" t="str">
        <f>IF(R83&lt;&gt;"",INDEX($P$2:$Q$441,MATCH($S83,$R$2:$R$441,0),COLUMNS($S$2:S83)),"")</f>
        <v/>
      </c>
      <c r="U83" s="1" t="str">
        <f>IF(S83&lt;&gt;"",INDEX($P$2:$Q$441,MATCH($S83,$R$2:$R$441,0),COLUMNS($S$2:T83)),"")</f>
        <v/>
      </c>
      <c r="AE83" s="1">
        <f>Table2[[#This Row],[Year]]</f>
        <v>2004</v>
      </c>
      <c r="AF83" s="1">
        <f>Table2[[#This Row],['#]]</f>
        <v>2</v>
      </c>
      <c r="AG83" s="1" t="str">
        <f>Table2[[#This Row],[Team]]</f>
        <v>Arsenal</v>
      </c>
      <c r="AH83" s="1">
        <f>Table2[[#This Row],[Pl]]</f>
        <v>38</v>
      </c>
      <c r="AI83" s="1">
        <f>Table2[[#This Row],[W]]</f>
        <v>25</v>
      </c>
      <c r="AJ83" s="1">
        <f>Table2[[#This Row],[D]]</f>
        <v>8</v>
      </c>
      <c r="AK83" s="1">
        <f>Table2[[#This Row],[L]]</f>
        <v>5</v>
      </c>
      <c r="AL83" s="1">
        <f>Table2[[#This Row],[F]]</f>
        <v>87</v>
      </c>
      <c r="AM83" s="1">
        <f>Table2[[#This Row],[A]]</f>
        <v>36</v>
      </c>
      <c r="AN83" s="1">
        <f>Table2[[#This Row],[GD]]</f>
        <v>51</v>
      </c>
      <c r="AO83" s="1">
        <f>Table2[[#This Row],[Pts]]</f>
        <v>83</v>
      </c>
      <c r="AP83" s="1">
        <f>Table2[[#This Row],[Column1]]</f>
        <v>2</v>
      </c>
      <c r="AR83" t="b">
        <f t="shared" si="4"/>
        <v>1</v>
      </c>
      <c r="AS83">
        <f>IF(AR83,ROWS($AR$2:AR83),"")</f>
        <v>82</v>
      </c>
      <c r="AT83">
        <f>IFERROR(SMALL($AS$2:$AS$440,ROWS($AS$2:AS83)),"")</f>
        <v>82</v>
      </c>
      <c r="AU83">
        <f>IF(AT83&lt;&gt;"",INDEX($AE$2:$AP$440,MATCH($AT83,$AS$2:$AS$440,0),COLUMNS($AT$2:AT83)),"")</f>
        <v>2004</v>
      </c>
      <c r="AV83">
        <f>IF(AU83&lt;&gt;"",INDEX($AE$2:$AP$440,MATCH($AT83,$AS$2:$AS$440,0),COLUMNS($AT$2:AU83)),"")</f>
        <v>2</v>
      </c>
      <c r="AW83" t="str">
        <f>IF(AV83&lt;&gt;"",INDEX($AE$2:$AP$440,MATCH($AT83,$AS$2:$AS$440,0),COLUMNS($AT$2:AV83)),"")</f>
        <v>Arsenal</v>
      </c>
      <c r="AX83">
        <f>IF(AW83&lt;&gt;"",INDEX($AE$2:$AP$440,MATCH($AT83,$AS$2:$AS$440,0),COLUMNS($AT$2:AW83)),"")</f>
        <v>38</v>
      </c>
      <c r="AY83">
        <f>IF(AX83&lt;&gt;"",INDEX($AE$2:$AP$440,MATCH($AT83,$AS$2:$AS$440,0),COLUMNS($AT$2:AX83)),"")</f>
        <v>25</v>
      </c>
      <c r="AZ83">
        <f>IF(AY83&lt;&gt;"",INDEX($AE$2:$AP$440,MATCH($AT83,$AS$2:$AS$440,0),COLUMNS($AT$2:AY83)),"")</f>
        <v>8</v>
      </c>
      <c r="BA83">
        <f>IF(AZ83&lt;&gt;"",INDEX($AE$2:$AP$440,MATCH($AT83,$AS$2:$AS$440,0),COLUMNS($AT$2:AZ83)),"")</f>
        <v>5</v>
      </c>
      <c r="BB83">
        <f>IF(BA83&lt;&gt;"",INDEX($AE$2:$AP$440,MATCH($AT83,$AS$2:$AS$440,0),COLUMNS($AT$2:BA83)),"")</f>
        <v>87</v>
      </c>
      <c r="BC83">
        <f>IF(BB83&lt;&gt;"",INDEX($AE$2:$AP$440,MATCH($AT83,$AS$2:$AS$440,0),COLUMNS($AT$2:BB83)),"")</f>
        <v>36</v>
      </c>
      <c r="BD83">
        <f>IF(BC83&lt;&gt;"",INDEX($AE$2:$AP$440,MATCH($AT83,$AS$2:$AS$440,0),COLUMNS($AT$2:BC83)),"")</f>
        <v>51</v>
      </c>
      <c r="BE83">
        <f>IF(BD83&lt;&gt;"",INDEX($AE$2:$AP$440,MATCH($AT83,$AS$2:$AS$440,0),COLUMNS($AT$2:BD83)),"")</f>
        <v>83</v>
      </c>
      <c r="BF83">
        <f>IF(BE83&lt;&gt;"",INDEX($AE$2:$AP$440,MATCH($AT83,$AS$2:$AS$440,0),COLUMNS($AT$2:BE83)),"")</f>
        <v>2</v>
      </c>
    </row>
    <row r="84" spans="1:58" x14ac:dyDescent="0.25">
      <c r="A84" s="3">
        <v>2004</v>
      </c>
      <c r="B84" s="3">
        <v>3</v>
      </c>
      <c r="C84" s="4" t="s">
        <v>11</v>
      </c>
      <c r="D84" s="3">
        <v>38</v>
      </c>
      <c r="E84" s="3">
        <v>22</v>
      </c>
      <c r="F84" s="3">
        <v>11</v>
      </c>
      <c r="G84" s="3">
        <v>5</v>
      </c>
      <c r="H84" s="3">
        <v>58</v>
      </c>
      <c r="I84" s="3">
        <v>26</v>
      </c>
      <c r="J84" s="3">
        <v>32</v>
      </c>
      <c r="K84" s="3">
        <v>77</v>
      </c>
      <c r="L84" s="5">
        <f>IF(Table2[[#This Row],['#]]=1,"Champion", IF(Table2[[#This Row],['#]]&gt;=18,"Relegated",Table2[[#This Row],['#]]))</f>
        <v>3</v>
      </c>
      <c r="N84">
        <f>IF(COUNTIF($O$2:O84,O84)=1,N83+1,N83)</f>
        <v>27</v>
      </c>
      <c r="O84" s="4" t="str">
        <f>Table2[[#This Row],[Team]]</f>
        <v>Manchester United</v>
      </c>
      <c r="P84" s="1" t="str">
        <f>IFERROR(VLOOKUP(ROWS($O$2:O84),$N$2:$O$441,2,0),"")</f>
        <v/>
      </c>
      <c r="Q84" s="1" t="str">
        <f>IF(P84&lt;&gt;"",SUMPRODUCT(--(Table2[Team]=P84)),"")</f>
        <v/>
      </c>
      <c r="R84" s="11" t="str">
        <f>IF(Q84&lt;&gt;"",Q84+ROWS($Q$2:Q84)/100,"")</f>
        <v/>
      </c>
      <c r="S84" t="str">
        <f>IF(R84&lt;&gt;"",LARGE($R$2:$R$441,ROWS($R$2:R84)),"")</f>
        <v/>
      </c>
      <c r="T84" s="1" t="str">
        <f>IF(R84&lt;&gt;"",INDEX($P$2:$Q$441,MATCH($S84,$R$2:$R$441,0),COLUMNS($S$2:S84)),"")</f>
        <v/>
      </c>
      <c r="U84" s="1" t="str">
        <f>IF(S84&lt;&gt;"",INDEX($P$2:$Q$441,MATCH($S84,$R$2:$R$441,0),COLUMNS($S$2:T84)),"")</f>
        <v/>
      </c>
      <c r="AE84" s="1">
        <f>Table2[[#This Row],[Year]]</f>
        <v>2004</v>
      </c>
      <c r="AF84" s="1">
        <f>Table2[[#This Row],['#]]</f>
        <v>3</v>
      </c>
      <c r="AG84" s="1" t="str">
        <f>Table2[[#This Row],[Team]]</f>
        <v>Manchester United</v>
      </c>
      <c r="AH84" s="1">
        <f>Table2[[#This Row],[Pl]]</f>
        <v>38</v>
      </c>
      <c r="AI84" s="1">
        <f>Table2[[#This Row],[W]]</f>
        <v>22</v>
      </c>
      <c r="AJ84" s="1">
        <f>Table2[[#This Row],[D]]</f>
        <v>11</v>
      </c>
      <c r="AK84" s="1">
        <f>Table2[[#This Row],[L]]</f>
        <v>5</v>
      </c>
      <c r="AL84" s="1">
        <f>Table2[[#This Row],[F]]</f>
        <v>58</v>
      </c>
      <c r="AM84" s="1">
        <f>Table2[[#This Row],[A]]</f>
        <v>26</v>
      </c>
      <c r="AN84" s="1">
        <f>Table2[[#This Row],[GD]]</f>
        <v>32</v>
      </c>
      <c r="AO84" s="1">
        <f>Table2[[#This Row],[Pts]]</f>
        <v>77</v>
      </c>
      <c r="AP84" s="1">
        <f>Table2[[#This Row],[Column1]]</f>
        <v>3</v>
      </c>
      <c r="AR84" t="b">
        <f t="shared" si="4"/>
        <v>1</v>
      </c>
      <c r="AS84">
        <f>IF(AR84,ROWS($AR$2:AR84),"")</f>
        <v>83</v>
      </c>
      <c r="AT84">
        <f>IFERROR(SMALL($AS$2:$AS$440,ROWS($AS$2:AS84)),"")</f>
        <v>83</v>
      </c>
      <c r="AU84">
        <f>IF(AT84&lt;&gt;"",INDEX($AE$2:$AP$440,MATCH($AT84,$AS$2:$AS$440,0),COLUMNS($AT$2:AT84)),"")</f>
        <v>2004</v>
      </c>
      <c r="AV84">
        <f>IF(AU84&lt;&gt;"",INDEX($AE$2:$AP$440,MATCH($AT84,$AS$2:$AS$440,0),COLUMNS($AT$2:AU84)),"")</f>
        <v>3</v>
      </c>
      <c r="AW84" t="str">
        <f>IF(AV84&lt;&gt;"",INDEX($AE$2:$AP$440,MATCH($AT84,$AS$2:$AS$440,0),COLUMNS($AT$2:AV84)),"")</f>
        <v>Manchester United</v>
      </c>
      <c r="AX84">
        <f>IF(AW84&lt;&gt;"",INDEX($AE$2:$AP$440,MATCH($AT84,$AS$2:$AS$440,0),COLUMNS($AT$2:AW84)),"")</f>
        <v>38</v>
      </c>
      <c r="AY84">
        <f>IF(AX84&lt;&gt;"",INDEX($AE$2:$AP$440,MATCH($AT84,$AS$2:$AS$440,0),COLUMNS($AT$2:AX84)),"")</f>
        <v>22</v>
      </c>
      <c r="AZ84">
        <f>IF(AY84&lt;&gt;"",INDEX($AE$2:$AP$440,MATCH($AT84,$AS$2:$AS$440,0),COLUMNS($AT$2:AY84)),"")</f>
        <v>11</v>
      </c>
      <c r="BA84">
        <f>IF(AZ84&lt;&gt;"",INDEX($AE$2:$AP$440,MATCH($AT84,$AS$2:$AS$440,0),COLUMNS($AT$2:AZ84)),"")</f>
        <v>5</v>
      </c>
      <c r="BB84">
        <f>IF(BA84&lt;&gt;"",INDEX($AE$2:$AP$440,MATCH($AT84,$AS$2:$AS$440,0),COLUMNS($AT$2:BA84)),"")</f>
        <v>58</v>
      </c>
      <c r="BC84">
        <f>IF(BB84&lt;&gt;"",INDEX($AE$2:$AP$440,MATCH($AT84,$AS$2:$AS$440,0),COLUMNS($AT$2:BB84)),"")</f>
        <v>26</v>
      </c>
      <c r="BD84">
        <f>IF(BC84&lt;&gt;"",INDEX($AE$2:$AP$440,MATCH($AT84,$AS$2:$AS$440,0),COLUMNS($AT$2:BC84)),"")</f>
        <v>32</v>
      </c>
      <c r="BE84">
        <f>IF(BD84&lt;&gt;"",INDEX($AE$2:$AP$440,MATCH($AT84,$AS$2:$AS$440,0),COLUMNS($AT$2:BD84)),"")</f>
        <v>77</v>
      </c>
      <c r="BF84">
        <f>IF(BE84&lt;&gt;"",INDEX($AE$2:$AP$440,MATCH($AT84,$AS$2:$AS$440,0),COLUMNS($AT$2:BE84)),"")</f>
        <v>3</v>
      </c>
    </row>
    <row r="85" spans="1:58" x14ac:dyDescent="0.25">
      <c r="A85" s="5">
        <v>2004</v>
      </c>
      <c r="B85" s="5">
        <v>4</v>
      </c>
      <c r="C85" s="6" t="s">
        <v>26</v>
      </c>
      <c r="D85" s="5">
        <v>38</v>
      </c>
      <c r="E85" s="5">
        <v>18</v>
      </c>
      <c r="F85" s="5">
        <v>7</v>
      </c>
      <c r="G85" s="5">
        <v>13</v>
      </c>
      <c r="H85" s="5">
        <v>45</v>
      </c>
      <c r="I85" s="5">
        <v>46</v>
      </c>
      <c r="J85" s="5">
        <v>-1</v>
      </c>
      <c r="K85" s="5">
        <v>61</v>
      </c>
      <c r="L85" s="5">
        <f>IF(Table2[[#This Row],['#]]=1,"Champion", IF(Table2[[#This Row],['#]]&gt;=18,"Relegated",Table2[[#This Row],['#]]))</f>
        <v>4</v>
      </c>
      <c r="N85">
        <f>IF(COUNTIF($O$2:O85,O85)=1,N84+1,N84)</f>
        <v>27</v>
      </c>
      <c r="O85" s="4" t="str">
        <f>Table2[[#This Row],[Team]]</f>
        <v>Everton</v>
      </c>
      <c r="P85" s="1" t="str">
        <f>IFERROR(VLOOKUP(ROWS($O$2:O85),$N$2:$O$441,2,0),"")</f>
        <v/>
      </c>
      <c r="Q85" s="1" t="str">
        <f>IF(P85&lt;&gt;"",SUMPRODUCT(--(Table2[Team]=P85)),"")</f>
        <v/>
      </c>
      <c r="R85" s="11" t="str">
        <f>IF(Q85&lt;&gt;"",Q85+ROWS($Q$2:Q85)/100,"")</f>
        <v/>
      </c>
      <c r="S85" t="str">
        <f>IF(R85&lt;&gt;"",LARGE($R$2:$R$441,ROWS($R$2:R85)),"")</f>
        <v/>
      </c>
      <c r="T85" s="1" t="str">
        <f>IF(R85&lt;&gt;"",INDEX($P$2:$Q$441,MATCH($S85,$R$2:$R$441,0),COLUMNS($S$2:S85)),"")</f>
        <v/>
      </c>
      <c r="U85" s="1" t="str">
        <f>IF(S85&lt;&gt;"",INDEX($P$2:$Q$441,MATCH($S85,$R$2:$R$441,0),COLUMNS($S$2:T85)),"")</f>
        <v/>
      </c>
      <c r="AE85" s="1">
        <f>Table2[[#This Row],[Year]]</f>
        <v>2004</v>
      </c>
      <c r="AF85" s="1">
        <f>Table2[[#This Row],['#]]</f>
        <v>4</v>
      </c>
      <c r="AG85" s="1" t="str">
        <f>Table2[[#This Row],[Team]]</f>
        <v>Everton</v>
      </c>
      <c r="AH85" s="1">
        <f>Table2[[#This Row],[Pl]]</f>
        <v>38</v>
      </c>
      <c r="AI85" s="1">
        <f>Table2[[#This Row],[W]]</f>
        <v>18</v>
      </c>
      <c r="AJ85" s="1">
        <f>Table2[[#This Row],[D]]</f>
        <v>7</v>
      </c>
      <c r="AK85" s="1">
        <f>Table2[[#This Row],[L]]</f>
        <v>13</v>
      </c>
      <c r="AL85" s="1">
        <f>Table2[[#This Row],[F]]</f>
        <v>45</v>
      </c>
      <c r="AM85" s="1">
        <f>Table2[[#This Row],[A]]</f>
        <v>46</v>
      </c>
      <c r="AN85" s="1">
        <f>Table2[[#This Row],[GD]]</f>
        <v>-1</v>
      </c>
      <c r="AO85" s="1">
        <f>Table2[[#This Row],[Pts]]</f>
        <v>61</v>
      </c>
      <c r="AP85" s="1">
        <f>Table2[[#This Row],[Column1]]</f>
        <v>4</v>
      </c>
      <c r="AR85" t="b">
        <f t="shared" si="4"/>
        <v>1</v>
      </c>
      <c r="AS85">
        <f>IF(AR85,ROWS($AR$2:AR85),"")</f>
        <v>84</v>
      </c>
      <c r="AT85">
        <f>IFERROR(SMALL($AS$2:$AS$440,ROWS($AS$2:AS85)),"")</f>
        <v>84</v>
      </c>
      <c r="AU85">
        <f>IF(AT85&lt;&gt;"",INDEX($AE$2:$AP$440,MATCH($AT85,$AS$2:$AS$440,0),COLUMNS($AT$2:AT85)),"")</f>
        <v>2004</v>
      </c>
      <c r="AV85">
        <f>IF(AU85&lt;&gt;"",INDEX($AE$2:$AP$440,MATCH($AT85,$AS$2:$AS$440,0),COLUMNS($AT$2:AU85)),"")</f>
        <v>4</v>
      </c>
      <c r="AW85" t="str">
        <f>IF(AV85&lt;&gt;"",INDEX($AE$2:$AP$440,MATCH($AT85,$AS$2:$AS$440,0),COLUMNS($AT$2:AV85)),"")</f>
        <v>Everton</v>
      </c>
      <c r="AX85">
        <f>IF(AW85&lt;&gt;"",INDEX($AE$2:$AP$440,MATCH($AT85,$AS$2:$AS$440,0),COLUMNS($AT$2:AW85)),"")</f>
        <v>38</v>
      </c>
      <c r="AY85">
        <f>IF(AX85&lt;&gt;"",INDEX($AE$2:$AP$440,MATCH($AT85,$AS$2:$AS$440,0),COLUMNS($AT$2:AX85)),"")</f>
        <v>18</v>
      </c>
      <c r="AZ85">
        <f>IF(AY85&lt;&gt;"",INDEX($AE$2:$AP$440,MATCH($AT85,$AS$2:$AS$440,0),COLUMNS($AT$2:AY85)),"")</f>
        <v>7</v>
      </c>
      <c r="BA85">
        <f>IF(AZ85&lt;&gt;"",INDEX($AE$2:$AP$440,MATCH($AT85,$AS$2:$AS$440,0),COLUMNS($AT$2:AZ85)),"")</f>
        <v>13</v>
      </c>
      <c r="BB85">
        <f>IF(BA85&lt;&gt;"",INDEX($AE$2:$AP$440,MATCH($AT85,$AS$2:$AS$440,0),COLUMNS($AT$2:BA85)),"")</f>
        <v>45</v>
      </c>
      <c r="BC85">
        <f>IF(BB85&lt;&gt;"",INDEX($AE$2:$AP$440,MATCH($AT85,$AS$2:$AS$440,0),COLUMNS($AT$2:BB85)),"")</f>
        <v>46</v>
      </c>
      <c r="BD85">
        <f>IF(BC85&lt;&gt;"",INDEX($AE$2:$AP$440,MATCH($AT85,$AS$2:$AS$440,0),COLUMNS($AT$2:BC85)),"")</f>
        <v>-1</v>
      </c>
      <c r="BE85">
        <f>IF(BD85&lt;&gt;"",INDEX($AE$2:$AP$440,MATCH($AT85,$AS$2:$AS$440,0),COLUMNS($AT$2:BD85)),"")</f>
        <v>61</v>
      </c>
      <c r="BF85">
        <f>IF(BE85&lt;&gt;"",INDEX($AE$2:$AP$440,MATCH($AT85,$AS$2:$AS$440,0),COLUMNS($AT$2:BE85)),"")</f>
        <v>4</v>
      </c>
    </row>
    <row r="86" spans="1:58" x14ac:dyDescent="0.25">
      <c r="A86" s="3">
        <v>2004</v>
      </c>
      <c r="B86" s="3">
        <v>5</v>
      </c>
      <c r="C86" s="4" t="s">
        <v>13</v>
      </c>
      <c r="D86" s="3">
        <v>38</v>
      </c>
      <c r="E86" s="3">
        <v>17</v>
      </c>
      <c r="F86" s="3">
        <v>7</v>
      </c>
      <c r="G86" s="3">
        <v>14</v>
      </c>
      <c r="H86" s="3">
        <v>52</v>
      </c>
      <c r="I86" s="3">
        <v>41</v>
      </c>
      <c r="J86" s="3">
        <v>11</v>
      </c>
      <c r="K86" s="3">
        <v>58</v>
      </c>
      <c r="L86" s="5">
        <f>IF(Table2[[#This Row],['#]]=1,"Champion", IF(Table2[[#This Row],['#]]&gt;=18,"Relegated",Table2[[#This Row],['#]]))</f>
        <v>5</v>
      </c>
      <c r="N86">
        <f>IF(COUNTIF($O$2:O86,O86)=1,N85+1,N85)</f>
        <v>27</v>
      </c>
      <c r="O86" s="4" t="str">
        <f>Table2[[#This Row],[Team]]</f>
        <v>Liverpool</v>
      </c>
      <c r="P86" s="1" t="str">
        <f>IFERROR(VLOOKUP(ROWS($O$2:O86),$N$2:$O$441,2,0),"")</f>
        <v/>
      </c>
      <c r="Q86" s="1" t="str">
        <f>IF(P86&lt;&gt;"",SUMPRODUCT(--(Table2[Team]=P86)),"")</f>
        <v/>
      </c>
      <c r="R86" s="11" t="str">
        <f>IF(Q86&lt;&gt;"",Q86+ROWS($Q$2:Q86)/100,"")</f>
        <v/>
      </c>
      <c r="S86" t="str">
        <f>IF(R86&lt;&gt;"",LARGE($R$2:$R$441,ROWS($R$2:R86)),"")</f>
        <v/>
      </c>
      <c r="T86" s="1" t="str">
        <f>IF(R86&lt;&gt;"",INDEX($P$2:$Q$441,MATCH($S86,$R$2:$R$441,0),COLUMNS($S$2:S86)),"")</f>
        <v/>
      </c>
      <c r="U86" s="1" t="str">
        <f>IF(S86&lt;&gt;"",INDEX($P$2:$Q$441,MATCH($S86,$R$2:$R$441,0),COLUMNS($S$2:T86)),"")</f>
        <v/>
      </c>
      <c r="AE86" s="1">
        <f>Table2[[#This Row],[Year]]</f>
        <v>2004</v>
      </c>
      <c r="AF86" s="1">
        <f>Table2[[#This Row],['#]]</f>
        <v>5</v>
      </c>
      <c r="AG86" s="1" t="str">
        <f>Table2[[#This Row],[Team]]</f>
        <v>Liverpool</v>
      </c>
      <c r="AH86" s="1">
        <f>Table2[[#This Row],[Pl]]</f>
        <v>38</v>
      </c>
      <c r="AI86" s="1">
        <f>Table2[[#This Row],[W]]</f>
        <v>17</v>
      </c>
      <c r="AJ86" s="1">
        <f>Table2[[#This Row],[D]]</f>
        <v>7</v>
      </c>
      <c r="AK86" s="1">
        <f>Table2[[#This Row],[L]]</f>
        <v>14</v>
      </c>
      <c r="AL86" s="1">
        <f>Table2[[#This Row],[F]]</f>
        <v>52</v>
      </c>
      <c r="AM86" s="1">
        <f>Table2[[#This Row],[A]]</f>
        <v>41</v>
      </c>
      <c r="AN86" s="1">
        <f>Table2[[#This Row],[GD]]</f>
        <v>11</v>
      </c>
      <c r="AO86" s="1">
        <f>Table2[[#This Row],[Pts]]</f>
        <v>58</v>
      </c>
      <c r="AP86" s="1">
        <f>Table2[[#This Row],[Column1]]</f>
        <v>5</v>
      </c>
      <c r="AR86" t="b">
        <f t="shared" si="4"/>
        <v>1</v>
      </c>
      <c r="AS86">
        <f>IF(AR86,ROWS($AR$2:AR86),"")</f>
        <v>85</v>
      </c>
      <c r="AT86">
        <f>IFERROR(SMALL($AS$2:$AS$440,ROWS($AS$2:AS86)),"")</f>
        <v>85</v>
      </c>
      <c r="AU86">
        <f>IF(AT86&lt;&gt;"",INDEX($AE$2:$AP$440,MATCH($AT86,$AS$2:$AS$440,0),COLUMNS($AT$2:AT86)),"")</f>
        <v>2004</v>
      </c>
      <c r="AV86">
        <f>IF(AU86&lt;&gt;"",INDEX($AE$2:$AP$440,MATCH($AT86,$AS$2:$AS$440,0),COLUMNS($AT$2:AU86)),"")</f>
        <v>5</v>
      </c>
      <c r="AW86" t="str">
        <f>IF(AV86&lt;&gt;"",INDEX($AE$2:$AP$440,MATCH($AT86,$AS$2:$AS$440,0),COLUMNS($AT$2:AV86)),"")</f>
        <v>Liverpool</v>
      </c>
      <c r="AX86">
        <f>IF(AW86&lt;&gt;"",INDEX($AE$2:$AP$440,MATCH($AT86,$AS$2:$AS$440,0),COLUMNS($AT$2:AW86)),"")</f>
        <v>38</v>
      </c>
      <c r="AY86">
        <f>IF(AX86&lt;&gt;"",INDEX($AE$2:$AP$440,MATCH($AT86,$AS$2:$AS$440,0),COLUMNS($AT$2:AX86)),"")</f>
        <v>17</v>
      </c>
      <c r="AZ86">
        <f>IF(AY86&lt;&gt;"",INDEX($AE$2:$AP$440,MATCH($AT86,$AS$2:$AS$440,0),COLUMNS($AT$2:AY86)),"")</f>
        <v>7</v>
      </c>
      <c r="BA86">
        <f>IF(AZ86&lt;&gt;"",INDEX($AE$2:$AP$440,MATCH($AT86,$AS$2:$AS$440,0),COLUMNS($AT$2:AZ86)),"")</f>
        <v>14</v>
      </c>
      <c r="BB86">
        <f>IF(BA86&lt;&gt;"",INDEX($AE$2:$AP$440,MATCH($AT86,$AS$2:$AS$440,0),COLUMNS($AT$2:BA86)),"")</f>
        <v>52</v>
      </c>
      <c r="BC86">
        <f>IF(BB86&lt;&gt;"",INDEX($AE$2:$AP$440,MATCH($AT86,$AS$2:$AS$440,0),COLUMNS($AT$2:BB86)),"")</f>
        <v>41</v>
      </c>
      <c r="BD86">
        <f>IF(BC86&lt;&gt;"",INDEX($AE$2:$AP$440,MATCH($AT86,$AS$2:$AS$440,0),COLUMNS($AT$2:BC86)),"")</f>
        <v>11</v>
      </c>
      <c r="BE86">
        <f>IF(BD86&lt;&gt;"",INDEX($AE$2:$AP$440,MATCH($AT86,$AS$2:$AS$440,0),COLUMNS($AT$2:BD86)),"")</f>
        <v>58</v>
      </c>
      <c r="BF86">
        <f>IF(BE86&lt;&gt;"",INDEX($AE$2:$AP$440,MATCH($AT86,$AS$2:$AS$440,0),COLUMNS($AT$2:BE86)),"")</f>
        <v>5</v>
      </c>
    </row>
    <row r="87" spans="1:58" x14ac:dyDescent="0.25">
      <c r="A87" s="5">
        <v>2004</v>
      </c>
      <c r="B87" s="5">
        <v>6</v>
      </c>
      <c r="C87" s="6" t="s">
        <v>33</v>
      </c>
      <c r="D87" s="5">
        <v>38</v>
      </c>
      <c r="E87" s="5">
        <v>16</v>
      </c>
      <c r="F87" s="5">
        <v>10</v>
      </c>
      <c r="G87" s="5">
        <v>12</v>
      </c>
      <c r="H87" s="5">
        <v>49</v>
      </c>
      <c r="I87" s="5">
        <v>44</v>
      </c>
      <c r="J87" s="5">
        <v>5</v>
      </c>
      <c r="K87" s="5">
        <v>58</v>
      </c>
      <c r="L87" s="5">
        <f>IF(Table2[[#This Row],['#]]=1,"Champion", IF(Table2[[#This Row],['#]]&gt;=18,"Relegated",Table2[[#This Row],['#]]))</f>
        <v>6</v>
      </c>
      <c r="N87">
        <f>IF(COUNTIF($O$2:O87,O87)=1,N86+1,N86)</f>
        <v>27</v>
      </c>
      <c r="O87" s="4" t="str">
        <f>Table2[[#This Row],[Team]]</f>
        <v>Bolton Wanderers</v>
      </c>
      <c r="P87" s="1" t="str">
        <f>IFERROR(VLOOKUP(ROWS($O$2:O87),$N$2:$O$441,2,0),"")</f>
        <v/>
      </c>
      <c r="Q87" s="1" t="str">
        <f>IF(P87&lt;&gt;"",SUMPRODUCT(--(Table2[Team]=P87)),"")</f>
        <v/>
      </c>
      <c r="R87" s="11" t="str">
        <f>IF(Q87&lt;&gt;"",Q87+ROWS($Q$2:Q87)/100,"")</f>
        <v/>
      </c>
      <c r="S87" t="str">
        <f>IF(R87&lt;&gt;"",LARGE($R$2:$R$441,ROWS($R$2:R87)),"")</f>
        <v/>
      </c>
      <c r="T87" s="1" t="str">
        <f>IF(R87&lt;&gt;"",INDEX($P$2:$Q$441,MATCH($S87,$R$2:$R$441,0),COLUMNS($S$2:S87)),"")</f>
        <v/>
      </c>
      <c r="U87" s="1" t="str">
        <f>IF(S87&lt;&gt;"",INDEX($P$2:$Q$441,MATCH($S87,$R$2:$R$441,0),COLUMNS($S$2:T87)),"")</f>
        <v/>
      </c>
      <c r="AE87" s="1">
        <f>Table2[[#This Row],[Year]]</f>
        <v>2004</v>
      </c>
      <c r="AF87" s="1">
        <f>Table2[[#This Row],['#]]</f>
        <v>6</v>
      </c>
      <c r="AG87" s="1" t="str">
        <f>Table2[[#This Row],[Team]]</f>
        <v>Bolton Wanderers</v>
      </c>
      <c r="AH87" s="1">
        <f>Table2[[#This Row],[Pl]]</f>
        <v>38</v>
      </c>
      <c r="AI87" s="1">
        <f>Table2[[#This Row],[W]]</f>
        <v>16</v>
      </c>
      <c r="AJ87" s="1">
        <f>Table2[[#This Row],[D]]</f>
        <v>10</v>
      </c>
      <c r="AK87" s="1">
        <f>Table2[[#This Row],[L]]</f>
        <v>12</v>
      </c>
      <c r="AL87" s="1">
        <f>Table2[[#This Row],[F]]</f>
        <v>49</v>
      </c>
      <c r="AM87" s="1">
        <f>Table2[[#This Row],[A]]</f>
        <v>44</v>
      </c>
      <c r="AN87" s="1">
        <f>Table2[[#This Row],[GD]]</f>
        <v>5</v>
      </c>
      <c r="AO87" s="1">
        <f>Table2[[#This Row],[Pts]]</f>
        <v>58</v>
      </c>
      <c r="AP87" s="1">
        <f>Table2[[#This Row],[Column1]]</f>
        <v>6</v>
      </c>
      <c r="AR87" t="b">
        <f t="shared" si="4"/>
        <v>1</v>
      </c>
      <c r="AS87">
        <f>IF(AR87,ROWS($AR$2:AR87),"")</f>
        <v>86</v>
      </c>
      <c r="AT87">
        <f>IFERROR(SMALL($AS$2:$AS$440,ROWS($AS$2:AS87)),"")</f>
        <v>86</v>
      </c>
      <c r="AU87">
        <f>IF(AT87&lt;&gt;"",INDEX($AE$2:$AP$440,MATCH($AT87,$AS$2:$AS$440,0),COLUMNS($AT$2:AT87)),"")</f>
        <v>2004</v>
      </c>
      <c r="AV87">
        <f>IF(AU87&lt;&gt;"",INDEX($AE$2:$AP$440,MATCH($AT87,$AS$2:$AS$440,0),COLUMNS($AT$2:AU87)),"")</f>
        <v>6</v>
      </c>
      <c r="AW87" t="str">
        <f>IF(AV87&lt;&gt;"",INDEX($AE$2:$AP$440,MATCH($AT87,$AS$2:$AS$440,0),COLUMNS($AT$2:AV87)),"")</f>
        <v>Bolton Wanderers</v>
      </c>
      <c r="AX87">
        <f>IF(AW87&lt;&gt;"",INDEX($AE$2:$AP$440,MATCH($AT87,$AS$2:$AS$440,0),COLUMNS($AT$2:AW87)),"")</f>
        <v>38</v>
      </c>
      <c r="AY87">
        <f>IF(AX87&lt;&gt;"",INDEX($AE$2:$AP$440,MATCH($AT87,$AS$2:$AS$440,0),COLUMNS($AT$2:AX87)),"")</f>
        <v>16</v>
      </c>
      <c r="AZ87">
        <f>IF(AY87&lt;&gt;"",INDEX($AE$2:$AP$440,MATCH($AT87,$AS$2:$AS$440,0),COLUMNS($AT$2:AY87)),"")</f>
        <v>10</v>
      </c>
      <c r="BA87">
        <f>IF(AZ87&lt;&gt;"",INDEX($AE$2:$AP$440,MATCH($AT87,$AS$2:$AS$440,0),COLUMNS($AT$2:AZ87)),"")</f>
        <v>12</v>
      </c>
      <c r="BB87">
        <f>IF(BA87&lt;&gt;"",INDEX($AE$2:$AP$440,MATCH($AT87,$AS$2:$AS$440,0),COLUMNS($AT$2:BA87)),"")</f>
        <v>49</v>
      </c>
      <c r="BC87">
        <f>IF(BB87&lt;&gt;"",INDEX($AE$2:$AP$440,MATCH($AT87,$AS$2:$AS$440,0),COLUMNS($AT$2:BB87)),"")</f>
        <v>44</v>
      </c>
      <c r="BD87">
        <f>IF(BC87&lt;&gt;"",INDEX($AE$2:$AP$440,MATCH($AT87,$AS$2:$AS$440,0),COLUMNS($AT$2:BC87)),"")</f>
        <v>5</v>
      </c>
      <c r="BE87">
        <f>IF(BD87&lt;&gt;"",INDEX($AE$2:$AP$440,MATCH($AT87,$AS$2:$AS$440,0),COLUMNS($AT$2:BD87)),"")</f>
        <v>58</v>
      </c>
      <c r="BF87">
        <f>IF(BE87&lt;&gt;"",INDEX($AE$2:$AP$440,MATCH($AT87,$AS$2:$AS$440,0),COLUMNS($AT$2:BE87)),"")</f>
        <v>6</v>
      </c>
    </row>
    <row r="88" spans="1:58" x14ac:dyDescent="0.25">
      <c r="A88" s="3">
        <v>2004</v>
      </c>
      <c r="B88" s="3">
        <v>7</v>
      </c>
      <c r="C88" s="4" t="s">
        <v>24</v>
      </c>
      <c r="D88" s="3">
        <v>38</v>
      </c>
      <c r="E88" s="3">
        <v>14</v>
      </c>
      <c r="F88" s="3">
        <v>13</v>
      </c>
      <c r="G88" s="3">
        <v>11</v>
      </c>
      <c r="H88" s="3">
        <v>53</v>
      </c>
      <c r="I88" s="3">
        <v>46</v>
      </c>
      <c r="J88" s="3">
        <v>7</v>
      </c>
      <c r="K88" s="3">
        <v>55</v>
      </c>
      <c r="L88" s="5">
        <f>IF(Table2[[#This Row],['#]]=1,"Champion", IF(Table2[[#This Row],['#]]&gt;=18,"Relegated",Table2[[#This Row],['#]]))</f>
        <v>7</v>
      </c>
      <c r="N88">
        <f>IF(COUNTIF($O$2:O88,O88)=1,N87+1,N87)</f>
        <v>27</v>
      </c>
      <c r="O88" s="4" t="str">
        <f>Table2[[#This Row],[Team]]</f>
        <v>Middlesbrough</v>
      </c>
      <c r="P88" s="1" t="str">
        <f>IFERROR(VLOOKUP(ROWS($O$2:O88),$N$2:$O$441,2,0),"")</f>
        <v/>
      </c>
      <c r="Q88" s="1" t="str">
        <f>IF(P88&lt;&gt;"",SUMPRODUCT(--(Table2[Team]=P88)),"")</f>
        <v/>
      </c>
      <c r="R88" s="11" t="str">
        <f>IF(Q88&lt;&gt;"",Q88+ROWS($Q$2:Q88)/100,"")</f>
        <v/>
      </c>
      <c r="S88" t="str">
        <f>IF(R88&lt;&gt;"",LARGE($R$2:$R$441,ROWS($R$2:R88)),"")</f>
        <v/>
      </c>
      <c r="T88" s="1" t="str">
        <f>IF(R88&lt;&gt;"",INDEX($P$2:$Q$441,MATCH($S88,$R$2:$R$441,0),COLUMNS($S$2:S88)),"")</f>
        <v/>
      </c>
      <c r="U88" s="1" t="str">
        <f>IF(S88&lt;&gt;"",INDEX($P$2:$Q$441,MATCH($S88,$R$2:$R$441,0),COLUMNS($S$2:T88)),"")</f>
        <v/>
      </c>
      <c r="AE88" s="1">
        <f>Table2[[#This Row],[Year]]</f>
        <v>2004</v>
      </c>
      <c r="AF88" s="1">
        <f>Table2[[#This Row],['#]]</f>
        <v>7</v>
      </c>
      <c r="AG88" s="1" t="str">
        <f>Table2[[#This Row],[Team]]</f>
        <v>Middlesbrough</v>
      </c>
      <c r="AH88" s="1">
        <f>Table2[[#This Row],[Pl]]</f>
        <v>38</v>
      </c>
      <c r="AI88" s="1">
        <f>Table2[[#This Row],[W]]</f>
        <v>14</v>
      </c>
      <c r="AJ88" s="1">
        <f>Table2[[#This Row],[D]]</f>
        <v>13</v>
      </c>
      <c r="AK88" s="1">
        <f>Table2[[#This Row],[L]]</f>
        <v>11</v>
      </c>
      <c r="AL88" s="1">
        <f>Table2[[#This Row],[F]]</f>
        <v>53</v>
      </c>
      <c r="AM88" s="1">
        <f>Table2[[#This Row],[A]]</f>
        <v>46</v>
      </c>
      <c r="AN88" s="1">
        <f>Table2[[#This Row],[GD]]</f>
        <v>7</v>
      </c>
      <c r="AO88" s="1">
        <f>Table2[[#This Row],[Pts]]</f>
        <v>55</v>
      </c>
      <c r="AP88" s="1">
        <f>Table2[[#This Row],[Column1]]</f>
        <v>7</v>
      </c>
      <c r="AR88" t="b">
        <f t="shared" si="4"/>
        <v>1</v>
      </c>
      <c r="AS88">
        <f>IF(AR88,ROWS($AR$2:AR88),"")</f>
        <v>87</v>
      </c>
      <c r="AT88">
        <f>IFERROR(SMALL($AS$2:$AS$440,ROWS($AS$2:AS88)),"")</f>
        <v>87</v>
      </c>
      <c r="AU88">
        <f>IF(AT88&lt;&gt;"",INDEX($AE$2:$AP$440,MATCH($AT88,$AS$2:$AS$440,0),COLUMNS($AT$2:AT88)),"")</f>
        <v>2004</v>
      </c>
      <c r="AV88">
        <f>IF(AU88&lt;&gt;"",INDEX($AE$2:$AP$440,MATCH($AT88,$AS$2:$AS$440,0),COLUMNS($AT$2:AU88)),"")</f>
        <v>7</v>
      </c>
      <c r="AW88" t="str">
        <f>IF(AV88&lt;&gt;"",INDEX($AE$2:$AP$440,MATCH($AT88,$AS$2:$AS$440,0),COLUMNS($AT$2:AV88)),"")</f>
        <v>Middlesbrough</v>
      </c>
      <c r="AX88">
        <f>IF(AW88&lt;&gt;"",INDEX($AE$2:$AP$440,MATCH($AT88,$AS$2:$AS$440,0),COLUMNS($AT$2:AW88)),"")</f>
        <v>38</v>
      </c>
      <c r="AY88">
        <f>IF(AX88&lt;&gt;"",INDEX($AE$2:$AP$440,MATCH($AT88,$AS$2:$AS$440,0),COLUMNS($AT$2:AX88)),"")</f>
        <v>14</v>
      </c>
      <c r="AZ88">
        <f>IF(AY88&lt;&gt;"",INDEX($AE$2:$AP$440,MATCH($AT88,$AS$2:$AS$440,0),COLUMNS($AT$2:AY88)),"")</f>
        <v>13</v>
      </c>
      <c r="BA88">
        <f>IF(AZ88&lt;&gt;"",INDEX($AE$2:$AP$440,MATCH($AT88,$AS$2:$AS$440,0),COLUMNS($AT$2:AZ88)),"")</f>
        <v>11</v>
      </c>
      <c r="BB88">
        <f>IF(BA88&lt;&gt;"",INDEX($AE$2:$AP$440,MATCH($AT88,$AS$2:$AS$440,0),COLUMNS($AT$2:BA88)),"")</f>
        <v>53</v>
      </c>
      <c r="BC88">
        <f>IF(BB88&lt;&gt;"",INDEX($AE$2:$AP$440,MATCH($AT88,$AS$2:$AS$440,0),COLUMNS($AT$2:BB88)),"")</f>
        <v>46</v>
      </c>
      <c r="BD88">
        <f>IF(BC88&lt;&gt;"",INDEX($AE$2:$AP$440,MATCH($AT88,$AS$2:$AS$440,0),COLUMNS($AT$2:BC88)),"")</f>
        <v>7</v>
      </c>
      <c r="BE88">
        <f>IF(BD88&lt;&gt;"",INDEX($AE$2:$AP$440,MATCH($AT88,$AS$2:$AS$440,0),COLUMNS($AT$2:BD88)),"")</f>
        <v>55</v>
      </c>
      <c r="BF88">
        <f>IF(BE88&lt;&gt;"",INDEX($AE$2:$AP$440,MATCH($AT88,$AS$2:$AS$440,0),COLUMNS($AT$2:BE88)),"")</f>
        <v>7</v>
      </c>
    </row>
    <row r="89" spans="1:58" x14ac:dyDescent="0.25">
      <c r="A89" s="5">
        <v>2004</v>
      </c>
      <c r="B89" s="5">
        <v>8</v>
      </c>
      <c r="C89" s="6" t="s">
        <v>28</v>
      </c>
      <c r="D89" s="5">
        <v>38</v>
      </c>
      <c r="E89" s="5">
        <v>13</v>
      </c>
      <c r="F89" s="5">
        <v>13</v>
      </c>
      <c r="G89" s="5">
        <v>12</v>
      </c>
      <c r="H89" s="5">
        <v>47</v>
      </c>
      <c r="I89" s="5">
        <v>39</v>
      </c>
      <c r="J89" s="5">
        <v>8</v>
      </c>
      <c r="K89" s="5">
        <v>52</v>
      </c>
      <c r="L89" s="5">
        <f>IF(Table2[[#This Row],['#]]=1,"Champion", IF(Table2[[#This Row],['#]]&gt;=18,"Relegated",Table2[[#This Row],['#]]))</f>
        <v>8</v>
      </c>
      <c r="N89">
        <f>IF(COUNTIF($O$2:O89,O89)=1,N88+1,N88)</f>
        <v>27</v>
      </c>
      <c r="O89" s="4" t="str">
        <f>Table2[[#This Row],[Team]]</f>
        <v>Manchester City</v>
      </c>
      <c r="P89" s="1" t="str">
        <f>IFERROR(VLOOKUP(ROWS($O$2:O89),$N$2:$O$441,2,0),"")</f>
        <v/>
      </c>
      <c r="Q89" s="1" t="str">
        <f>IF(P89&lt;&gt;"",SUMPRODUCT(--(Table2[Team]=P89)),"")</f>
        <v/>
      </c>
      <c r="R89" s="11" t="str">
        <f>IF(Q89&lt;&gt;"",Q89+ROWS($Q$2:Q89)/100,"")</f>
        <v/>
      </c>
      <c r="S89" t="str">
        <f>IF(R89&lt;&gt;"",LARGE($R$2:$R$441,ROWS($R$2:R89)),"")</f>
        <v/>
      </c>
      <c r="T89" s="1" t="str">
        <f>IF(R89&lt;&gt;"",INDEX($P$2:$Q$441,MATCH($S89,$R$2:$R$441,0),COLUMNS($S$2:S89)),"")</f>
        <v/>
      </c>
      <c r="U89" s="1" t="str">
        <f>IF(S89&lt;&gt;"",INDEX($P$2:$Q$441,MATCH($S89,$R$2:$R$441,0),COLUMNS($S$2:T89)),"")</f>
        <v/>
      </c>
      <c r="AE89" s="1">
        <f>Table2[[#This Row],[Year]]</f>
        <v>2004</v>
      </c>
      <c r="AF89" s="1">
        <f>Table2[[#This Row],['#]]</f>
        <v>8</v>
      </c>
      <c r="AG89" s="1" t="str">
        <f>Table2[[#This Row],[Team]]</f>
        <v>Manchester City</v>
      </c>
      <c r="AH89" s="1">
        <f>Table2[[#This Row],[Pl]]</f>
        <v>38</v>
      </c>
      <c r="AI89" s="1">
        <f>Table2[[#This Row],[W]]</f>
        <v>13</v>
      </c>
      <c r="AJ89" s="1">
        <f>Table2[[#This Row],[D]]</f>
        <v>13</v>
      </c>
      <c r="AK89" s="1">
        <f>Table2[[#This Row],[L]]</f>
        <v>12</v>
      </c>
      <c r="AL89" s="1">
        <f>Table2[[#This Row],[F]]</f>
        <v>47</v>
      </c>
      <c r="AM89" s="1">
        <f>Table2[[#This Row],[A]]</f>
        <v>39</v>
      </c>
      <c r="AN89" s="1">
        <f>Table2[[#This Row],[GD]]</f>
        <v>8</v>
      </c>
      <c r="AO89" s="1">
        <f>Table2[[#This Row],[Pts]]</f>
        <v>52</v>
      </c>
      <c r="AP89" s="1">
        <f>Table2[[#This Row],[Column1]]</f>
        <v>8</v>
      </c>
      <c r="AR89" t="b">
        <f t="shared" si="4"/>
        <v>1</v>
      </c>
      <c r="AS89">
        <f>IF(AR89,ROWS($AR$2:AR89),"")</f>
        <v>88</v>
      </c>
      <c r="AT89">
        <f>IFERROR(SMALL($AS$2:$AS$440,ROWS($AS$2:AS89)),"")</f>
        <v>88</v>
      </c>
      <c r="AU89">
        <f>IF(AT89&lt;&gt;"",INDEX($AE$2:$AP$440,MATCH($AT89,$AS$2:$AS$440,0),COLUMNS($AT$2:AT89)),"")</f>
        <v>2004</v>
      </c>
      <c r="AV89">
        <f>IF(AU89&lt;&gt;"",INDEX($AE$2:$AP$440,MATCH($AT89,$AS$2:$AS$440,0),COLUMNS($AT$2:AU89)),"")</f>
        <v>8</v>
      </c>
      <c r="AW89" t="str">
        <f>IF(AV89&lt;&gt;"",INDEX($AE$2:$AP$440,MATCH($AT89,$AS$2:$AS$440,0),COLUMNS($AT$2:AV89)),"")</f>
        <v>Manchester City</v>
      </c>
      <c r="AX89">
        <f>IF(AW89&lt;&gt;"",INDEX($AE$2:$AP$440,MATCH($AT89,$AS$2:$AS$440,0),COLUMNS($AT$2:AW89)),"")</f>
        <v>38</v>
      </c>
      <c r="AY89">
        <f>IF(AX89&lt;&gt;"",INDEX($AE$2:$AP$440,MATCH($AT89,$AS$2:$AS$440,0),COLUMNS($AT$2:AX89)),"")</f>
        <v>13</v>
      </c>
      <c r="AZ89">
        <f>IF(AY89&lt;&gt;"",INDEX($AE$2:$AP$440,MATCH($AT89,$AS$2:$AS$440,0),COLUMNS($AT$2:AY89)),"")</f>
        <v>13</v>
      </c>
      <c r="BA89">
        <f>IF(AZ89&lt;&gt;"",INDEX($AE$2:$AP$440,MATCH($AT89,$AS$2:$AS$440,0),COLUMNS($AT$2:AZ89)),"")</f>
        <v>12</v>
      </c>
      <c r="BB89">
        <f>IF(BA89&lt;&gt;"",INDEX($AE$2:$AP$440,MATCH($AT89,$AS$2:$AS$440,0),COLUMNS($AT$2:BA89)),"")</f>
        <v>47</v>
      </c>
      <c r="BC89">
        <f>IF(BB89&lt;&gt;"",INDEX($AE$2:$AP$440,MATCH($AT89,$AS$2:$AS$440,0),COLUMNS($AT$2:BB89)),"")</f>
        <v>39</v>
      </c>
      <c r="BD89">
        <f>IF(BC89&lt;&gt;"",INDEX($AE$2:$AP$440,MATCH($AT89,$AS$2:$AS$440,0),COLUMNS($AT$2:BC89)),"")</f>
        <v>8</v>
      </c>
      <c r="BE89">
        <f>IF(BD89&lt;&gt;"",INDEX($AE$2:$AP$440,MATCH($AT89,$AS$2:$AS$440,0),COLUMNS($AT$2:BD89)),"")</f>
        <v>52</v>
      </c>
      <c r="BF89">
        <f>IF(BE89&lt;&gt;"",INDEX($AE$2:$AP$440,MATCH($AT89,$AS$2:$AS$440,0),COLUMNS($AT$2:BE89)),"")</f>
        <v>8</v>
      </c>
    </row>
    <row r="90" spans="1:58" x14ac:dyDescent="0.25">
      <c r="A90" s="3">
        <v>2004</v>
      </c>
      <c r="B90" s="3">
        <v>9</v>
      </c>
      <c r="C90" s="4" t="s">
        <v>22</v>
      </c>
      <c r="D90" s="3">
        <v>38</v>
      </c>
      <c r="E90" s="3">
        <v>14</v>
      </c>
      <c r="F90" s="3">
        <v>10</v>
      </c>
      <c r="G90" s="3">
        <v>14</v>
      </c>
      <c r="H90" s="3">
        <v>47</v>
      </c>
      <c r="I90" s="3">
        <v>41</v>
      </c>
      <c r="J90" s="3">
        <v>6</v>
      </c>
      <c r="K90" s="3">
        <v>52</v>
      </c>
      <c r="L90" s="5">
        <f>IF(Table2[[#This Row],['#]]=1,"Champion", IF(Table2[[#This Row],['#]]&gt;=18,"Relegated",Table2[[#This Row],['#]]))</f>
        <v>9</v>
      </c>
      <c r="N90">
        <f>IF(COUNTIF($O$2:O90,O90)=1,N89+1,N89)</f>
        <v>27</v>
      </c>
      <c r="O90" s="4" t="str">
        <f>Table2[[#This Row],[Team]]</f>
        <v>Tottenham Hotspur</v>
      </c>
      <c r="P90" s="1" t="str">
        <f>IFERROR(VLOOKUP(ROWS($O$2:O90),$N$2:$O$441,2,0),"")</f>
        <v/>
      </c>
      <c r="Q90" s="1" t="str">
        <f>IF(P90&lt;&gt;"",SUMPRODUCT(--(Table2[Team]=P90)),"")</f>
        <v/>
      </c>
      <c r="R90" s="11" t="str">
        <f>IF(Q90&lt;&gt;"",Q90+ROWS($Q$2:Q90)/100,"")</f>
        <v/>
      </c>
      <c r="S90" t="str">
        <f>IF(R90&lt;&gt;"",LARGE($R$2:$R$441,ROWS($R$2:R90)),"")</f>
        <v/>
      </c>
      <c r="T90" s="1" t="str">
        <f>IF(R90&lt;&gt;"",INDEX($P$2:$Q$441,MATCH($S90,$R$2:$R$441,0),COLUMNS($S$2:S90)),"")</f>
        <v/>
      </c>
      <c r="U90" s="1" t="str">
        <f>IF(S90&lt;&gt;"",INDEX($P$2:$Q$441,MATCH($S90,$R$2:$R$441,0),COLUMNS($S$2:T90)),"")</f>
        <v/>
      </c>
      <c r="AE90" s="1">
        <f>Table2[[#This Row],[Year]]</f>
        <v>2004</v>
      </c>
      <c r="AF90" s="1">
        <f>Table2[[#This Row],['#]]</f>
        <v>9</v>
      </c>
      <c r="AG90" s="1" t="str">
        <f>Table2[[#This Row],[Team]]</f>
        <v>Tottenham Hotspur</v>
      </c>
      <c r="AH90" s="1">
        <f>Table2[[#This Row],[Pl]]</f>
        <v>38</v>
      </c>
      <c r="AI90" s="1">
        <f>Table2[[#This Row],[W]]</f>
        <v>14</v>
      </c>
      <c r="AJ90" s="1">
        <f>Table2[[#This Row],[D]]</f>
        <v>10</v>
      </c>
      <c r="AK90" s="1">
        <f>Table2[[#This Row],[L]]</f>
        <v>14</v>
      </c>
      <c r="AL90" s="1">
        <f>Table2[[#This Row],[F]]</f>
        <v>47</v>
      </c>
      <c r="AM90" s="1">
        <f>Table2[[#This Row],[A]]</f>
        <v>41</v>
      </c>
      <c r="AN90" s="1">
        <f>Table2[[#This Row],[GD]]</f>
        <v>6</v>
      </c>
      <c r="AO90" s="1">
        <f>Table2[[#This Row],[Pts]]</f>
        <v>52</v>
      </c>
      <c r="AP90" s="1">
        <f>Table2[[#This Row],[Column1]]</f>
        <v>9</v>
      </c>
      <c r="AR90" t="b">
        <f t="shared" si="4"/>
        <v>1</v>
      </c>
      <c r="AS90">
        <f>IF(AR90,ROWS($AR$2:AR90),"")</f>
        <v>89</v>
      </c>
      <c r="AT90">
        <f>IFERROR(SMALL($AS$2:$AS$440,ROWS($AS$2:AS90)),"")</f>
        <v>89</v>
      </c>
      <c r="AU90">
        <f>IF(AT90&lt;&gt;"",INDEX($AE$2:$AP$440,MATCH($AT90,$AS$2:$AS$440,0),COLUMNS($AT$2:AT90)),"")</f>
        <v>2004</v>
      </c>
      <c r="AV90">
        <f>IF(AU90&lt;&gt;"",INDEX($AE$2:$AP$440,MATCH($AT90,$AS$2:$AS$440,0),COLUMNS($AT$2:AU90)),"")</f>
        <v>9</v>
      </c>
      <c r="AW90" t="str">
        <f>IF(AV90&lt;&gt;"",INDEX($AE$2:$AP$440,MATCH($AT90,$AS$2:$AS$440,0),COLUMNS($AT$2:AV90)),"")</f>
        <v>Tottenham Hotspur</v>
      </c>
      <c r="AX90">
        <f>IF(AW90&lt;&gt;"",INDEX($AE$2:$AP$440,MATCH($AT90,$AS$2:$AS$440,0),COLUMNS($AT$2:AW90)),"")</f>
        <v>38</v>
      </c>
      <c r="AY90">
        <f>IF(AX90&lt;&gt;"",INDEX($AE$2:$AP$440,MATCH($AT90,$AS$2:$AS$440,0),COLUMNS($AT$2:AX90)),"")</f>
        <v>14</v>
      </c>
      <c r="AZ90">
        <f>IF(AY90&lt;&gt;"",INDEX($AE$2:$AP$440,MATCH($AT90,$AS$2:$AS$440,0),COLUMNS($AT$2:AY90)),"")</f>
        <v>10</v>
      </c>
      <c r="BA90">
        <f>IF(AZ90&lt;&gt;"",INDEX($AE$2:$AP$440,MATCH($AT90,$AS$2:$AS$440,0),COLUMNS($AT$2:AZ90)),"")</f>
        <v>14</v>
      </c>
      <c r="BB90">
        <f>IF(BA90&lt;&gt;"",INDEX($AE$2:$AP$440,MATCH($AT90,$AS$2:$AS$440,0),COLUMNS($AT$2:BA90)),"")</f>
        <v>47</v>
      </c>
      <c r="BC90">
        <f>IF(BB90&lt;&gt;"",INDEX($AE$2:$AP$440,MATCH($AT90,$AS$2:$AS$440,0),COLUMNS($AT$2:BB90)),"")</f>
        <v>41</v>
      </c>
      <c r="BD90">
        <f>IF(BC90&lt;&gt;"",INDEX($AE$2:$AP$440,MATCH($AT90,$AS$2:$AS$440,0),COLUMNS($AT$2:BC90)),"")</f>
        <v>6</v>
      </c>
      <c r="BE90">
        <f>IF(BD90&lt;&gt;"",INDEX($AE$2:$AP$440,MATCH($AT90,$AS$2:$AS$440,0),COLUMNS($AT$2:BD90)),"")</f>
        <v>52</v>
      </c>
      <c r="BF90">
        <f>IF(BE90&lt;&gt;"",INDEX($AE$2:$AP$440,MATCH($AT90,$AS$2:$AS$440,0),COLUMNS($AT$2:BE90)),"")</f>
        <v>9</v>
      </c>
    </row>
    <row r="91" spans="1:58" x14ac:dyDescent="0.25">
      <c r="A91" s="5">
        <v>2004</v>
      </c>
      <c r="B91" s="5">
        <v>10</v>
      </c>
      <c r="C91" s="6" t="s">
        <v>18</v>
      </c>
      <c r="D91" s="5">
        <v>38</v>
      </c>
      <c r="E91" s="5">
        <v>12</v>
      </c>
      <c r="F91" s="5">
        <v>11</v>
      </c>
      <c r="G91" s="5">
        <v>15</v>
      </c>
      <c r="H91" s="5">
        <v>45</v>
      </c>
      <c r="I91" s="5">
        <v>52</v>
      </c>
      <c r="J91" s="5">
        <v>-7</v>
      </c>
      <c r="K91" s="5">
        <v>47</v>
      </c>
      <c r="L91" s="5">
        <f>IF(Table2[[#This Row],['#]]=1,"Champion", IF(Table2[[#This Row],['#]]&gt;=18,"Relegated",Table2[[#This Row],['#]]))</f>
        <v>10</v>
      </c>
      <c r="N91">
        <f>IF(COUNTIF($O$2:O91,O91)=1,N90+1,N90)</f>
        <v>27</v>
      </c>
      <c r="O91" s="4" t="str">
        <f>Table2[[#This Row],[Team]]</f>
        <v>Aston Villa</v>
      </c>
      <c r="P91" s="1" t="str">
        <f>IFERROR(VLOOKUP(ROWS($O$2:O91),$N$2:$O$441,2,0),"")</f>
        <v/>
      </c>
      <c r="Q91" s="1" t="str">
        <f>IF(P91&lt;&gt;"",SUMPRODUCT(--(Table2[Team]=P91)),"")</f>
        <v/>
      </c>
      <c r="R91" s="11" t="str">
        <f>IF(Q91&lt;&gt;"",Q91+ROWS($Q$2:Q91)/100,"")</f>
        <v/>
      </c>
      <c r="S91" t="str">
        <f>IF(R91&lt;&gt;"",LARGE($R$2:$R$441,ROWS($R$2:R91)),"")</f>
        <v/>
      </c>
      <c r="T91" s="1" t="str">
        <f>IF(R91&lt;&gt;"",INDEX($P$2:$Q$441,MATCH($S91,$R$2:$R$441,0),COLUMNS($S$2:S91)),"")</f>
        <v/>
      </c>
      <c r="U91" s="1" t="str">
        <f>IF(S91&lt;&gt;"",INDEX($P$2:$Q$441,MATCH($S91,$R$2:$R$441,0),COLUMNS($S$2:T91)),"")</f>
        <v/>
      </c>
      <c r="AE91" s="1">
        <f>Table2[[#This Row],[Year]]</f>
        <v>2004</v>
      </c>
      <c r="AF91" s="1">
        <f>Table2[[#This Row],['#]]</f>
        <v>10</v>
      </c>
      <c r="AG91" s="1" t="str">
        <f>Table2[[#This Row],[Team]]</f>
        <v>Aston Villa</v>
      </c>
      <c r="AH91" s="1">
        <f>Table2[[#This Row],[Pl]]</f>
        <v>38</v>
      </c>
      <c r="AI91" s="1">
        <f>Table2[[#This Row],[W]]</f>
        <v>12</v>
      </c>
      <c r="AJ91" s="1">
        <f>Table2[[#This Row],[D]]</f>
        <v>11</v>
      </c>
      <c r="AK91" s="1">
        <f>Table2[[#This Row],[L]]</f>
        <v>15</v>
      </c>
      <c r="AL91" s="1">
        <f>Table2[[#This Row],[F]]</f>
        <v>45</v>
      </c>
      <c r="AM91" s="1">
        <f>Table2[[#This Row],[A]]</f>
        <v>52</v>
      </c>
      <c r="AN91" s="1">
        <f>Table2[[#This Row],[GD]]</f>
        <v>-7</v>
      </c>
      <c r="AO91" s="1">
        <f>Table2[[#This Row],[Pts]]</f>
        <v>47</v>
      </c>
      <c r="AP91" s="1">
        <f>Table2[[#This Row],[Column1]]</f>
        <v>10</v>
      </c>
      <c r="AR91" t="b">
        <f t="shared" si="4"/>
        <v>1</v>
      </c>
      <c r="AS91">
        <f>IF(AR91,ROWS($AR$2:AR91),"")</f>
        <v>90</v>
      </c>
      <c r="AT91">
        <f>IFERROR(SMALL($AS$2:$AS$440,ROWS($AS$2:AS91)),"")</f>
        <v>90</v>
      </c>
      <c r="AU91">
        <f>IF(AT91&lt;&gt;"",INDEX($AE$2:$AP$440,MATCH($AT91,$AS$2:$AS$440,0),COLUMNS($AT$2:AT91)),"")</f>
        <v>2004</v>
      </c>
      <c r="AV91">
        <f>IF(AU91&lt;&gt;"",INDEX($AE$2:$AP$440,MATCH($AT91,$AS$2:$AS$440,0),COLUMNS($AT$2:AU91)),"")</f>
        <v>10</v>
      </c>
      <c r="AW91" t="str">
        <f>IF(AV91&lt;&gt;"",INDEX($AE$2:$AP$440,MATCH($AT91,$AS$2:$AS$440,0),COLUMNS($AT$2:AV91)),"")</f>
        <v>Aston Villa</v>
      </c>
      <c r="AX91">
        <f>IF(AW91&lt;&gt;"",INDEX($AE$2:$AP$440,MATCH($AT91,$AS$2:$AS$440,0),COLUMNS($AT$2:AW91)),"")</f>
        <v>38</v>
      </c>
      <c r="AY91">
        <f>IF(AX91&lt;&gt;"",INDEX($AE$2:$AP$440,MATCH($AT91,$AS$2:$AS$440,0),COLUMNS($AT$2:AX91)),"")</f>
        <v>12</v>
      </c>
      <c r="AZ91">
        <f>IF(AY91&lt;&gt;"",INDEX($AE$2:$AP$440,MATCH($AT91,$AS$2:$AS$440,0),COLUMNS($AT$2:AY91)),"")</f>
        <v>11</v>
      </c>
      <c r="BA91">
        <f>IF(AZ91&lt;&gt;"",INDEX($AE$2:$AP$440,MATCH($AT91,$AS$2:$AS$440,0),COLUMNS($AT$2:AZ91)),"")</f>
        <v>15</v>
      </c>
      <c r="BB91">
        <f>IF(BA91&lt;&gt;"",INDEX($AE$2:$AP$440,MATCH($AT91,$AS$2:$AS$440,0),COLUMNS($AT$2:BA91)),"")</f>
        <v>45</v>
      </c>
      <c r="BC91">
        <f>IF(BB91&lt;&gt;"",INDEX($AE$2:$AP$440,MATCH($AT91,$AS$2:$AS$440,0),COLUMNS($AT$2:BB91)),"")</f>
        <v>52</v>
      </c>
      <c r="BD91">
        <f>IF(BC91&lt;&gt;"",INDEX($AE$2:$AP$440,MATCH($AT91,$AS$2:$AS$440,0),COLUMNS($AT$2:BC91)),"")</f>
        <v>-7</v>
      </c>
      <c r="BE91">
        <f>IF(BD91&lt;&gt;"",INDEX($AE$2:$AP$440,MATCH($AT91,$AS$2:$AS$440,0),COLUMNS($AT$2:BD91)),"")</f>
        <v>47</v>
      </c>
      <c r="BF91">
        <f>IF(BE91&lt;&gt;"",INDEX($AE$2:$AP$440,MATCH($AT91,$AS$2:$AS$440,0),COLUMNS($AT$2:BE91)),"")</f>
        <v>10</v>
      </c>
    </row>
    <row r="92" spans="1:58" x14ac:dyDescent="0.25">
      <c r="A92" s="3">
        <v>2004</v>
      </c>
      <c r="B92" s="3">
        <v>11</v>
      </c>
      <c r="C92" s="4" t="s">
        <v>19</v>
      </c>
      <c r="D92" s="3">
        <v>38</v>
      </c>
      <c r="E92" s="3">
        <v>12</v>
      </c>
      <c r="F92" s="3">
        <v>10</v>
      </c>
      <c r="G92" s="3">
        <v>16</v>
      </c>
      <c r="H92" s="3">
        <v>42</v>
      </c>
      <c r="I92" s="3">
        <v>58</v>
      </c>
      <c r="J92" s="3">
        <v>-16</v>
      </c>
      <c r="K92" s="3">
        <v>46</v>
      </c>
      <c r="L92" s="5">
        <f>IF(Table2[[#This Row],['#]]=1,"Champion", IF(Table2[[#This Row],['#]]&gt;=18,"Relegated",Table2[[#This Row],['#]]))</f>
        <v>11</v>
      </c>
      <c r="N92">
        <f>IF(COUNTIF($O$2:O92,O92)=1,N91+1,N91)</f>
        <v>27</v>
      </c>
      <c r="O92" s="4" t="str">
        <f>Table2[[#This Row],[Team]]</f>
        <v>Charlton Athletic</v>
      </c>
      <c r="P92" s="1" t="str">
        <f>IFERROR(VLOOKUP(ROWS($O$2:O92),$N$2:$O$441,2,0),"")</f>
        <v/>
      </c>
      <c r="Q92" s="1" t="str">
        <f>IF(P92&lt;&gt;"",SUMPRODUCT(--(Table2[Team]=P92)),"")</f>
        <v/>
      </c>
      <c r="R92" s="11" t="str">
        <f>IF(Q92&lt;&gt;"",Q92+ROWS($Q$2:Q92)/100,"")</f>
        <v/>
      </c>
      <c r="S92" t="str">
        <f>IF(R92&lt;&gt;"",LARGE($R$2:$R$441,ROWS($R$2:R92)),"")</f>
        <v/>
      </c>
      <c r="T92" s="1" t="str">
        <f>IF(R92&lt;&gt;"",INDEX($P$2:$Q$441,MATCH($S92,$R$2:$R$441,0),COLUMNS($S$2:S92)),"")</f>
        <v/>
      </c>
      <c r="U92" s="1" t="str">
        <f>IF(S92&lt;&gt;"",INDEX($P$2:$Q$441,MATCH($S92,$R$2:$R$441,0),COLUMNS($S$2:T92)),"")</f>
        <v/>
      </c>
      <c r="AE92" s="1">
        <f>Table2[[#This Row],[Year]]</f>
        <v>2004</v>
      </c>
      <c r="AF92" s="1">
        <f>Table2[[#This Row],['#]]</f>
        <v>11</v>
      </c>
      <c r="AG92" s="1" t="str">
        <f>Table2[[#This Row],[Team]]</f>
        <v>Charlton Athletic</v>
      </c>
      <c r="AH92" s="1">
        <f>Table2[[#This Row],[Pl]]</f>
        <v>38</v>
      </c>
      <c r="AI92" s="1">
        <f>Table2[[#This Row],[W]]</f>
        <v>12</v>
      </c>
      <c r="AJ92" s="1">
        <f>Table2[[#This Row],[D]]</f>
        <v>10</v>
      </c>
      <c r="AK92" s="1">
        <f>Table2[[#This Row],[L]]</f>
        <v>16</v>
      </c>
      <c r="AL92" s="1">
        <f>Table2[[#This Row],[F]]</f>
        <v>42</v>
      </c>
      <c r="AM92" s="1">
        <f>Table2[[#This Row],[A]]</f>
        <v>58</v>
      </c>
      <c r="AN92" s="1">
        <f>Table2[[#This Row],[GD]]</f>
        <v>-16</v>
      </c>
      <c r="AO92" s="1">
        <f>Table2[[#This Row],[Pts]]</f>
        <v>46</v>
      </c>
      <c r="AP92" s="1">
        <f>Table2[[#This Row],[Column1]]</f>
        <v>11</v>
      </c>
      <c r="AR92" t="b">
        <f t="shared" si="4"/>
        <v>1</v>
      </c>
      <c r="AS92">
        <f>IF(AR92,ROWS($AR$2:AR92),"")</f>
        <v>91</v>
      </c>
      <c r="AT92">
        <f>IFERROR(SMALL($AS$2:$AS$440,ROWS($AS$2:AS92)),"")</f>
        <v>91</v>
      </c>
      <c r="AU92">
        <f>IF(AT92&lt;&gt;"",INDEX($AE$2:$AP$440,MATCH($AT92,$AS$2:$AS$440,0),COLUMNS($AT$2:AT92)),"")</f>
        <v>2004</v>
      </c>
      <c r="AV92">
        <f>IF(AU92&lt;&gt;"",INDEX($AE$2:$AP$440,MATCH($AT92,$AS$2:$AS$440,0),COLUMNS($AT$2:AU92)),"")</f>
        <v>11</v>
      </c>
      <c r="AW92" t="str">
        <f>IF(AV92&lt;&gt;"",INDEX($AE$2:$AP$440,MATCH($AT92,$AS$2:$AS$440,0),COLUMNS($AT$2:AV92)),"")</f>
        <v>Charlton Athletic</v>
      </c>
      <c r="AX92">
        <f>IF(AW92&lt;&gt;"",INDEX($AE$2:$AP$440,MATCH($AT92,$AS$2:$AS$440,0),COLUMNS($AT$2:AW92)),"")</f>
        <v>38</v>
      </c>
      <c r="AY92">
        <f>IF(AX92&lt;&gt;"",INDEX($AE$2:$AP$440,MATCH($AT92,$AS$2:$AS$440,0),COLUMNS($AT$2:AX92)),"")</f>
        <v>12</v>
      </c>
      <c r="AZ92">
        <f>IF(AY92&lt;&gt;"",INDEX($AE$2:$AP$440,MATCH($AT92,$AS$2:$AS$440,0),COLUMNS($AT$2:AY92)),"")</f>
        <v>10</v>
      </c>
      <c r="BA92">
        <f>IF(AZ92&lt;&gt;"",INDEX($AE$2:$AP$440,MATCH($AT92,$AS$2:$AS$440,0),COLUMNS($AT$2:AZ92)),"")</f>
        <v>16</v>
      </c>
      <c r="BB92">
        <f>IF(BA92&lt;&gt;"",INDEX($AE$2:$AP$440,MATCH($AT92,$AS$2:$AS$440,0),COLUMNS($AT$2:BA92)),"")</f>
        <v>42</v>
      </c>
      <c r="BC92">
        <f>IF(BB92&lt;&gt;"",INDEX($AE$2:$AP$440,MATCH($AT92,$AS$2:$AS$440,0),COLUMNS($AT$2:BB92)),"")</f>
        <v>58</v>
      </c>
      <c r="BD92">
        <f>IF(BC92&lt;&gt;"",INDEX($AE$2:$AP$440,MATCH($AT92,$AS$2:$AS$440,0),COLUMNS($AT$2:BC92)),"")</f>
        <v>-16</v>
      </c>
      <c r="BE92">
        <f>IF(BD92&lt;&gt;"",INDEX($AE$2:$AP$440,MATCH($AT92,$AS$2:$AS$440,0),COLUMNS($AT$2:BD92)),"")</f>
        <v>46</v>
      </c>
      <c r="BF92">
        <f>IF(BE92&lt;&gt;"",INDEX($AE$2:$AP$440,MATCH($AT92,$AS$2:$AS$440,0),COLUMNS($AT$2:BE92)),"")</f>
        <v>11</v>
      </c>
    </row>
    <row r="93" spans="1:58" x14ac:dyDescent="0.25">
      <c r="A93" s="5">
        <v>2004</v>
      </c>
      <c r="B93" s="5">
        <v>12</v>
      </c>
      <c r="C93" s="6" t="s">
        <v>34</v>
      </c>
      <c r="D93" s="5">
        <v>38</v>
      </c>
      <c r="E93" s="5">
        <v>11</v>
      </c>
      <c r="F93" s="5">
        <v>12</v>
      </c>
      <c r="G93" s="5">
        <v>15</v>
      </c>
      <c r="H93" s="5">
        <v>40</v>
      </c>
      <c r="I93" s="5">
        <v>46</v>
      </c>
      <c r="J93" s="5">
        <v>-6</v>
      </c>
      <c r="K93" s="5">
        <v>45</v>
      </c>
      <c r="L93" s="5">
        <f>IF(Table2[[#This Row],['#]]=1,"Champion", IF(Table2[[#This Row],['#]]&gt;=18,"Relegated",Table2[[#This Row],['#]]))</f>
        <v>12</v>
      </c>
      <c r="N93">
        <f>IF(COUNTIF($O$2:O93,O93)=1,N92+1,N92)</f>
        <v>27</v>
      </c>
      <c r="O93" s="4" t="str">
        <f>Table2[[#This Row],[Team]]</f>
        <v>Birmingham City</v>
      </c>
      <c r="P93" s="1" t="str">
        <f>IFERROR(VLOOKUP(ROWS($O$2:O93),$N$2:$O$441,2,0),"")</f>
        <v/>
      </c>
      <c r="Q93" s="1" t="str">
        <f>IF(P93&lt;&gt;"",SUMPRODUCT(--(Table2[Team]=P93)),"")</f>
        <v/>
      </c>
      <c r="R93" s="11" t="str">
        <f>IF(Q93&lt;&gt;"",Q93+ROWS($Q$2:Q93)/100,"")</f>
        <v/>
      </c>
      <c r="S93" t="str">
        <f>IF(R93&lt;&gt;"",LARGE($R$2:$R$441,ROWS($R$2:R93)),"")</f>
        <v/>
      </c>
      <c r="T93" s="1" t="str">
        <f>IF(R93&lt;&gt;"",INDEX($P$2:$Q$441,MATCH($S93,$R$2:$R$441,0),COLUMNS($S$2:S93)),"")</f>
        <v/>
      </c>
      <c r="U93" s="1" t="str">
        <f>IF(S93&lt;&gt;"",INDEX($P$2:$Q$441,MATCH($S93,$R$2:$R$441,0),COLUMNS($S$2:T93)),"")</f>
        <v/>
      </c>
      <c r="AE93" s="1">
        <f>Table2[[#This Row],[Year]]</f>
        <v>2004</v>
      </c>
      <c r="AF93" s="1">
        <f>Table2[[#This Row],['#]]</f>
        <v>12</v>
      </c>
      <c r="AG93" s="1" t="str">
        <f>Table2[[#This Row],[Team]]</f>
        <v>Birmingham City</v>
      </c>
      <c r="AH93" s="1">
        <f>Table2[[#This Row],[Pl]]</f>
        <v>38</v>
      </c>
      <c r="AI93" s="1">
        <f>Table2[[#This Row],[W]]</f>
        <v>11</v>
      </c>
      <c r="AJ93" s="1">
        <f>Table2[[#This Row],[D]]</f>
        <v>12</v>
      </c>
      <c r="AK93" s="1">
        <f>Table2[[#This Row],[L]]</f>
        <v>15</v>
      </c>
      <c r="AL93" s="1">
        <f>Table2[[#This Row],[F]]</f>
        <v>40</v>
      </c>
      <c r="AM93" s="1">
        <f>Table2[[#This Row],[A]]</f>
        <v>46</v>
      </c>
      <c r="AN93" s="1">
        <f>Table2[[#This Row],[GD]]</f>
        <v>-6</v>
      </c>
      <c r="AO93" s="1">
        <f>Table2[[#This Row],[Pts]]</f>
        <v>45</v>
      </c>
      <c r="AP93" s="1">
        <f>Table2[[#This Row],[Column1]]</f>
        <v>12</v>
      </c>
      <c r="AR93" t="b">
        <f t="shared" si="4"/>
        <v>1</v>
      </c>
      <c r="AS93">
        <f>IF(AR93,ROWS($AR$2:AR93),"")</f>
        <v>92</v>
      </c>
      <c r="AT93">
        <f>IFERROR(SMALL($AS$2:$AS$440,ROWS($AS$2:AS93)),"")</f>
        <v>92</v>
      </c>
      <c r="AU93">
        <f>IF(AT93&lt;&gt;"",INDEX($AE$2:$AP$440,MATCH($AT93,$AS$2:$AS$440,0),COLUMNS($AT$2:AT93)),"")</f>
        <v>2004</v>
      </c>
      <c r="AV93">
        <f>IF(AU93&lt;&gt;"",INDEX($AE$2:$AP$440,MATCH($AT93,$AS$2:$AS$440,0),COLUMNS($AT$2:AU93)),"")</f>
        <v>12</v>
      </c>
      <c r="AW93" t="str">
        <f>IF(AV93&lt;&gt;"",INDEX($AE$2:$AP$440,MATCH($AT93,$AS$2:$AS$440,0),COLUMNS($AT$2:AV93)),"")</f>
        <v>Birmingham City</v>
      </c>
      <c r="AX93">
        <f>IF(AW93&lt;&gt;"",INDEX($AE$2:$AP$440,MATCH($AT93,$AS$2:$AS$440,0),COLUMNS($AT$2:AW93)),"")</f>
        <v>38</v>
      </c>
      <c r="AY93">
        <f>IF(AX93&lt;&gt;"",INDEX($AE$2:$AP$440,MATCH($AT93,$AS$2:$AS$440,0),COLUMNS($AT$2:AX93)),"")</f>
        <v>11</v>
      </c>
      <c r="AZ93">
        <f>IF(AY93&lt;&gt;"",INDEX($AE$2:$AP$440,MATCH($AT93,$AS$2:$AS$440,0),COLUMNS($AT$2:AY93)),"")</f>
        <v>12</v>
      </c>
      <c r="BA93">
        <f>IF(AZ93&lt;&gt;"",INDEX($AE$2:$AP$440,MATCH($AT93,$AS$2:$AS$440,0),COLUMNS($AT$2:AZ93)),"")</f>
        <v>15</v>
      </c>
      <c r="BB93">
        <f>IF(BA93&lt;&gt;"",INDEX($AE$2:$AP$440,MATCH($AT93,$AS$2:$AS$440,0),COLUMNS($AT$2:BA93)),"")</f>
        <v>40</v>
      </c>
      <c r="BC93">
        <f>IF(BB93&lt;&gt;"",INDEX($AE$2:$AP$440,MATCH($AT93,$AS$2:$AS$440,0),COLUMNS($AT$2:BB93)),"")</f>
        <v>46</v>
      </c>
      <c r="BD93">
        <f>IF(BC93&lt;&gt;"",INDEX($AE$2:$AP$440,MATCH($AT93,$AS$2:$AS$440,0),COLUMNS($AT$2:BC93)),"")</f>
        <v>-6</v>
      </c>
      <c r="BE93">
        <f>IF(BD93&lt;&gt;"",INDEX($AE$2:$AP$440,MATCH($AT93,$AS$2:$AS$440,0),COLUMNS($AT$2:BD93)),"")</f>
        <v>45</v>
      </c>
      <c r="BF93">
        <f>IF(BE93&lt;&gt;"",INDEX($AE$2:$AP$440,MATCH($AT93,$AS$2:$AS$440,0),COLUMNS($AT$2:BE93)),"")</f>
        <v>12</v>
      </c>
    </row>
    <row r="94" spans="1:58" x14ac:dyDescent="0.25">
      <c r="A94" s="3">
        <v>2004</v>
      </c>
      <c r="B94" s="3">
        <v>13</v>
      </c>
      <c r="C94" s="4" t="s">
        <v>32</v>
      </c>
      <c r="D94" s="3">
        <v>38</v>
      </c>
      <c r="E94" s="3">
        <v>12</v>
      </c>
      <c r="F94" s="3">
        <v>8</v>
      </c>
      <c r="G94" s="3">
        <v>18</v>
      </c>
      <c r="H94" s="3">
        <v>52</v>
      </c>
      <c r="I94" s="3">
        <v>60</v>
      </c>
      <c r="J94" s="3">
        <v>-8</v>
      </c>
      <c r="K94" s="3">
        <v>44</v>
      </c>
      <c r="L94" s="5">
        <f>IF(Table2[[#This Row],['#]]=1,"Champion", IF(Table2[[#This Row],['#]]&gt;=18,"Relegated",Table2[[#This Row],['#]]))</f>
        <v>13</v>
      </c>
      <c r="N94">
        <f>IF(COUNTIF($O$2:O94,O94)=1,N93+1,N93)</f>
        <v>27</v>
      </c>
      <c r="O94" s="4" t="str">
        <f>Table2[[#This Row],[Team]]</f>
        <v>Fulham</v>
      </c>
      <c r="P94" s="1" t="str">
        <f>IFERROR(VLOOKUP(ROWS($O$2:O94),$N$2:$O$441,2,0),"")</f>
        <v/>
      </c>
      <c r="Q94" s="1" t="str">
        <f>IF(P94&lt;&gt;"",SUMPRODUCT(--(Table2[Team]=P94)),"")</f>
        <v/>
      </c>
      <c r="R94" s="11" t="str">
        <f>IF(Q94&lt;&gt;"",Q94+ROWS($Q$2:Q94)/100,"")</f>
        <v/>
      </c>
      <c r="S94" t="str">
        <f>IF(R94&lt;&gt;"",LARGE($R$2:$R$441,ROWS($R$2:R94)),"")</f>
        <v/>
      </c>
      <c r="T94" s="1" t="str">
        <f>IF(R94&lt;&gt;"",INDEX($P$2:$Q$441,MATCH($S94,$R$2:$R$441,0),COLUMNS($S$2:S94)),"")</f>
        <v/>
      </c>
      <c r="U94" s="1" t="str">
        <f>IF(S94&lt;&gt;"",INDEX($P$2:$Q$441,MATCH($S94,$R$2:$R$441,0),COLUMNS($S$2:T94)),"")</f>
        <v/>
      </c>
      <c r="AE94" s="1">
        <f>Table2[[#This Row],[Year]]</f>
        <v>2004</v>
      </c>
      <c r="AF94" s="1">
        <f>Table2[[#This Row],['#]]</f>
        <v>13</v>
      </c>
      <c r="AG94" s="1" t="str">
        <f>Table2[[#This Row],[Team]]</f>
        <v>Fulham</v>
      </c>
      <c r="AH94" s="1">
        <f>Table2[[#This Row],[Pl]]</f>
        <v>38</v>
      </c>
      <c r="AI94" s="1">
        <f>Table2[[#This Row],[W]]</f>
        <v>12</v>
      </c>
      <c r="AJ94" s="1">
        <f>Table2[[#This Row],[D]]</f>
        <v>8</v>
      </c>
      <c r="AK94" s="1">
        <f>Table2[[#This Row],[L]]</f>
        <v>18</v>
      </c>
      <c r="AL94" s="1">
        <f>Table2[[#This Row],[F]]</f>
        <v>52</v>
      </c>
      <c r="AM94" s="1">
        <f>Table2[[#This Row],[A]]</f>
        <v>60</v>
      </c>
      <c r="AN94" s="1">
        <f>Table2[[#This Row],[GD]]</f>
        <v>-8</v>
      </c>
      <c r="AO94" s="1">
        <f>Table2[[#This Row],[Pts]]</f>
        <v>44</v>
      </c>
      <c r="AP94" s="1">
        <f>Table2[[#This Row],[Column1]]</f>
        <v>13</v>
      </c>
      <c r="AR94" t="b">
        <f t="shared" si="4"/>
        <v>1</v>
      </c>
      <c r="AS94">
        <f>IF(AR94,ROWS($AR$2:AR94),"")</f>
        <v>93</v>
      </c>
      <c r="AT94">
        <f>IFERROR(SMALL($AS$2:$AS$440,ROWS($AS$2:AS94)),"")</f>
        <v>93</v>
      </c>
      <c r="AU94">
        <f>IF(AT94&lt;&gt;"",INDEX($AE$2:$AP$440,MATCH($AT94,$AS$2:$AS$440,0),COLUMNS($AT$2:AT94)),"")</f>
        <v>2004</v>
      </c>
      <c r="AV94">
        <f>IF(AU94&lt;&gt;"",INDEX($AE$2:$AP$440,MATCH($AT94,$AS$2:$AS$440,0),COLUMNS($AT$2:AU94)),"")</f>
        <v>13</v>
      </c>
      <c r="AW94" t="str">
        <f>IF(AV94&lt;&gt;"",INDEX($AE$2:$AP$440,MATCH($AT94,$AS$2:$AS$440,0),COLUMNS($AT$2:AV94)),"")</f>
        <v>Fulham</v>
      </c>
      <c r="AX94">
        <f>IF(AW94&lt;&gt;"",INDEX($AE$2:$AP$440,MATCH($AT94,$AS$2:$AS$440,0),COLUMNS($AT$2:AW94)),"")</f>
        <v>38</v>
      </c>
      <c r="AY94">
        <f>IF(AX94&lt;&gt;"",INDEX($AE$2:$AP$440,MATCH($AT94,$AS$2:$AS$440,0),COLUMNS($AT$2:AX94)),"")</f>
        <v>12</v>
      </c>
      <c r="AZ94">
        <f>IF(AY94&lt;&gt;"",INDEX($AE$2:$AP$440,MATCH($AT94,$AS$2:$AS$440,0),COLUMNS($AT$2:AY94)),"")</f>
        <v>8</v>
      </c>
      <c r="BA94">
        <f>IF(AZ94&lt;&gt;"",INDEX($AE$2:$AP$440,MATCH($AT94,$AS$2:$AS$440,0),COLUMNS($AT$2:AZ94)),"")</f>
        <v>18</v>
      </c>
      <c r="BB94">
        <f>IF(BA94&lt;&gt;"",INDEX($AE$2:$AP$440,MATCH($AT94,$AS$2:$AS$440,0),COLUMNS($AT$2:BA94)),"")</f>
        <v>52</v>
      </c>
      <c r="BC94">
        <f>IF(BB94&lt;&gt;"",INDEX($AE$2:$AP$440,MATCH($AT94,$AS$2:$AS$440,0),COLUMNS($AT$2:BB94)),"")</f>
        <v>60</v>
      </c>
      <c r="BD94">
        <f>IF(BC94&lt;&gt;"",INDEX($AE$2:$AP$440,MATCH($AT94,$AS$2:$AS$440,0),COLUMNS($AT$2:BC94)),"")</f>
        <v>-8</v>
      </c>
      <c r="BE94">
        <f>IF(BD94&lt;&gt;"",INDEX($AE$2:$AP$440,MATCH($AT94,$AS$2:$AS$440,0),COLUMNS($AT$2:BD94)),"")</f>
        <v>44</v>
      </c>
      <c r="BF94">
        <f>IF(BE94&lt;&gt;"",INDEX($AE$2:$AP$440,MATCH($AT94,$AS$2:$AS$440,0),COLUMNS($AT$2:BE94)),"")</f>
        <v>13</v>
      </c>
    </row>
    <row r="95" spans="1:58" x14ac:dyDescent="0.25">
      <c r="A95" s="5">
        <v>2004</v>
      </c>
      <c r="B95" s="5">
        <v>14</v>
      </c>
      <c r="C95" s="6" t="s">
        <v>21</v>
      </c>
      <c r="D95" s="5">
        <v>38</v>
      </c>
      <c r="E95" s="5">
        <v>10</v>
      </c>
      <c r="F95" s="5">
        <v>14</v>
      </c>
      <c r="G95" s="5">
        <v>14</v>
      </c>
      <c r="H95" s="5">
        <v>47</v>
      </c>
      <c r="I95" s="5">
        <v>57</v>
      </c>
      <c r="J95" s="5">
        <v>-10</v>
      </c>
      <c r="K95" s="5">
        <v>44</v>
      </c>
      <c r="L95" s="5">
        <f>IF(Table2[[#This Row],['#]]=1,"Champion", IF(Table2[[#This Row],['#]]&gt;=18,"Relegated",Table2[[#This Row],['#]]))</f>
        <v>14</v>
      </c>
      <c r="N95">
        <f>IF(COUNTIF($O$2:O95,O95)=1,N94+1,N94)</f>
        <v>27</v>
      </c>
      <c r="O95" s="4" t="str">
        <f>Table2[[#This Row],[Team]]</f>
        <v>Newcastle United</v>
      </c>
      <c r="P95" s="1" t="str">
        <f>IFERROR(VLOOKUP(ROWS($O$2:O95),$N$2:$O$441,2,0),"")</f>
        <v/>
      </c>
      <c r="Q95" s="1" t="str">
        <f>IF(P95&lt;&gt;"",SUMPRODUCT(--(Table2[Team]=P95)),"")</f>
        <v/>
      </c>
      <c r="R95" s="11" t="str">
        <f>IF(Q95&lt;&gt;"",Q95+ROWS($Q$2:Q95)/100,"")</f>
        <v/>
      </c>
      <c r="S95" t="str">
        <f>IF(R95&lt;&gt;"",LARGE($R$2:$R$441,ROWS($R$2:R95)),"")</f>
        <v/>
      </c>
      <c r="T95" s="1" t="str">
        <f>IF(R95&lt;&gt;"",INDEX($P$2:$Q$441,MATCH($S95,$R$2:$R$441,0),COLUMNS($S$2:S95)),"")</f>
        <v/>
      </c>
      <c r="U95" s="1" t="str">
        <f>IF(S95&lt;&gt;"",INDEX($P$2:$Q$441,MATCH($S95,$R$2:$R$441,0),COLUMNS($S$2:T95)),"")</f>
        <v/>
      </c>
      <c r="AE95" s="1">
        <f>Table2[[#This Row],[Year]]</f>
        <v>2004</v>
      </c>
      <c r="AF95" s="1">
        <f>Table2[[#This Row],['#]]</f>
        <v>14</v>
      </c>
      <c r="AG95" s="1" t="str">
        <f>Table2[[#This Row],[Team]]</f>
        <v>Newcastle United</v>
      </c>
      <c r="AH95" s="1">
        <f>Table2[[#This Row],[Pl]]</f>
        <v>38</v>
      </c>
      <c r="AI95" s="1">
        <f>Table2[[#This Row],[W]]</f>
        <v>10</v>
      </c>
      <c r="AJ95" s="1">
        <f>Table2[[#This Row],[D]]</f>
        <v>14</v>
      </c>
      <c r="AK95" s="1">
        <f>Table2[[#This Row],[L]]</f>
        <v>14</v>
      </c>
      <c r="AL95" s="1">
        <f>Table2[[#This Row],[F]]</f>
        <v>47</v>
      </c>
      <c r="AM95" s="1">
        <f>Table2[[#This Row],[A]]</f>
        <v>57</v>
      </c>
      <c r="AN95" s="1">
        <f>Table2[[#This Row],[GD]]</f>
        <v>-10</v>
      </c>
      <c r="AO95" s="1">
        <f>Table2[[#This Row],[Pts]]</f>
        <v>44</v>
      </c>
      <c r="AP95" s="1">
        <f>Table2[[#This Row],[Column1]]</f>
        <v>14</v>
      </c>
      <c r="AR95" t="b">
        <f t="shared" si="4"/>
        <v>1</v>
      </c>
      <c r="AS95">
        <f>IF(AR95,ROWS($AR$2:AR95),"")</f>
        <v>94</v>
      </c>
      <c r="AT95">
        <f>IFERROR(SMALL($AS$2:$AS$440,ROWS($AS$2:AS95)),"")</f>
        <v>94</v>
      </c>
      <c r="AU95">
        <f>IF(AT95&lt;&gt;"",INDEX($AE$2:$AP$440,MATCH($AT95,$AS$2:$AS$440,0),COLUMNS($AT$2:AT95)),"")</f>
        <v>2004</v>
      </c>
      <c r="AV95">
        <f>IF(AU95&lt;&gt;"",INDEX($AE$2:$AP$440,MATCH($AT95,$AS$2:$AS$440,0),COLUMNS($AT$2:AU95)),"")</f>
        <v>14</v>
      </c>
      <c r="AW95" t="str">
        <f>IF(AV95&lt;&gt;"",INDEX($AE$2:$AP$440,MATCH($AT95,$AS$2:$AS$440,0),COLUMNS($AT$2:AV95)),"")</f>
        <v>Newcastle United</v>
      </c>
      <c r="AX95">
        <f>IF(AW95&lt;&gt;"",INDEX($AE$2:$AP$440,MATCH($AT95,$AS$2:$AS$440,0),COLUMNS($AT$2:AW95)),"")</f>
        <v>38</v>
      </c>
      <c r="AY95">
        <f>IF(AX95&lt;&gt;"",INDEX($AE$2:$AP$440,MATCH($AT95,$AS$2:$AS$440,0),COLUMNS($AT$2:AX95)),"")</f>
        <v>10</v>
      </c>
      <c r="AZ95">
        <f>IF(AY95&lt;&gt;"",INDEX($AE$2:$AP$440,MATCH($AT95,$AS$2:$AS$440,0),COLUMNS($AT$2:AY95)),"")</f>
        <v>14</v>
      </c>
      <c r="BA95">
        <f>IF(AZ95&lt;&gt;"",INDEX($AE$2:$AP$440,MATCH($AT95,$AS$2:$AS$440,0),COLUMNS($AT$2:AZ95)),"")</f>
        <v>14</v>
      </c>
      <c r="BB95">
        <f>IF(BA95&lt;&gt;"",INDEX($AE$2:$AP$440,MATCH($AT95,$AS$2:$AS$440,0),COLUMNS($AT$2:BA95)),"")</f>
        <v>47</v>
      </c>
      <c r="BC95">
        <f>IF(BB95&lt;&gt;"",INDEX($AE$2:$AP$440,MATCH($AT95,$AS$2:$AS$440,0),COLUMNS($AT$2:BB95)),"")</f>
        <v>57</v>
      </c>
      <c r="BD95">
        <f>IF(BC95&lt;&gt;"",INDEX($AE$2:$AP$440,MATCH($AT95,$AS$2:$AS$440,0),COLUMNS($AT$2:BC95)),"")</f>
        <v>-10</v>
      </c>
      <c r="BE95">
        <f>IF(BD95&lt;&gt;"",INDEX($AE$2:$AP$440,MATCH($AT95,$AS$2:$AS$440,0),COLUMNS($AT$2:BD95)),"")</f>
        <v>44</v>
      </c>
      <c r="BF95">
        <f>IF(BE95&lt;&gt;"",INDEX($AE$2:$AP$440,MATCH($AT95,$AS$2:$AS$440,0),COLUMNS($AT$2:BE95)),"")</f>
        <v>14</v>
      </c>
    </row>
    <row r="96" spans="1:58" x14ac:dyDescent="0.25">
      <c r="A96" s="3">
        <v>2004</v>
      </c>
      <c r="B96" s="3">
        <v>15</v>
      </c>
      <c r="C96" s="4" t="s">
        <v>31</v>
      </c>
      <c r="D96" s="3">
        <v>38</v>
      </c>
      <c r="E96" s="3">
        <v>9</v>
      </c>
      <c r="F96" s="3">
        <v>15</v>
      </c>
      <c r="G96" s="3">
        <v>14</v>
      </c>
      <c r="H96" s="3">
        <v>32</v>
      </c>
      <c r="I96" s="3">
        <v>43</v>
      </c>
      <c r="J96" s="3">
        <v>-11</v>
      </c>
      <c r="K96" s="3">
        <v>42</v>
      </c>
      <c r="L96" s="5">
        <f>IF(Table2[[#This Row],['#]]=1,"Champion", IF(Table2[[#This Row],['#]]&gt;=18,"Relegated",Table2[[#This Row],['#]]))</f>
        <v>15</v>
      </c>
      <c r="N96">
        <f>IF(COUNTIF($O$2:O96,O96)=1,N95+1,N95)</f>
        <v>27</v>
      </c>
      <c r="O96" s="4" t="str">
        <f>Table2[[#This Row],[Team]]</f>
        <v>Blackburn Rovers</v>
      </c>
      <c r="P96" s="1" t="str">
        <f>IFERROR(VLOOKUP(ROWS($O$2:O96),$N$2:$O$441,2,0),"")</f>
        <v/>
      </c>
      <c r="Q96" s="1" t="str">
        <f>IF(P96&lt;&gt;"",SUMPRODUCT(--(Table2[Team]=P96)),"")</f>
        <v/>
      </c>
      <c r="R96" s="11" t="str">
        <f>IF(Q96&lt;&gt;"",Q96+ROWS($Q$2:Q96)/100,"")</f>
        <v/>
      </c>
      <c r="S96" t="str">
        <f>IF(R96&lt;&gt;"",LARGE($R$2:$R$441,ROWS($R$2:R96)),"")</f>
        <v/>
      </c>
      <c r="T96" s="1" t="str">
        <f>IF(R96&lt;&gt;"",INDEX($P$2:$Q$441,MATCH($S96,$R$2:$R$441,0),COLUMNS($S$2:S96)),"")</f>
        <v/>
      </c>
      <c r="U96" s="1" t="str">
        <f>IF(S96&lt;&gt;"",INDEX($P$2:$Q$441,MATCH($S96,$R$2:$R$441,0),COLUMNS($S$2:T96)),"")</f>
        <v/>
      </c>
      <c r="AE96" s="1">
        <f>Table2[[#This Row],[Year]]</f>
        <v>2004</v>
      </c>
      <c r="AF96" s="1">
        <f>Table2[[#This Row],['#]]</f>
        <v>15</v>
      </c>
      <c r="AG96" s="1" t="str">
        <f>Table2[[#This Row],[Team]]</f>
        <v>Blackburn Rovers</v>
      </c>
      <c r="AH96" s="1">
        <f>Table2[[#This Row],[Pl]]</f>
        <v>38</v>
      </c>
      <c r="AI96" s="1">
        <f>Table2[[#This Row],[W]]</f>
        <v>9</v>
      </c>
      <c r="AJ96" s="1">
        <f>Table2[[#This Row],[D]]</f>
        <v>15</v>
      </c>
      <c r="AK96" s="1">
        <f>Table2[[#This Row],[L]]</f>
        <v>14</v>
      </c>
      <c r="AL96" s="1">
        <f>Table2[[#This Row],[F]]</f>
        <v>32</v>
      </c>
      <c r="AM96" s="1">
        <f>Table2[[#This Row],[A]]</f>
        <v>43</v>
      </c>
      <c r="AN96" s="1">
        <f>Table2[[#This Row],[GD]]</f>
        <v>-11</v>
      </c>
      <c r="AO96" s="1">
        <f>Table2[[#This Row],[Pts]]</f>
        <v>42</v>
      </c>
      <c r="AP96" s="1">
        <f>Table2[[#This Row],[Column1]]</f>
        <v>15</v>
      </c>
      <c r="AR96" t="b">
        <f t="shared" si="4"/>
        <v>1</v>
      </c>
      <c r="AS96">
        <f>IF(AR96,ROWS($AR$2:AR96),"")</f>
        <v>95</v>
      </c>
      <c r="AT96">
        <f>IFERROR(SMALL($AS$2:$AS$440,ROWS($AS$2:AS96)),"")</f>
        <v>95</v>
      </c>
      <c r="AU96">
        <f>IF(AT96&lt;&gt;"",INDEX($AE$2:$AP$440,MATCH($AT96,$AS$2:$AS$440,0),COLUMNS($AT$2:AT96)),"")</f>
        <v>2004</v>
      </c>
      <c r="AV96">
        <f>IF(AU96&lt;&gt;"",INDEX($AE$2:$AP$440,MATCH($AT96,$AS$2:$AS$440,0),COLUMNS($AT$2:AU96)),"")</f>
        <v>15</v>
      </c>
      <c r="AW96" t="str">
        <f>IF(AV96&lt;&gt;"",INDEX($AE$2:$AP$440,MATCH($AT96,$AS$2:$AS$440,0),COLUMNS($AT$2:AV96)),"")</f>
        <v>Blackburn Rovers</v>
      </c>
      <c r="AX96">
        <f>IF(AW96&lt;&gt;"",INDEX($AE$2:$AP$440,MATCH($AT96,$AS$2:$AS$440,0),COLUMNS($AT$2:AW96)),"")</f>
        <v>38</v>
      </c>
      <c r="AY96">
        <f>IF(AX96&lt;&gt;"",INDEX($AE$2:$AP$440,MATCH($AT96,$AS$2:$AS$440,0),COLUMNS($AT$2:AX96)),"")</f>
        <v>9</v>
      </c>
      <c r="AZ96">
        <f>IF(AY96&lt;&gt;"",INDEX($AE$2:$AP$440,MATCH($AT96,$AS$2:$AS$440,0),COLUMNS($AT$2:AY96)),"")</f>
        <v>15</v>
      </c>
      <c r="BA96">
        <f>IF(AZ96&lt;&gt;"",INDEX($AE$2:$AP$440,MATCH($AT96,$AS$2:$AS$440,0),COLUMNS($AT$2:AZ96)),"")</f>
        <v>14</v>
      </c>
      <c r="BB96">
        <f>IF(BA96&lt;&gt;"",INDEX($AE$2:$AP$440,MATCH($AT96,$AS$2:$AS$440,0),COLUMNS($AT$2:BA96)),"")</f>
        <v>32</v>
      </c>
      <c r="BC96">
        <f>IF(BB96&lt;&gt;"",INDEX($AE$2:$AP$440,MATCH($AT96,$AS$2:$AS$440,0),COLUMNS($AT$2:BB96)),"")</f>
        <v>43</v>
      </c>
      <c r="BD96">
        <f>IF(BC96&lt;&gt;"",INDEX($AE$2:$AP$440,MATCH($AT96,$AS$2:$AS$440,0),COLUMNS($AT$2:BC96)),"")</f>
        <v>-11</v>
      </c>
      <c r="BE96">
        <f>IF(BD96&lt;&gt;"",INDEX($AE$2:$AP$440,MATCH($AT96,$AS$2:$AS$440,0),COLUMNS($AT$2:BD96)),"")</f>
        <v>42</v>
      </c>
      <c r="BF96">
        <f>IF(BE96&lt;&gt;"",INDEX($AE$2:$AP$440,MATCH($AT96,$AS$2:$AS$440,0),COLUMNS($AT$2:BE96)),"")</f>
        <v>15</v>
      </c>
    </row>
    <row r="97" spans="1:58" x14ac:dyDescent="0.25">
      <c r="A97" s="5">
        <v>2004</v>
      </c>
      <c r="B97" s="5">
        <v>16</v>
      </c>
      <c r="C97" s="6" t="s">
        <v>36</v>
      </c>
      <c r="D97" s="5">
        <v>38</v>
      </c>
      <c r="E97" s="5">
        <v>10</v>
      </c>
      <c r="F97" s="5">
        <v>9</v>
      </c>
      <c r="G97" s="5">
        <v>19</v>
      </c>
      <c r="H97" s="5">
        <v>43</v>
      </c>
      <c r="I97" s="5">
        <v>59</v>
      </c>
      <c r="J97" s="5">
        <v>-16</v>
      </c>
      <c r="K97" s="5">
        <v>39</v>
      </c>
      <c r="L97" s="5">
        <f>IF(Table2[[#This Row],['#]]=1,"Champion", IF(Table2[[#This Row],['#]]&gt;=18,"Relegated",Table2[[#This Row],['#]]))</f>
        <v>16</v>
      </c>
      <c r="N97">
        <f>IF(COUNTIF($O$2:O97,O97)=1,N96+1,N96)</f>
        <v>27</v>
      </c>
      <c r="O97" s="4" t="str">
        <f>Table2[[#This Row],[Team]]</f>
        <v>Portsmouth</v>
      </c>
      <c r="P97" s="1" t="str">
        <f>IFERROR(VLOOKUP(ROWS($O$2:O97),$N$2:$O$441,2,0),"")</f>
        <v/>
      </c>
      <c r="Q97" s="1" t="str">
        <f>IF(P97&lt;&gt;"",SUMPRODUCT(--(Table2[Team]=P97)),"")</f>
        <v/>
      </c>
      <c r="R97" s="11" t="str">
        <f>IF(Q97&lt;&gt;"",Q97+ROWS($Q$2:Q97)/100,"")</f>
        <v/>
      </c>
      <c r="S97" t="str">
        <f>IF(R97&lt;&gt;"",LARGE($R$2:$R$441,ROWS($R$2:R97)),"")</f>
        <v/>
      </c>
      <c r="T97" s="1" t="str">
        <f>IF(R97&lt;&gt;"",INDEX($P$2:$Q$441,MATCH($S97,$R$2:$R$441,0),COLUMNS($S$2:S97)),"")</f>
        <v/>
      </c>
      <c r="U97" s="1" t="str">
        <f>IF(S97&lt;&gt;"",INDEX($P$2:$Q$441,MATCH($S97,$R$2:$R$441,0),COLUMNS($S$2:T97)),"")</f>
        <v/>
      </c>
      <c r="AE97" s="1">
        <f>Table2[[#This Row],[Year]]</f>
        <v>2004</v>
      </c>
      <c r="AF97" s="1">
        <f>Table2[[#This Row],['#]]</f>
        <v>16</v>
      </c>
      <c r="AG97" s="1" t="str">
        <f>Table2[[#This Row],[Team]]</f>
        <v>Portsmouth</v>
      </c>
      <c r="AH97" s="1">
        <f>Table2[[#This Row],[Pl]]</f>
        <v>38</v>
      </c>
      <c r="AI97" s="1">
        <f>Table2[[#This Row],[W]]</f>
        <v>10</v>
      </c>
      <c r="AJ97" s="1">
        <f>Table2[[#This Row],[D]]</f>
        <v>9</v>
      </c>
      <c r="AK97" s="1">
        <f>Table2[[#This Row],[L]]</f>
        <v>19</v>
      </c>
      <c r="AL97" s="1">
        <f>Table2[[#This Row],[F]]</f>
        <v>43</v>
      </c>
      <c r="AM97" s="1">
        <f>Table2[[#This Row],[A]]</f>
        <v>59</v>
      </c>
      <c r="AN97" s="1">
        <f>Table2[[#This Row],[GD]]</f>
        <v>-16</v>
      </c>
      <c r="AO97" s="1">
        <f>Table2[[#This Row],[Pts]]</f>
        <v>39</v>
      </c>
      <c r="AP97" s="1">
        <f>Table2[[#This Row],[Column1]]</f>
        <v>16</v>
      </c>
      <c r="AR97" t="b">
        <f t="shared" si="4"/>
        <v>1</v>
      </c>
      <c r="AS97">
        <f>IF(AR97,ROWS($AR$2:AR97),"")</f>
        <v>96</v>
      </c>
      <c r="AT97">
        <f>IFERROR(SMALL($AS$2:$AS$440,ROWS($AS$2:AS97)),"")</f>
        <v>96</v>
      </c>
      <c r="AU97">
        <f>IF(AT97&lt;&gt;"",INDEX($AE$2:$AP$440,MATCH($AT97,$AS$2:$AS$440,0),COLUMNS($AT$2:AT97)),"")</f>
        <v>2004</v>
      </c>
      <c r="AV97">
        <f>IF(AU97&lt;&gt;"",INDEX($AE$2:$AP$440,MATCH($AT97,$AS$2:$AS$440,0),COLUMNS($AT$2:AU97)),"")</f>
        <v>16</v>
      </c>
      <c r="AW97" t="str">
        <f>IF(AV97&lt;&gt;"",INDEX($AE$2:$AP$440,MATCH($AT97,$AS$2:$AS$440,0),COLUMNS($AT$2:AV97)),"")</f>
        <v>Portsmouth</v>
      </c>
      <c r="AX97">
        <f>IF(AW97&lt;&gt;"",INDEX($AE$2:$AP$440,MATCH($AT97,$AS$2:$AS$440,0),COLUMNS($AT$2:AW97)),"")</f>
        <v>38</v>
      </c>
      <c r="AY97">
        <f>IF(AX97&lt;&gt;"",INDEX($AE$2:$AP$440,MATCH($AT97,$AS$2:$AS$440,0),COLUMNS($AT$2:AX97)),"")</f>
        <v>10</v>
      </c>
      <c r="AZ97">
        <f>IF(AY97&lt;&gt;"",INDEX($AE$2:$AP$440,MATCH($AT97,$AS$2:$AS$440,0),COLUMNS($AT$2:AY97)),"")</f>
        <v>9</v>
      </c>
      <c r="BA97">
        <f>IF(AZ97&lt;&gt;"",INDEX($AE$2:$AP$440,MATCH($AT97,$AS$2:$AS$440,0),COLUMNS($AT$2:AZ97)),"")</f>
        <v>19</v>
      </c>
      <c r="BB97">
        <f>IF(BA97&lt;&gt;"",INDEX($AE$2:$AP$440,MATCH($AT97,$AS$2:$AS$440,0),COLUMNS($AT$2:BA97)),"")</f>
        <v>43</v>
      </c>
      <c r="BC97">
        <f>IF(BB97&lt;&gt;"",INDEX($AE$2:$AP$440,MATCH($AT97,$AS$2:$AS$440,0),COLUMNS($AT$2:BB97)),"")</f>
        <v>59</v>
      </c>
      <c r="BD97">
        <f>IF(BC97&lt;&gt;"",INDEX($AE$2:$AP$440,MATCH($AT97,$AS$2:$AS$440,0),COLUMNS($AT$2:BC97)),"")</f>
        <v>-16</v>
      </c>
      <c r="BE97">
        <f>IF(BD97&lt;&gt;"",INDEX($AE$2:$AP$440,MATCH($AT97,$AS$2:$AS$440,0),COLUMNS($AT$2:BD97)),"")</f>
        <v>39</v>
      </c>
      <c r="BF97">
        <f>IF(BE97&lt;&gt;"",INDEX($AE$2:$AP$440,MATCH($AT97,$AS$2:$AS$440,0),COLUMNS($AT$2:BE97)),"")</f>
        <v>16</v>
      </c>
    </row>
    <row r="98" spans="1:58" x14ac:dyDescent="0.25">
      <c r="A98" s="3">
        <v>2004</v>
      </c>
      <c r="B98" s="3">
        <v>17</v>
      </c>
      <c r="C98" s="4" t="s">
        <v>35</v>
      </c>
      <c r="D98" s="3">
        <v>38</v>
      </c>
      <c r="E98" s="3">
        <v>6</v>
      </c>
      <c r="F98" s="3">
        <v>16</v>
      </c>
      <c r="G98" s="3">
        <v>16</v>
      </c>
      <c r="H98" s="3">
        <v>36</v>
      </c>
      <c r="I98" s="3">
        <v>61</v>
      </c>
      <c r="J98" s="3">
        <v>-25</v>
      </c>
      <c r="K98" s="3">
        <v>34</v>
      </c>
      <c r="L98" s="5">
        <f>IF(Table2[[#This Row],['#]]=1,"Champion", IF(Table2[[#This Row],['#]]&gt;=18,"Relegated",Table2[[#This Row],['#]]))</f>
        <v>17</v>
      </c>
      <c r="N98">
        <f>IF(COUNTIF($O$2:O98,O98)=1,N97+1,N97)</f>
        <v>27</v>
      </c>
      <c r="O98" s="4" t="str">
        <f>Table2[[#This Row],[Team]]</f>
        <v>West Bromwich Albion</v>
      </c>
      <c r="P98" s="1" t="str">
        <f>IFERROR(VLOOKUP(ROWS($O$2:O98),$N$2:$O$441,2,0),"")</f>
        <v/>
      </c>
      <c r="Q98" s="1" t="str">
        <f>IF(P98&lt;&gt;"",SUMPRODUCT(--(Table2[Team]=P98)),"")</f>
        <v/>
      </c>
      <c r="R98" s="11" t="str">
        <f>IF(Q98&lt;&gt;"",Q98+ROWS($Q$2:Q98)/100,"")</f>
        <v/>
      </c>
      <c r="S98" t="str">
        <f>IF(R98&lt;&gt;"",LARGE($R$2:$R$441,ROWS($R$2:R98)),"")</f>
        <v/>
      </c>
      <c r="T98" s="1" t="str">
        <f>IF(R98&lt;&gt;"",INDEX($P$2:$Q$441,MATCH($S98,$R$2:$R$441,0),COLUMNS($S$2:S98)),"")</f>
        <v/>
      </c>
      <c r="U98" s="1" t="str">
        <f>IF(S98&lt;&gt;"",INDEX($P$2:$Q$441,MATCH($S98,$R$2:$R$441,0),COLUMNS($S$2:T98)),"")</f>
        <v/>
      </c>
      <c r="AE98" s="1">
        <f>Table2[[#This Row],[Year]]</f>
        <v>2004</v>
      </c>
      <c r="AF98" s="1">
        <f>Table2[[#This Row],['#]]</f>
        <v>17</v>
      </c>
      <c r="AG98" s="1" t="str">
        <f>Table2[[#This Row],[Team]]</f>
        <v>West Bromwich Albion</v>
      </c>
      <c r="AH98" s="1">
        <f>Table2[[#This Row],[Pl]]</f>
        <v>38</v>
      </c>
      <c r="AI98" s="1">
        <f>Table2[[#This Row],[W]]</f>
        <v>6</v>
      </c>
      <c r="AJ98" s="1">
        <f>Table2[[#This Row],[D]]</f>
        <v>16</v>
      </c>
      <c r="AK98" s="1">
        <f>Table2[[#This Row],[L]]</f>
        <v>16</v>
      </c>
      <c r="AL98" s="1">
        <f>Table2[[#This Row],[F]]</f>
        <v>36</v>
      </c>
      <c r="AM98" s="1">
        <f>Table2[[#This Row],[A]]</f>
        <v>61</v>
      </c>
      <c r="AN98" s="1">
        <f>Table2[[#This Row],[GD]]</f>
        <v>-25</v>
      </c>
      <c r="AO98" s="1">
        <f>Table2[[#This Row],[Pts]]</f>
        <v>34</v>
      </c>
      <c r="AP98" s="1">
        <f>Table2[[#This Row],[Column1]]</f>
        <v>17</v>
      </c>
      <c r="AR98" t="b">
        <f t="shared" si="4"/>
        <v>1</v>
      </c>
      <c r="AS98">
        <f>IF(AR98,ROWS($AR$2:AR98),"")</f>
        <v>97</v>
      </c>
      <c r="AT98">
        <f>IFERROR(SMALL($AS$2:$AS$440,ROWS($AS$2:AS98)),"")</f>
        <v>97</v>
      </c>
      <c r="AU98">
        <f>IF(AT98&lt;&gt;"",INDEX($AE$2:$AP$440,MATCH($AT98,$AS$2:$AS$440,0),COLUMNS($AT$2:AT98)),"")</f>
        <v>2004</v>
      </c>
      <c r="AV98">
        <f>IF(AU98&lt;&gt;"",INDEX($AE$2:$AP$440,MATCH($AT98,$AS$2:$AS$440,0),COLUMNS($AT$2:AU98)),"")</f>
        <v>17</v>
      </c>
      <c r="AW98" t="str">
        <f>IF(AV98&lt;&gt;"",INDEX($AE$2:$AP$440,MATCH($AT98,$AS$2:$AS$440,0),COLUMNS($AT$2:AV98)),"")</f>
        <v>West Bromwich Albion</v>
      </c>
      <c r="AX98">
        <f>IF(AW98&lt;&gt;"",INDEX($AE$2:$AP$440,MATCH($AT98,$AS$2:$AS$440,0),COLUMNS($AT$2:AW98)),"")</f>
        <v>38</v>
      </c>
      <c r="AY98">
        <f>IF(AX98&lt;&gt;"",INDEX($AE$2:$AP$440,MATCH($AT98,$AS$2:$AS$440,0),COLUMNS($AT$2:AX98)),"")</f>
        <v>6</v>
      </c>
      <c r="AZ98">
        <f>IF(AY98&lt;&gt;"",INDEX($AE$2:$AP$440,MATCH($AT98,$AS$2:$AS$440,0),COLUMNS($AT$2:AY98)),"")</f>
        <v>16</v>
      </c>
      <c r="BA98">
        <f>IF(AZ98&lt;&gt;"",INDEX($AE$2:$AP$440,MATCH($AT98,$AS$2:$AS$440,0),COLUMNS($AT$2:AZ98)),"")</f>
        <v>16</v>
      </c>
      <c r="BB98">
        <f>IF(BA98&lt;&gt;"",INDEX($AE$2:$AP$440,MATCH($AT98,$AS$2:$AS$440,0),COLUMNS($AT$2:BA98)),"")</f>
        <v>36</v>
      </c>
      <c r="BC98">
        <f>IF(BB98&lt;&gt;"",INDEX($AE$2:$AP$440,MATCH($AT98,$AS$2:$AS$440,0),COLUMNS($AT$2:BB98)),"")</f>
        <v>61</v>
      </c>
      <c r="BD98">
        <f>IF(BC98&lt;&gt;"",INDEX($AE$2:$AP$440,MATCH($AT98,$AS$2:$AS$440,0),COLUMNS($AT$2:BC98)),"")</f>
        <v>-25</v>
      </c>
      <c r="BE98">
        <f>IF(BD98&lt;&gt;"",INDEX($AE$2:$AP$440,MATCH($AT98,$AS$2:$AS$440,0),COLUMNS($AT$2:BD98)),"")</f>
        <v>34</v>
      </c>
      <c r="BF98">
        <f>IF(BE98&lt;&gt;"",INDEX($AE$2:$AP$440,MATCH($AT98,$AS$2:$AS$440,0),COLUMNS($AT$2:BE98)),"")</f>
        <v>17</v>
      </c>
    </row>
    <row r="99" spans="1:58" x14ac:dyDescent="0.25">
      <c r="A99" s="5">
        <v>2004</v>
      </c>
      <c r="B99" s="5">
        <v>18</v>
      </c>
      <c r="C99" s="6" t="s">
        <v>38</v>
      </c>
      <c r="D99" s="5">
        <v>38</v>
      </c>
      <c r="E99" s="5">
        <v>7</v>
      </c>
      <c r="F99" s="5">
        <v>12</v>
      </c>
      <c r="G99" s="5">
        <v>19</v>
      </c>
      <c r="H99" s="5">
        <v>41</v>
      </c>
      <c r="I99" s="5">
        <v>62</v>
      </c>
      <c r="J99" s="5">
        <v>-21</v>
      </c>
      <c r="K99" s="5">
        <v>33</v>
      </c>
      <c r="L99" s="5" t="str">
        <f>IF(Table2[[#This Row],['#]]=1,"Champion", IF(Table2[[#This Row],['#]]&gt;=18,"Relegated",Table2[[#This Row],['#]]))</f>
        <v>Relegated</v>
      </c>
      <c r="N99">
        <f>IF(COUNTIF($O$2:O99,O99)=1,N98+1,N98)</f>
        <v>28</v>
      </c>
      <c r="O99" s="4" t="str">
        <f>Table2[[#This Row],[Team]]</f>
        <v>Crystal Palace</v>
      </c>
      <c r="P99" s="1" t="str">
        <f>IFERROR(VLOOKUP(ROWS($O$2:O99),$N$2:$O$441,2,0),"")</f>
        <v/>
      </c>
      <c r="Q99" s="1" t="str">
        <f>IF(P99&lt;&gt;"",SUMPRODUCT(--(Table2[Team]=P99)),"")</f>
        <v/>
      </c>
      <c r="R99" s="11" t="str">
        <f>IF(Q99&lt;&gt;"",Q99+ROWS($Q$2:Q99)/100,"")</f>
        <v/>
      </c>
      <c r="S99" t="str">
        <f>IF(R99&lt;&gt;"",LARGE($R$2:$R$441,ROWS($R$2:R99)),"")</f>
        <v/>
      </c>
      <c r="T99" s="1" t="str">
        <f>IF(R99&lt;&gt;"",INDEX($P$2:$Q$441,MATCH($S99,$R$2:$R$441,0),COLUMNS($S$2:S99)),"")</f>
        <v/>
      </c>
      <c r="U99" s="1" t="str">
        <f>IF(S99&lt;&gt;"",INDEX($P$2:$Q$441,MATCH($S99,$R$2:$R$441,0),COLUMNS($S$2:T99)),"")</f>
        <v/>
      </c>
      <c r="AE99" s="1">
        <f>Table2[[#This Row],[Year]]</f>
        <v>2004</v>
      </c>
      <c r="AF99" s="1">
        <f>Table2[[#This Row],['#]]</f>
        <v>18</v>
      </c>
      <c r="AG99" s="1" t="str">
        <f>Table2[[#This Row],[Team]]</f>
        <v>Crystal Palace</v>
      </c>
      <c r="AH99" s="1">
        <f>Table2[[#This Row],[Pl]]</f>
        <v>38</v>
      </c>
      <c r="AI99" s="1">
        <f>Table2[[#This Row],[W]]</f>
        <v>7</v>
      </c>
      <c r="AJ99" s="1">
        <f>Table2[[#This Row],[D]]</f>
        <v>12</v>
      </c>
      <c r="AK99" s="1">
        <f>Table2[[#This Row],[L]]</f>
        <v>19</v>
      </c>
      <c r="AL99" s="1">
        <f>Table2[[#This Row],[F]]</f>
        <v>41</v>
      </c>
      <c r="AM99" s="1">
        <f>Table2[[#This Row],[A]]</f>
        <v>62</v>
      </c>
      <c r="AN99" s="1">
        <f>Table2[[#This Row],[GD]]</f>
        <v>-21</v>
      </c>
      <c r="AO99" s="1">
        <f>Table2[[#This Row],[Pts]]</f>
        <v>33</v>
      </c>
      <c r="AP99" s="1" t="str">
        <f>Table2[[#This Row],[Column1]]</f>
        <v>Relegated</v>
      </c>
      <c r="AR99" t="b">
        <f t="shared" si="4"/>
        <v>1</v>
      </c>
      <c r="AS99">
        <f>IF(AR99,ROWS($AR$2:AR99),"")</f>
        <v>98</v>
      </c>
      <c r="AT99">
        <f>IFERROR(SMALL($AS$2:$AS$440,ROWS($AS$2:AS99)),"")</f>
        <v>98</v>
      </c>
      <c r="AU99">
        <f>IF(AT99&lt;&gt;"",INDEX($AE$2:$AP$440,MATCH($AT99,$AS$2:$AS$440,0),COLUMNS($AT$2:AT99)),"")</f>
        <v>2004</v>
      </c>
      <c r="AV99">
        <f>IF(AU99&lt;&gt;"",INDEX($AE$2:$AP$440,MATCH($AT99,$AS$2:$AS$440,0),COLUMNS($AT$2:AU99)),"")</f>
        <v>18</v>
      </c>
      <c r="AW99" t="str">
        <f>IF(AV99&lt;&gt;"",INDEX($AE$2:$AP$440,MATCH($AT99,$AS$2:$AS$440,0),COLUMNS($AT$2:AV99)),"")</f>
        <v>Crystal Palace</v>
      </c>
      <c r="AX99">
        <f>IF(AW99&lt;&gt;"",INDEX($AE$2:$AP$440,MATCH($AT99,$AS$2:$AS$440,0),COLUMNS($AT$2:AW99)),"")</f>
        <v>38</v>
      </c>
      <c r="AY99">
        <f>IF(AX99&lt;&gt;"",INDEX($AE$2:$AP$440,MATCH($AT99,$AS$2:$AS$440,0),COLUMNS($AT$2:AX99)),"")</f>
        <v>7</v>
      </c>
      <c r="AZ99">
        <f>IF(AY99&lt;&gt;"",INDEX($AE$2:$AP$440,MATCH($AT99,$AS$2:$AS$440,0),COLUMNS($AT$2:AY99)),"")</f>
        <v>12</v>
      </c>
      <c r="BA99">
        <f>IF(AZ99&lt;&gt;"",INDEX($AE$2:$AP$440,MATCH($AT99,$AS$2:$AS$440,0),COLUMNS($AT$2:AZ99)),"")</f>
        <v>19</v>
      </c>
      <c r="BB99">
        <f>IF(BA99&lt;&gt;"",INDEX($AE$2:$AP$440,MATCH($AT99,$AS$2:$AS$440,0),COLUMNS($AT$2:BA99)),"")</f>
        <v>41</v>
      </c>
      <c r="BC99">
        <f>IF(BB99&lt;&gt;"",INDEX($AE$2:$AP$440,MATCH($AT99,$AS$2:$AS$440,0),COLUMNS($AT$2:BB99)),"")</f>
        <v>62</v>
      </c>
      <c r="BD99">
        <f>IF(BC99&lt;&gt;"",INDEX($AE$2:$AP$440,MATCH($AT99,$AS$2:$AS$440,0),COLUMNS($AT$2:BC99)),"")</f>
        <v>-21</v>
      </c>
      <c r="BE99">
        <f>IF(BD99&lt;&gt;"",INDEX($AE$2:$AP$440,MATCH($AT99,$AS$2:$AS$440,0),COLUMNS($AT$2:BD99)),"")</f>
        <v>33</v>
      </c>
      <c r="BF99" t="str">
        <f>IF(BE99&lt;&gt;"",INDEX($AE$2:$AP$440,MATCH($AT99,$AS$2:$AS$440,0),COLUMNS($AT$2:BE99)),"")</f>
        <v>Relegated</v>
      </c>
    </row>
    <row r="100" spans="1:58" x14ac:dyDescent="0.25">
      <c r="A100" s="3">
        <v>2004</v>
      </c>
      <c r="B100" s="3">
        <v>19</v>
      </c>
      <c r="C100" s="4" t="s">
        <v>39</v>
      </c>
      <c r="D100" s="3">
        <v>38</v>
      </c>
      <c r="E100" s="3">
        <v>7</v>
      </c>
      <c r="F100" s="3">
        <v>12</v>
      </c>
      <c r="G100" s="3">
        <v>19</v>
      </c>
      <c r="H100" s="3">
        <v>42</v>
      </c>
      <c r="I100" s="3">
        <v>77</v>
      </c>
      <c r="J100" s="3">
        <v>-35</v>
      </c>
      <c r="K100" s="3">
        <v>33</v>
      </c>
      <c r="L100" s="5" t="str">
        <f>IF(Table2[[#This Row],['#]]=1,"Champion", IF(Table2[[#This Row],['#]]&gt;=18,"Relegated",Table2[[#This Row],['#]]))</f>
        <v>Relegated</v>
      </c>
      <c r="N100">
        <f>IF(COUNTIF($O$2:O100,O100)=1,N99+1,N99)</f>
        <v>29</v>
      </c>
      <c r="O100" s="4" t="str">
        <f>Table2[[#This Row],[Team]]</f>
        <v>Norwich City</v>
      </c>
      <c r="P100" s="1" t="str">
        <f>IFERROR(VLOOKUP(ROWS($O$2:O100),$N$2:$O$441,2,0),"")</f>
        <v/>
      </c>
      <c r="Q100" s="1" t="str">
        <f>IF(P100&lt;&gt;"",SUMPRODUCT(--(Table2[Team]=P100)),"")</f>
        <v/>
      </c>
      <c r="R100" s="11" t="str">
        <f>IF(Q100&lt;&gt;"",Q100+ROWS($Q$2:Q100)/100,"")</f>
        <v/>
      </c>
      <c r="S100" t="str">
        <f>IF(R100&lt;&gt;"",LARGE($R$2:$R$441,ROWS($R$2:R100)),"")</f>
        <v/>
      </c>
      <c r="T100" s="1" t="str">
        <f>IF(R100&lt;&gt;"",INDEX($P$2:$Q$441,MATCH($S100,$R$2:$R$441,0),COLUMNS($S$2:S100)),"")</f>
        <v/>
      </c>
      <c r="U100" s="1" t="str">
        <f>IF(S100&lt;&gt;"",INDEX($P$2:$Q$441,MATCH($S100,$R$2:$R$441,0),COLUMNS($S$2:T100)),"")</f>
        <v/>
      </c>
      <c r="AE100" s="1">
        <f>Table2[[#This Row],[Year]]</f>
        <v>2004</v>
      </c>
      <c r="AF100" s="1">
        <f>Table2[[#This Row],['#]]</f>
        <v>19</v>
      </c>
      <c r="AG100" s="1" t="str">
        <f>Table2[[#This Row],[Team]]</f>
        <v>Norwich City</v>
      </c>
      <c r="AH100" s="1">
        <f>Table2[[#This Row],[Pl]]</f>
        <v>38</v>
      </c>
      <c r="AI100" s="1">
        <f>Table2[[#This Row],[W]]</f>
        <v>7</v>
      </c>
      <c r="AJ100" s="1">
        <f>Table2[[#This Row],[D]]</f>
        <v>12</v>
      </c>
      <c r="AK100" s="1">
        <f>Table2[[#This Row],[L]]</f>
        <v>19</v>
      </c>
      <c r="AL100" s="1">
        <f>Table2[[#This Row],[F]]</f>
        <v>42</v>
      </c>
      <c r="AM100" s="1">
        <f>Table2[[#This Row],[A]]</f>
        <v>77</v>
      </c>
      <c r="AN100" s="1">
        <f>Table2[[#This Row],[GD]]</f>
        <v>-35</v>
      </c>
      <c r="AO100" s="1">
        <f>Table2[[#This Row],[Pts]]</f>
        <v>33</v>
      </c>
      <c r="AP100" s="1" t="str">
        <f>Table2[[#This Row],[Column1]]</f>
        <v>Relegated</v>
      </c>
      <c r="AR100" t="b">
        <f t="shared" si="4"/>
        <v>1</v>
      </c>
      <c r="AS100">
        <f>IF(AR100,ROWS($AR$2:AR100),"")</f>
        <v>99</v>
      </c>
      <c r="AT100">
        <f>IFERROR(SMALL($AS$2:$AS$440,ROWS($AS$2:AS100)),"")</f>
        <v>99</v>
      </c>
      <c r="AU100">
        <f>IF(AT100&lt;&gt;"",INDEX($AE$2:$AP$440,MATCH($AT100,$AS$2:$AS$440,0),COLUMNS($AT$2:AT100)),"")</f>
        <v>2004</v>
      </c>
      <c r="AV100">
        <f>IF(AU100&lt;&gt;"",INDEX($AE$2:$AP$440,MATCH($AT100,$AS$2:$AS$440,0),COLUMNS($AT$2:AU100)),"")</f>
        <v>19</v>
      </c>
      <c r="AW100" t="str">
        <f>IF(AV100&lt;&gt;"",INDEX($AE$2:$AP$440,MATCH($AT100,$AS$2:$AS$440,0),COLUMNS($AT$2:AV100)),"")</f>
        <v>Norwich City</v>
      </c>
      <c r="AX100">
        <f>IF(AW100&lt;&gt;"",INDEX($AE$2:$AP$440,MATCH($AT100,$AS$2:$AS$440,0),COLUMNS($AT$2:AW100)),"")</f>
        <v>38</v>
      </c>
      <c r="AY100">
        <f>IF(AX100&lt;&gt;"",INDEX($AE$2:$AP$440,MATCH($AT100,$AS$2:$AS$440,0),COLUMNS($AT$2:AX100)),"")</f>
        <v>7</v>
      </c>
      <c r="AZ100">
        <f>IF(AY100&lt;&gt;"",INDEX($AE$2:$AP$440,MATCH($AT100,$AS$2:$AS$440,0),COLUMNS($AT$2:AY100)),"")</f>
        <v>12</v>
      </c>
      <c r="BA100">
        <f>IF(AZ100&lt;&gt;"",INDEX($AE$2:$AP$440,MATCH($AT100,$AS$2:$AS$440,0),COLUMNS($AT$2:AZ100)),"")</f>
        <v>19</v>
      </c>
      <c r="BB100">
        <f>IF(BA100&lt;&gt;"",INDEX($AE$2:$AP$440,MATCH($AT100,$AS$2:$AS$440,0),COLUMNS($AT$2:BA100)),"")</f>
        <v>42</v>
      </c>
      <c r="BC100">
        <f>IF(BB100&lt;&gt;"",INDEX($AE$2:$AP$440,MATCH($AT100,$AS$2:$AS$440,0),COLUMNS($AT$2:BB100)),"")</f>
        <v>77</v>
      </c>
      <c r="BD100">
        <f>IF(BC100&lt;&gt;"",INDEX($AE$2:$AP$440,MATCH($AT100,$AS$2:$AS$440,0),COLUMNS($AT$2:BC100)),"")</f>
        <v>-35</v>
      </c>
      <c r="BE100">
        <f>IF(BD100&lt;&gt;"",INDEX($AE$2:$AP$440,MATCH($AT100,$AS$2:$AS$440,0),COLUMNS($AT$2:BD100)),"")</f>
        <v>33</v>
      </c>
      <c r="BF100" t="str">
        <f>IF(BE100&lt;&gt;"",INDEX($AE$2:$AP$440,MATCH($AT100,$AS$2:$AS$440,0),COLUMNS($AT$2:BE100)),"")</f>
        <v>Relegated</v>
      </c>
    </row>
    <row r="101" spans="1:58" x14ac:dyDescent="0.25">
      <c r="A101" s="5">
        <v>2004</v>
      </c>
      <c r="B101" s="5">
        <v>20</v>
      </c>
      <c r="C101" s="6" t="s">
        <v>20</v>
      </c>
      <c r="D101" s="5">
        <v>38</v>
      </c>
      <c r="E101" s="5">
        <v>6</v>
      </c>
      <c r="F101" s="5">
        <v>14</v>
      </c>
      <c r="G101" s="5">
        <v>18</v>
      </c>
      <c r="H101" s="5">
        <v>45</v>
      </c>
      <c r="I101" s="5">
        <v>66</v>
      </c>
      <c r="J101" s="5">
        <v>-21</v>
      </c>
      <c r="K101" s="5">
        <v>32</v>
      </c>
      <c r="L101" s="5" t="str">
        <f>IF(Table2[[#This Row],['#]]=1,"Champion", IF(Table2[[#This Row],['#]]&gt;=18,"Relegated",Table2[[#This Row],['#]]))</f>
        <v>Relegated</v>
      </c>
      <c r="N101">
        <f>IF(COUNTIF($O$2:O101,O101)=1,N100+1,N100)</f>
        <v>29</v>
      </c>
      <c r="O101" s="4" t="str">
        <f>Table2[[#This Row],[Team]]</f>
        <v>Southampton</v>
      </c>
      <c r="P101" s="1" t="str">
        <f>IFERROR(VLOOKUP(ROWS($O$2:O101),$N$2:$O$441,2,0),"")</f>
        <v/>
      </c>
      <c r="Q101" s="1" t="str">
        <f>IF(P101&lt;&gt;"",SUMPRODUCT(--(Table2[Team]=P101)),"")</f>
        <v/>
      </c>
      <c r="R101" s="11" t="str">
        <f>IF(Q101&lt;&gt;"",Q101+ROWS($Q$2:Q101)/100,"")</f>
        <v/>
      </c>
      <c r="S101" t="str">
        <f>IF(R101&lt;&gt;"",LARGE($R$2:$R$441,ROWS($R$2:R101)),"")</f>
        <v/>
      </c>
      <c r="T101" s="1" t="str">
        <f>IF(R101&lt;&gt;"",INDEX($P$2:$Q$441,MATCH($S101,$R$2:$R$441,0),COLUMNS($S$2:S101)),"")</f>
        <v/>
      </c>
      <c r="U101" s="1" t="str">
        <f>IF(S101&lt;&gt;"",INDEX($P$2:$Q$441,MATCH($S101,$R$2:$R$441,0),COLUMNS($S$2:T101)),"")</f>
        <v/>
      </c>
      <c r="AE101" s="1">
        <f>Table2[[#This Row],[Year]]</f>
        <v>2004</v>
      </c>
      <c r="AF101" s="1">
        <f>Table2[[#This Row],['#]]</f>
        <v>20</v>
      </c>
      <c r="AG101" s="1" t="str">
        <f>Table2[[#This Row],[Team]]</f>
        <v>Southampton</v>
      </c>
      <c r="AH101" s="1">
        <f>Table2[[#This Row],[Pl]]</f>
        <v>38</v>
      </c>
      <c r="AI101" s="1">
        <f>Table2[[#This Row],[W]]</f>
        <v>6</v>
      </c>
      <c r="AJ101" s="1">
        <f>Table2[[#This Row],[D]]</f>
        <v>14</v>
      </c>
      <c r="AK101" s="1">
        <f>Table2[[#This Row],[L]]</f>
        <v>18</v>
      </c>
      <c r="AL101" s="1">
        <f>Table2[[#This Row],[F]]</f>
        <v>45</v>
      </c>
      <c r="AM101" s="1">
        <f>Table2[[#This Row],[A]]</f>
        <v>66</v>
      </c>
      <c r="AN101" s="1">
        <f>Table2[[#This Row],[GD]]</f>
        <v>-21</v>
      </c>
      <c r="AO101" s="1">
        <f>Table2[[#This Row],[Pts]]</f>
        <v>32</v>
      </c>
      <c r="AP101" s="1" t="str">
        <f>Table2[[#This Row],[Column1]]</f>
        <v>Relegated</v>
      </c>
      <c r="AR101" t="b">
        <f t="shared" si="4"/>
        <v>1</v>
      </c>
      <c r="AS101">
        <f>IF(AR101,ROWS($AR$2:AR101),"")</f>
        <v>100</v>
      </c>
      <c r="AT101">
        <f>IFERROR(SMALL($AS$2:$AS$440,ROWS($AS$2:AS101)),"")</f>
        <v>100</v>
      </c>
      <c r="AU101">
        <f>IF(AT101&lt;&gt;"",INDEX($AE$2:$AP$440,MATCH($AT101,$AS$2:$AS$440,0),COLUMNS($AT$2:AT101)),"")</f>
        <v>2004</v>
      </c>
      <c r="AV101">
        <f>IF(AU101&lt;&gt;"",INDEX($AE$2:$AP$440,MATCH($AT101,$AS$2:$AS$440,0),COLUMNS($AT$2:AU101)),"")</f>
        <v>20</v>
      </c>
      <c r="AW101" t="str">
        <f>IF(AV101&lt;&gt;"",INDEX($AE$2:$AP$440,MATCH($AT101,$AS$2:$AS$440,0),COLUMNS($AT$2:AV101)),"")</f>
        <v>Southampton</v>
      </c>
      <c r="AX101">
        <f>IF(AW101&lt;&gt;"",INDEX($AE$2:$AP$440,MATCH($AT101,$AS$2:$AS$440,0),COLUMNS($AT$2:AW101)),"")</f>
        <v>38</v>
      </c>
      <c r="AY101">
        <f>IF(AX101&lt;&gt;"",INDEX($AE$2:$AP$440,MATCH($AT101,$AS$2:$AS$440,0),COLUMNS($AT$2:AX101)),"")</f>
        <v>6</v>
      </c>
      <c r="AZ101">
        <f>IF(AY101&lt;&gt;"",INDEX($AE$2:$AP$440,MATCH($AT101,$AS$2:$AS$440,0),COLUMNS($AT$2:AY101)),"")</f>
        <v>14</v>
      </c>
      <c r="BA101">
        <f>IF(AZ101&lt;&gt;"",INDEX($AE$2:$AP$440,MATCH($AT101,$AS$2:$AS$440,0),COLUMNS($AT$2:AZ101)),"")</f>
        <v>18</v>
      </c>
      <c r="BB101">
        <f>IF(BA101&lt;&gt;"",INDEX($AE$2:$AP$440,MATCH($AT101,$AS$2:$AS$440,0),COLUMNS($AT$2:BA101)),"")</f>
        <v>45</v>
      </c>
      <c r="BC101">
        <f>IF(BB101&lt;&gt;"",INDEX($AE$2:$AP$440,MATCH($AT101,$AS$2:$AS$440,0),COLUMNS($AT$2:BB101)),"")</f>
        <v>66</v>
      </c>
      <c r="BD101">
        <f>IF(BC101&lt;&gt;"",INDEX($AE$2:$AP$440,MATCH($AT101,$AS$2:$AS$440,0),COLUMNS($AT$2:BC101)),"")</f>
        <v>-21</v>
      </c>
      <c r="BE101">
        <f>IF(BD101&lt;&gt;"",INDEX($AE$2:$AP$440,MATCH($AT101,$AS$2:$AS$440,0),COLUMNS($AT$2:BD101)),"")</f>
        <v>32</v>
      </c>
      <c r="BF101" t="str">
        <f>IF(BE101&lt;&gt;"",INDEX($AE$2:$AP$440,MATCH($AT101,$AS$2:$AS$440,0),COLUMNS($AT$2:BE101)),"")</f>
        <v>Relegated</v>
      </c>
    </row>
    <row r="102" spans="1:58" x14ac:dyDescent="0.25">
      <c r="A102" s="3">
        <v>2005</v>
      </c>
      <c r="B102" s="3">
        <v>1</v>
      </c>
      <c r="C102" s="4" t="s">
        <v>16</v>
      </c>
      <c r="D102" s="3">
        <v>38</v>
      </c>
      <c r="E102" s="3">
        <v>29</v>
      </c>
      <c r="F102" s="3">
        <v>4</v>
      </c>
      <c r="G102" s="3">
        <v>5</v>
      </c>
      <c r="H102" s="3">
        <v>72</v>
      </c>
      <c r="I102" s="3">
        <v>22</v>
      </c>
      <c r="J102" s="3">
        <v>50</v>
      </c>
      <c r="K102" s="3">
        <v>91</v>
      </c>
      <c r="L102" s="5" t="str">
        <f>IF(Table2[[#This Row],['#]]=1,"Champion", IF(Table2[[#This Row],['#]]&gt;=18,"Relegated",Table2[[#This Row],['#]]))</f>
        <v>Champion</v>
      </c>
      <c r="N102">
        <f>IF(COUNTIF($O$2:O102,O102)=1,N101+1,N101)</f>
        <v>29</v>
      </c>
      <c r="O102" s="4" t="str">
        <f>Table2[[#This Row],[Team]]</f>
        <v>Chelsea</v>
      </c>
      <c r="P102" s="1" t="str">
        <f>IFERROR(VLOOKUP(ROWS($O$2:O102),$N$2:$O$441,2,0),"")</f>
        <v/>
      </c>
      <c r="Q102" s="1" t="str">
        <f>IF(P102&lt;&gt;"",SUMPRODUCT(--(Table2[Team]=P102)),"")</f>
        <v/>
      </c>
      <c r="R102" s="11" t="str">
        <f>IF(Q102&lt;&gt;"",Q102+ROWS($Q$2:Q102)/100,"")</f>
        <v/>
      </c>
      <c r="S102" t="str">
        <f>IF(R102&lt;&gt;"",LARGE($R$2:$R$441,ROWS($R$2:R102)),"")</f>
        <v/>
      </c>
      <c r="T102" s="1" t="str">
        <f>IF(R102&lt;&gt;"",INDEX($P$2:$Q$441,MATCH($S102,$R$2:$R$441,0),COLUMNS($S$2:S102)),"")</f>
        <v/>
      </c>
      <c r="U102" s="1" t="str">
        <f>IF(S102&lt;&gt;"",INDEX($P$2:$Q$441,MATCH($S102,$R$2:$R$441,0),COLUMNS($S$2:T102)),"")</f>
        <v/>
      </c>
      <c r="AE102" s="1">
        <f>Table2[[#This Row],[Year]]</f>
        <v>2005</v>
      </c>
      <c r="AF102" s="1">
        <f>Table2[[#This Row],['#]]</f>
        <v>1</v>
      </c>
      <c r="AG102" s="1" t="str">
        <f>Table2[[#This Row],[Team]]</f>
        <v>Chelsea</v>
      </c>
      <c r="AH102" s="1">
        <f>Table2[[#This Row],[Pl]]</f>
        <v>38</v>
      </c>
      <c r="AI102" s="1">
        <f>Table2[[#This Row],[W]]</f>
        <v>29</v>
      </c>
      <c r="AJ102" s="1">
        <f>Table2[[#This Row],[D]]</f>
        <v>4</v>
      </c>
      <c r="AK102" s="1">
        <f>Table2[[#This Row],[L]]</f>
        <v>5</v>
      </c>
      <c r="AL102" s="1">
        <f>Table2[[#This Row],[F]]</f>
        <v>72</v>
      </c>
      <c r="AM102" s="1">
        <f>Table2[[#This Row],[A]]</f>
        <v>22</v>
      </c>
      <c r="AN102" s="1">
        <f>Table2[[#This Row],[GD]]</f>
        <v>50</v>
      </c>
      <c r="AO102" s="1">
        <f>Table2[[#This Row],[Pts]]</f>
        <v>91</v>
      </c>
      <c r="AP102" s="1" t="str">
        <f>Table2[[#This Row],[Column1]]</f>
        <v>Champion</v>
      </c>
      <c r="AR102" t="b">
        <f t="shared" si="4"/>
        <v>1</v>
      </c>
      <c r="AS102">
        <f>IF(AR102,ROWS($AR$2:AR102),"")</f>
        <v>101</v>
      </c>
      <c r="AT102">
        <f>IFERROR(SMALL($AS$2:$AS$440,ROWS($AS$2:AS102)),"")</f>
        <v>101</v>
      </c>
      <c r="AU102">
        <f>IF(AT102&lt;&gt;"",INDEX($AE$2:$AP$440,MATCH($AT102,$AS$2:$AS$440,0),COLUMNS($AT$2:AT102)),"")</f>
        <v>2005</v>
      </c>
      <c r="AV102">
        <f>IF(AU102&lt;&gt;"",INDEX($AE$2:$AP$440,MATCH($AT102,$AS$2:$AS$440,0),COLUMNS($AT$2:AU102)),"")</f>
        <v>1</v>
      </c>
      <c r="AW102" t="str">
        <f>IF(AV102&lt;&gt;"",INDEX($AE$2:$AP$440,MATCH($AT102,$AS$2:$AS$440,0),COLUMNS($AT$2:AV102)),"")</f>
        <v>Chelsea</v>
      </c>
      <c r="AX102">
        <f>IF(AW102&lt;&gt;"",INDEX($AE$2:$AP$440,MATCH($AT102,$AS$2:$AS$440,0),COLUMNS($AT$2:AW102)),"")</f>
        <v>38</v>
      </c>
      <c r="AY102">
        <f>IF(AX102&lt;&gt;"",INDEX($AE$2:$AP$440,MATCH($AT102,$AS$2:$AS$440,0),COLUMNS($AT$2:AX102)),"")</f>
        <v>29</v>
      </c>
      <c r="AZ102">
        <f>IF(AY102&lt;&gt;"",INDEX($AE$2:$AP$440,MATCH($AT102,$AS$2:$AS$440,0),COLUMNS($AT$2:AY102)),"")</f>
        <v>4</v>
      </c>
      <c r="BA102">
        <f>IF(AZ102&lt;&gt;"",INDEX($AE$2:$AP$440,MATCH($AT102,$AS$2:$AS$440,0),COLUMNS($AT$2:AZ102)),"")</f>
        <v>5</v>
      </c>
      <c r="BB102">
        <f>IF(BA102&lt;&gt;"",INDEX($AE$2:$AP$440,MATCH($AT102,$AS$2:$AS$440,0),COLUMNS($AT$2:BA102)),"")</f>
        <v>72</v>
      </c>
      <c r="BC102">
        <f>IF(BB102&lt;&gt;"",INDEX($AE$2:$AP$440,MATCH($AT102,$AS$2:$AS$440,0),COLUMNS($AT$2:BB102)),"")</f>
        <v>22</v>
      </c>
      <c r="BD102">
        <f>IF(BC102&lt;&gt;"",INDEX($AE$2:$AP$440,MATCH($AT102,$AS$2:$AS$440,0),COLUMNS($AT$2:BC102)),"")</f>
        <v>50</v>
      </c>
      <c r="BE102">
        <f>IF(BD102&lt;&gt;"",INDEX($AE$2:$AP$440,MATCH($AT102,$AS$2:$AS$440,0),COLUMNS($AT$2:BD102)),"")</f>
        <v>91</v>
      </c>
      <c r="BF102" t="str">
        <f>IF(BE102&lt;&gt;"",INDEX($AE$2:$AP$440,MATCH($AT102,$AS$2:$AS$440,0),COLUMNS($AT$2:BE102)),"")</f>
        <v>Champion</v>
      </c>
    </row>
    <row r="103" spans="1:58" x14ac:dyDescent="0.25">
      <c r="A103" s="5">
        <v>2005</v>
      </c>
      <c r="B103" s="5">
        <v>2</v>
      </c>
      <c r="C103" s="6" t="s">
        <v>11</v>
      </c>
      <c r="D103" s="5">
        <v>38</v>
      </c>
      <c r="E103" s="5">
        <v>25</v>
      </c>
      <c r="F103" s="5">
        <v>8</v>
      </c>
      <c r="G103" s="5">
        <v>5</v>
      </c>
      <c r="H103" s="5">
        <v>72</v>
      </c>
      <c r="I103" s="5">
        <v>34</v>
      </c>
      <c r="J103" s="5">
        <v>38</v>
      </c>
      <c r="K103" s="5">
        <v>83</v>
      </c>
      <c r="L103" s="5">
        <f>IF(Table2[[#This Row],['#]]=1,"Champion", IF(Table2[[#This Row],['#]]&gt;=18,"Relegated",Table2[[#This Row],['#]]))</f>
        <v>2</v>
      </c>
      <c r="N103">
        <f>IF(COUNTIF($O$2:O103,O103)=1,N102+1,N102)</f>
        <v>29</v>
      </c>
      <c r="O103" s="4" t="str">
        <f>Table2[[#This Row],[Team]]</f>
        <v>Manchester United</v>
      </c>
      <c r="P103" s="1" t="str">
        <f>IFERROR(VLOOKUP(ROWS($O$2:O103),$N$2:$O$441,2,0),"")</f>
        <v/>
      </c>
      <c r="Q103" s="1" t="str">
        <f>IF(P103&lt;&gt;"",SUMPRODUCT(--(Table2[Team]=P103)),"")</f>
        <v/>
      </c>
      <c r="R103" s="11" t="str">
        <f>IF(Q103&lt;&gt;"",Q103+ROWS($Q$2:Q103)/100,"")</f>
        <v/>
      </c>
      <c r="S103" t="str">
        <f>IF(R103&lt;&gt;"",LARGE($R$2:$R$441,ROWS($R$2:R103)),"")</f>
        <v/>
      </c>
      <c r="T103" s="1" t="str">
        <f>IF(R103&lt;&gt;"",INDEX($P$2:$Q$441,MATCH($S103,$R$2:$R$441,0),COLUMNS($S$2:S103)),"")</f>
        <v/>
      </c>
      <c r="U103" s="1" t="str">
        <f>IF(S103&lt;&gt;"",INDEX($P$2:$Q$441,MATCH($S103,$R$2:$R$441,0),COLUMNS($S$2:T103)),"")</f>
        <v/>
      </c>
      <c r="AE103" s="1">
        <f>Table2[[#This Row],[Year]]</f>
        <v>2005</v>
      </c>
      <c r="AF103" s="1">
        <f>Table2[[#This Row],['#]]</f>
        <v>2</v>
      </c>
      <c r="AG103" s="1" t="str">
        <f>Table2[[#This Row],[Team]]</f>
        <v>Manchester United</v>
      </c>
      <c r="AH103" s="1">
        <f>Table2[[#This Row],[Pl]]</f>
        <v>38</v>
      </c>
      <c r="AI103" s="1">
        <f>Table2[[#This Row],[W]]</f>
        <v>25</v>
      </c>
      <c r="AJ103" s="1">
        <f>Table2[[#This Row],[D]]</f>
        <v>8</v>
      </c>
      <c r="AK103" s="1">
        <f>Table2[[#This Row],[L]]</f>
        <v>5</v>
      </c>
      <c r="AL103" s="1">
        <f>Table2[[#This Row],[F]]</f>
        <v>72</v>
      </c>
      <c r="AM103" s="1">
        <f>Table2[[#This Row],[A]]</f>
        <v>34</v>
      </c>
      <c r="AN103" s="1">
        <f>Table2[[#This Row],[GD]]</f>
        <v>38</v>
      </c>
      <c r="AO103" s="1">
        <f>Table2[[#This Row],[Pts]]</f>
        <v>83</v>
      </c>
      <c r="AP103" s="1">
        <f>Table2[[#This Row],[Column1]]</f>
        <v>2</v>
      </c>
      <c r="AR103" t="b">
        <f t="shared" si="4"/>
        <v>1</v>
      </c>
      <c r="AS103">
        <f>IF(AR103,ROWS($AR$2:AR103),"")</f>
        <v>102</v>
      </c>
      <c r="AT103">
        <f>IFERROR(SMALL($AS$2:$AS$440,ROWS($AS$2:AS103)),"")</f>
        <v>102</v>
      </c>
      <c r="AU103">
        <f>IF(AT103&lt;&gt;"",INDEX($AE$2:$AP$440,MATCH($AT103,$AS$2:$AS$440,0),COLUMNS($AT$2:AT103)),"")</f>
        <v>2005</v>
      </c>
      <c r="AV103">
        <f>IF(AU103&lt;&gt;"",INDEX($AE$2:$AP$440,MATCH($AT103,$AS$2:$AS$440,0),COLUMNS($AT$2:AU103)),"")</f>
        <v>2</v>
      </c>
      <c r="AW103" t="str">
        <f>IF(AV103&lt;&gt;"",INDEX($AE$2:$AP$440,MATCH($AT103,$AS$2:$AS$440,0),COLUMNS($AT$2:AV103)),"")</f>
        <v>Manchester United</v>
      </c>
      <c r="AX103">
        <f>IF(AW103&lt;&gt;"",INDEX($AE$2:$AP$440,MATCH($AT103,$AS$2:$AS$440,0),COLUMNS($AT$2:AW103)),"")</f>
        <v>38</v>
      </c>
      <c r="AY103">
        <f>IF(AX103&lt;&gt;"",INDEX($AE$2:$AP$440,MATCH($AT103,$AS$2:$AS$440,0),COLUMNS($AT$2:AX103)),"")</f>
        <v>25</v>
      </c>
      <c r="AZ103">
        <f>IF(AY103&lt;&gt;"",INDEX($AE$2:$AP$440,MATCH($AT103,$AS$2:$AS$440,0),COLUMNS($AT$2:AY103)),"")</f>
        <v>8</v>
      </c>
      <c r="BA103">
        <f>IF(AZ103&lt;&gt;"",INDEX($AE$2:$AP$440,MATCH($AT103,$AS$2:$AS$440,0),COLUMNS($AT$2:AZ103)),"")</f>
        <v>5</v>
      </c>
      <c r="BB103">
        <f>IF(BA103&lt;&gt;"",INDEX($AE$2:$AP$440,MATCH($AT103,$AS$2:$AS$440,0),COLUMNS($AT$2:BA103)),"")</f>
        <v>72</v>
      </c>
      <c r="BC103">
        <f>IF(BB103&lt;&gt;"",INDEX($AE$2:$AP$440,MATCH($AT103,$AS$2:$AS$440,0),COLUMNS($AT$2:BB103)),"")</f>
        <v>34</v>
      </c>
      <c r="BD103">
        <f>IF(BC103&lt;&gt;"",INDEX($AE$2:$AP$440,MATCH($AT103,$AS$2:$AS$440,0),COLUMNS($AT$2:BC103)),"")</f>
        <v>38</v>
      </c>
      <c r="BE103">
        <f>IF(BD103&lt;&gt;"",INDEX($AE$2:$AP$440,MATCH($AT103,$AS$2:$AS$440,0),COLUMNS($AT$2:BD103)),"")</f>
        <v>83</v>
      </c>
      <c r="BF103">
        <f>IF(BE103&lt;&gt;"",INDEX($AE$2:$AP$440,MATCH($AT103,$AS$2:$AS$440,0),COLUMNS($AT$2:BE103)),"")</f>
        <v>2</v>
      </c>
    </row>
    <row r="104" spans="1:58" x14ac:dyDescent="0.25">
      <c r="A104" s="3">
        <v>2005</v>
      </c>
      <c r="B104" s="3">
        <v>3</v>
      </c>
      <c r="C104" s="4" t="s">
        <v>13</v>
      </c>
      <c r="D104" s="3">
        <v>38</v>
      </c>
      <c r="E104" s="3">
        <v>25</v>
      </c>
      <c r="F104" s="3">
        <v>7</v>
      </c>
      <c r="G104" s="3">
        <v>6</v>
      </c>
      <c r="H104" s="3">
        <v>57</v>
      </c>
      <c r="I104" s="3">
        <v>25</v>
      </c>
      <c r="J104" s="3">
        <v>32</v>
      </c>
      <c r="K104" s="3">
        <v>82</v>
      </c>
      <c r="L104" s="5">
        <f>IF(Table2[[#This Row],['#]]=1,"Champion", IF(Table2[[#This Row],['#]]&gt;=18,"Relegated",Table2[[#This Row],['#]]))</f>
        <v>3</v>
      </c>
      <c r="N104">
        <f>IF(COUNTIF($O$2:O104,O104)=1,N103+1,N103)</f>
        <v>29</v>
      </c>
      <c r="O104" s="4" t="str">
        <f>Table2[[#This Row],[Team]]</f>
        <v>Liverpool</v>
      </c>
      <c r="P104" s="1" t="str">
        <f>IFERROR(VLOOKUP(ROWS($O$2:O104),$N$2:$O$441,2,0),"")</f>
        <v/>
      </c>
      <c r="Q104" s="1" t="str">
        <f>IF(P104&lt;&gt;"",SUMPRODUCT(--(Table2[Team]=P104)),"")</f>
        <v/>
      </c>
      <c r="R104" s="11" t="str">
        <f>IF(Q104&lt;&gt;"",Q104+ROWS($Q$2:Q104)/100,"")</f>
        <v/>
      </c>
      <c r="S104" t="str">
        <f>IF(R104&lt;&gt;"",LARGE($R$2:$R$441,ROWS($R$2:R104)),"")</f>
        <v/>
      </c>
      <c r="T104" s="1" t="str">
        <f>IF(R104&lt;&gt;"",INDEX($P$2:$Q$441,MATCH($S104,$R$2:$R$441,0),COLUMNS($S$2:S104)),"")</f>
        <v/>
      </c>
      <c r="U104" s="1" t="str">
        <f>IF(S104&lt;&gt;"",INDEX($P$2:$Q$441,MATCH($S104,$R$2:$R$441,0),COLUMNS($S$2:T104)),"")</f>
        <v/>
      </c>
      <c r="AE104" s="1">
        <f>Table2[[#This Row],[Year]]</f>
        <v>2005</v>
      </c>
      <c r="AF104" s="1">
        <f>Table2[[#This Row],['#]]</f>
        <v>3</v>
      </c>
      <c r="AG104" s="1" t="str">
        <f>Table2[[#This Row],[Team]]</f>
        <v>Liverpool</v>
      </c>
      <c r="AH104" s="1">
        <f>Table2[[#This Row],[Pl]]</f>
        <v>38</v>
      </c>
      <c r="AI104" s="1">
        <f>Table2[[#This Row],[W]]</f>
        <v>25</v>
      </c>
      <c r="AJ104" s="1">
        <f>Table2[[#This Row],[D]]</f>
        <v>7</v>
      </c>
      <c r="AK104" s="1">
        <f>Table2[[#This Row],[L]]</f>
        <v>6</v>
      </c>
      <c r="AL104" s="1">
        <f>Table2[[#This Row],[F]]</f>
        <v>57</v>
      </c>
      <c r="AM104" s="1">
        <f>Table2[[#This Row],[A]]</f>
        <v>25</v>
      </c>
      <c r="AN104" s="1">
        <f>Table2[[#This Row],[GD]]</f>
        <v>32</v>
      </c>
      <c r="AO104" s="1">
        <f>Table2[[#This Row],[Pts]]</f>
        <v>82</v>
      </c>
      <c r="AP104" s="1">
        <f>Table2[[#This Row],[Column1]]</f>
        <v>3</v>
      </c>
      <c r="AR104" t="b">
        <f t="shared" si="4"/>
        <v>1</v>
      </c>
      <c r="AS104">
        <f>IF(AR104,ROWS($AR$2:AR104),"")</f>
        <v>103</v>
      </c>
      <c r="AT104">
        <f>IFERROR(SMALL($AS$2:$AS$440,ROWS($AS$2:AS104)),"")</f>
        <v>103</v>
      </c>
      <c r="AU104">
        <f>IF(AT104&lt;&gt;"",INDEX($AE$2:$AP$440,MATCH($AT104,$AS$2:$AS$440,0),COLUMNS($AT$2:AT104)),"")</f>
        <v>2005</v>
      </c>
      <c r="AV104">
        <f>IF(AU104&lt;&gt;"",INDEX($AE$2:$AP$440,MATCH($AT104,$AS$2:$AS$440,0),COLUMNS($AT$2:AU104)),"")</f>
        <v>3</v>
      </c>
      <c r="AW104" t="str">
        <f>IF(AV104&lt;&gt;"",INDEX($AE$2:$AP$440,MATCH($AT104,$AS$2:$AS$440,0),COLUMNS($AT$2:AV104)),"")</f>
        <v>Liverpool</v>
      </c>
      <c r="AX104">
        <f>IF(AW104&lt;&gt;"",INDEX($AE$2:$AP$440,MATCH($AT104,$AS$2:$AS$440,0),COLUMNS($AT$2:AW104)),"")</f>
        <v>38</v>
      </c>
      <c r="AY104">
        <f>IF(AX104&lt;&gt;"",INDEX($AE$2:$AP$440,MATCH($AT104,$AS$2:$AS$440,0),COLUMNS($AT$2:AX104)),"")</f>
        <v>25</v>
      </c>
      <c r="AZ104">
        <f>IF(AY104&lt;&gt;"",INDEX($AE$2:$AP$440,MATCH($AT104,$AS$2:$AS$440,0),COLUMNS($AT$2:AY104)),"")</f>
        <v>7</v>
      </c>
      <c r="BA104">
        <f>IF(AZ104&lt;&gt;"",INDEX($AE$2:$AP$440,MATCH($AT104,$AS$2:$AS$440,0),COLUMNS($AT$2:AZ104)),"")</f>
        <v>6</v>
      </c>
      <c r="BB104">
        <f>IF(BA104&lt;&gt;"",INDEX($AE$2:$AP$440,MATCH($AT104,$AS$2:$AS$440,0),COLUMNS($AT$2:BA104)),"")</f>
        <v>57</v>
      </c>
      <c r="BC104">
        <f>IF(BB104&lt;&gt;"",INDEX($AE$2:$AP$440,MATCH($AT104,$AS$2:$AS$440,0),COLUMNS($AT$2:BB104)),"")</f>
        <v>25</v>
      </c>
      <c r="BD104">
        <f>IF(BC104&lt;&gt;"",INDEX($AE$2:$AP$440,MATCH($AT104,$AS$2:$AS$440,0),COLUMNS($AT$2:BC104)),"")</f>
        <v>32</v>
      </c>
      <c r="BE104">
        <f>IF(BD104&lt;&gt;"",INDEX($AE$2:$AP$440,MATCH($AT104,$AS$2:$AS$440,0),COLUMNS($AT$2:BD104)),"")</f>
        <v>82</v>
      </c>
      <c r="BF104">
        <f>IF(BE104&lt;&gt;"",INDEX($AE$2:$AP$440,MATCH($AT104,$AS$2:$AS$440,0),COLUMNS($AT$2:BE104)),"")</f>
        <v>3</v>
      </c>
    </row>
    <row r="105" spans="1:58" x14ac:dyDescent="0.25">
      <c r="A105" s="5">
        <v>2005</v>
      </c>
      <c r="B105" s="5">
        <v>4</v>
      </c>
      <c r="C105" s="6" t="s">
        <v>12</v>
      </c>
      <c r="D105" s="5">
        <v>38</v>
      </c>
      <c r="E105" s="5">
        <v>20</v>
      </c>
      <c r="F105" s="5">
        <v>7</v>
      </c>
      <c r="G105" s="5">
        <v>11</v>
      </c>
      <c r="H105" s="5">
        <v>68</v>
      </c>
      <c r="I105" s="5">
        <v>31</v>
      </c>
      <c r="J105" s="5">
        <v>37</v>
      </c>
      <c r="K105" s="5">
        <v>67</v>
      </c>
      <c r="L105" s="5">
        <f>IF(Table2[[#This Row],['#]]=1,"Champion", IF(Table2[[#This Row],['#]]&gt;=18,"Relegated",Table2[[#This Row],['#]]))</f>
        <v>4</v>
      </c>
      <c r="N105">
        <f>IF(COUNTIF($O$2:O105,O105)=1,N104+1,N104)</f>
        <v>29</v>
      </c>
      <c r="O105" s="4" t="str">
        <f>Table2[[#This Row],[Team]]</f>
        <v>Arsenal</v>
      </c>
      <c r="P105" s="1" t="str">
        <f>IFERROR(VLOOKUP(ROWS($O$2:O105),$N$2:$O$441,2,0),"")</f>
        <v/>
      </c>
      <c r="Q105" s="1" t="str">
        <f>IF(P105&lt;&gt;"",SUMPRODUCT(--(Table2[Team]=P105)),"")</f>
        <v/>
      </c>
      <c r="R105" s="11" t="str">
        <f>IF(Q105&lt;&gt;"",Q105+ROWS($Q$2:Q105)/100,"")</f>
        <v/>
      </c>
      <c r="S105" t="str">
        <f>IF(R105&lt;&gt;"",LARGE($R$2:$R$441,ROWS($R$2:R105)),"")</f>
        <v/>
      </c>
      <c r="T105" s="1" t="str">
        <f>IF(R105&lt;&gt;"",INDEX($P$2:$Q$441,MATCH($S105,$R$2:$R$441,0),COLUMNS($S$2:S105)),"")</f>
        <v/>
      </c>
      <c r="U105" s="1" t="str">
        <f>IF(S105&lt;&gt;"",INDEX($P$2:$Q$441,MATCH($S105,$R$2:$R$441,0),COLUMNS($S$2:T105)),"")</f>
        <v/>
      </c>
      <c r="AE105" s="1">
        <f>Table2[[#This Row],[Year]]</f>
        <v>2005</v>
      </c>
      <c r="AF105" s="1">
        <f>Table2[[#This Row],['#]]</f>
        <v>4</v>
      </c>
      <c r="AG105" s="1" t="str">
        <f>Table2[[#This Row],[Team]]</f>
        <v>Arsenal</v>
      </c>
      <c r="AH105" s="1">
        <f>Table2[[#This Row],[Pl]]</f>
        <v>38</v>
      </c>
      <c r="AI105" s="1">
        <f>Table2[[#This Row],[W]]</f>
        <v>20</v>
      </c>
      <c r="AJ105" s="1">
        <f>Table2[[#This Row],[D]]</f>
        <v>7</v>
      </c>
      <c r="AK105" s="1">
        <f>Table2[[#This Row],[L]]</f>
        <v>11</v>
      </c>
      <c r="AL105" s="1">
        <f>Table2[[#This Row],[F]]</f>
        <v>68</v>
      </c>
      <c r="AM105" s="1">
        <f>Table2[[#This Row],[A]]</f>
        <v>31</v>
      </c>
      <c r="AN105" s="1">
        <f>Table2[[#This Row],[GD]]</f>
        <v>37</v>
      </c>
      <c r="AO105" s="1">
        <f>Table2[[#This Row],[Pts]]</f>
        <v>67</v>
      </c>
      <c r="AP105" s="1">
        <f>Table2[[#This Row],[Column1]]</f>
        <v>4</v>
      </c>
      <c r="AR105" t="b">
        <f t="shared" si="4"/>
        <v>1</v>
      </c>
      <c r="AS105">
        <f>IF(AR105,ROWS($AR$2:AR105),"")</f>
        <v>104</v>
      </c>
      <c r="AT105">
        <f>IFERROR(SMALL($AS$2:$AS$440,ROWS($AS$2:AS105)),"")</f>
        <v>104</v>
      </c>
      <c r="AU105">
        <f>IF(AT105&lt;&gt;"",INDEX($AE$2:$AP$440,MATCH($AT105,$AS$2:$AS$440,0),COLUMNS($AT$2:AT105)),"")</f>
        <v>2005</v>
      </c>
      <c r="AV105">
        <f>IF(AU105&lt;&gt;"",INDEX($AE$2:$AP$440,MATCH($AT105,$AS$2:$AS$440,0),COLUMNS($AT$2:AU105)),"")</f>
        <v>4</v>
      </c>
      <c r="AW105" t="str">
        <f>IF(AV105&lt;&gt;"",INDEX($AE$2:$AP$440,MATCH($AT105,$AS$2:$AS$440,0),COLUMNS($AT$2:AV105)),"")</f>
        <v>Arsenal</v>
      </c>
      <c r="AX105">
        <f>IF(AW105&lt;&gt;"",INDEX($AE$2:$AP$440,MATCH($AT105,$AS$2:$AS$440,0),COLUMNS($AT$2:AW105)),"")</f>
        <v>38</v>
      </c>
      <c r="AY105">
        <f>IF(AX105&lt;&gt;"",INDEX($AE$2:$AP$440,MATCH($AT105,$AS$2:$AS$440,0),COLUMNS($AT$2:AX105)),"")</f>
        <v>20</v>
      </c>
      <c r="AZ105">
        <f>IF(AY105&lt;&gt;"",INDEX($AE$2:$AP$440,MATCH($AT105,$AS$2:$AS$440,0),COLUMNS($AT$2:AY105)),"")</f>
        <v>7</v>
      </c>
      <c r="BA105">
        <f>IF(AZ105&lt;&gt;"",INDEX($AE$2:$AP$440,MATCH($AT105,$AS$2:$AS$440,0),COLUMNS($AT$2:AZ105)),"")</f>
        <v>11</v>
      </c>
      <c r="BB105">
        <f>IF(BA105&lt;&gt;"",INDEX($AE$2:$AP$440,MATCH($AT105,$AS$2:$AS$440,0),COLUMNS($AT$2:BA105)),"")</f>
        <v>68</v>
      </c>
      <c r="BC105">
        <f>IF(BB105&lt;&gt;"",INDEX($AE$2:$AP$440,MATCH($AT105,$AS$2:$AS$440,0),COLUMNS($AT$2:BB105)),"")</f>
        <v>31</v>
      </c>
      <c r="BD105">
        <f>IF(BC105&lt;&gt;"",INDEX($AE$2:$AP$440,MATCH($AT105,$AS$2:$AS$440,0),COLUMNS($AT$2:BC105)),"")</f>
        <v>37</v>
      </c>
      <c r="BE105">
        <f>IF(BD105&lt;&gt;"",INDEX($AE$2:$AP$440,MATCH($AT105,$AS$2:$AS$440,0),COLUMNS($AT$2:BD105)),"")</f>
        <v>67</v>
      </c>
      <c r="BF105">
        <f>IF(BE105&lt;&gt;"",INDEX($AE$2:$AP$440,MATCH($AT105,$AS$2:$AS$440,0),COLUMNS($AT$2:BE105)),"")</f>
        <v>4</v>
      </c>
    </row>
    <row r="106" spans="1:58" x14ac:dyDescent="0.25">
      <c r="A106" s="3">
        <v>2005</v>
      </c>
      <c r="B106" s="3">
        <v>5</v>
      </c>
      <c r="C106" s="4" t="s">
        <v>22</v>
      </c>
      <c r="D106" s="3">
        <v>38</v>
      </c>
      <c r="E106" s="3">
        <v>18</v>
      </c>
      <c r="F106" s="3">
        <v>11</v>
      </c>
      <c r="G106" s="3">
        <v>9</v>
      </c>
      <c r="H106" s="3">
        <v>53</v>
      </c>
      <c r="I106" s="3">
        <v>38</v>
      </c>
      <c r="J106" s="3">
        <v>15</v>
      </c>
      <c r="K106" s="3">
        <v>65</v>
      </c>
      <c r="L106" s="5">
        <f>IF(Table2[[#This Row],['#]]=1,"Champion", IF(Table2[[#This Row],['#]]&gt;=18,"Relegated",Table2[[#This Row],['#]]))</f>
        <v>5</v>
      </c>
      <c r="N106">
        <f>IF(COUNTIF($O$2:O106,O106)=1,N105+1,N105)</f>
        <v>29</v>
      </c>
      <c r="O106" s="4" t="str">
        <f>Table2[[#This Row],[Team]]</f>
        <v>Tottenham Hotspur</v>
      </c>
      <c r="P106" s="1" t="str">
        <f>IFERROR(VLOOKUP(ROWS($O$2:O106),$N$2:$O$441,2,0),"")</f>
        <v/>
      </c>
      <c r="Q106" s="1" t="str">
        <f>IF(P106&lt;&gt;"",SUMPRODUCT(--(Table2[Team]=P106)),"")</f>
        <v/>
      </c>
      <c r="R106" s="11" t="str">
        <f>IF(Q106&lt;&gt;"",Q106+ROWS($Q$2:Q106)/100,"")</f>
        <v/>
      </c>
      <c r="S106" t="str">
        <f>IF(R106&lt;&gt;"",LARGE($R$2:$R$441,ROWS($R$2:R106)),"")</f>
        <v/>
      </c>
      <c r="T106" s="1" t="str">
        <f>IF(R106&lt;&gt;"",INDEX($P$2:$Q$441,MATCH($S106,$R$2:$R$441,0),COLUMNS($S$2:S106)),"")</f>
        <v/>
      </c>
      <c r="U106" s="1" t="str">
        <f>IF(S106&lt;&gt;"",INDEX($P$2:$Q$441,MATCH($S106,$R$2:$R$441,0),COLUMNS($S$2:T106)),"")</f>
        <v/>
      </c>
      <c r="AE106" s="1">
        <f>Table2[[#This Row],[Year]]</f>
        <v>2005</v>
      </c>
      <c r="AF106" s="1">
        <f>Table2[[#This Row],['#]]</f>
        <v>5</v>
      </c>
      <c r="AG106" s="1" t="str">
        <f>Table2[[#This Row],[Team]]</f>
        <v>Tottenham Hotspur</v>
      </c>
      <c r="AH106" s="1">
        <f>Table2[[#This Row],[Pl]]</f>
        <v>38</v>
      </c>
      <c r="AI106" s="1">
        <f>Table2[[#This Row],[W]]</f>
        <v>18</v>
      </c>
      <c r="AJ106" s="1">
        <f>Table2[[#This Row],[D]]</f>
        <v>11</v>
      </c>
      <c r="AK106" s="1">
        <f>Table2[[#This Row],[L]]</f>
        <v>9</v>
      </c>
      <c r="AL106" s="1">
        <f>Table2[[#This Row],[F]]</f>
        <v>53</v>
      </c>
      <c r="AM106" s="1">
        <f>Table2[[#This Row],[A]]</f>
        <v>38</v>
      </c>
      <c r="AN106" s="1">
        <f>Table2[[#This Row],[GD]]</f>
        <v>15</v>
      </c>
      <c r="AO106" s="1">
        <f>Table2[[#This Row],[Pts]]</f>
        <v>65</v>
      </c>
      <c r="AP106" s="1">
        <f>Table2[[#This Row],[Column1]]</f>
        <v>5</v>
      </c>
      <c r="AR106" t="b">
        <f t="shared" si="4"/>
        <v>1</v>
      </c>
      <c r="AS106">
        <f>IF(AR106,ROWS($AR$2:AR106),"")</f>
        <v>105</v>
      </c>
      <c r="AT106">
        <f>IFERROR(SMALL($AS$2:$AS$440,ROWS($AS$2:AS106)),"")</f>
        <v>105</v>
      </c>
      <c r="AU106">
        <f>IF(AT106&lt;&gt;"",INDEX($AE$2:$AP$440,MATCH($AT106,$AS$2:$AS$440,0),COLUMNS($AT$2:AT106)),"")</f>
        <v>2005</v>
      </c>
      <c r="AV106">
        <f>IF(AU106&lt;&gt;"",INDEX($AE$2:$AP$440,MATCH($AT106,$AS$2:$AS$440,0),COLUMNS($AT$2:AU106)),"")</f>
        <v>5</v>
      </c>
      <c r="AW106" t="str">
        <f>IF(AV106&lt;&gt;"",INDEX($AE$2:$AP$440,MATCH($AT106,$AS$2:$AS$440,0),COLUMNS($AT$2:AV106)),"")</f>
        <v>Tottenham Hotspur</v>
      </c>
      <c r="AX106">
        <f>IF(AW106&lt;&gt;"",INDEX($AE$2:$AP$440,MATCH($AT106,$AS$2:$AS$440,0),COLUMNS($AT$2:AW106)),"")</f>
        <v>38</v>
      </c>
      <c r="AY106">
        <f>IF(AX106&lt;&gt;"",INDEX($AE$2:$AP$440,MATCH($AT106,$AS$2:$AS$440,0),COLUMNS($AT$2:AX106)),"")</f>
        <v>18</v>
      </c>
      <c r="AZ106">
        <f>IF(AY106&lt;&gt;"",INDEX($AE$2:$AP$440,MATCH($AT106,$AS$2:$AS$440,0),COLUMNS($AT$2:AY106)),"")</f>
        <v>11</v>
      </c>
      <c r="BA106">
        <f>IF(AZ106&lt;&gt;"",INDEX($AE$2:$AP$440,MATCH($AT106,$AS$2:$AS$440,0),COLUMNS($AT$2:AZ106)),"")</f>
        <v>9</v>
      </c>
      <c r="BB106">
        <f>IF(BA106&lt;&gt;"",INDEX($AE$2:$AP$440,MATCH($AT106,$AS$2:$AS$440,0),COLUMNS($AT$2:BA106)),"")</f>
        <v>53</v>
      </c>
      <c r="BC106">
        <f>IF(BB106&lt;&gt;"",INDEX($AE$2:$AP$440,MATCH($AT106,$AS$2:$AS$440,0),COLUMNS($AT$2:BB106)),"")</f>
        <v>38</v>
      </c>
      <c r="BD106">
        <f>IF(BC106&lt;&gt;"",INDEX($AE$2:$AP$440,MATCH($AT106,$AS$2:$AS$440,0),COLUMNS($AT$2:BC106)),"")</f>
        <v>15</v>
      </c>
      <c r="BE106">
        <f>IF(BD106&lt;&gt;"",INDEX($AE$2:$AP$440,MATCH($AT106,$AS$2:$AS$440,0),COLUMNS($AT$2:BD106)),"")</f>
        <v>65</v>
      </c>
      <c r="BF106">
        <f>IF(BE106&lt;&gt;"",INDEX($AE$2:$AP$440,MATCH($AT106,$AS$2:$AS$440,0),COLUMNS($AT$2:BE106)),"")</f>
        <v>5</v>
      </c>
    </row>
    <row r="107" spans="1:58" x14ac:dyDescent="0.25">
      <c r="A107" s="5">
        <v>2005</v>
      </c>
      <c r="B107" s="5">
        <v>6</v>
      </c>
      <c r="C107" s="6" t="s">
        <v>31</v>
      </c>
      <c r="D107" s="5">
        <v>38</v>
      </c>
      <c r="E107" s="5">
        <v>19</v>
      </c>
      <c r="F107" s="5">
        <v>6</v>
      </c>
      <c r="G107" s="5">
        <v>13</v>
      </c>
      <c r="H107" s="5">
        <v>51</v>
      </c>
      <c r="I107" s="5">
        <v>42</v>
      </c>
      <c r="J107" s="5">
        <v>9</v>
      </c>
      <c r="K107" s="5">
        <v>63</v>
      </c>
      <c r="L107" s="5">
        <f>IF(Table2[[#This Row],['#]]=1,"Champion", IF(Table2[[#This Row],['#]]&gt;=18,"Relegated",Table2[[#This Row],['#]]))</f>
        <v>6</v>
      </c>
      <c r="N107">
        <f>IF(COUNTIF($O$2:O107,O107)=1,N106+1,N106)</f>
        <v>29</v>
      </c>
      <c r="O107" s="4" t="str">
        <f>Table2[[#This Row],[Team]]</f>
        <v>Blackburn Rovers</v>
      </c>
      <c r="P107" s="1" t="str">
        <f>IFERROR(VLOOKUP(ROWS($O$2:O107),$N$2:$O$441,2,0),"")</f>
        <v/>
      </c>
      <c r="Q107" s="1" t="str">
        <f>IF(P107&lt;&gt;"",SUMPRODUCT(--(Table2[Team]=P107)),"")</f>
        <v/>
      </c>
      <c r="R107" s="11" t="str">
        <f>IF(Q107&lt;&gt;"",Q107+ROWS($Q$2:Q107)/100,"")</f>
        <v/>
      </c>
      <c r="S107" t="str">
        <f>IF(R107&lt;&gt;"",LARGE($R$2:$R$441,ROWS($R$2:R107)),"")</f>
        <v/>
      </c>
      <c r="T107" s="1" t="str">
        <f>IF(R107&lt;&gt;"",INDEX($P$2:$Q$441,MATCH($S107,$R$2:$R$441,0),COLUMNS($S$2:S107)),"")</f>
        <v/>
      </c>
      <c r="U107" s="1" t="str">
        <f>IF(S107&lt;&gt;"",INDEX($P$2:$Q$441,MATCH($S107,$R$2:$R$441,0),COLUMNS($S$2:T107)),"")</f>
        <v/>
      </c>
      <c r="AE107" s="1">
        <f>Table2[[#This Row],[Year]]</f>
        <v>2005</v>
      </c>
      <c r="AF107" s="1">
        <f>Table2[[#This Row],['#]]</f>
        <v>6</v>
      </c>
      <c r="AG107" s="1" t="str">
        <f>Table2[[#This Row],[Team]]</f>
        <v>Blackburn Rovers</v>
      </c>
      <c r="AH107" s="1">
        <f>Table2[[#This Row],[Pl]]</f>
        <v>38</v>
      </c>
      <c r="AI107" s="1">
        <f>Table2[[#This Row],[W]]</f>
        <v>19</v>
      </c>
      <c r="AJ107" s="1">
        <f>Table2[[#This Row],[D]]</f>
        <v>6</v>
      </c>
      <c r="AK107" s="1">
        <f>Table2[[#This Row],[L]]</f>
        <v>13</v>
      </c>
      <c r="AL107" s="1">
        <f>Table2[[#This Row],[F]]</f>
        <v>51</v>
      </c>
      <c r="AM107" s="1">
        <f>Table2[[#This Row],[A]]</f>
        <v>42</v>
      </c>
      <c r="AN107" s="1">
        <f>Table2[[#This Row],[GD]]</f>
        <v>9</v>
      </c>
      <c r="AO107" s="1">
        <f>Table2[[#This Row],[Pts]]</f>
        <v>63</v>
      </c>
      <c r="AP107" s="1">
        <f>Table2[[#This Row],[Column1]]</f>
        <v>6</v>
      </c>
      <c r="AR107" t="b">
        <f t="shared" si="4"/>
        <v>1</v>
      </c>
      <c r="AS107">
        <f>IF(AR107,ROWS($AR$2:AR107),"")</f>
        <v>106</v>
      </c>
      <c r="AT107">
        <f>IFERROR(SMALL($AS$2:$AS$440,ROWS($AS$2:AS107)),"")</f>
        <v>106</v>
      </c>
      <c r="AU107">
        <f>IF(AT107&lt;&gt;"",INDEX($AE$2:$AP$440,MATCH($AT107,$AS$2:$AS$440,0),COLUMNS($AT$2:AT107)),"")</f>
        <v>2005</v>
      </c>
      <c r="AV107">
        <f>IF(AU107&lt;&gt;"",INDEX($AE$2:$AP$440,MATCH($AT107,$AS$2:$AS$440,0),COLUMNS($AT$2:AU107)),"")</f>
        <v>6</v>
      </c>
      <c r="AW107" t="str">
        <f>IF(AV107&lt;&gt;"",INDEX($AE$2:$AP$440,MATCH($AT107,$AS$2:$AS$440,0),COLUMNS($AT$2:AV107)),"")</f>
        <v>Blackburn Rovers</v>
      </c>
      <c r="AX107">
        <f>IF(AW107&lt;&gt;"",INDEX($AE$2:$AP$440,MATCH($AT107,$AS$2:$AS$440,0),COLUMNS($AT$2:AW107)),"")</f>
        <v>38</v>
      </c>
      <c r="AY107">
        <f>IF(AX107&lt;&gt;"",INDEX($AE$2:$AP$440,MATCH($AT107,$AS$2:$AS$440,0),COLUMNS($AT$2:AX107)),"")</f>
        <v>19</v>
      </c>
      <c r="AZ107">
        <f>IF(AY107&lt;&gt;"",INDEX($AE$2:$AP$440,MATCH($AT107,$AS$2:$AS$440,0),COLUMNS($AT$2:AY107)),"")</f>
        <v>6</v>
      </c>
      <c r="BA107">
        <f>IF(AZ107&lt;&gt;"",INDEX($AE$2:$AP$440,MATCH($AT107,$AS$2:$AS$440,0),COLUMNS($AT$2:AZ107)),"")</f>
        <v>13</v>
      </c>
      <c r="BB107">
        <f>IF(BA107&lt;&gt;"",INDEX($AE$2:$AP$440,MATCH($AT107,$AS$2:$AS$440,0),COLUMNS($AT$2:BA107)),"")</f>
        <v>51</v>
      </c>
      <c r="BC107">
        <f>IF(BB107&lt;&gt;"",INDEX($AE$2:$AP$440,MATCH($AT107,$AS$2:$AS$440,0),COLUMNS($AT$2:BB107)),"")</f>
        <v>42</v>
      </c>
      <c r="BD107">
        <f>IF(BC107&lt;&gt;"",INDEX($AE$2:$AP$440,MATCH($AT107,$AS$2:$AS$440,0),COLUMNS($AT$2:BC107)),"")</f>
        <v>9</v>
      </c>
      <c r="BE107">
        <f>IF(BD107&lt;&gt;"",INDEX($AE$2:$AP$440,MATCH($AT107,$AS$2:$AS$440,0),COLUMNS($AT$2:BD107)),"")</f>
        <v>63</v>
      </c>
      <c r="BF107">
        <f>IF(BE107&lt;&gt;"",INDEX($AE$2:$AP$440,MATCH($AT107,$AS$2:$AS$440,0),COLUMNS($AT$2:BE107)),"")</f>
        <v>6</v>
      </c>
    </row>
    <row r="108" spans="1:58" x14ac:dyDescent="0.25">
      <c r="A108" s="3">
        <v>2005</v>
      </c>
      <c r="B108" s="3">
        <v>7</v>
      </c>
      <c r="C108" s="4" t="s">
        <v>21</v>
      </c>
      <c r="D108" s="3">
        <v>38</v>
      </c>
      <c r="E108" s="3">
        <v>17</v>
      </c>
      <c r="F108" s="3">
        <v>7</v>
      </c>
      <c r="G108" s="3">
        <v>14</v>
      </c>
      <c r="H108" s="3">
        <v>47</v>
      </c>
      <c r="I108" s="3">
        <v>42</v>
      </c>
      <c r="J108" s="3">
        <v>5</v>
      </c>
      <c r="K108" s="3">
        <v>58</v>
      </c>
      <c r="L108" s="5">
        <f>IF(Table2[[#This Row],['#]]=1,"Champion", IF(Table2[[#This Row],['#]]&gt;=18,"Relegated",Table2[[#This Row],['#]]))</f>
        <v>7</v>
      </c>
      <c r="N108">
        <f>IF(COUNTIF($O$2:O108,O108)=1,N107+1,N107)</f>
        <v>29</v>
      </c>
      <c r="O108" s="4" t="str">
        <f>Table2[[#This Row],[Team]]</f>
        <v>Newcastle United</v>
      </c>
      <c r="P108" s="1" t="str">
        <f>IFERROR(VLOOKUP(ROWS($O$2:O108),$N$2:$O$441,2,0),"")</f>
        <v/>
      </c>
      <c r="Q108" s="1" t="str">
        <f>IF(P108&lt;&gt;"",SUMPRODUCT(--(Table2[Team]=P108)),"")</f>
        <v/>
      </c>
      <c r="R108" s="11" t="str">
        <f>IF(Q108&lt;&gt;"",Q108+ROWS($Q$2:Q108)/100,"")</f>
        <v/>
      </c>
      <c r="S108" t="str">
        <f>IF(R108&lt;&gt;"",LARGE($R$2:$R$441,ROWS($R$2:R108)),"")</f>
        <v/>
      </c>
      <c r="T108" s="1" t="str">
        <f>IF(R108&lt;&gt;"",INDEX($P$2:$Q$441,MATCH($S108,$R$2:$R$441,0),COLUMNS($S$2:S108)),"")</f>
        <v/>
      </c>
      <c r="U108" s="1" t="str">
        <f>IF(S108&lt;&gt;"",INDEX($P$2:$Q$441,MATCH($S108,$R$2:$R$441,0),COLUMNS($S$2:T108)),"")</f>
        <v/>
      </c>
      <c r="AE108" s="1">
        <f>Table2[[#This Row],[Year]]</f>
        <v>2005</v>
      </c>
      <c r="AF108" s="1">
        <f>Table2[[#This Row],['#]]</f>
        <v>7</v>
      </c>
      <c r="AG108" s="1" t="str">
        <f>Table2[[#This Row],[Team]]</f>
        <v>Newcastle United</v>
      </c>
      <c r="AH108" s="1">
        <f>Table2[[#This Row],[Pl]]</f>
        <v>38</v>
      </c>
      <c r="AI108" s="1">
        <f>Table2[[#This Row],[W]]</f>
        <v>17</v>
      </c>
      <c r="AJ108" s="1">
        <f>Table2[[#This Row],[D]]</f>
        <v>7</v>
      </c>
      <c r="AK108" s="1">
        <f>Table2[[#This Row],[L]]</f>
        <v>14</v>
      </c>
      <c r="AL108" s="1">
        <f>Table2[[#This Row],[F]]</f>
        <v>47</v>
      </c>
      <c r="AM108" s="1">
        <f>Table2[[#This Row],[A]]</f>
        <v>42</v>
      </c>
      <c r="AN108" s="1">
        <f>Table2[[#This Row],[GD]]</f>
        <v>5</v>
      </c>
      <c r="AO108" s="1">
        <f>Table2[[#This Row],[Pts]]</f>
        <v>58</v>
      </c>
      <c r="AP108" s="1">
        <f>Table2[[#This Row],[Column1]]</f>
        <v>7</v>
      </c>
      <c r="AR108" t="b">
        <f t="shared" si="4"/>
        <v>1</v>
      </c>
      <c r="AS108">
        <f>IF(AR108,ROWS($AR$2:AR108),"")</f>
        <v>107</v>
      </c>
      <c r="AT108">
        <f>IFERROR(SMALL($AS$2:$AS$440,ROWS($AS$2:AS108)),"")</f>
        <v>107</v>
      </c>
      <c r="AU108">
        <f>IF(AT108&lt;&gt;"",INDEX($AE$2:$AP$440,MATCH($AT108,$AS$2:$AS$440,0),COLUMNS($AT$2:AT108)),"")</f>
        <v>2005</v>
      </c>
      <c r="AV108">
        <f>IF(AU108&lt;&gt;"",INDEX($AE$2:$AP$440,MATCH($AT108,$AS$2:$AS$440,0),COLUMNS($AT$2:AU108)),"")</f>
        <v>7</v>
      </c>
      <c r="AW108" t="str">
        <f>IF(AV108&lt;&gt;"",INDEX($AE$2:$AP$440,MATCH($AT108,$AS$2:$AS$440,0),COLUMNS($AT$2:AV108)),"")</f>
        <v>Newcastle United</v>
      </c>
      <c r="AX108">
        <f>IF(AW108&lt;&gt;"",INDEX($AE$2:$AP$440,MATCH($AT108,$AS$2:$AS$440,0),COLUMNS($AT$2:AW108)),"")</f>
        <v>38</v>
      </c>
      <c r="AY108">
        <f>IF(AX108&lt;&gt;"",INDEX($AE$2:$AP$440,MATCH($AT108,$AS$2:$AS$440,0),COLUMNS($AT$2:AX108)),"")</f>
        <v>17</v>
      </c>
      <c r="AZ108">
        <f>IF(AY108&lt;&gt;"",INDEX($AE$2:$AP$440,MATCH($AT108,$AS$2:$AS$440,0),COLUMNS($AT$2:AY108)),"")</f>
        <v>7</v>
      </c>
      <c r="BA108">
        <f>IF(AZ108&lt;&gt;"",INDEX($AE$2:$AP$440,MATCH($AT108,$AS$2:$AS$440,0),COLUMNS($AT$2:AZ108)),"")</f>
        <v>14</v>
      </c>
      <c r="BB108">
        <f>IF(BA108&lt;&gt;"",INDEX($AE$2:$AP$440,MATCH($AT108,$AS$2:$AS$440,0),COLUMNS($AT$2:BA108)),"")</f>
        <v>47</v>
      </c>
      <c r="BC108">
        <f>IF(BB108&lt;&gt;"",INDEX($AE$2:$AP$440,MATCH($AT108,$AS$2:$AS$440,0),COLUMNS($AT$2:BB108)),"")</f>
        <v>42</v>
      </c>
      <c r="BD108">
        <f>IF(BC108&lt;&gt;"",INDEX($AE$2:$AP$440,MATCH($AT108,$AS$2:$AS$440,0),COLUMNS($AT$2:BC108)),"")</f>
        <v>5</v>
      </c>
      <c r="BE108">
        <f>IF(BD108&lt;&gt;"",INDEX($AE$2:$AP$440,MATCH($AT108,$AS$2:$AS$440,0),COLUMNS($AT$2:BD108)),"")</f>
        <v>58</v>
      </c>
      <c r="BF108">
        <f>IF(BE108&lt;&gt;"",INDEX($AE$2:$AP$440,MATCH($AT108,$AS$2:$AS$440,0),COLUMNS($AT$2:BE108)),"")</f>
        <v>7</v>
      </c>
    </row>
    <row r="109" spans="1:58" x14ac:dyDescent="0.25">
      <c r="A109" s="5">
        <v>2005</v>
      </c>
      <c r="B109" s="5">
        <v>8</v>
      </c>
      <c r="C109" s="6" t="s">
        <v>33</v>
      </c>
      <c r="D109" s="5">
        <v>38</v>
      </c>
      <c r="E109" s="5">
        <v>15</v>
      </c>
      <c r="F109" s="5">
        <v>11</v>
      </c>
      <c r="G109" s="5">
        <v>12</v>
      </c>
      <c r="H109" s="5">
        <v>49</v>
      </c>
      <c r="I109" s="5">
        <v>41</v>
      </c>
      <c r="J109" s="5">
        <v>8</v>
      </c>
      <c r="K109" s="5">
        <v>56</v>
      </c>
      <c r="L109" s="5">
        <f>IF(Table2[[#This Row],['#]]=1,"Champion", IF(Table2[[#This Row],['#]]&gt;=18,"Relegated",Table2[[#This Row],['#]]))</f>
        <v>8</v>
      </c>
      <c r="N109">
        <f>IF(COUNTIF($O$2:O109,O109)=1,N108+1,N108)</f>
        <v>29</v>
      </c>
      <c r="O109" s="4" t="str">
        <f>Table2[[#This Row],[Team]]</f>
        <v>Bolton Wanderers</v>
      </c>
      <c r="P109" s="1" t="str">
        <f>IFERROR(VLOOKUP(ROWS($O$2:O109),$N$2:$O$441,2,0),"")</f>
        <v/>
      </c>
      <c r="Q109" s="1" t="str">
        <f>IF(P109&lt;&gt;"",SUMPRODUCT(--(Table2[Team]=P109)),"")</f>
        <v/>
      </c>
      <c r="R109" s="11" t="str">
        <f>IF(Q109&lt;&gt;"",Q109+ROWS($Q$2:Q109)/100,"")</f>
        <v/>
      </c>
      <c r="S109" t="str">
        <f>IF(R109&lt;&gt;"",LARGE($R$2:$R$441,ROWS($R$2:R109)),"")</f>
        <v/>
      </c>
      <c r="T109" s="1" t="str">
        <f>IF(R109&lt;&gt;"",INDEX($P$2:$Q$441,MATCH($S109,$R$2:$R$441,0),COLUMNS($S$2:S109)),"")</f>
        <v/>
      </c>
      <c r="U109" s="1" t="str">
        <f>IF(S109&lt;&gt;"",INDEX($P$2:$Q$441,MATCH($S109,$R$2:$R$441,0),COLUMNS($S$2:T109)),"")</f>
        <v/>
      </c>
      <c r="AE109" s="1">
        <f>Table2[[#This Row],[Year]]</f>
        <v>2005</v>
      </c>
      <c r="AF109" s="1">
        <f>Table2[[#This Row],['#]]</f>
        <v>8</v>
      </c>
      <c r="AG109" s="1" t="str">
        <f>Table2[[#This Row],[Team]]</f>
        <v>Bolton Wanderers</v>
      </c>
      <c r="AH109" s="1">
        <f>Table2[[#This Row],[Pl]]</f>
        <v>38</v>
      </c>
      <c r="AI109" s="1">
        <f>Table2[[#This Row],[W]]</f>
        <v>15</v>
      </c>
      <c r="AJ109" s="1">
        <f>Table2[[#This Row],[D]]</f>
        <v>11</v>
      </c>
      <c r="AK109" s="1">
        <f>Table2[[#This Row],[L]]</f>
        <v>12</v>
      </c>
      <c r="AL109" s="1">
        <f>Table2[[#This Row],[F]]</f>
        <v>49</v>
      </c>
      <c r="AM109" s="1">
        <f>Table2[[#This Row],[A]]</f>
        <v>41</v>
      </c>
      <c r="AN109" s="1">
        <f>Table2[[#This Row],[GD]]</f>
        <v>8</v>
      </c>
      <c r="AO109" s="1">
        <f>Table2[[#This Row],[Pts]]</f>
        <v>56</v>
      </c>
      <c r="AP109" s="1">
        <f>Table2[[#This Row],[Column1]]</f>
        <v>8</v>
      </c>
      <c r="AR109" t="b">
        <f t="shared" si="4"/>
        <v>1</v>
      </c>
      <c r="AS109">
        <f>IF(AR109,ROWS($AR$2:AR109),"")</f>
        <v>108</v>
      </c>
      <c r="AT109">
        <f>IFERROR(SMALL($AS$2:$AS$440,ROWS($AS$2:AS109)),"")</f>
        <v>108</v>
      </c>
      <c r="AU109">
        <f>IF(AT109&lt;&gt;"",INDEX($AE$2:$AP$440,MATCH($AT109,$AS$2:$AS$440,0),COLUMNS($AT$2:AT109)),"")</f>
        <v>2005</v>
      </c>
      <c r="AV109">
        <f>IF(AU109&lt;&gt;"",INDEX($AE$2:$AP$440,MATCH($AT109,$AS$2:$AS$440,0),COLUMNS($AT$2:AU109)),"")</f>
        <v>8</v>
      </c>
      <c r="AW109" t="str">
        <f>IF(AV109&lt;&gt;"",INDEX($AE$2:$AP$440,MATCH($AT109,$AS$2:$AS$440,0),COLUMNS($AT$2:AV109)),"")</f>
        <v>Bolton Wanderers</v>
      </c>
      <c r="AX109">
        <f>IF(AW109&lt;&gt;"",INDEX($AE$2:$AP$440,MATCH($AT109,$AS$2:$AS$440,0),COLUMNS($AT$2:AW109)),"")</f>
        <v>38</v>
      </c>
      <c r="AY109">
        <f>IF(AX109&lt;&gt;"",INDEX($AE$2:$AP$440,MATCH($AT109,$AS$2:$AS$440,0),COLUMNS($AT$2:AX109)),"")</f>
        <v>15</v>
      </c>
      <c r="AZ109">
        <f>IF(AY109&lt;&gt;"",INDEX($AE$2:$AP$440,MATCH($AT109,$AS$2:$AS$440,0),COLUMNS($AT$2:AY109)),"")</f>
        <v>11</v>
      </c>
      <c r="BA109">
        <f>IF(AZ109&lt;&gt;"",INDEX($AE$2:$AP$440,MATCH($AT109,$AS$2:$AS$440,0),COLUMNS($AT$2:AZ109)),"")</f>
        <v>12</v>
      </c>
      <c r="BB109">
        <f>IF(BA109&lt;&gt;"",INDEX($AE$2:$AP$440,MATCH($AT109,$AS$2:$AS$440,0),COLUMNS($AT$2:BA109)),"")</f>
        <v>49</v>
      </c>
      <c r="BC109">
        <f>IF(BB109&lt;&gt;"",INDEX($AE$2:$AP$440,MATCH($AT109,$AS$2:$AS$440,0),COLUMNS($AT$2:BB109)),"")</f>
        <v>41</v>
      </c>
      <c r="BD109">
        <f>IF(BC109&lt;&gt;"",INDEX($AE$2:$AP$440,MATCH($AT109,$AS$2:$AS$440,0),COLUMNS($AT$2:BC109)),"")</f>
        <v>8</v>
      </c>
      <c r="BE109">
        <f>IF(BD109&lt;&gt;"",INDEX($AE$2:$AP$440,MATCH($AT109,$AS$2:$AS$440,0),COLUMNS($AT$2:BD109)),"")</f>
        <v>56</v>
      </c>
      <c r="BF109">
        <f>IF(BE109&lt;&gt;"",INDEX($AE$2:$AP$440,MATCH($AT109,$AS$2:$AS$440,0),COLUMNS($AT$2:BE109)),"")</f>
        <v>8</v>
      </c>
    </row>
    <row r="110" spans="1:58" x14ac:dyDescent="0.25">
      <c r="A110" s="3">
        <v>2005</v>
      </c>
      <c r="B110" s="3">
        <v>9</v>
      </c>
      <c r="C110" s="4" t="s">
        <v>25</v>
      </c>
      <c r="D110" s="3">
        <v>38</v>
      </c>
      <c r="E110" s="3">
        <v>16</v>
      </c>
      <c r="F110" s="3">
        <v>7</v>
      </c>
      <c r="G110" s="3">
        <v>15</v>
      </c>
      <c r="H110" s="3">
        <v>52</v>
      </c>
      <c r="I110" s="3">
        <v>55</v>
      </c>
      <c r="J110" s="3">
        <v>-3</v>
      </c>
      <c r="K110" s="3">
        <v>55</v>
      </c>
      <c r="L110" s="5">
        <f>IF(Table2[[#This Row],['#]]=1,"Champion", IF(Table2[[#This Row],['#]]&gt;=18,"Relegated",Table2[[#This Row],['#]]))</f>
        <v>9</v>
      </c>
      <c r="N110">
        <f>IF(COUNTIF($O$2:O110,O110)=1,N109+1,N109)</f>
        <v>29</v>
      </c>
      <c r="O110" s="4" t="str">
        <f>Table2[[#This Row],[Team]]</f>
        <v>West Ham United</v>
      </c>
      <c r="P110" s="1" t="str">
        <f>IFERROR(VLOOKUP(ROWS($O$2:O110),$N$2:$O$441,2,0),"")</f>
        <v/>
      </c>
      <c r="Q110" s="1" t="str">
        <f>IF(P110&lt;&gt;"",SUMPRODUCT(--(Table2[Team]=P110)),"")</f>
        <v/>
      </c>
      <c r="R110" s="11" t="str">
        <f>IF(Q110&lt;&gt;"",Q110+ROWS($Q$2:Q110)/100,"")</f>
        <v/>
      </c>
      <c r="S110" t="str">
        <f>IF(R110&lt;&gt;"",LARGE($R$2:$R$441,ROWS($R$2:R110)),"")</f>
        <v/>
      </c>
      <c r="T110" s="1" t="str">
        <f>IF(R110&lt;&gt;"",INDEX($P$2:$Q$441,MATCH($S110,$R$2:$R$441,0),COLUMNS($S$2:S110)),"")</f>
        <v/>
      </c>
      <c r="U110" s="1" t="str">
        <f>IF(S110&lt;&gt;"",INDEX($P$2:$Q$441,MATCH($S110,$R$2:$R$441,0),COLUMNS($S$2:T110)),"")</f>
        <v/>
      </c>
      <c r="AE110" s="1">
        <f>Table2[[#This Row],[Year]]</f>
        <v>2005</v>
      </c>
      <c r="AF110" s="1">
        <f>Table2[[#This Row],['#]]</f>
        <v>9</v>
      </c>
      <c r="AG110" s="1" t="str">
        <f>Table2[[#This Row],[Team]]</f>
        <v>West Ham United</v>
      </c>
      <c r="AH110" s="1">
        <f>Table2[[#This Row],[Pl]]</f>
        <v>38</v>
      </c>
      <c r="AI110" s="1">
        <f>Table2[[#This Row],[W]]</f>
        <v>16</v>
      </c>
      <c r="AJ110" s="1">
        <f>Table2[[#This Row],[D]]</f>
        <v>7</v>
      </c>
      <c r="AK110" s="1">
        <f>Table2[[#This Row],[L]]</f>
        <v>15</v>
      </c>
      <c r="AL110" s="1">
        <f>Table2[[#This Row],[F]]</f>
        <v>52</v>
      </c>
      <c r="AM110" s="1">
        <f>Table2[[#This Row],[A]]</f>
        <v>55</v>
      </c>
      <c r="AN110" s="1">
        <f>Table2[[#This Row],[GD]]</f>
        <v>-3</v>
      </c>
      <c r="AO110" s="1">
        <f>Table2[[#This Row],[Pts]]</f>
        <v>55</v>
      </c>
      <c r="AP110" s="1">
        <f>Table2[[#This Row],[Column1]]</f>
        <v>9</v>
      </c>
      <c r="AR110" t="b">
        <f t="shared" si="4"/>
        <v>1</v>
      </c>
      <c r="AS110">
        <f>IF(AR110,ROWS($AR$2:AR110),"")</f>
        <v>109</v>
      </c>
      <c r="AT110">
        <f>IFERROR(SMALL($AS$2:$AS$440,ROWS($AS$2:AS110)),"")</f>
        <v>109</v>
      </c>
      <c r="AU110">
        <f>IF(AT110&lt;&gt;"",INDEX($AE$2:$AP$440,MATCH($AT110,$AS$2:$AS$440,0),COLUMNS($AT$2:AT110)),"")</f>
        <v>2005</v>
      </c>
      <c r="AV110">
        <f>IF(AU110&lt;&gt;"",INDEX($AE$2:$AP$440,MATCH($AT110,$AS$2:$AS$440,0),COLUMNS($AT$2:AU110)),"")</f>
        <v>9</v>
      </c>
      <c r="AW110" t="str">
        <f>IF(AV110&lt;&gt;"",INDEX($AE$2:$AP$440,MATCH($AT110,$AS$2:$AS$440,0),COLUMNS($AT$2:AV110)),"")</f>
        <v>West Ham United</v>
      </c>
      <c r="AX110">
        <f>IF(AW110&lt;&gt;"",INDEX($AE$2:$AP$440,MATCH($AT110,$AS$2:$AS$440,0),COLUMNS($AT$2:AW110)),"")</f>
        <v>38</v>
      </c>
      <c r="AY110">
        <f>IF(AX110&lt;&gt;"",INDEX($AE$2:$AP$440,MATCH($AT110,$AS$2:$AS$440,0),COLUMNS($AT$2:AX110)),"")</f>
        <v>16</v>
      </c>
      <c r="AZ110">
        <f>IF(AY110&lt;&gt;"",INDEX($AE$2:$AP$440,MATCH($AT110,$AS$2:$AS$440,0),COLUMNS($AT$2:AY110)),"")</f>
        <v>7</v>
      </c>
      <c r="BA110">
        <f>IF(AZ110&lt;&gt;"",INDEX($AE$2:$AP$440,MATCH($AT110,$AS$2:$AS$440,0),COLUMNS($AT$2:AZ110)),"")</f>
        <v>15</v>
      </c>
      <c r="BB110">
        <f>IF(BA110&lt;&gt;"",INDEX($AE$2:$AP$440,MATCH($AT110,$AS$2:$AS$440,0),COLUMNS($AT$2:BA110)),"")</f>
        <v>52</v>
      </c>
      <c r="BC110">
        <f>IF(BB110&lt;&gt;"",INDEX($AE$2:$AP$440,MATCH($AT110,$AS$2:$AS$440,0),COLUMNS($AT$2:BB110)),"")</f>
        <v>55</v>
      </c>
      <c r="BD110">
        <f>IF(BC110&lt;&gt;"",INDEX($AE$2:$AP$440,MATCH($AT110,$AS$2:$AS$440,0),COLUMNS($AT$2:BC110)),"")</f>
        <v>-3</v>
      </c>
      <c r="BE110">
        <f>IF(BD110&lt;&gt;"",INDEX($AE$2:$AP$440,MATCH($AT110,$AS$2:$AS$440,0),COLUMNS($AT$2:BD110)),"")</f>
        <v>55</v>
      </c>
      <c r="BF110">
        <f>IF(BE110&lt;&gt;"",INDEX($AE$2:$AP$440,MATCH($AT110,$AS$2:$AS$440,0),COLUMNS($AT$2:BE110)),"")</f>
        <v>9</v>
      </c>
    </row>
    <row r="111" spans="1:58" x14ac:dyDescent="0.25">
      <c r="A111" s="5">
        <v>2005</v>
      </c>
      <c r="B111" s="5">
        <v>10</v>
      </c>
      <c r="C111" s="6" t="s">
        <v>40</v>
      </c>
      <c r="D111" s="5">
        <v>38</v>
      </c>
      <c r="E111" s="5">
        <v>15</v>
      </c>
      <c r="F111" s="5">
        <v>6</v>
      </c>
      <c r="G111" s="5">
        <v>17</v>
      </c>
      <c r="H111" s="5">
        <v>45</v>
      </c>
      <c r="I111" s="5">
        <v>52</v>
      </c>
      <c r="J111" s="5">
        <v>-7</v>
      </c>
      <c r="K111" s="5">
        <v>51</v>
      </c>
      <c r="L111" s="5">
        <f>IF(Table2[[#This Row],['#]]=1,"Champion", IF(Table2[[#This Row],['#]]&gt;=18,"Relegated",Table2[[#This Row],['#]]))</f>
        <v>10</v>
      </c>
      <c r="N111">
        <f>IF(COUNTIF($O$2:O111,O111)=1,N110+1,N110)</f>
        <v>30</v>
      </c>
      <c r="O111" s="4" t="str">
        <f>Table2[[#This Row],[Team]]</f>
        <v>Wigan Athletic</v>
      </c>
      <c r="P111" s="1" t="str">
        <f>IFERROR(VLOOKUP(ROWS($O$2:O111),$N$2:$O$441,2,0),"")</f>
        <v/>
      </c>
      <c r="Q111" s="1" t="str">
        <f>IF(P111&lt;&gt;"",SUMPRODUCT(--(Table2[Team]=P111)),"")</f>
        <v/>
      </c>
      <c r="R111" s="11" t="str">
        <f>IF(Q111&lt;&gt;"",Q111+ROWS($Q$2:Q111)/100,"")</f>
        <v/>
      </c>
      <c r="S111" t="str">
        <f>IF(R111&lt;&gt;"",LARGE($R$2:$R$441,ROWS($R$2:R111)),"")</f>
        <v/>
      </c>
      <c r="T111" s="1" t="str">
        <f>IF(R111&lt;&gt;"",INDEX($P$2:$Q$441,MATCH($S111,$R$2:$R$441,0),COLUMNS($S$2:S111)),"")</f>
        <v/>
      </c>
      <c r="U111" s="1" t="str">
        <f>IF(S111&lt;&gt;"",INDEX($P$2:$Q$441,MATCH($S111,$R$2:$R$441,0),COLUMNS($S$2:T111)),"")</f>
        <v/>
      </c>
      <c r="AE111" s="1">
        <f>Table2[[#This Row],[Year]]</f>
        <v>2005</v>
      </c>
      <c r="AF111" s="1">
        <f>Table2[[#This Row],['#]]</f>
        <v>10</v>
      </c>
      <c r="AG111" s="1" t="str">
        <f>Table2[[#This Row],[Team]]</f>
        <v>Wigan Athletic</v>
      </c>
      <c r="AH111" s="1">
        <f>Table2[[#This Row],[Pl]]</f>
        <v>38</v>
      </c>
      <c r="AI111" s="1">
        <f>Table2[[#This Row],[W]]</f>
        <v>15</v>
      </c>
      <c r="AJ111" s="1">
        <f>Table2[[#This Row],[D]]</f>
        <v>6</v>
      </c>
      <c r="AK111" s="1">
        <f>Table2[[#This Row],[L]]</f>
        <v>17</v>
      </c>
      <c r="AL111" s="1">
        <f>Table2[[#This Row],[F]]</f>
        <v>45</v>
      </c>
      <c r="AM111" s="1">
        <f>Table2[[#This Row],[A]]</f>
        <v>52</v>
      </c>
      <c r="AN111" s="1">
        <f>Table2[[#This Row],[GD]]</f>
        <v>-7</v>
      </c>
      <c r="AO111" s="1">
        <f>Table2[[#This Row],[Pts]]</f>
        <v>51</v>
      </c>
      <c r="AP111" s="1">
        <f>Table2[[#This Row],[Column1]]</f>
        <v>10</v>
      </c>
      <c r="AR111" t="b">
        <f t="shared" si="4"/>
        <v>1</v>
      </c>
      <c r="AS111">
        <f>IF(AR111,ROWS($AR$2:AR111),"")</f>
        <v>110</v>
      </c>
      <c r="AT111">
        <f>IFERROR(SMALL($AS$2:$AS$440,ROWS($AS$2:AS111)),"")</f>
        <v>110</v>
      </c>
      <c r="AU111">
        <f>IF(AT111&lt;&gt;"",INDEX($AE$2:$AP$440,MATCH($AT111,$AS$2:$AS$440,0),COLUMNS($AT$2:AT111)),"")</f>
        <v>2005</v>
      </c>
      <c r="AV111">
        <f>IF(AU111&lt;&gt;"",INDEX($AE$2:$AP$440,MATCH($AT111,$AS$2:$AS$440,0),COLUMNS($AT$2:AU111)),"")</f>
        <v>10</v>
      </c>
      <c r="AW111" t="str">
        <f>IF(AV111&lt;&gt;"",INDEX($AE$2:$AP$440,MATCH($AT111,$AS$2:$AS$440,0),COLUMNS($AT$2:AV111)),"")</f>
        <v>Wigan Athletic</v>
      </c>
      <c r="AX111">
        <f>IF(AW111&lt;&gt;"",INDEX($AE$2:$AP$440,MATCH($AT111,$AS$2:$AS$440,0),COLUMNS($AT$2:AW111)),"")</f>
        <v>38</v>
      </c>
      <c r="AY111">
        <f>IF(AX111&lt;&gt;"",INDEX($AE$2:$AP$440,MATCH($AT111,$AS$2:$AS$440,0),COLUMNS($AT$2:AX111)),"")</f>
        <v>15</v>
      </c>
      <c r="AZ111">
        <f>IF(AY111&lt;&gt;"",INDEX($AE$2:$AP$440,MATCH($AT111,$AS$2:$AS$440,0),COLUMNS($AT$2:AY111)),"")</f>
        <v>6</v>
      </c>
      <c r="BA111">
        <f>IF(AZ111&lt;&gt;"",INDEX($AE$2:$AP$440,MATCH($AT111,$AS$2:$AS$440,0),COLUMNS($AT$2:AZ111)),"")</f>
        <v>17</v>
      </c>
      <c r="BB111">
        <f>IF(BA111&lt;&gt;"",INDEX($AE$2:$AP$440,MATCH($AT111,$AS$2:$AS$440,0),COLUMNS($AT$2:BA111)),"")</f>
        <v>45</v>
      </c>
      <c r="BC111">
        <f>IF(BB111&lt;&gt;"",INDEX($AE$2:$AP$440,MATCH($AT111,$AS$2:$AS$440,0),COLUMNS($AT$2:BB111)),"")</f>
        <v>52</v>
      </c>
      <c r="BD111">
        <f>IF(BC111&lt;&gt;"",INDEX($AE$2:$AP$440,MATCH($AT111,$AS$2:$AS$440,0),COLUMNS($AT$2:BC111)),"")</f>
        <v>-7</v>
      </c>
      <c r="BE111">
        <f>IF(BD111&lt;&gt;"",INDEX($AE$2:$AP$440,MATCH($AT111,$AS$2:$AS$440,0),COLUMNS($AT$2:BD111)),"")</f>
        <v>51</v>
      </c>
      <c r="BF111">
        <f>IF(BE111&lt;&gt;"",INDEX($AE$2:$AP$440,MATCH($AT111,$AS$2:$AS$440,0),COLUMNS($AT$2:BE111)),"")</f>
        <v>10</v>
      </c>
    </row>
    <row r="112" spans="1:58" x14ac:dyDescent="0.25">
      <c r="A112" s="3">
        <v>2005</v>
      </c>
      <c r="B112" s="3">
        <v>11</v>
      </c>
      <c r="C112" s="4" t="s">
        <v>26</v>
      </c>
      <c r="D112" s="3">
        <v>38</v>
      </c>
      <c r="E112" s="3">
        <v>14</v>
      </c>
      <c r="F112" s="3">
        <v>8</v>
      </c>
      <c r="G112" s="3">
        <v>16</v>
      </c>
      <c r="H112" s="3">
        <v>34</v>
      </c>
      <c r="I112" s="3">
        <v>49</v>
      </c>
      <c r="J112" s="3">
        <v>-15</v>
      </c>
      <c r="K112" s="3">
        <v>50</v>
      </c>
      <c r="L112" s="5">
        <f>IF(Table2[[#This Row],['#]]=1,"Champion", IF(Table2[[#This Row],['#]]&gt;=18,"Relegated",Table2[[#This Row],['#]]))</f>
        <v>11</v>
      </c>
      <c r="N112">
        <f>IF(COUNTIF($O$2:O112,O112)=1,N111+1,N111)</f>
        <v>30</v>
      </c>
      <c r="O112" s="4" t="str">
        <f>Table2[[#This Row],[Team]]</f>
        <v>Everton</v>
      </c>
      <c r="P112" s="1" t="str">
        <f>IFERROR(VLOOKUP(ROWS($O$2:O112),$N$2:$O$441,2,0),"")</f>
        <v/>
      </c>
      <c r="Q112" s="1" t="str">
        <f>IF(P112&lt;&gt;"",SUMPRODUCT(--(Table2[Team]=P112)),"")</f>
        <v/>
      </c>
      <c r="R112" s="11" t="str">
        <f>IF(Q112&lt;&gt;"",Q112+ROWS($Q$2:Q112)/100,"")</f>
        <v/>
      </c>
      <c r="S112" t="str">
        <f>IF(R112&lt;&gt;"",LARGE($R$2:$R$441,ROWS($R$2:R112)),"")</f>
        <v/>
      </c>
      <c r="T112" s="1" t="str">
        <f>IF(R112&lt;&gt;"",INDEX($P$2:$Q$441,MATCH($S112,$R$2:$R$441,0),COLUMNS($S$2:S112)),"")</f>
        <v/>
      </c>
      <c r="U112" s="1" t="str">
        <f>IF(S112&lt;&gt;"",INDEX($P$2:$Q$441,MATCH($S112,$R$2:$R$441,0),COLUMNS($S$2:T112)),"")</f>
        <v/>
      </c>
      <c r="AE112" s="1">
        <f>Table2[[#This Row],[Year]]</f>
        <v>2005</v>
      </c>
      <c r="AF112" s="1">
        <f>Table2[[#This Row],['#]]</f>
        <v>11</v>
      </c>
      <c r="AG112" s="1" t="str">
        <f>Table2[[#This Row],[Team]]</f>
        <v>Everton</v>
      </c>
      <c r="AH112" s="1">
        <f>Table2[[#This Row],[Pl]]</f>
        <v>38</v>
      </c>
      <c r="AI112" s="1">
        <f>Table2[[#This Row],[W]]</f>
        <v>14</v>
      </c>
      <c r="AJ112" s="1">
        <f>Table2[[#This Row],[D]]</f>
        <v>8</v>
      </c>
      <c r="AK112" s="1">
        <f>Table2[[#This Row],[L]]</f>
        <v>16</v>
      </c>
      <c r="AL112" s="1">
        <f>Table2[[#This Row],[F]]</f>
        <v>34</v>
      </c>
      <c r="AM112" s="1">
        <f>Table2[[#This Row],[A]]</f>
        <v>49</v>
      </c>
      <c r="AN112" s="1">
        <f>Table2[[#This Row],[GD]]</f>
        <v>-15</v>
      </c>
      <c r="AO112" s="1">
        <f>Table2[[#This Row],[Pts]]</f>
        <v>50</v>
      </c>
      <c r="AP112" s="1">
        <f>Table2[[#This Row],[Column1]]</f>
        <v>11</v>
      </c>
      <c r="AR112" t="b">
        <f t="shared" si="4"/>
        <v>1</v>
      </c>
      <c r="AS112">
        <f>IF(AR112,ROWS($AR$2:AR112),"")</f>
        <v>111</v>
      </c>
      <c r="AT112">
        <f>IFERROR(SMALL($AS$2:$AS$440,ROWS($AS$2:AS112)),"")</f>
        <v>111</v>
      </c>
      <c r="AU112">
        <f>IF(AT112&lt;&gt;"",INDEX($AE$2:$AP$440,MATCH($AT112,$AS$2:$AS$440,0),COLUMNS($AT$2:AT112)),"")</f>
        <v>2005</v>
      </c>
      <c r="AV112">
        <f>IF(AU112&lt;&gt;"",INDEX($AE$2:$AP$440,MATCH($AT112,$AS$2:$AS$440,0),COLUMNS($AT$2:AU112)),"")</f>
        <v>11</v>
      </c>
      <c r="AW112" t="str">
        <f>IF(AV112&lt;&gt;"",INDEX($AE$2:$AP$440,MATCH($AT112,$AS$2:$AS$440,0),COLUMNS($AT$2:AV112)),"")</f>
        <v>Everton</v>
      </c>
      <c r="AX112">
        <f>IF(AW112&lt;&gt;"",INDEX($AE$2:$AP$440,MATCH($AT112,$AS$2:$AS$440,0),COLUMNS($AT$2:AW112)),"")</f>
        <v>38</v>
      </c>
      <c r="AY112">
        <f>IF(AX112&lt;&gt;"",INDEX($AE$2:$AP$440,MATCH($AT112,$AS$2:$AS$440,0),COLUMNS($AT$2:AX112)),"")</f>
        <v>14</v>
      </c>
      <c r="AZ112">
        <f>IF(AY112&lt;&gt;"",INDEX($AE$2:$AP$440,MATCH($AT112,$AS$2:$AS$440,0),COLUMNS($AT$2:AY112)),"")</f>
        <v>8</v>
      </c>
      <c r="BA112">
        <f>IF(AZ112&lt;&gt;"",INDEX($AE$2:$AP$440,MATCH($AT112,$AS$2:$AS$440,0),COLUMNS($AT$2:AZ112)),"")</f>
        <v>16</v>
      </c>
      <c r="BB112">
        <f>IF(BA112&lt;&gt;"",INDEX($AE$2:$AP$440,MATCH($AT112,$AS$2:$AS$440,0),COLUMNS($AT$2:BA112)),"")</f>
        <v>34</v>
      </c>
      <c r="BC112">
        <f>IF(BB112&lt;&gt;"",INDEX($AE$2:$AP$440,MATCH($AT112,$AS$2:$AS$440,0),COLUMNS($AT$2:BB112)),"")</f>
        <v>49</v>
      </c>
      <c r="BD112">
        <f>IF(BC112&lt;&gt;"",INDEX($AE$2:$AP$440,MATCH($AT112,$AS$2:$AS$440,0),COLUMNS($AT$2:BC112)),"")</f>
        <v>-15</v>
      </c>
      <c r="BE112">
        <f>IF(BD112&lt;&gt;"",INDEX($AE$2:$AP$440,MATCH($AT112,$AS$2:$AS$440,0),COLUMNS($AT$2:BD112)),"")</f>
        <v>50</v>
      </c>
      <c r="BF112">
        <f>IF(BE112&lt;&gt;"",INDEX($AE$2:$AP$440,MATCH($AT112,$AS$2:$AS$440,0),COLUMNS($AT$2:BE112)),"")</f>
        <v>11</v>
      </c>
    </row>
    <row r="113" spans="1:58" x14ac:dyDescent="0.25">
      <c r="A113" s="5">
        <v>2005</v>
      </c>
      <c r="B113" s="5">
        <v>12</v>
      </c>
      <c r="C113" s="6" t="s">
        <v>32</v>
      </c>
      <c r="D113" s="5">
        <v>38</v>
      </c>
      <c r="E113" s="5">
        <v>14</v>
      </c>
      <c r="F113" s="5">
        <v>6</v>
      </c>
      <c r="G113" s="5">
        <v>18</v>
      </c>
      <c r="H113" s="5">
        <v>48</v>
      </c>
      <c r="I113" s="5">
        <v>58</v>
      </c>
      <c r="J113" s="5">
        <v>-10</v>
      </c>
      <c r="K113" s="5">
        <v>48</v>
      </c>
      <c r="L113" s="5">
        <f>IF(Table2[[#This Row],['#]]=1,"Champion", IF(Table2[[#This Row],['#]]&gt;=18,"Relegated",Table2[[#This Row],['#]]))</f>
        <v>12</v>
      </c>
      <c r="N113">
        <f>IF(COUNTIF($O$2:O113,O113)=1,N112+1,N112)</f>
        <v>30</v>
      </c>
      <c r="O113" s="4" t="str">
        <f>Table2[[#This Row],[Team]]</f>
        <v>Fulham</v>
      </c>
      <c r="P113" s="1" t="str">
        <f>IFERROR(VLOOKUP(ROWS($O$2:O113),$N$2:$O$441,2,0),"")</f>
        <v/>
      </c>
      <c r="Q113" s="1" t="str">
        <f>IF(P113&lt;&gt;"",SUMPRODUCT(--(Table2[Team]=P113)),"")</f>
        <v/>
      </c>
      <c r="R113" s="11" t="str">
        <f>IF(Q113&lt;&gt;"",Q113+ROWS($Q$2:Q113)/100,"")</f>
        <v/>
      </c>
      <c r="S113" t="str">
        <f>IF(R113&lt;&gt;"",LARGE($R$2:$R$441,ROWS($R$2:R113)),"")</f>
        <v/>
      </c>
      <c r="T113" s="1" t="str">
        <f>IF(R113&lt;&gt;"",INDEX($P$2:$Q$441,MATCH($S113,$R$2:$R$441,0),COLUMNS($S$2:S113)),"")</f>
        <v/>
      </c>
      <c r="U113" s="1" t="str">
        <f>IF(S113&lt;&gt;"",INDEX($P$2:$Q$441,MATCH($S113,$R$2:$R$441,0),COLUMNS($S$2:T113)),"")</f>
        <v/>
      </c>
      <c r="AE113" s="1">
        <f>Table2[[#This Row],[Year]]</f>
        <v>2005</v>
      </c>
      <c r="AF113" s="1">
        <f>Table2[[#This Row],['#]]</f>
        <v>12</v>
      </c>
      <c r="AG113" s="1" t="str">
        <f>Table2[[#This Row],[Team]]</f>
        <v>Fulham</v>
      </c>
      <c r="AH113" s="1">
        <f>Table2[[#This Row],[Pl]]</f>
        <v>38</v>
      </c>
      <c r="AI113" s="1">
        <f>Table2[[#This Row],[W]]</f>
        <v>14</v>
      </c>
      <c r="AJ113" s="1">
        <f>Table2[[#This Row],[D]]</f>
        <v>6</v>
      </c>
      <c r="AK113" s="1">
        <f>Table2[[#This Row],[L]]</f>
        <v>18</v>
      </c>
      <c r="AL113" s="1">
        <f>Table2[[#This Row],[F]]</f>
        <v>48</v>
      </c>
      <c r="AM113" s="1">
        <f>Table2[[#This Row],[A]]</f>
        <v>58</v>
      </c>
      <c r="AN113" s="1">
        <f>Table2[[#This Row],[GD]]</f>
        <v>-10</v>
      </c>
      <c r="AO113" s="1">
        <f>Table2[[#This Row],[Pts]]</f>
        <v>48</v>
      </c>
      <c r="AP113" s="1">
        <f>Table2[[#This Row],[Column1]]</f>
        <v>12</v>
      </c>
      <c r="AR113" t="b">
        <f t="shared" si="4"/>
        <v>1</v>
      </c>
      <c r="AS113">
        <f>IF(AR113,ROWS($AR$2:AR113),"")</f>
        <v>112</v>
      </c>
      <c r="AT113">
        <f>IFERROR(SMALL($AS$2:$AS$440,ROWS($AS$2:AS113)),"")</f>
        <v>112</v>
      </c>
      <c r="AU113">
        <f>IF(AT113&lt;&gt;"",INDEX($AE$2:$AP$440,MATCH($AT113,$AS$2:$AS$440,0),COLUMNS($AT$2:AT113)),"")</f>
        <v>2005</v>
      </c>
      <c r="AV113">
        <f>IF(AU113&lt;&gt;"",INDEX($AE$2:$AP$440,MATCH($AT113,$AS$2:$AS$440,0),COLUMNS($AT$2:AU113)),"")</f>
        <v>12</v>
      </c>
      <c r="AW113" t="str">
        <f>IF(AV113&lt;&gt;"",INDEX($AE$2:$AP$440,MATCH($AT113,$AS$2:$AS$440,0),COLUMNS($AT$2:AV113)),"")</f>
        <v>Fulham</v>
      </c>
      <c r="AX113">
        <f>IF(AW113&lt;&gt;"",INDEX($AE$2:$AP$440,MATCH($AT113,$AS$2:$AS$440,0),COLUMNS($AT$2:AW113)),"")</f>
        <v>38</v>
      </c>
      <c r="AY113">
        <f>IF(AX113&lt;&gt;"",INDEX($AE$2:$AP$440,MATCH($AT113,$AS$2:$AS$440,0),COLUMNS($AT$2:AX113)),"")</f>
        <v>14</v>
      </c>
      <c r="AZ113">
        <f>IF(AY113&lt;&gt;"",INDEX($AE$2:$AP$440,MATCH($AT113,$AS$2:$AS$440,0),COLUMNS($AT$2:AY113)),"")</f>
        <v>6</v>
      </c>
      <c r="BA113">
        <f>IF(AZ113&lt;&gt;"",INDEX($AE$2:$AP$440,MATCH($AT113,$AS$2:$AS$440,0),COLUMNS($AT$2:AZ113)),"")</f>
        <v>18</v>
      </c>
      <c r="BB113">
        <f>IF(BA113&lt;&gt;"",INDEX($AE$2:$AP$440,MATCH($AT113,$AS$2:$AS$440,0),COLUMNS($AT$2:BA113)),"")</f>
        <v>48</v>
      </c>
      <c r="BC113">
        <f>IF(BB113&lt;&gt;"",INDEX($AE$2:$AP$440,MATCH($AT113,$AS$2:$AS$440,0),COLUMNS($AT$2:BB113)),"")</f>
        <v>58</v>
      </c>
      <c r="BD113">
        <f>IF(BC113&lt;&gt;"",INDEX($AE$2:$AP$440,MATCH($AT113,$AS$2:$AS$440,0),COLUMNS($AT$2:BC113)),"")</f>
        <v>-10</v>
      </c>
      <c r="BE113">
        <f>IF(BD113&lt;&gt;"",INDEX($AE$2:$AP$440,MATCH($AT113,$AS$2:$AS$440,0),COLUMNS($AT$2:BD113)),"")</f>
        <v>48</v>
      </c>
      <c r="BF113">
        <f>IF(BE113&lt;&gt;"",INDEX($AE$2:$AP$440,MATCH($AT113,$AS$2:$AS$440,0),COLUMNS($AT$2:BE113)),"")</f>
        <v>12</v>
      </c>
    </row>
    <row r="114" spans="1:58" x14ac:dyDescent="0.25">
      <c r="A114" s="3">
        <v>2005</v>
      </c>
      <c r="B114" s="3">
        <v>13</v>
      </c>
      <c r="C114" s="4" t="s">
        <v>19</v>
      </c>
      <c r="D114" s="3">
        <v>38</v>
      </c>
      <c r="E114" s="3">
        <v>13</v>
      </c>
      <c r="F114" s="3">
        <v>8</v>
      </c>
      <c r="G114" s="3">
        <v>17</v>
      </c>
      <c r="H114" s="3">
        <v>41</v>
      </c>
      <c r="I114" s="3">
        <v>55</v>
      </c>
      <c r="J114" s="3">
        <v>-14</v>
      </c>
      <c r="K114" s="3">
        <v>47</v>
      </c>
      <c r="L114" s="5">
        <f>IF(Table2[[#This Row],['#]]=1,"Champion", IF(Table2[[#This Row],['#]]&gt;=18,"Relegated",Table2[[#This Row],['#]]))</f>
        <v>13</v>
      </c>
      <c r="N114">
        <f>IF(COUNTIF($O$2:O114,O114)=1,N113+1,N113)</f>
        <v>30</v>
      </c>
      <c r="O114" s="4" t="str">
        <f>Table2[[#This Row],[Team]]</f>
        <v>Charlton Athletic</v>
      </c>
      <c r="P114" s="1" t="str">
        <f>IFERROR(VLOOKUP(ROWS($O$2:O114),$N$2:$O$441,2,0),"")</f>
        <v/>
      </c>
      <c r="Q114" s="1" t="str">
        <f>IF(P114&lt;&gt;"",SUMPRODUCT(--(Table2[Team]=P114)),"")</f>
        <v/>
      </c>
      <c r="R114" s="11" t="str">
        <f>IF(Q114&lt;&gt;"",Q114+ROWS($Q$2:Q114)/100,"")</f>
        <v/>
      </c>
      <c r="S114" t="str">
        <f>IF(R114&lt;&gt;"",LARGE($R$2:$R$441,ROWS($R$2:R114)),"")</f>
        <v/>
      </c>
      <c r="T114" s="1" t="str">
        <f>IF(R114&lt;&gt;"",INDEX($P$2:$Q$441,MATCH($S114,$R$2:$R$441,0),COLUMNS($S$2:S114)),"")</f>
        <v/>
      </c>
      <c r="U114" s="1" t="str">
        <f>IF(S114&lt;&gt;"",INDEX($P$2:$Q$441,MATCH($S114,$R$2:$R$441,0),COLUMNS($S$2:T114)),"")</f>
        <v/>
      </c>
      <c r="AE114" s="1">
        <f>Table2[[#This Row],[Year]]</f>
        <v>2005</v>
      </c>
      <c r="AF114" s="1">
        <f>Table2[[#This Row],['#]]</f>
        <v>13</v>
      </c>
      <c r="AG114" s="1" t="str">
        <f>Table2[[#This Row],[Team]]</f>
        <v>Charlton Athletic</v>
      </c>
      <c r="AH114" s="1">
        <f>Table2[[#This Row],[Pl]]</f>
        <v>38</v>
      </c>
      <c r="AI114" s="1">
        <f>Table2[[#This Row],[W]]</f>
        <v>13</v>
      </c>
      <c r="AJ114" s="1">
        <f>Table2[[#This Row],[D]]</f>
        <v>8</v>
      </c>
      <c r="AK114" s="1">
        <f>Table2[[#This Row],[L]]</f>
        <v>17</v>
      </c>
      <c r="AL114" s="1">
        <f>Table2[[#This Row],[F]]</f>
        <v>41</v>
      </c>
      <c r="AM114" s="1">
        <f>Table2[[#This Row],[A]]</f>
        <v>55</v>
      </c>
      <c r="AN114" s="1">
        <f>Table2[[#This Row],[GD]]</f>
        <v>-14</v>
      </c>
      <c r="AO114" s="1">
        <f>Table2[[#This Row],[Pts]]</f>
        <v>47</v>
      </c>
      <c r="AP114" s="1">
        <f>Table2[[#This Row],[Column1]]</f>
        <v>13</v>
      </c>
      <c r="AR114" t="b">
        <f t="shared" si="4"/>
        <v>1</v>
      </c>
      <c r="AS114">
        <f>IF(AR114,ROWS($AR$2:AR114),"")</f>
        <v>113</v>
      </c>
      <c r="AT114">
        <f>IFERROR(SMALL($AS$2:$AS$440,ROWS($AS$2:AS114)),"")</f>
        <v>113</v>
      </c>
      <c r="AU114">
        <f>IF(AT114&lt;&gt;"",INDEX($AE$2:$AP$440,MATCH($AT114,$AS$2:$AS$440,0),COLUMNS($AT$2:AT114)),"")</f>
        <v>2005</v>
      </c>
      <c r="AV114">
        <f>IF(AU114&lt;&gt;"",INDEX($AE$2:$AP$440,MATCH($AT114,$AS$2:$AS$440,0),COLUMNS($AT$2:AU114)),"")</f>
        <v>13</v>
      </c>
      <c r="AW114" t="str">
        <f>IF(AV114&lt;&gt;"",INDEX($AE$2:$AP$440,MATCH($AT114,$AS$2:$AS$440,0),COLUMNS($AT$2:AV114)),"")</f>
        <v>Charlton Athletic</v>
      </c>
      <c r="AX114">
        <f>IF(AW114&lt;&gt;"",INDEX($AE$2:$AP$440,MATCH($AT114,$AS$2:$AS$440,0),COLUMNS($AT$2:AW114)),"")</f>
        <v>38</v>
      </c>
      <c r="AY114">
        <f>IF(AX114&lt;&gt;"",INDEX($AE$2:$AP$440,MATCH($AT114,$AS$2:$AS$440,0),COLUMNS($AT$2:AX114)),"")</f>
        <v>13</v>
      </c>
      <c r="AZ114">
        <f>IF(AY114&lt;&gt;"",INDEX($AE$2:$AP$440,MATCH($AT114,$AS$2:$AS$440,0),COLUMNS($AT$2:AY114)),"")</f>
        <v>8</v>
      </c>
      <c r="BA114">
        <f>IF(AZ114&lt;&gt;"",INDEX($AE$2:$AP$440,MATCH($AT114,$AS$2:$AS$440,0),COLUMNS($AT$2:AZ114)),"")</f>
        <v>17</v>
      </c>
      <c r="BB114">
        <f>IF(BA114&lt;&gt;"",INDEX($AE$2:$AP$440,MATCH($AT114,$AS$2:$AS$440,0),COLUMNS($AT$2:BA114)),"")</f>
        <v>41</v>
      </c>
      <c r="BC114">
        <f>IF(BB114&lt;&gt;"",INDEX($AE$2:$AP$440,MATCH($AT114,$AS$2:$AS$440,0),COLUMNS($AT$2:BB114)),"")</f>
        <v>55</v>
      </c>
      <c r="BD114">
        <f>IF(BC114&lt;&gt;"",INDEX($AE$2:$AP$440,MATCH($AT114,$AS$2:$AS$440,0),COLUMNS($AT$2:BC114)),"")</f>
        <v>-14</v>
      </c>
      <c r="BE114">
        <f>IF(BD114&lt;&gt;"",INDEX($AE$2:$AP$440,MATCH($AT114,$AS$2:$AS$440,0),COLUMNS($AT$2:BD114)),"")</f>
        <v>47</v>
      </c>
      <c r="BF114">
        <f>IF(BE114&lt;&gt;"",INDEX($AE$2:$AP$440,MATCH($AT114,$AS$2:$AS$440,0),COLUMNS($AT$2:BE114)),"")</f>
        <v>13</v>
      </c>
    </row>
    <row r="115" spans="1:58" x14ac:dyDescent="0.25">
      <c r="A115" s="5">
        <v>2005</v>
      </c>
      <c r="B115" s="5">
        <v>14</v>
      </c>
      <c r="C115" s="6" t="s">
        <v>24</v>
      </c>
      <c r="D115" s="5">
        <v>38</v>
      </c>
      <c r="E115" s="5">
        <v>12</v>
      </c>
      <c r="F115" s="5">
        <v>9</v>
      </c>
      <c r="G115" s="5">
        <v>17</v>
      </c>
      <c r="H115" s="5">
        <v>48</v>
      </c>
      <c r="I115" s="5">
        <v>58</v>
      </c>
      <c r="J115" s="5">
        <v>-10</v>
      </c>
      <c r="K115" s="5">
        <v>45</v>
      </c>
      <c r="L115" s="5">
        <f>IF(Table2[[#This Row],['#]]=1,"Champion", IF(Table2[[#This Row],['#]]&gt;=18,"Relegated",Table2[[#This Row],['#]]))</f>
        <v>14</v>
      </c>
      <c r="N115">
        <f>IF(COUNTIF($O$2:O115,O115)=1,N114+1,N114)</f>
        <v>30</v>
      </c>
      <c r="O115" s="4" t="str">
        <f>Table2[[#This Row],[Team]]</f>
        <v>Middlesbrough</v>
      </c>
      <c r="P115" s="1" t="str">
        <f>IFERROR(VLOOKUP(ROWS($O$2:O115),$N$2:$O$441,2,0),"")</f>
        <v/>
      </c>
      <c r="Q115" s="1" t="str">
        <f>IF(P115&lt;&gt;"",SUMPRODUCT(--(Table2[Team]=P115)),"")</f>
        <v/>
      </c>
      <c r="R115" s="11" t="str">
        <f>IF(Q115&lt;&gt;"",Q115+ROWS($Q$2:Q115)/100,"")</f>
        <v/>
      </c>
      <c r="S115" t="str">
        <f>IF(R115&lt;&gt;"",LARGE($R$2:$R$441,ROWS($R$2:R115)),"")</f>
        <v/>
      </c>
      <c r="T115" s="1" t="str">
        <f>IF(R115&lt;&gt;"",INDEX($P$2:$Q$441,MATCH($S115,$R$2:$R$441,0),COLUMNS($S$2:S115)),"")</f>
        <v/>
      </c>
      <c r="U115" s="1" t="str">
        <f>IF(S115&lt;&gt;"",INDEX($P$2:$Q$441,MATCH($S115,$R$2:$R$441,0),COLUMNS($S$2:T115)),"")</f>
        <v/>
      </c>
      <c r="AE115" s="1">
        <f>Table2[[#This Row],[Year]]</f>
        <v>2005</v>
      </c>
      <c r="AF115" s="1">
        <f>Table2[[#This Row],['#]]</f>
        <v>14</v>
      </c>
      <c r="AG115" s="1" t="str">
        <f>Table2[[#This Row],[Team]]</f>
        <v>Middlesbrough</v>
      </c>
      <c r="AH115" s="1">
        <f>Table2[[#This Row],[Pl]]</f>
        <v>38</v>
      </c>
      <c r="AI115" s="1">
        <f>Table2[[#This Row],[W]]</f>
        <v>12</v>
      </c>
      <c r="AJ115" s="1">
        <f>Table2[[#This Row],[D]]</f>
        <v>9</v>
      </c>
      <c r="AK115" s="1">
        <f>Table2[[#This Row],[L]]</f>
        <v>17</v>
      </c>
      <c r="AL115" s="1">
        <f>Table2[[#This Row],[F]]</f>
        <v>48</v>
      </c>
      <c r="AM115" s="1">
        <f>Table2[[#This Row],[A]]</f>
        <v>58</v>
      </c>
      <c r="AN115" s="1">
        <f>Table2[[#This Row],[GD]]</f>
        <v>-10</v>
      </c>
      <c r="AO115" s="1">
        <f>Table2[[#This Row],[Pts]]</f>
        <v>45</v>
      </c>
      <c r="AP115" s="1">
        <f>Table2[[#This Row],[Column1]]</f>
        <v>14</v>
      </c>
      <c r="AR115" t="b">
        <f t="shared" si="4"/>
        <v>1</v>
      </c>
      <c r="AS115">
        <f>IF(AR115,ROWS($AR$2:AR115),"")</f>
        <v>114</v>
      </c>
      <c r="AT115">
        <f>IFERROR(SMALL($AS$2:$AS$440,ROWS($AS$2:AS115)),"")</f>
        <v>114</v>
      </c>
      <c r="AU115">
        <f>IF(AT115&lt;&gt;"",INDEX($AE$2:$AP$440,MATCH($AT115,$AS$2:$AS$440,0),COLUMNS($AT$2:AT115)),"")</f>
        <v>2005</v>
      </c>
      <c r="AV115">
        <f>IF(AU115&lt;&gt;"",INDEX($AE$2:$AP$440,MATCH($AT115,$AS$2:$AS$440,0),COLUMNS($AT$2:AU115)),"")</f>
        <v>14</v>
      </c>
      <c r="AW115" t="str">
        <f>IF(AV115&lt;&gt;"",INDEX($AE$2:$AP$440,MATCH($AT115,$AS$2:$AS$440,0),COLUMNS($AT$2:AV115)),"")</f>
        <v>Middlesbrough</v>
      </c>
      <c r="AX115">
        <f>IF(AW115&lt;&gt;"",INDEX($AE$2:$AP$440,MATCH($AT115,$AS$2:$AS$440,0),COLUMNS($AT$2:AW115)),"")</f>
        <v>38</v>
      </c>
      <c r="AY115">
        <f>IF(AX115&lt;&gt;"",INDEX($AE$2:$AP$440,MATCH($AT115,$AS$2:$AS$440,0),COLUMNS($AT$2:AX115)),"")</f>
        <v>12</v>
      </c>
      <c r="AZ115">
        <f>IF(AY115&lt;&gt;"",INDEX($AE$2:$AP$440,MATCH($AT115,$AS$2:$AS$440,0),COLUMNS($AT$2:AY115)),"")</f>
        <v>9</v>
      </c>
      <c r="BA115">
        <f>IF(AZ115&lt;&gt;"",INDEX($AE$2:$AP$440,MATCH($AT115,$AS$2:$AS$440,0),COLUMNS($AT$2:AZ115)),"")</f>
        <v>17</v>
      </c>
      <c r="BB115">
        <f>IF(BA115&lt;&gt;"",INDEX($AE$2:$AP$440,MATCH($AT115,$AS$2:$AS$440,0),COLUMNS($AT$2:BA115)),"")</f>
        <v>48</v>
      </c>
      <c r="BC115">
        <f>IF(BB115&lt;&gt;"",INDEX($AE$2:$AP$440,MATCH($AT115,$AS$2:$AS$440,0),COLUMNS($AT$2:BB115)),"")</f>
        <v>58</v>
      </c>
      <c r="BD115">
        <f>IF(BC115&lt;&gt;"",INDEX($AE$2:$AP$440,MATCH($AT115,$AS$2:$AS$440,0),COLUMNS($AT$2:BC115)),"")</f>
        <v>-10</v>
      </c>
      <c r="BE115">
        <f>IF(BD115&lt;&gt;"",INDEX($AE$2:$AP$440,MATCH($AT115,$AS$2:$AS$440,0),COLUMNS($AT$2:BD115)),"")</f>
        <v>45</v>
      </c>
      <c r="BF115">
        <f>IF(BE115&lt;&gt;"",INDEX($AE$2:$AP$440,MATCH($AT115,$AS$2:$AS$440,0),COLUMNS($AT$2:BE115)),"")</f>
        <v>14</v>
      </c>
    </row>
    <row r="116" spans="1:58" x14ac:dyDescent="0.25">
      <c r="A116" s="3">
        <v>2005</v>
      </c>
      <c r="B116" s="3">
        <v>15</v>
      </c>
      <c r="C116" s="4" t="s">
        <v>28</v>
      </c>
      <c r="D116" s="3">
        <v>38</v>
      </c>
      <c r="E116" s="3">
        <v>13</v>
      </c>
      <c r="F116" s="3">
        <v>4</v>
      </c>
      <c r="G116" s="3">
        <v>21</v>
      </c>
      <c r="H116" s="3">
        <v>43</v>
      </c>
      <c r="I116" s="3">
        <v>48</v>
      </c>
      <c r="J116" s="3">
        <v>-5</v>
      </c>
      <c r="K116" s="3">
        <v>43</v>
      </c>
      <c r="L116" s="5">
        <f>IF(Table2[[#This Row],['#]]=1,"Champion", IF(Table2[[#This Row],['#]]&gt;=18,"Relegated",Table2[[#This Row],['#]]))</f>
        <v>15</v>
      </c>
      <c r="N116">
        <f>IF(COUNTIF($O$2:O116,O116)=1,N115+1,N115)</f>
        <v>30</v>
      </c>
      <c r="O116" s="4" t="str">
        <f>Table2[[#This Row],[Team]]</f>
        <v>Manchester City</v>
      </c>
      <c r="P116" s="1" t="str">
        <f>IFERROR(VLOOKUP(ROWS($O$2:O116),$N$2:$O$441,2,0),"")</f>
        <v/>
      </c>
      <c r="Q116" s="1" t="str">
        <f>IF(P116&lt;&gt;"",SUMPRODUCT(--(Table2[Team]=P116)),"")</f>
        <v/>
      </c>
      <c r="R116" s="11" t="str">
        <f>IF(Q116&lt;&gt;"",Q116+ROWS($Q$2:Q116)/100,"")</f>
        <v/>
      </c>
      <c r="S116" t="str">
        <f>IF(R116&lt;&gt;"",LARGE($R$2:$R$441,ROWS($R$2:R116)),"")</f>
        <v/>
      </c>
      <c r="T116" s="1" t="str">
        <f>IF(R116&lt;&gt;"",INDEX($P$2:$Q$441,MATCH($S116,$R$2:$R$441,0),COLUMNS($S$2:S116)),"")</f>
        <v/>
      </c>
      <c r="U116" s="1" t="str">
        <f>IF(S116&lt;&gt;"",INDEX($P$2:$Q$441,MATCH($S116,$R$2:$R$441,0),COLUMNS($S$2:T116)),"")</f>
        <v/>
      </c>
      <c r="AE116" s="1">
        <f>Table2[[#This Row],[Year]]</f>
        <v>2005</v>
      </c>
      <c r="AF116" s="1">
        <f>Table2[[#This Row],['#]]</f>
        <v>15</v>
      </c>
      <c r="AG116" s="1" t="str">
        <f>Table2[[#This Row],[Team]]</f>
        <v>Manchester City</v>
      </c>
      <c r="AH116" s="1">
        <f>Table2[[#This Row],[Pl]]</f>
        <v>38</v>
      </c>
      <c r="AI116" s="1">
        <f>Table2[[#This Row],[W]]</f>
        <v>13</v>
      </c>
      <c r="AJ116" s="1">
        <f>Table2[[#This Row],[D]]</f>
        <v>4</v>
      </c>
      <c r="AK116" s="1">
        <f>Table2[[#This Row],[L]]</f>
        <v>21</v>
      </c>
      <c r="AL116" s="1">
        <f>Table2[[#This Row],[F]]</f>
        <v>43</v>
      </c>
      <c r="AM116" s="1">
        <f>Table2[[#This Row],[A]]</f>
        <v>48</v>
      </c>
      <c r="AN116" s="1">
        <f>Table2[[#This Row],[GD]]</f>
        <v>-5</v>
      </c>
      <c r="AO116" s="1">
        <f>Table2[[#This Row],[Pts]]</f>
        <v>43</v>
      </c>
      <c r="AP116" s="1">
        <f>Table2[[#This Row],[Column1]]</f>
        <v>15</v>
      </c>
      <c r="AR116" t="b">
        <f t="shared" si="4"/>
        <v>1</v>
      </c>
      <c r="AS116">
        <f>IF(AR116,ROWS($AR$2:AR116),"")</f>
        <v>115</v>
      </c>
      <c r="AT116">
        <f>IFERROR(SMALL($AS$2:$AS$440,ROWS($AS$2:AS116)),"")</f>
        <v>115</v>
      </c>
      <c r="AU116">
        <f>IF(AT116&lt;&gt;"",INDEX($AE$2:$AP$440,MATCH($AT116,$AS$2:$AS$440,0),COLUMNS($AT$2:AT116)),"")</f>
        <v>2005</v>
      </c>
      <c r="AV116">
        <f>IF(AU116&lt;&gt;"",INDEX($AE$2:$AP$440,MATCH($AT116,$AS$2:$AS$440,0),COLUMNS($AT$2:AU116)),"")</f>
        <v>15</v>
      </c>
      <c r="AW116" t="str">
        <f>IF(AV116&lt;&gt;"",INDEX($AE$2:$AP$440,MATCH($AT116,$AS$2:$AS$440,0),COLUMNS($AT$2:AV116)),"")</f>
        <v>Manchester City</v>
      </c>
      <c r="AX116">
        <f>IF(AW116&lt;&gt;"",INDEX($AE$2:$AP$440,MATCH($AT116,$AS$2:$AS$440,0),COLUMNS($AT$2:AW116)),"")</f>
        <v>38</v>
      </c>
      <c r="AY116">
        <f>IF(AX116&lt;&gt;"",INDEX($AE$2:$AP$440,MATCH($AT116,$AS$2:$AS$440,0),COLUMNS($AT$2:AX116)),"")</f>
        <v>13</v>
      </c>
      <c r="AZ116">
        <f>IF(AY116&lt;&gt;"",INDEX($AE$2:$AP$440,MATCH($AT116,$AS$2:$AS$440,0),COLUMNS($AT$2:AY116)),"")</f>
        <v>4</v>
      </c>
      <c r="BA116">
        <f>IF(AZ116&lt;&gt;"",INDEX($AE$2:$AP$440,MATCH($AT116,$AS$2:$AS$440,0),COLUMNS($AT$2:AZ116)),"")</f>
        <v>21</v>
      </c>
      <c r="BB116">
        <f>IF(BA116&lt;&gt;"",INDEX($AE$2:$AP$440,MATCH($AT116,$AS$2:$AS$440,0),COLUMNS($AT$2:BA116)),"")</f>
        <v>43</v>
      </c>
      <c r="BC116">
        <f>IF(BB116&lt;&gt;"",INDEX($AE$2:$AP$440,MATCH($AT116,$AS$2:$AS$440,0),COLUMNS($AT$2:BB116)),"")</f>
        <v>48</v>
      </c>
      <c r="BD116">
        <f>IF(BC116&lt;&gt;"",INDEX($AE$2:$AP$440,MATCH($AT116,$AS$2:$AS$440,0),COLUMNS($AT$2:BC116)),"")</f>
        <v>-5</v>
      </c>
      <c r="BE116">
        <f>IF(BD116&lt;&gt;"",INDEX($AE$2:$AP$440,MATCH($AT116,$AS$2:$AS$440,0),COLUMNS($AT$2:BD116)),"")</f>
        <v>43</v>
      </c>
      <c r="BF116">
        <f>IF(BE116&lt;&gt;"",INDEX($AE$2:$AP$440,MATCH($AT116,$AS$2:$AS$440,0),COLUMNS($AT$2:BE116)),"")</f>
        <v>15</v>
      </c>
    </row>
    <row r="117" spans="1:58" x14ac:dyDescent="0.25">
      <c r="A117" s="5">
        <v>2005</v>
      </c>
      <c r="B117" s="5">
        <v>16</v>
      </c>
      <c r="C117" s="6" t="s">
        <v>18</v>
      </c>
      <c r="D117" s="5">
        <v>38</v>
      </c>
      <c r="E117" s="5">
        <v>10</v>
      </c>
      <c r="F117" s="5">
        <v>12</v>
      </c>
      <c r="G117" s="5">
        <v>16</v>
      </c>
      <c r="H117" s="5">
        <v>42</v>
      </c>
      <c r="I117" s="5">
        <v>55</v>
      </c>
      <c r="J117" s="5">
        <v>-13</v>
      </c>
      <c r="K117" s="5">
        <v>42</v>
      </c>
      <c r="L117" s="5">
        <f>IF(Table2[[#This Row],['#]]=1,"Champion", IF(Table2[[#This Row],['#]]&gt;=18,"Relegated",Table2[[#This Row],['#]]))</f>
        <v>16</v>
      </c>
      <c r="N117">
        <f>IF(COUNTIF($O$2:O117,O117)=1,N116+1,N116)</f>
        <v>30</v>
      </c>
      <c r="O117" s="4" t="str">
        <f>Table2[[#This Row],[Team]]</f>
        <v>Aston Villa</v>
      </c>
      <c r="P117" s="1" t="str">
        <f>IFERROR(VLOOKUP(ROWS($O$2:O117),$N$2:$O$441,2,0),"")</f>
        <v/>
      </c>
      <c r="Q117" s="1" t="str">
        <f>IF(P117&lt;&gt;"",SUMPRODUCT(--(Table2[Team]=P117)),"")</f>
        <v/>
      </c>
      <c r="R117" s="11" t="str">
        <f>IF(Q117&lt;&gt;"",Q117+ROWS($Q$2:Q117)/100,"")</f>
        <v/>
      </c>
      <c r="S117" t="str">
        <f>IF(R117&lt;&gt;"",LARGE($R$2:$R$441,ROWS($R$2:R117)),"")</f>
        <v/>
      </c>
      <c r="T117" s="1" t="str">
        <f>IF(R117&lt;&gt;"",INDEX($P$2:$Q$441,MATCH($S117,$R$2:$R$441,0),COLUMNS($S$2:S117)),"")</f>
        <v/>
      </c>
      <c r="U117" s="1" t="str">
        <f>IF(S117&lt;&gt;"",INDEX($P$2:$Q$441,MATCH($S117,$R$2:$R$441,0),COLUMNS($S$2:T117)),"")</f>
        <v/>
      </c>
      <c r="AE117" s="1">
        <f>Table2[[#This Row],[Year]]</f>
        <v>2005</v>
      </c>
      <c r="AF117" s="1">
        <f>Table2[[#This Row],['#]]</f>
        <v>16</v>
      </c>
      <c r="AG117" s="1" t="str">
        <f>Table2[[#This Row],[Team]]</f>
        <v>Aston Villa</v>
      </c>
      <c r="AH117" s="1">
        <f>Table2[[#This Row],[Pl]]</f>
        <v>38</v>
      </c>
      <c r="AI117" s="1">
        <f>Table2[[#This Row],[W]]</f>
        <v>10</v>
      </c>
      <c r="AJ117" s="1">
        <f>Table2[[#This Row],[D]]</f>
        <v>12</v>
      </c>
      <c r="AK117" s="1">
        <f>Table2[[#This Row],[L]]</f>
        <v>16</v>
      </c>
      <c r="AL117" s="1">
        <f>Table2[[#This Row],[F]]</f>
        <v>42</v>
      </c>
      <c r="AM117" s="1">
        <f>Table2[[#This Row],[A]]</f>
        <v>55</v>
      </c>
      <c r="AN117" s="1">
        <f>Table2[[#This Row],[GD]]</f>
        <v>-13</v>
      </c>
      <c r="AO117" s="1">
        <f>Table2[[#This Row],[Pts]]</f>
        <v>42</v>
      </c>
      <c r="AP117" s="1">
        <f>Table2[[#This Row],[Column1]]</f>
        <v>16</v>
      </c>
      <c r="AR117" t="b">
        <f t="shared" si="4"/>
        <v>1</v>
      </c>
      <c r="AS117">
        <f>IF(AR117,ROWS($AR$2:AR117),"")</f>
        <v>116</v>
      </c>
      <c r="AT117">
        <f>IFERROR(SMALL($AS$2:$AS$440,ROWS($AS$2:AS117)),"")</f>
        <v>116</v>
      </c>
      <c r="AU117">
        <f>IF(AT117&lt;&gt;"",INDEX($AE$2:$AP$440,MATCH($AT117,$AS$2:$AS$440,0),COLUMNS($AT$2:AT117)),"")</f>
        <v>2005</v>
      </c>
      <c r="AV117">
        <f>IF(AU117&lt;&gt;"",INDEX($AE$2:$AP$440,MATCH($AT117,$AS$2:$AS$440,0),COLUMNS($AT$2:AU117)),"")</f>
        <v>16</v>
      </c>
      <c r="AW117" t="str">
        <f>IF(AV117&lt;&gt;"",INDEX($AE$2:$AP$440,MATCH($AT117,$AS$2:$AS$440,0),COLUMNS($AT$2:AV117)),"")</f>
        <v>Aston Villa</v>
      </c>
      <c r="AX117">
        <f>IF(AW117&lt;&gt;"",INDEX($AE$2:$AP$440,MATCH($AT117,$AS$2:$AS$440,0),COLUMNS($AT$2:AW117)),"")</f>
        <v>38</v>
      </c>
      <c r="AY117">
        <f>IF(AX117&lt;&gt;"",INDEX($AE$2:$AP$440,MATCH($AT117,$AS$2:$AS$440,0),COLUMNS($AT$2:AX117)),"")</f>
        <v>10</v>
      </c>
      <c r="AZ117">
        <f>IF(AY117&lt;&gt;"",INDEX($AE$2:$AP$440,MATCH($AT117,$AS$2:$AS$440,0),COLUMNS($AT$2:AY117)),"")</f>
        <v>12</v>
      </c>
      <c r="BA117">
        <f>IF(AZ117&lt;&gt;"",INDEX($AE$2:$AP$440,MATCH($AT117,$AS$2:$AS$440,0),COLUMNS($AT$2:AZ117)),"")</f>
        <v>16</v>
      </c>
      <c r="BB117">
        <f>IF(BA117&lt;&gt;"",INDEX($AE$2:$AP$440,MATCH($AT117,$AS$2:$AS$440,0),COLUMNS($AT$2:BA117)),"")</f>
        <v>42</v>
      </c>
      <c r="BC117">
        <f>IF(BB117&lt;&gt;"",INDEX($AE$2:$AP$440,MATCH($AT117,$AS$2:$AS$440,0),COLUMNS($AT$2:BB117)),"")</f>
        <v>55</v>
      </c>
      <c r="BD117">
        <f>IF(BC117&lt;&gt;"",INDEX($AE$2:$AP$440,MATCH($AT117,$AS$2:$AS$440,0),COLUMNS($AT$2:BC117)),"")</f>
        <v>-13</v>
      </c>
      <c r="BE117">
        <f>IF(BD117&lt;&gt;"",INDEX($AE$2:$AP$440,MATCH($AT117,$AS$2:$AS$440,0),COLUMNS($AT$2:BD117)),"")</f>
        <v>42</v>
      </c>
      <c r="BF117">
        <f>IF(BE117&lt;&gt;"",INDEX($AE$2:$AP$440,MATCH($AT117,$AS$2:$AS$440,0),COLUMNS($AT$2:BE117)),"")</f>
        <v>16</v>
      </c>
    </row>
    <row r="118" spans="1:58" x14ac:dyDescent="0.25">
      <c r="A118" s="3">
        <v>2005</v>
      </c>
      <c r="B118" s="3">
        <v>17</v>
      </c>
      <c r="C118" s="4" t="s">
        <v>36</v>
      </c>
      <c r="D118" s="3">
        <v>38</v>
      </c>
      <c r="E118" s="3">
        <v>10</v>
      </c>
      <c r="F118" s="3">
        <v>8</v>
      </c>
      <c r="G118" s="3">
        <v>20</v>
      </c>
      <c r="H118" s="3">
        <v>37</v>
      </c>
      <c r="I118" s="3">
        <v>62</v>
      </c>
      <c r="J118" s="3">
        <v>-25</v>
      </c>
      <c r="K118" s="3">
        <v>38</v>
      </c>
      <c r="L118" s="5">
        <f>IF(Table2[[#This Row],['#]]=1,"Champion", IF(Table2[[#This Row],['#]]&gt;=18,"Relegated",Table2[[#This Row],['#]]))</f>
        <v>17</v>
      </c>
      <c r="N118">
        <f>IF(COUNTIF($O$2:O118,O118)=1,N117+1,N117)</f>
        <v>30</v>
      </c>
      <c r="O118" s="4" t="str">
        <f>Table2[[#This Row],[Team]]</f>
        <v>Portsmouth</v>
      </c>
      <c r="P118" s="1" t="str">
        <f>IFERROR(VLOOKUP(ROWS($O$2:O118),$N$2:$O$441,2,0),"")</f>
        <v/>
      </c>
      <c r="Q118" s="1" t="str">
        <f>IF(P118&lt;&gt;"",SUMPRODUCT(--(Table2[Team]=P118)),"")</f>
        <v/>
      </c>
      <c r="R118" s="11" t="str">
        <f>IF(Q118&lt;&gt;"",Q118+ROWS($Q$2:Q118)/100,"")</f>
        <v/>
      </c>
      <c r="S118" t="str">
        <f>IF(R118&lt;&gt;"",LARGE($R$2:$R$441,ROWS($R$2:R118)),"")</f>
        <v/>
      </c>
      <c r="T118" s="1" t="str">
        <f>IF(R118&lt;&gt;"",INDEX($P$2:$Q$441,MATCH($S118,$R$2:$R$441,0),COLUMNS($S$2:S118)),"")</f>
        <v/>
      </c>
      <c r="U118" s="1" t="str">
        <f>IF(S118&lt;&gt;"",INDEX($P$2:$Q$441,MATCH($S118,$R$2:$R$441,0),COLUMNS($S$2:T118)),"")</f>
        <v/>
      </c>
      <c r="AE118" s="1">
        <f>Table2[[#This Row],[Year]]</f>
        <v>2005</v>
      </c>
      <c r="AF118" s="1">
        <f>Table2[[#This Row],['#]]</f>
        <v>17</v>
      </c>
      <c r="AG118" s="1" t="str">
        <f>Table2[[#This Row],[Team]]</f>
        <v>Portsmouth</v>
      </c>
      <c r="AH118" s="1">
        <f>Table2[[#This Row],[Pl]]</f>
        <v>38</v>
      </c>
      <c r="AI118" s="1">
        <f>Table2[[#This Row],[W]]</f>
        <v>10</v>
      </c>
      <c r="AJ118" s="1">
        <f>Table2[[#This Row],[D]]</f>
        <v>8</v>
      </c>
      <c r="AK118" s="1">
        <f>Table2[[#This Row],[L]]</f>
        <v>20</v>
      </c>
      <c r="AL118" s="1">
        <f>Table2[[#This Row],[F]]</f>
        <v>37</v>
      </c>
      <c r="AM118" s="1">
        <f>Table2[[#This Row],[A]]</f>
        <v>62</v>
      </c>
      <c r="AN118" s="1">
        <f>Table2[[#This Row],[GD]]</f>
        <v>-25</v>
      </c>
      <c r="AO118" s="1">
        <f>Table2[[#This Row],[Pts]]</f>
        <v>38</v>
      </c>
      <c r="AP118" s="1">
        <f>Table2[[#This Row],[Column1]]</f>
        <v>17</v>
      </c>
      <c r="AR118" t="b">
        <f t="shared" si="4"/>
        <v>1</v>
      </c>
      <c r="AS118">
        <f>IF(AR118,ROWS($AR$2:AR118),"")</f>
        <v>117</v>
      </c>
      <c r="AT118">
        <f>IFERROR(SMALL($AS$2:$AS$440,ROWS($AS$2:AS118)),"")</f>
        <v>117</v>
      </c>
      <c r="AU118">
        <f>IF(AT118&lt;&gt;"",INDEX($AE$2:$AP$440,MATCH($AT118,$AS$2:$AS$440,0),COLUMNS($AT$2:AT118)),"")</f>
        <v>2005</v>
      </c>
      <c r="AV118">
        <f>IF(AU118&lt;&gt;"",INDEX($AE$2:$AP$440,MATCH($AT118,$AS$2:$AS$440,0),COLUMNS($AT$2:AU118)),"")</f>
        <v>17</v>
      </c>
      <c r="AW118" t="str">
        <f>IF(AV118&lt;&gt;"",INDEX($AE$2:$AP$440,MATCH($AT118,$AS$2:$AS$440,0),COLUMNS($AT$2:AV118)),"")</f>
        <v>Portsmouth</v>
      </c>
      <c r="AX118">
        <f>IF(AW118&lt;&gt;"",INDEX($AE$2:$AP$440,MATCH($AT118,$AS$2:$AS$440,0),COLUMNS($AT$2:AW118)),"")</f>
        <v>38</v>
      </c>
      <c r="AY118">
        <f>IF(AX118&lt;&gt;"",INDEX($AE$2:$AP$440,MATCH($AT118,$AS$2:$AS$440,0),COLUMNS($AT$2:AX118)),"")</f>
        <v>10</v>
      </c>
      <c r="AZ118">
        <f>IF(AY118&lt;&gt;"",INDEX($AE$2:$AP$440,MATCH($AT118,$AS$2:$AS$440,0),COLUMNS($AT$2:AY118)),"")</f>
        <v>8</v>
      </c>
      <c r="BA118">
        <f>IF(AZ118&lt;&gt;"",INDEX($AE$2:$AP$440,MATCH($AT118,$AS$2:$AS$440,0),COLUMNS($AT$2:AZ118)),"")</f>
        <v>20</v>
      </c>
      <c r="BB118">
        <f>IF(BA118&lt;&gt;"",INDEX($AE$2:$AP$440,MATCH($AT118,$AS$2:$AS$440,0),COLUMNS($AT$2:BA118)),"")</f>
        <v>37</v>
      </c>
      <c r="BC118">
        <f>IF(BB118&lt;&gt;"",INDEX($AE$2:$AP$440,MATCH($AT118,$AS$2:$AS$440,0),COLUMNS($AT$2:BB118)),"")</f>
        <v>62</v>
      </c>
      <c r="BD118">
        <f>IF(BC118&lt;&gt;"",INDEX($AE$2:$AP$440,MATCH($AT118,$AS$2:$AS$440,0),COLUMNS($AT$2:BC118)),"")</f>
        <v>-25</v>
      </c>
      <c r="BE118">
        <f>IF(BD118&lt;&gt;"",INDEX($AE$2:$AP$440,MATCH($AT118,$AS$2:$AS$440,0),COLUMNS($AT$2:BD118)),"")</f>
        <v>38</v>
      </c>
      <c r="BF118">
        <f>IF(BE118&lt;&gt;"",INDEX($AE$2:$AP$440,MATCH($AT118,$AS$2:$AS$440,0),COLUMNS($AT$2:BE118)),"")</f>
        <v>17</v>
      </c>
    </row>
    <row r="119" spans="1:58" x14ac:dyDescent="0.25">
      <c r="A119" s="5">
        <v>2005</v>
      </c>
      <c r="B119" s="5">
        <v>18</v>
      </c>
      <c r="C119" s="6" t="s">
        <v>34</v>
      </c>
      <c r="D119" s="5">
        <v>38</v>
      </c>
      <c r="E119" s="5">
        <v>8</v>
      </c>
      <c r="F119" s="5">
        <v>10</v>
      </c>
      <c r="G119" s="5">
        <v>20</v>
      </c>
      <c r="H119" s="5">
        <v>28</v>
      </c>
      <c r="I119" s="5">
        <v>50</v>
      </c>
      <c r="J119" s="5">
        <v>-22</v>
      </c>
      <c r="K119" s="5">
        <v>34</v>
      </c>
      <c r="L119" s="5" t="str">
        <f>IF(Table2[[#This Row],['#]]=1,"Champion", IF(Table2[[#This Row],['#]]&gt;=18,"Relegated",Table2[[#This Row],['#]]))</f>
        <v>Relegated</v>
      </c>
      <c r="N119">
        <f>IF(COUNTIF($O$2:O119,O119)=1,N118+1,N118)</f>
        <v>30</v>
      </c>
      <c r="O119" s="4" t="str">
        <f>Table2[[#This Row],[Team]]</f>
        <v>Birmingham City</v>
      </c>
      <c r="P119" s="1" t="str">
        <f>IFERROR(VLOOKUP(ROWS($O$2:O119),$N$2:$O$441,2,0),"")</f>
        <v/>
      </c>
      <c r="Q119" s="1" t="str">
        <f>IF(P119&lt;&gt;"",SUMPRODUCT(--(Table2[Team]=P119)),"")</f>
        <v/>
      </c>
      <c r="R119" s="11" t="str">
        <f>IF(Q119&lt;&gt;"",Q119+ROWS($Q$2:Q119)/100,"")</f>
        <v/>
      </c>
      <c r="S119" t="str">
        <f>IF(R119&lt;&gt;"",LARGE($R$2:$R$441,ROWS($R$2:R119)),"")</f>
        <v/>
      </c>
      <c r="T119" s="1" t="str">
        <f>IF(R119&lt;&gt;"",INDEX($P$2:$Q$441,MATCH($S119,$R$2:$R$441,0),COLUMNS($S$2:S119)),"")</f>
        <v/>
      </c>
      <c r="U119" s="1" t="str">
        <f>IF(S119&lt;&gt;"",INDEX($P$2:$Q$441,MATCH($S119,$R$2:$R$441,0),COLUMNS($S$2:T119)),"")</f>
        <v/>
      </c>
      <c r="AE119" s="1">
        <f>Table2[[#This Row],[Year]]</f>
        <v>2005</v>
      </c>
      <c r="AF119" s="1">
        <f>Table2[[#This Row],['#]]</f>
        <v>18</v>
      </c>
      <c r="AG119" s="1" t="str">
        <f>Table2[[#This Row],[Team]]</f>
        <v>Birmingham City</v>
      </c>
      <c r="AH119" s="1">
        <f>Table2[[#This Row],[Pl]]</f>
        <v>38</v>
      </c>
      <c r="AI119" s="1">
        <f>Table2[[#This Row],[W]]</f>
        <v>8</v>
      </c>
      <c r="AJ119" s="1">
        <f>Table2[[#This Row],[D]]</f>
        <v>10</v>
      </c>
      <c r="AK119" s="1">
        <f>Table2[[#This Row],[L]]</f>
        <v>20</v>
      </c>
      <c r="AL119" s="1">
        <f>Table2[[#This Row],[F]]</f>
        <v>28</v>
      </c>
      <c r="AM119" s="1">
        <f>Table2[[#This Row],[A]]</f>
        <v>50</v>
      </c>
      <c r="AN119" s="1">
        <f>Table2[[#This Row],[GD]]</f>
        <v>-22</v>
      </c>
      <c r="AO119" s="1">
        <f>Table2[[#This Row],[Pts]]</f>
        <v>34</v>
      </c>
      <c r="AP119" s="1" t="str">
        <f>Table2[[#This Row],[Column1]]</f>
        <v>Relegated</v>
      </c>
      <c r="AR119" t="b">
        <f t="shared" si="4"/>
        <v>1</v>
      </c>
      <c r="AS119">
        <f>IF(AR119,ROWS($AR$2:AR119),"")</f>
        <v>118</v>
      </c>
      <c r="AT119">
        <f>IFERROR(SMALL($AS$2:$AS$440,ROWS($AS$2:AS119)),"")</f>
        <v>118</v>
      </c>
      <c r="AU119">
        <f>IF(AT119&lt;&gt;"",INDEX($AE$2:$AP$440,MATCH($AT119,$AS$2:$AS$440,0),COLUMNS($AT$2:AT119)),"")</f>
        <v>2005</v>
      </c>
      <c r="AV119">
        <f>IF(AU119&lt;&gt;"",INDEX($AE$2:$AP$440,MATCH($AT119,$AS$2:$AS$440,0),COLUMNS($AT$2:AU119)),"")</f>
        <v>18</v>
      </c>
      <c r="AW119" t="str">
        <f>IF(AV119&lt;&gt;"",INDEX($AE$2:$AP$440,MATCH($AT119,$AS$2:$AS$440,0),COLUMNS($AT$2:AV119)),"")</f>
        <v>Birmingham City</v>
      </c>
      <c r="AX119">
        <f>IF(AW119&lt;&gt;"",INDEX($AE$2:$AP$440,MATCH($AT119,$AS$2:$AS$440,0),COLUMNS($AT$2:AW119)),"")</f>
        <v>38</v>
      </c>
      <c r="AY119">
        <f>IF(AX119&lt;&gt;"",INDEX($AE$2:$AP$440,MATCH($AT119,$AS$2:$AS$440,0),COLUMNS($AT$2:AX119)),"")</f>
        <v>8</v>
      </c>
      <c r="AZ119">
        <f>IF(AY119&lt;&gt;"",INDEX($AE$2:$AP$440,MATCH($AT119,$AS$2:$AS$440,0),COLUMNS($AT$2:AY119)),"")</f>
        <v>10</v>
      </c>
      <c r="BA119">
        <f>IF(AZ119&lt;&gt;"",INDEX($AE$2:$AP$440,MATCH($AT119,$AS$2:$AS$440,0),COLUMNS($AT$2:AZ119)),"")</f>
        <v>20</v>
      </c>
      <c r="BB119">
        <f>IF(BA119&lt;&gt;"",INDEX($AE$2:$AP$440,MATCH($AT119,$AS$2:$AS$440,0),COLUMNS($AT$2:BA119)),"")</f>
        <v>28</v>
      </c>
      <c r="BC119">
        <f>IF(BB119&lt;&gt;"",INDEX($AE$2:$AP$440,MATCH($AT119,$AS$2:$AS$440,0),COLUMNS($AT$2:BB119)),"")</f>
        <v>50</v>
      </c>
      <c r="BD119">
        <f>IF(BC119&lt;&gt;"",INDEX($AE$2:$AP$440,MATCH($AT119,$AS$2:$AS$440,0),COLUMNS($AT$2:BC119)),"")</f>
        <v>-22</v>
      </c>
      <c r="BE119">
        <f>IF(BD119&lt;&gt;"",INDEX($AE$2:$AP$440,MATCH($AT119,$AS$2:$AS$440,0),COLUMNS($AT$2:BD119)),"")</f>
        <v>34</v>
      </c>
      <c r="BF119" t="str">
        <f>IF(BE119&lt;&gt;"",INDEX($AE$2:$AP$440,MATCH($AT119,$AS$2:$AS$440,0),COLUMNS($AT$2:BE119)),"")</f>
        <v>Relegated</v>
      </c>
    </row>
    <row r="120" spans="1:58" x14ac:dyDescent="0.25">
      <c r="A120" s="3">
        <v>2005</v>
      </c>
      <c r="B120" s="3">
        <v>19</v>
      </c>
      <c r="C120" s="4" t="s">
        <v>35</v>
      </c>
      <c r="D120" s="3">
        <v>38</v>
      </c>
      <c r="E120" s="3">
        <v>7</v>
      </c>
      <c r="F120" s="3">
        <v>9</v>
      </c>
      <c r="G120" s="3">
        <v>22</v>
      </c>
      <c r="H120" s="3">
        <v>31</v>
      </c>
      <c r="I120" s="3">
        <v>58</v>
      </c>
      <c r="J120" s="3">
        <v>-27</v>
      </c>
      <c r="K120" s="3">
        <v>30</v>
      </c>
      <c r="L120" s="5" t="str">
        <f>IF(Table2[[#This Row],['#]]=1,"Champion", IF(Table2[[#This Row],['#]]&gt;=18,"Relegated",Table2[[#This Row],['#]]))</f>
        <v>Relegated</v>
      </c>
      <c r="N120">
        <f>IF(COUNTIF($O$2:O120,O120)=1,N119+1,N119)</f>
        <v>30</v>
      </c>
      <c r="O120" s="4" t="str">
        <f>Table2[[#This Row],[Team]]</f>
        <v>West Bromwich Albion</v>
      </c>
      <c r="P120" s="1" t="str">
        <f>IFERROR(VLOOKUP(ROWS($O$2:O120),$N$2:$O$441,2,0),"")</f>
        <v/>
      </c>
      <c r="Q120" s="1" t="str">
        <f>IF(P120&lt;&gt;"",SUMPRODUCT(--(Table2[Team]=P120)),"")</f>
        <v/>
      </c>
      <c r="R120" s="11" t="str">
        <f>IF(Q120&lt;&gt;"",Q120+ROWS($Q$2:Q120)/100,"")</f>
        <v/>
      </c>
      <c r="S120" t="str">
        <f>IF(R120&lt;&gt;"",LARGE($R$2:$R$441,ROWS($R$2:R120)),"")</f>
        <v/>
      </c>
      <c r="T120" s="1" t="str">
        <f>IF(R120&lt;&gt;"",INDEX($P$2:$Q$441,MATCH($S120,$R$2:$R$441,0),COLUMNS($S$2:S120)),"")</f>
        <v/>
      </c>
      <c r="U120" s="1" t="str">
        <f>IF(S120&lt;&gt;"",INDEX($P$2:$Q$441,MATCH($S120,$R$2:$R$441,0),COLUMNS($S$2:T120)),"")</f>
        <v/>
      </c>
      <c r="AE120" s="1">
        <f>Table2[[#This Row],[Year]]</f>
        <v>2005</v>
      </c>
      <c r="AF120" s="1">
        <f>Table2[[#This Row],['#]]</f>
        <v>19</v>
      </c>
      <c r="AG120" s="1" t="str">
        <f>Table2[[#This Row],[Team]]</f>
        <v>West Bromwich Albion</v>
      </c>
      <c r="AH120" s="1">
        <f>Table2[[#This Row],[Pl]]</f>
        <v>38</v>
      </c>
      <c r="AI120" s="1">
        <f>Table2[[#This Row],[W]]</f>
        <v>7</v>
      </c>
      <c r="AJ120" s="1">
        <f>Table2[[#This Row],[D]]</f>
        <v>9</v>
      </c>
      <c r="AK120" s="1">
        <f>Table2[[#This Row],[L]]</f>
        <v>22</v>
      </c>
      <c r="AL120" s="1">
        <f>Table2[[#This Row],[F]]</f>
        <v>31</v>
      </c>
      <c r="AM120" s="1">
        <f>Table2[[#This Row],[A]]</f>
        <v>58</v>
      </c>
      <c r="AN120" s="1">
        <f>Table2[[#This Row],[GD]]</f>
        <v>-27</v>
      </c>
      <c r="AO120" s="1">
        <f>Table2[[#This Row],[Pts]]</f>
        <v>30</v>
      </c>
      <c r="AP120" s="1" t="str">
        <f>Table2[[#This Row],[Column1]]</f>
        <v>Relegated</v>
      </c>
      <c r="AR120" t="b">
        <f t="shared" si="4"/>
        <v>1</v>
      </c>
      <c r="AS120">
        <f>IF(AR120,ROWS($AR$2:AR120),"")</f>
        <v>119</v>
      </c>
      <c r="AT120">
        <f>IFERROR(SMALL($AS$2:$AS$440,ROWS($AS$2:AS120)),"")</f>
        <v>119</v>
      </c>
      <c r="AU120">
        <f>IF(AT120&lt;&gt;"",INDEX($AE$2:$AP$440,MATCH($AT120,$AS$2:$AS$440,0),COLUMNS($AT$2:AT120)),"")</f>
        <v>2005</v>
      </c>
      <c r="AV120">
        <f>IF(AU120&lt;&gt;"",INDEX($AE$2:$AP$440,MATCH($AT120,$AS$2:$AS$440,0),COLUMNS($AT$2:AU120)),"")</f>
        <v>19</v>
      </c>
      <c r="AW120" t="str">
        <f>IF(AV120&lt;&gt;"",INDEX($AE$2:$AP$440,MATCH($AT120,$AS$2:$AS$440,0),COLUMNS($AT$2:AV120)),"")</f>
        <v>West Bromwich Albion</v>
      </c>
      <c r="AX120">
        <f>IF(AW120&lt;&gt;"",INDEX($AE$2:$AP$440,MATCH($AT120,$AS$2:$AS$440,0),COLUMNS($AT$2:AW120)),"")</f>
        <v>38</v>
      </c>
      <c r="AY120">
        <f>IF(AX120&lt;&gt;"",INDEX($AE$2:$AP$440,MATCH($AT120,$AS$2:$AS$440,0),COLUMNS($AT$2:AX120)),"")</f>
        <v>7</v>
      </c>
      <c r="AZ120">
        <f>IF(AY120&lt;&gt;"",INDEX($AE$2:$AP$440,MATCH($AT120,$AS$2:$AS$440,0),COLUMNS($AT$2:AY120)),"")</f>
        <v>9</v>
      </c>
      <c r="BA120">
        <f>IF(AZ120&lt;&gt;"",INDEX($AE$2:$AP$440,MATCH($AT120,$AS$2:$AS$440,0),COLUMNS($AT$2:AZ120)),"")</f>
        <v>22</v>
      </c>
      <c r="BB120">
        <f>IF(BA120&lt;&gt;"",INDEX($AE$2:$AP$440,MATCH($AT120,$AS$2:$AS$440,0),COLUMNS($AT$2:BA120)),"")</f>
        <v>31</v>
      </c>
      <c r="BC120">
        <f>IF(BB120&lt;&gt;"",INDEX($AE$2:$AP$440,MATCH($AT120,$AS$2:$AS$440,0),COLUMNS($AT$2:BB120)),"")</f>
        <v>58</v>
      </c>
      <c r="BD120">
        <f>IF(BC120&lt;&gt;"",INDEX($AE$2:$AP$440,MATCH($AT120,$AS$2:$AS$440,0),COLUMNS($AT$2:BC120)),"")</f>
        <v>-27</v>
      </c>
      <c r="BE120">
        <f>IF(BD120&lt;&gt;"",INDEX($AE$2:$AP$440,MATCH($AT120,$AS$2:$AS$440,0),COLUMNS($AT$2:BD120)),"")</f>
        <v>30</v>
      </c>
      <c r="BF120" t="str">
        <f>IF(BE120&lt;&gt;"",INDEX($AE$2:$AP$440,MATCH($AT120,$AS$2:$AS$440,0),COLUMNS($AT$2:BE120)),"")</f>
        <v>Relegated</v>
      </c>
    </row>
    <row r="121" spans="1:58" x14ac:dyDescent="0.25">
      <c r="A121" s="5">
        <v>2005</v>
      </c>
      <c r="B121" s="5">
        <v>20</v>
      </c>
      <c r="C121" s="6" t="s">
        <v>17</v>
      </c>
      <c r="D121" s="5">
        <v>38</v>
      </c>
      <c r="E121" s="5">
        <v>3</v>
      </c>
      <c r="F121" s="5">
        <v>6</v>
      </c>
      <c r="G121" s="5">
        <v>29</v>
      </c>
      <c r="H121" s="5">
        <v>26</v>
      </c>
      <c r="I121" s="5">
        <v>69</v>
      </c>
      <c r="J121" s="5">
        <v>-43</v>
      </c>
      <c r="K121" s="5">
        <v>15</v>
      </c>
      <c r="L121" s="5" t="str">
        <f>IF(Table2[[#This Row],['#]]=1,"Champion", IF(Table2[[#This Row],['#]]&gt;=18,"Relegated",Table2[[#This Row],['#]]))</f>
        <v>Relegated</v>
      </c>
      <c r="N121">
        <f>IF(COUNTIF($O$2:O121,O121)=1,N120+1,N120)</f>
        <v>30</v>
      </c>
      <c r="O121" s="4" t="str">
        <f>Table2[[#This Row],[Team]]</f>
        <v>Sunderland</v>
      </c>
      <c r="P121" s="1" t="str">
        <f>IFERROR(VLOOKUP(ROWS($O$2:O121),$N$2:$O$441,2,0),"")</f>
        <v/>
      </c>
      <c r="Q121" s="1" t="str">
        <f>IF(P121&lt;&gt;"",SUMPRODUCT(--(Table2[Team]=P121)),"")</f>
        <v/>
      </c>
      <c r="R121" s="11" t="str">
        <f>IF(Q121&lt;&gt;"",Q121+ROWS($Q$2:Q121)/100,"")</f>
        <v/>
      </c>
      <c r="S121" t="str">
        <f>IF(R121&lt;&gt;"",LARGE($R$2:$R$441,ROWS($R$2:R121)),"")</f>
        <v/>
      </c>
      <c r="T121" s="1" t="str">
        <f>IF(R121&lt;&gt;"",INDEX($P$2:$Q$441,MATCH($S121,$R$2:$R$441,0),COLUMNS($S$2:S121)),"")</f>
        <v/>
      </c>
      <c r="U121" s="1" t="str">
        <f>IF(S121&lt;&gt;"",INDEX($P$2:$Q$441,MATCH($S121,$R$2:$R$441,0),COLUMNS($S$2:T121)),"")</f>
        <v/>
      </c>
      <c r="AE121" s="1">
        <f>Table2[[#This Row],[Year]]</f>
        <v>2005</v>
      </c>
      <c r="AF121" s="1">
        <f>Table2[[#This Row],['#]]</f>
        <v>20</v>
      </c>
      <c r="AG121" s="1" t="str">
        <f>Table2[[#This Row],[Team]]</f>
        <v>Sunderland</v>
      </c>
      <c r="AH121" s="1">
        <f>Table2[[#This Row],[Pl]]</f>
        <v>38</v>
      </c>
      <c r="AI121" s="1">
        <f>Table2[[#This Row],[W]]</f>
        <v>3</v>
      </c>
      <c r="AJ121" s="1">
        <f>Table2[[#This Row],[D]]</f>
        <v>6</v>
      </c>
      <c r="AK121" s="1">
        <f>Table2[[#This Row],[L]]</f>
        <v>29</v>
      </c>
      <c r="AL121" s="1">
        <f>Table2[[#This Row],[F]]</f>
        <v>26</v>
      </c>
      <c r="AM121" s="1">
        <f>Table2[[#This Row],[A]]</f>
        <v>69</v>
      </c>
      <c r="AN121" s="1">
        <f>Table2[[#This Row],[GD]]</f>
        <v>-43</v>
      </c>
      <c r="AO121" s="1">
        <f>Table2[[#This Row],[Pts]]</f>
        <v>15</v>
      </c>
      <c r="AP121" s="1" t="str">
        <f>Table2[[#This Row],[Column1]]</f>
        <v>Relegated</v>
      </c>
      <c r="AR121" t="b">
        <f t="shared" si="4"/>
        <v>1</v>
      </c>
      <c r="AS121">
        <f>IF(AR121,ROWS($AR$2:AR121),"")</f>
        <v>120</v>
      </c>
      <c r="AT121">
        <f>IFERROR(SMALL($AS$2:$AS$440,ROWS($AS$2:AS121)),"")</f>
        <v>120</v>
      </c>
      <c r="AU121">
        <f>IF(AT121&lt;&gt;"",INDEX($AE$2:$AP$440,MATCH($AT121,$AS$2:$AS$440,0),COLUMNS($AT$2:AT121)),"")</f>
        <v>2005</v>
      </c>
      <c r="AV121">
        <f>IF(AU121&lt;&gt;"",INDEX($AE$2:$AP$440,MATCH($AT121,$AS$2:$AS$440,0),COLUMNS($AT$2:AU121)),"")</f>
        <v>20</v>
      </c>
      <c r="AW121" t="str">
        <f>IF(AV121&lt;&gt;"",INDEX($AE$2:$AP$440,MATCH($AT121,$AS$2:$AS$440,0),COLUMNS($AT$2:AV121)),"")</f>
        <v>Sunderland</v>
      </c>
      <c r="AX121">
        <f>IF(AW121&lt;&gt;"",INDEX($AE$2:$AP$440,MATCH($AT121,$AS$2:$AS$440,0),COLUMNS($AT$2:AW121)),"")</f>
        <v>38</v>
      </c>
      <c r="AY121">
        <f>IF(AX121&lt;&gt;"",INDEX($AE$2:$AP$440,MATCH($AT121,$AS$2:$AS$440,0),COLUMNS($AT$2:AX121)),"")</f>
        <v>3</v>
      </c>
      <c r="AZ121">
        <f>IF(AY121&lt;&gt;"",INDEX($AE$2:$AP$440,MATCH($AT121,$AS$2:$AS$440,0),COLUMNS($AT$2:AY121)),"")</f>
        <v>6</v>
      </c>
      <c r="BA121">
        <f>IF(AZ121&lt;&gt;"",INDEX($AE$2:$AP$440,MATCH($AT121,$AS$2:$AS$440,0),COLUMNS($AT$2:AZ121)),"")</f>
        <v>29</v>
      </c>
      <c r="BB121">
        <f>IF(BA121&lt;&gt;"",INDEX($AE$2:$AP$440,MATCH($AT121,$AS$2:$AS$440,0),COLUMNS($AT$2:BA121)),"")</f>
        <v>26</v>
      </c>
      <c r="BC121">
        <f>IF(BB121&lt;&gt;"",INDEX($AE$2:$AP$440,MATCH($AT121,$AS$2:$AS$440,0),COLUMNS($AT$2:BB121)),"")</f>
        <v>69</v>
      </c>
      <c r="BD121">
        <f>IF(BC121&lt;&gt;"",INDEX($AE$2:$AP$440,MATCH($AT121,$AS$2:$AS$440,0),COLUMNS($AT$2:BC121)),"")</f>
        <v>-43</v>
      </c>
      <c r="BE121">
        <f>IF(BD121&lt;&gt;"",INDEX($AE$2:$AP$440,MATCH($AT121,$AS$2:$AS$440,0),COLUMNS($AT$2:BD121)),"")</f>
        <v>15</v>
      </c>
      <c r="BF121" t="str">
        <f>IF(BE121&lt;&gt;"",INDEX($AE$2:$AP$440,MATCH($AT121,$AS$2:$AS$440,0),COLUMNS($AT$2:BE121)),"")</f>
        <v>Relegated</v>
      </c>
    </row>
    <row r="122" spans="1:58" x14ac:dyDescent="0.25">
      <c r="A122" s="3">
        <v>2006</v>
      </c>
      <c r="B122" s="3">
        <v>1</v>
      </c>
      <c r="C122" s="4" t="s">
        <v>11</v>
      </c>
      <c r="D122" s="3">
        <v>38</v>
      </c>
      <c r="E122" s="3">
        <v>0</v>
      </c>
      <c r="F122" s="3">
        <v>0</v>
      </c>
      <c r="G122" s="3">
        <v>0</v>
      </c>
      <c r="H122" s="3">
        <v>0</v>
      </c>
      <c r="I122" s="3">
        <v>0</v>
      </c>
      <c r="J122" s="3">
        <v>0</v>
      </c>
      <c r="K122" s="3">
        <v>89</v>
      </c>
      <c r="L122" s="5" t="str">
        <f>IF(Table2[[#This Row],['#]]=1,"Champion", IF(Table2[[#This Row],['#]]&gt;=18,"Relegated",Table2[[#This Row],['#]]))</f>
        <v>Champion</v>
      </c>
      <c r="N122">
        <f>IF(COUNTIF($O$2:O122,O122)=1,N121+1,N121)</f>
        <v>30</v>
      </c>
      <c r="O122" s="4" t="str">
        <f>Table2[[#This Row],[Team]]</f>
        <v>Manchester United</v>
      </c>
      <c r="P122" s="1" t="str">
        <f>IFERROR(VLOOKUP(ROWS($O$2:O122),$N$2:$O$441,2,0),"")</f>
        <v/>
      </c>
      <c r="Q122" s="1" t="str">
        <f>IF(P122&lt;&gt;"",SUMPRODUCT(--(Table2[Team]=P122)),"")</f>
        <v/>
      </c>
      <c r="R122" s="11" t="str">
        <f>IF(Q122&lt;&gt;"",Q122+ROWS($Q$2:Q122)/100,"")</f>
        <v/>
      </c>
      <c r="S122" t="str">
        <f>IF(R122&lt;&gt;"",LARGE($R$2:$R$441,ROWS($R$2:R122)),"")</f>
        <v/>
      </c>
      <c r="T122" s="1" t="str">
        <f>IF(R122&lt;&gt;"",INDEX($P$2:$Q$441,MATCH($S122,$R$2:$R$441,0),COLUMNS($S$2:S122)),"")</f>
        <v/>
      </c>
      <c r="U122" s="1" t="str">
        <f>IF(S122&lt;&gt;"",INDEX($P$2:$Q$441,MATCH($S122,$R$2:$R$441,0),COLUMNS($S$2:T122)),"")</f>
        <v/>
      </c>
      <c r="AE122" s="1">
        <f>Table2[[#This Row],[Year]]</f>
        <v>2006</v>
      </c>
      <c r="AF122" s="1">
        <f>Table2[[#This Row],['#]]</f>
        <v>1</v>
      </c>
      <c r="AG122" s="1" t="str">
        <f>Table2[[#This Row],[Team]]</f>
        <v>Manchester United</v>
      </c>
      <c r="AH122" s="1">
        <f>Table2[[#This Row],[Pl]]</f>
        <v>38</v>
      </c>
      <c r="AI122" s="1">
        <f>Table2[[#This Row],[W]]</f>
        <v>0</v>
      </c>
      <c r="AJ122" s="1">
        <f>Table2[[#This Row],[D]]</f>
        <v>0</v>
      </c>
      <c r="AK122" s="1">
        <f>Table2[[#This Row],[L]]</f>
        <v>0</v>
      </c>
      <c r="AL122" s="1">
        <f>Table2[[#This Row],[F]]</f>
        <v>0</v>
      </c>
      <c r="AM122" s="1">
        <f>Table2[[#This Row],[A]]</f>
        <v>0</v>
      </c>
      <c r="AN122" s="1">
        <f>Table2[[#This Row],[GD]]</f>
        <v>0</v>
      </c>
      <c r="AO122" s="1">
        <f>Table2[[#This Row],[Pts]]</f>
        <v>89</v>
      </c>
      <c r="AP122" s="1" t="str">
        <f>Table2[[#This Row],[Column1]]</f>
        <v>Champion</v>
      </c>
      <c r="AR122" t="b">
        <f t="shared" si="4"/>
        <v>1</v>
      </c>
      <c r="AS122">
        <f>IF(AR122,ROWS($AR$2:AR122),"")</f>
        <v>121</v>
      </c>
      <c r="AT122">
        <f>IFERROR(SMALL($AS$2:$AS$440,ROWS($AS$2:AS122)),"")</f>
        <v>121</v>
      </c>
      <c r="AU122">
        <f>IF(AT122&lt;&gt;"",INDEX($AE$2:$AP$440,MATCH($AT122,$AS$2:$AS$440,0),COLUMNS($AT$2:AT122)),"")</f>
        <v>2006</v>
      </c>
      <c r="AV122">
        <f>IF(AU122&lt;&gt;"",INDEX($AE$2:$AP$440,MATCH($AT122,$AS$2:$AS$440,0),COLUMNS($AT$2:AU122)),"")</f>
        <v>1</v>
      </c>
      <c r="AW122" t="str">
        <f>IF(AV122&lt;&gt;"",INDEX($AE$2:$AP$440,MATCH($AT122,$AS$2:$AS$440,0),COLUMNS($AT$2:AV122)),"")</f>
        <v>Manchester United</v>
      </c>
      <c r="AX122">
        <f>IF(AW122&lt;&gt;"",INDEX($AE$2:$AP$440,MATCH($AT122,$AS$2:$AS$440,0),COLUMNS($AT$2:AW122)),"")</f>
        <v>38</v>
      </c>
      <c r="AY122">
        <f>IF(AX122&lt;&gt;"",INDEX($AE$2:$AP$440,MATCH($AT122,$AS$2:$AS$440,0),COLUMNS($AT$2:AX122)),"")</f>
        <v>0</v>
      </c>
      <c r="AZ122">
        <f>IF(AY122&lt;&gt;"",INDEX($AE$2:$AP$440,MATCH($AT122,$AS$2:$AS$440,0),COLUMNS($AT$2:AY122)),"")</f>
        <v>0</v>
      </c>
      <c r="BA122">
        <f>IF(AZ122&lt;&gt;"",INDEX($AE$2:$AP$440,MATCH($AT122,$AS$2:$AS$440,0),COLUMNS($AT$2:AZ122)),"")</f>
        <v>0</v>
      </c>
      <c r="BB122">
        <f>IF(BA122&lt;&gt;"",INDEX($AE$2:$AP$440,MATCH($AT122,$AS$2:$AS$440,0),COLUMNS($AT$2:BA122)),"")</f>
        <v>0</v>
      </c>
      <c r="BC122">
        <f>IF(BB122&lt;&gt;"",INDEX($AE$2:$AP$440,MATCH($AT122,$AS$2:$AS$440,0),COLUMNS($AT$2:BB122)),"")</f>
        <v>0</v>
      </c>
      <c r="BD122">
        <f>IF(BC122&lt;&gt;"",INDEX($AE$2:$AP$440,MATCH($AT122,$AS$2:$AS$440,0),COLUMNS($AT$2:BC122)),"")</f>
        <v>0</v>
      </c>
      <c r="BE122">
        <f>IF(BD122&lt;&gt;"",INDEX($AE$2:$AP$440,MATCH($AT122,$AS$2:$AS$440,0),COLUMNS($AT$2:BD122)),"")</f>
        <v>89</v>
      </c>
      <c r="BF122" t="str">
        <f>IF(BE122&lt;&gt;"",INDEX($AE$2:$AP$440,MATCH($AT122,$AS$2:$AS$440,0),COLUMNS($AT$2:BE122)),"")</f>
        <v>Champion</v>
      </c>
    </row>
    <row r="123" spans="1:58" x14ac:dyDescent="0.25">
      <c r="A123" s="5">
        <v>2006</v>
      </c>
      <c r="B123" s="5">
        <v>2</v>
      </c>
      <c r="C123" s="6" t="s">
        <v>16</v>
      </c>
      <c r="D123" s="5">
        <v>38</v>
      </c>
      <c r="E123" s="5">
        <v>0</v>
      </c>
      <c r="F123" s="5">
        <v>0</v>
      </c>
      <c r="G123" s="5">
        <v>0</v>
      </c>
      <c r="H123" s="5">
        <v>0</v>
      </c>
      <c r="I123" s="5">
        <v>0</v>
      </c>
      <c r="J123" s="5">
        <v>0</v>
      </c>
      <c r="K123" s="5">
        <v>83</v>
      </c>
      <c r="L123" s="5">
        <f>IF(Table2[[#This Row],['#]]=1,"Champion", IF(Table2[[#This Row],['#]]&gt;=18,"Relegated",Table2[[#This Row],['#]]))</f>
        <v>2</v>
      </c>
      <c r="N123">
        <f>IF(COUNTIF($O$2:O123,O123)=1,N122+1,N122)</f>
        <v>30</v>
      </c>
      <c r="O123" s="4" t="str">
        <f>Table2[[#This Row],[Team]]</f>
        <v>Chelsea</v>
      </c>
      <c r="P123" s="1" t="str">
        <f>IFERROR(VLOOKUP(ROWS($O$2:O123),$N$2:$O$441,2,0),"")</f>
        <v/>
      </c>
      <c r="Q123" s="1" t="str">
        <f>IF(P123&lt;&gt;"",SUMPRODUCT(--(Table2[Team]=P123)),"")</f>
        <v/>
      </c>
      <c r="R123" s="11" t="str">
        <f>IF(Q123&lt;&gt;"",Q123+ROWS($Q$2:Q123)/100,"")</f>
        <v/>
      </c>
      <c r="S123" t="str">
        <f>IF(R123&lt;&gt;"",LARGE($R$2:$R$441,ROWS($R$2:R123)),"")</f>
        <v/>
      </c>
      <c r="T123" s="1" t="str">
        <f>IF(R123&lt;&gt;"",INDEX($P$2:$Q$441,MATCH($S123,$R$2:$R$441,0),COLUMNS($S$2:S123)),"")</f>
        <v/>
      </c>
      <c r="U123" s="1" t="str">
        <f>IF(S123&lt;&gt;"",INDEX($P$2:$Q$441,MATCH($S123,$R$2:$R$441,0),COLUMNS($S$2:T123)),"")</f>
        <v/>
      </c>
      <c r="AE123" s="1">
        <f>Table2[[#This Row],[Year]]</f>
        <v>2006</v>
      </c>
      <c r="AF123" s="1">
        <f>Table2[[#This Row],['#]]</f>
        <v>2</v>
      </c>
      <c r="AG123" s="1" t="str">
        <f>Table2[[#This Row],[Team]]</f>
        <v>Chelsea</v>
      </c>
      <c r="AH123" s="1">
        <f>Table2[[#This Row],[Pl]]</f>
        <v>38</v>
      </c>
      <c r="AI123" s="1">
        <f>Table2[[#This Row],[W]]</f>
        <v>0</v>
      </c>
      <c r="AJ123" s="1">
        <f>Table2[[#This Row],[D]]</f>
        <v>0</v>
      </c>
      <c r="AK123" s="1">
        <f>Table2[[#This Row],[L]]</f>
        <v>0</v>
      </c>
      <c r="AL123" s="1">
        <f>Table2[[#This Row],[F]]</f>
        <v>0</v>
      </c>
      <c r="AM123" s="1">
        <f>Table2[[#This Row],[A]]</f>
        <v>0</v>
      </c>
      <c r="AN123" s="1">
        <f>Table2[[#This Row],[GD]]</f>
        <v>0</v>
      </c>
      <c r="AO123" s="1">
        <f>Table2[[#This Row],[Pts]]</f>
        <v>83</v>
      </c>
      <c r="AP123" s="1">
        <f>Table2[[#This Row],[Column1]]</f>
        <v>2</v>
      </c>
      <c r="AR123" t="b">
        <f t="shared" si="4"/>
        <v>1</v>
      </c>
      <c r="AS123">
        <f>IF(AR123,ROWS($AR$2:AR123),"")</f>
        <v>122</v>
      </c>
      <c r="AT123">
        <f>IFERROR(SMALL($AS$2:$AS$440,ROWS($AS$2:AS123)),"")</f>
        <v>122</v>
      </c>
      <c r="AU123">
        <f>IF(AT123&lt;&gt;"",INDEX($AE$2:$AP$440,MATCH($AT123,$AS$2:$AS$440,0),COLUMNS($AT$2:AT123)),"")</f>
        <v>2006</v>
      </c>
      <c r="AV123">
        <f>IF(AU123&lt;&gt;"",INDEX($AE$2:$AP$440,MATCH($AT123,$AS$2:$AS$440,0),COLUMNS($AT$2:AU123)),"")</f>
        <v>2</v>
      </c>
      <c r="AW123" t="str">
        <f>IF(AV123&lt;&gt;"",INDEX($AE$2:$AP$440,MATCH($AT123,$AS$2:$AS$440,0),COLUMNS($AT$2:AV123)),"")</f>
        <v>Chelsea</v>
      </c>
      <c r="AX123">
        <f>IF(AW123&lt;&gt;"",INDEX($AE$2:$AP$440,MATCH($AT123,$AS$2:$AS$440,0),COLUMNS($AT$2:AW123)),"")</f>
        <v>38</v>
      </c>
      <c r="AY123">
        <f>IF(AX123&lt;&gt;"",INDEX($AE$2:$AP$440,MATCH($AT123,$AS$2:$AS$440,0),COLUMNS($AT$2:AX123)),"")</f>
        <v>0</v>
      </c>
      <c r="AZ123">
        <f>IF(AY123&lt;&gt;"",INDEX($AE$2:$AP$440,MATCH($AT123,$AS$2:$AS$440,0),COLUMNS($AT$2:AY123)),"")</f>
        <v>0</v>
      </c>
      <c r="BA123">
        <f>IF(AZ123&lt;&gt;"",INDEX($AE$2:$AP$440,MATCH($AT123,$AS$2:$AS$440,0),COLUMNS($AT$2:AZ123)),"")</f>
        <v>0</v>
      </c>
      <c r="BB123">
        <f>IF(BA123&lt;&gt;"",INDEX($AE$2:$AP$440,MATCH($AT123,$AS$2:$AS$440,0),COLUMNS($AT$2:BA123)),"")</f>
        <v>0</v>
      </c>
      <c r="BC123">
        <f>IF(BB123&lt;&gt;"",INDEX($AE$2:$AP$440,MATCH($AT123,$AS$2:$AS$440,0),COLUMNS($AT$2:BB123)),"")</f>
        <v>0</v>
      </c>
      <c r="BD123">
        <f>IF(BC123&lt;&gt;"",INDEX($AE$2:$AP$440,MATCH($AT123,$AS$2:$AS$440,0),COLUMNS($AT$2:BC123)),"")</f>
        <v>0</v>
      </c>
      <c r="BE123">
        <f>IF(BD123&lt;&gt;"",INDEX($AE$2:$AP$440,MATCH($AT123,$AS$2:$AS$440,0),COLUMNS($AT$2:BD123)),"")</f>
        <v>83</v>
      </c>
      <c r="BF123">
        <f>IF(BE123&lt;&gt;"",INDEX($AE$2:$AP$440,MATCH($AT123,$AS$2:$AS$440,0),COLUMNS($AT$2:BE123)),"")</f>
        <v>2</v>
      </c>
    </row>
    <row r="124" spans="1:58" x14ac:dyDescent="0.25">
      <c r="A124" s="3">
        <v>2006</v>
      </c>
      <c r="B124" s="3">
        <v>3</v>
      </c>
      <c r="C124" s="4" t="s">
        <v>13</v>
      </c>
      <c r="D124" s="3">
        <v>38</v>
      </c>
      <c r="E124" s="3">
        <v>0</v>
      </c>
      <c r="F124" s="3">
        <v>0</v>
      </c>
      <c r="G124" s="3">
        <v>0</v>
      </c>
      <c r="H124" s="3">
        <v>0</v>
      </c>
      <c r="I124" s="3">
        <v>0</v>
      </c>
      <c r="J124" s="3">
        <v>0</v>
      </c>
      <c r="K124" s="3">
        <v>68</v>
      </c>
      <c r="L124" s="5">
        <f>IF(Table2[[#This Row],['#]]=1,"Champion", IF(Table2[[#This Row],['#]]&gt;=18,"Relegated",Table2[[#This Row],['#]]))</f>
        <v>3</v>
      </c>
      <c r="N124">
        <f>IF(COUNTIF($O$2:O124,O124)=1,N123+1,N123)</f>
        <v>30</v>
      </c>
      <c r="O124" s="4" t="str">
        <f>Table2[[#This Row],[Team]]</f>
        <v>Liverpool</v>
      </c>
      <c r="P124" s="1" t="str">
        <f>IFERROR(VLOOKUP(ROWS($O$2:O124),$N$2:$O$441,2,0),"")</f>
        <v/>
      </c>
      <c r="Q124" s="1" t="str">
        <f>IF(P124&lt;&gt;"",SUMPRODUCT(--(Table2[Team]=P124)),"")</f>
        <v/>
      </c>
      <c r="R124" s="11" t="str">
        <f>IF(Q124&lt;&gt;"",Q124+ROWS($Q$2:Q124)/100,"")</f>
        <v/>
      </c>
      <c r="S124" t="str">
        <f>IF(R124&lt;&gt;"",LARGE($R$2:$R$441,ROWS($R$2:R124)),"")</f>
        <v/>
      </c>
      <c r="T124" s="1" t="str">
        <f>IF(R124&lt;&gt;"",INDEX($P$2:$Q$441,MATCH($S124,$R$2:$R$441,0),COLUMNS($S$2:S124)),"")</f>
        <v/>
      </c>
      <c r="U124" s="1" t="str">
        <f>IF(S124&lt;&gt;"",INDEX($P$2:$Q$441,MATCH($S124,$R$2:$R$441,0),COLUMNS($S$2:T124)),"")</f>
        <v/>
      </c>
      <c r="AE124" s="1">
        <f>Table2[[#This Row],[Year]]</f>
        <v>2006</v>
      </c>
      <c r="AF124" s="1">
        <f>Table2[[#This Row],['#]]</f>
        <v>3</v>
      </c>
      <c r="AG124" s="1" t="str">
        <f>Table2[[#This Row],[Team]]</f>
        <v>Liverpool</v>
      </c>
      <c r="AH124" s="1">
        <f>Table2[[#This Row],[Pl]]</f>
        <v>38</v>
      </c>
      <c r="AI124" s="1">
        <f>Table2[[#This Row],[W]]</f>
        <v>0</v>
      </c>
      <c r="AJ124" s="1">
        <f>Table2[[#This Row],[D]]</f>
        <v>0</v>
      </c>
      <c r="AK124" s="1">
        <f>Table2[[#This Row],[L]]</f>
        <v>0</v>
      </c>
      <c r="AL124" s="1">
        <f>Table2[[#This Row],[F]]</f>
        <v>0</v>
      </c>
      <c r="AM124" s="1">
        <f>Table2[[#This Row],[A]]</f>
        <v>0</v>
      </c>
      <c r="AN124" s="1">
        <f>Table2[[#This Row],[GD]]</f>
        <v>0</v>
      </c>
      <c r="AO124" s="1">
        <f>Table2[[#This Row],[Pts]]</f>
        <v>68</v>
      </c>
      <c r="AP124" s="1">
        <f>Table2[[#This Row],[Column1]]</f>
        <v>3</v>
      </c>
      <c r="AR124" t="b">
        <f t="shared" si="4"/>
        <v>1</v>
      </c>
      <c r="AS124">
        <f>IF(AR124,ROWS($AR$2:AR124),"")</f>
        <v>123</v>
      </c>
      <c r="AT124">
        <f>IFERROR(SMALL($AS$2:$AS$440,ROWS($AS$2:AS124)),"")</f>
        <v>123</v>
      </c>
      <c r="AU124">
        <f>IF(AT124&lt;&gt;"",INDEX($AE$2:$AP$440,MATCH($AT124,$AS$2:$AS$440,0),COLUMNS($AT$2:AT124)),"")</f>
        <v>2006</v>
      </c>
      <c r="AV124">
        <f>IF(AU124&lt;&gt;"",INDEX($AE$2:$AP$440,MATCH($AT124,$AS$2:$AS$440,0),COLUMNS($AT$2:AU124)),"")</f>
        <v>3</v>
      </c>
      <c r="AW124" t="str">
        <f>IF(AV124&lt;&gt;"",INDEX($AE$2:$AP$440,MATCH($AT124,$AS$2:$AS$440,0),COLUMNS($AT$2:AV124)),"")</f>
        <v>Liverpool</v>
      </c>
      <c r="AX124">
        <f>IF(AW124&lt;&gt;"",INDEX($AE$2:$AP$440,MATCH($AT124,$AS$2:$AS$440,0),COLUMNS($AT$2:AW124)),"")</f>
        <v>38</v>
      </c>
      <c r="AY124">
        <f>IF(AX124&lt;&gt;"",INDEX($AE$2:$AP$440,MATCH($AT124,$AS$2:$AS$440,0),COLUMNS($AT$2:AX124)),"")</f>
        <v>0</v>
      </c>
      <c r="AZ124">
        <f>IF(AY124&lt;&gt;"",INDEX($AE$2:$AP$440,MATCH($AT124,$AS$2:$AS$440,0),COLUMNS($AT$2:AY124)),"")</f>
        <v>0</v>
      </c>
      <c r="BA124">
        <f>IF(AZ124&lt;&gt;"",INDEX($AE$2:$AP$440,MATCH($AT124,$AS$2:$AS$440,0),COLUMNS($AT$2:AZ124)),"")</f>
        <v>0</v>
      </c>
      <c r="BB124">
        <f>IF(BA124&lt;&gt;"",INDEX($AE$2:$AP$440,MATCH($AT124,$AS$2:$AS$440,0),COLUMNS($AT$2:BA124)),"")</f>
        <v>0</v>
      </c>
      <c r="BC124">
        <f>IF(BB124&lt;&gt;"",INDEX($AE$2:$AP$440,MATCH($AT124,$AS$2:$AS$440,0),COLUMNS($AT$2:BB124)),"")</f>
        <v>0</v>
      </c>
      <c r="BD124">
        <f>IF(BC124&lt;&gt;"",INDEX($AE$2:$AP$440,MATCH($AT124,$AS$2:$AS$440,0),COLUMNS($AT$2:BC124)),"")</f>
        <v>0</v>
      </c>
      <c r="BE124">
        <f>IF(BD124&lt;&gt;"",INDEX($AE$2:$AP$440,MATCH($AT124,$AS$2:$AS$440,0),COLUMNS($AT$2:BD124)),"")</f>
        <v>68</v>
      </c>
      <c r="BF124">
        <f>IF(BE124&lt;&gt;"",INDEX($AE$2:$AP$440,MATCH($AT124,$AS$2:$AS$440,0),COLUMNS($AT$2:BE124)),"")</f>
        <v>3</v>
      </c>
    </row>
    <row r="125" spans="1:58" x14ac:dyDescent="0.25">
      <c r="A125" s="5">
        <v>2006</v>
      </c>
      <c r="B125" s="5">
        <v>4</v>
      </c>
      <c r="C125" s="6" t="s">
        <v>12</v>
      </c>
      <c r="D125" s="5">
        <v>38</v>
      </c>
      <c r="E125" s="5">
        <v>0</v>
      </c>
      <c r="F125" s="5">
        <v>0</v>
      </c>
      <c r="G125" s="5">
        <v>0</v>
      </c>
      <c r="H125" s="5">
        <v>0</v>
      </c>
      <c r="I125" s="5">
        <v>0</v>
      </c>
      <c r="J125" s="5">
        <v>0</v>
      </c>
      <c r="K125" s="5">
        <v>68</v>
      </c>
      <c r="L125" s="5">
        <f>IF(Table2[[#This Row],['#]]=1,"Champion", IF(Table2[[#This Row],['#]]&gt;=18,"Relegated",Table2[[#This Row],['#]]))</f>
        <v>4</v>
      </c>
      <c r="N125">
        <f>IF(COUNTIF($O$2:O125,O125)=1,N124+1,N124)</f>
        <v>30</v>
      </c>
      <c r="O125" s="4" t="str">
        <f>Table2[[#This Row],[Team]]</f>
        <v>Arsenal</v>
      </c>
      <c r="P125" s="1" t="str">
        <f>IFERROR(VLOOKUP(ROWS($O$2:O125),$N$2:$O$441,2,0),"")</f>
        <v/>
      </c>
      <c r="Q125" s="1" t="str">
        <f>IF(P125&lt;&gt;"",SUMPRODUCT(--(Table2[Team]=P125)),"")</f>
        <v/>
      </c>
      <c r="R125" s="11" t="str">
        <f>IF(Q125&lt;&gt;"",Q125+ROWS($Q$2:Q125)/100,"")</f>
        <v/>
      </c>
      <c r="S125" t="str">
        <f>IF(R125&lt;&gt;"",LARGE($R$2:$R$441,ROWS($R$2:R125)),"")</f>
        <v/>
      </c>
      <c r="T125" s="1" t="str">
        <f>IF(R125&lt;&gt;"",INDEX($P$2:$Q$441,MATCH($S125,$R$2:$R$441,0),COLUMNS($S$2:S125)),"")</f>
        <v/>
      </c>
      <c r="U125" s="1" t="str">
        <f>IF(S125&lt;&gt;"",INDEX($P$2:$Q$441,MATCH($S125,$R$2:$R$441,0),COLUMNS($S$2:T125)),"")</f>
        <v/>
      </c>
      <c r="AE125" s="1">
        <f>Table2[[#This Row],[Year]]</f>
        <v>2006</v>
      </c>
      <c r="AF125" s="1">
        <f>Table2[[#This Row],['#]]</f>
        <v>4</v>
      </c>
      <c r="AG125" s="1" t="str">
        <f>Table2[[#This Row],[Team]]</f>
        <v>Arsenal</v>
      </c>
      <c r="AH125" s="1">
        <f>Table2[[#This Row],[Pl]]</f>
        <v>38</v>
      </c>
      <c r="AI125" s="1">
        <f>Table2[[#This Row],[W]]</f>
        <v>0</v>
      </c>
      <c r="AJ125" s="1">
        <f>Table2[[#This Row],[D]]</f>
        <v>0</v>
      </c>
      <c r="AK125" s="1">
        <f>Table2[[#This Row],[L]]</f>
        <v>0</v>
      </c>
      <c r="AL125" s="1">
        <f>Table2[[#This Row],[F]]</f>
        <v>0</v>
      </c>
      <c r="AM125" s="1">
        <f>Table2[[#This Row],[A]]</f>
        <v>0</v>
      </c>
      <c r="AN125" s="1">
        <f>Table2[[#This Row],[GD]]</f>
        <v>0</v>
      </c>
      <c r="AO125" s="1">
        <f>Table2[[#This Row],[Pts]]</f>
        <v>68</v>
      </c>
      <c r="AP125" s="1">
        <f>Table2[[#This Row],[Column1]]</f>
        <v>4</v>
      </c>
      <c r="AR125" t="b">
        <f t="shared" si="4"/>
        <v>1</v>
      </c>
      <c r="AS125">
        <f>IF(AR125,ROWS($AR$2:AR125),"")</f>
        <v>124</v>
      </c>
      <c r="AT125">
        <f>IFERROR(SMALL($AS$2:$AS$440,ROWS($AS$2:AS125)),"")</f>
        <v>124</v>
      </c>
      <c r="AU125">
        <f>IF(AT125&lt;&gt;"",INDEX($AE$2:$AP$440,MATCH($AT125,$AS$2:$AS$440,0),COLUMNS($AT$2:AT125)),"")</f>
        <v>2006</v>
      </c>
      <c r="AV125">
        <f>IF(AU125&lt;&gt;"",INDEX($AE$2:$AP$440,MATCH($AT125,$AS$2:$AS$440,0),COLUMNS($AT$2:AU125)),"")</f>
        <v>4</v>
      </c>
      <c r="AW125" t="str">
        <f>IF(AV125&lt;&gt;"",INDEX($AE$2:$AP$440,MATCH($AT125,$AS$2:$AS$440,0),COLUMNS($AT$2:AV125)),"")</f>
        <v>Arsenal</v>
      </c>
      <c r="AX125">
        <f>IF(AW125&lt;&gt;"",INDEX($AE$2:$AP$440,MATCH($AT125,$AS$2:$AS$440,0),COLUMNS($AT$2:AW125)),"")</f>
        <v>38</v>
      </c>
      <c r="AY125">
        <f>IF(AX125&lt;&gt;"",INDEX($AE$2:$AP$440,MATCH($AT125,$AS$2:$AS$440,0),COLUMNS($AT$2:AX125)),"")</f>
        <v>0</v>
      </c>
      <c r="AZ125">
        <f>IF(AY125&lt;&gt;"",INDEX($AE$2:$AP$440,MATCH($AT125,$AS$2:$AS$440,0),COLUMNS($AT$2:AY125)),"")</f>
        <v>0</v>
      </c>
      <c r="BA125">
        <f>IF(AZ125&lt;&gt;"",INDEX($AE$2:$AP$440,MATCH($AT125,$AS$2:$AS$440,0),COLUMNS($AT$2:AZ125)),"")</f>
        <v>0</v>
      </c>
      <c r="BB125">
        <f>IF(BA125&lt;&gt;"",INDEX($AE$2:$AP$440,MATCH($AT125,$AS$2:$AS$440,0),COLUMNS($AT$2:BA125)),"")</f>
        <v>0</v>
      </c>
      <c r="BC125">
        <f>IF(BB125&lt;&gt;"",INDEX($AE$2:$AP$440,MATCH($AT125,$AS$2:$AS$440,0),COLUMNS($AT$2:BB125)),"")</f>
        <v>0</v>
      </c>
      <c r="BD125">
        <f>IF(BC125&lt;&gt;"",INDEX($AE$2:$AP$440,MATCH($AT125,$AS$2:$AS$440,0),COLUMNS($AT$2:BC125)),"")</f>
        <v>0</v>
      </c>
      <c r="BE125">
        <f>IF(BD125&lt;&gt;"",INDEX($AE$2:$AP$440,MATCH($AT125,$AS$2:$AS$440,0),COLUMNS($AT$2:BD125)),"")</f>
        <v>68</v>
      </c>
      <c r="BF125">
        <f>IF(BE125&lt;&gt;"",INDEX($AE$2:$AP$440,MATCH($AT125,$AS$2:$AS$440,0),COLUMNS($AT$2:BE125)),"")</f>
        <v>4</v>
      </c>
    </row>
    <row r="126" spans="1:58" x14ac:dyDescent="0.25">
      <c r="A126" s="3">
        <v>2006</v>
      </c>
      <c r="B126" s="3">
        <v>5</v>
      </c>
      <c r="C126" s="4" t="s">
        <v>22</v>
      </c>
      <c r="D126" s="3">
        <v>38</v>
      </c>
      <c r="E126" s="3">
        <v>0</v>
      </c>
      <c r="F126" s="3">
        <v>0</v>
      </c>
      <c r="G126" s="3">
        <v>0</v>
      </c>
      <c r="H126" s="3">
        <v>0</v>
      </c>
      <c r="I126" s="3">
        <v>0</v>
      </c>
      <c r="J126" s="3">
        <v>0</v>
      </c>
      <c r="K126" s="3">
        <v>60</v>
      </c>
      <c r="L126" s="5">
        <f>IF(Table2[[#This Row],['#]]=1,"Champion", IF(Table2[[#This Row],['#]]&gt;=18,"Relegated",Table2[[#This Row],['#]]))</f>
        <v>5</v>
      </c>
      <c r="N126">
        <f>IF(COUNTIF($O$2:O126,O126)=1,N125+1,N125)</f>
        <v>30</v>
      </c>
      <c r="O126" s="4" t="str">
        <f>Table2[[#This Row],[Team]]</f>
        <v>Tottenham Hotspur</v>
      </c>
      <c r="P126" s="1" t="str">
        <f>IFERROR(VLOOKUP(ROWS($O$2:O126),$N$2:$O$441,2,0),"")</f>
        <v/>
      </c>
      <c r="Q126" s="1" t="str">
        <f>IF(P126&lt;&gt;"",SUMPRODUCT(--(Table2[Team]=P126)),"")</f>
        <v/>
      </c>
      <c r="R126" s="11" t="str">
        <f>IF(Q126&lt;&gt;"",Q126+ROWS($Q$2:Q126)/100,"")</f>
        <v/>
      </c>
      <c r="S126" t="str">
        <f>IF(R126&lt;&gt;"",LARGE($R$2:$R$441,ROWS($R$2:R126)),"")</f>
        <v/>
      </c>
      <c r="T126" s="1" t="str">
        <f>IF(R126&lt;&gt;"",INDEX($P$2:$Q$441,MATCH($S126,$R$2:$R$441,0),COLUMNS($S$2:S126)),"")</f>
        <v/>
      </c>
      <c r="U126" s="1" t="str">
        <f>IF(S126&lt;&gt;"",INDEX($P$2:$Q$441,MATCH($S126,$R$2:$R$441,0),COLUMNS($S$2:T126)),"")</f>
        <v/>
      </c>
      <c r="AE126" s="1">
        <f>Table2[[#This Row],[Year]]</f>
        <v>2006</v>
      </c>
      <c r="AF126" s="1">
        <f>Table2[[#This Row],['#]]</f>
        <v>5</v>
      </c>
      <c r="AG126" s="1" t="str">
        <f>Table2[[#This Row],[Team]]</f>
        <v>Tottenham Hotspur</v>
      </c>
      <c r="AH126" s="1">
        <f>Table2[[#This Row],[Pl]]</f>
        <v>38</v>
      </c>
      <c r="AI126" s="1">
        <f>Table2[[#This Row],[W]]</f>
        <v>0</v>
      </c>
      <c r="AJ126" s="1">
        <f>Table2[[#This Row],[D]]</f>
        <v>0</v>
      </c>
      <c r="AK126" s="1">
        <f>Table2[[#This Row],[L]]</f>
        <v>0</v>
      </c>
      <c r="AL126" s="1">
        <f>Table2[[#This Row],[F]]</f>
        <v>0</v>
      </c>
      <c r="AM126" s="1">
        <f>Table2[[#This Row],[A]]</f>
        <v>0</v>
      </c>
      <c r="AN126" s="1">
        <f>Table2[[#This Row],[GD]]</f>
        <v>0</v>
      </c>
      <c r="AO126" s="1">
        <f>Table2[[#This Row],[Pts]]</f>
        <v>60</v>
      </c>
      <c r="AP126" s="1">
        <f>Table2[[#This Row],[Column1]]</f>
        <v>5</v>
      </c>
      <c r="AR126" t="b">
        <f t="shared" si="4"/>
        <v>1</v>
      </c>
      <c r="AS126">
        <f>IF(AR126,ROWS($AR$2:AR126),"")</f>
        <v>125</v>
      </c>
      <c r="AT126">
        <f>IFERROR(SMALL($AS$2:$AS$440,ROWS($AS$2:AS126)),"")</f>
        <v>125</v>
      </c>
      <c r="AU126">
        <f>IF(AT126&lt;&gt;"",INDEX($AE$2:$AP$440,MATCH($AT126,$AS$2:$AS$440,0),COLUMNS($AT$2:AT126)),"")</f>
        <v>2006</v>
      </c>
      <c r="AV126">
        <f>IF(AU126&lt;&gt;"",INDEX($AE$2:$AP$440,MATCH($AT126,$AS$2:$AS$440,0),COLUMNS($AT$2:AU126)),"")</f>
        <v>5</v>
      </c>
      <c r="AW126" t="str">
        <f>IF(AV126&lt;&gt;"",INDEX($AE$2:$AP$440,MATCH($AT126,$AS$2:$AS$440,0),COLUMNS($AT$2:AV126)),"")</f>
        <v>Tottenham Hotspur</v>
      </c>
      <c r="AX126">
        <f>IF(AW126&lt;&gt;"",INDEX($AE$2:$AP$440,MATCH($AT126,$AS$2:$AS$440,0),COLUMNS($AT$2:AW126)),"")</f>
        <v>38</v>
      </c>
      <c r="AY126">
        <f>IF(AX126&lt;&gt;"",INDEX($AE$2:$AP$440,MATCH($AT126,$AS$2:$AS$440,0),COLUMNS($AT$2:AX126)),"")</f>
        <v>0</v>
      </c>
      <c r="AZ126">
        <f>IF(AY126&lt;&gt;"",INDEX($AE$2:$AP$440,MATCH($AT126,$AS$2:$AS$440,0),COLUMNS($AT$2:AY126)),"")</f>
        <v>0</v>
      </c>
      <c r="BA126">
        <f>IF(AZ126&lt;&gt;"",INDEX($AE$2:$AP$440,MATCH($AT126,$AS$2:$AS$440,0),COLUMNS($AT$2:AZ126)),"")</f>
        <v>0</v>
      </c>
      <c r="BB126">
        <f>IF(BA126&lt;&gt;"",INDEX($AE$2:$AP$440,MATCH($AT126,$AS$2:$AS$440,0),COLUMNS($AT$2:BA126)),"")</f>
        <v>0</v>
      </c>
      <c r="BC126">
        <f>IF(BB126&lt;&gt;"",INDEX($AE$2:$AP$440,MATCH($AT126,$AS$2:$AS$440,0),COLUMNS($AT$2:BB126)),"")</f>
        <v>0</v>
      </c>
      <c r="BD126">
        <f>IF(BC126&lt;&gt;"",INDEX($AE$2:$AP$440,MATCH($AT126,$AS$2:$AS$440,0),COLUMNS($AT$2:BC126)),"")</f>
        <v>0</v>
      </c>
      <c r="BE126">
        <f>IF(BD126&lt;&gt;"",INDEX($AE$2:$AP$440,MATCH($AT126,$AS$2:$AS$440,0),COLUMNS($AT$2:BD126)),"")</f>
        <v>60</v>
      </c>
      <c r="BF126">
        <f>IF(BE126&lt;&gt;"",INDEX($AE$2:$AP$440,MATCH($AT126,$AS$2:$AS$440,0),COLUMNS($AT$2:BE126)),"")</f>
        <v>5</v>
      </c>
    </row>
    <row r="127" spans="1:58" x14ac:dyDescent="0.25">
      <c r="A127" s="5">
        <v>2006</v>
      </c>
      <c r="B127" s="5">
        <v>6</v>
      </c>
      <c r="C127" s="6" t="s">
        <v>26</v>
      </c>
      <c r="D127" s="5">
        <v>38</v>
      </c>
      <c r="E127" s="5">
        <v>0</v>
      </c>
      <c r="F127" s="5">
        <v>0</v>
      </c>
      <c r="G127" s="5">
        <v>0</v>
      </c>
      <c r="H127" s="5">
        <v>0</v>
      </c>
      <c r="I127" s="5">
        <v>0</v>
      </c>
      <c r="J127" s="5">
        <v>0</v>
      </c>
      <c r="K127" s="5">
        <v>58</v>
      </c>
      <c r="L127" s="5">
        <f>IF(Table2[[#This Row],['#]]=1,"Champion", IF(Table2[[#This Row],['#]]&gt;=18,"Relegated",Table2[[#This Row],['#]]))</f>
        <v>6</v>
      </c>
      <c r="N127">
        <f>IF(COUNTIF($O$2:O127,O127)=1,N126+1,N126)</f>
        <v>30</v>
      </c>
      <c r="O127" s="4" t="str">
        <f>Table2[[#This Row],[Team]]</f>
        <v>Everton</v>
      </c>
      <c r="P127" s="1" t="str">
        <f>IFERROR(VLOOKUP(ROWS($O$2:O127),$N$2:$O$441,2,0),"")</f>
        <v/>
      </c>
      <c r="Q127" s="1" t="str">
        <f>IF(P127&lt;&gt;"",SUMPRODUCT(--(Table2[Team]=P127)),"")</f>
        <v/>
      </c>
      <c r="R127" s="11" t="str">
        <f>IF(Q127&lt;&gt;"",Q127+ROWS($Q$2:Q127)/100,"")</f>
        <v/>
      </c>
      <c r="S127" t="str">
        <f>IF(R127&lt;&gt;"",LARGE($R$2:$R$441,ROWS($R$2:R127)),"")</f>
        <v/>
      </c>
      <c r="T127" s="1" t="str">
        <f>IF(R127&lt;&gt;"",INDEX($P$2:$Q$441,MATCH($S127,$R$2:$R$441,0),COLUMNS($S$2:S127)),"")</f>
        <v/>
      </c>
      <c r="U127" s="1" t="str">
        <f>IF(S127&lt;&gt;"",INDEX($P$2:$Q$441,MATCH($S127,$R$2:$R$441,0),COLUMNS($S$2:T127)),"")</f>
        <v/>
      </c>
      <c r="AE127" s="1">
        <f>Table2[[#This Row],[Year]]</f>
        <v>2006</v>
      </c>
      <c r="AF127" s="1">
        <f>Table2[[#This Row],['#]]</f>
        <v>6</v>
      </c>
      <c r="AG127" s="1" t="str">
        <f>Table2[[#This Row],[Team]]</f>
        <v>Everton</v>
      </c>
      <c r="AH127" s="1">
        <f>Table2[[#This Row],[Pl]]</f>
        <v>38</v>
      </c>
      <c r="AI127" s="1">
        <f>Table2[[#This Row],[W]]</f>
        <v>0</v>
      </c>
      <c r="AJ127" s="1">
        <f>Table2[[#This Row],[D]]</f>
        <v>0</v>
      </c>
      <c r="AK127" s="1">
        <f>Table2[[#This Row],[L]]</f>
        <v>0</v>
      </c>
      <c r="AL127" s="1">
        <f>Table2[[#This Row],[F]]</f>
        <v>0</v>
      </c>
      <c r="AM127" s="1">
        <f>Table2[[#This Row],[A]]</f>
        <v>0</v>
      </c>
      <c r="AN127" s="1">
        <f>Table2[[#This Row],[GD]]</f>
        <v>0</v>
      </c>
      <c r="AO127" s="1">
        <f>Table2[[#This Row],[Pts]]</f>
        <v>58</v>
      </c>
      <c r="AP127" s="1">
        <f>Table2[[#This Row],[Column1]]</f>
        <v>6</v>
      </c>
      <c r="AR127" t="b">
        <f t="shared" si="4"/>
        <v>1</v>
      </c>
      <c r="AS127">
        <f>IF(AR127,ROWS($AR$2:AR127),"")</f>
        <v>126</v>
      </c>
      <c r="AT127">
        <f>IFERROR(SMALL($AS$2:$AS$440,ROWS($AS$2:AS127)),"")</f>
        <v>126</v>
      </c>
      <c r="AU127">
        <f>IF(AT127&lt;&gt;"",INDEX($AE$2:$AP$440,MATCH($AT127,$AS$2:$AS$440,0),COLUMNS($AT$2:AT127)),"")</f>
        <v>2006</v>
      </c>
      <c r="AV127">
        <f>IF(AU127&lt;&gt;"",INDEX($AE$2:$AP$440,MATCH($AT127,$AS$2:$AS$440,0),COLUMNS($AT$2:AU127)),"")</f>
        <v>6</v>
      </c>
      <c r="AW127" t="str">
        <f>IF(AV127&lt;&gt;"",INDEX($AE$2:$AP$440,MATCH($AT127,$AS$2:$AS$440,0),COLUMNS($AT$2:AV127)),"")</f>
        <v>Everton</v>
      </c>
      <c r="AX127">
        <f>IF(AW127&lt;&gt;"",INDEX($AE$2:$AP$440,MATCH($AT127,$AS$2:$AS$440,0),COLUMNS($AT$2:AW127)),"")</f>
        <v>38</v>
      </c>
      <c r="AY127">
        <f>IF(AX127&lt;&gt;"",INDEX($AE$2:$AP$440,MATCH($AT127,$AS$2:$AS$440,0),COLUMNS($AT$2:AX127)),"")</f>
        <v>0</v>
      </c>
      <c r="AZ127">
        <f>IF(AY127&lt;&gt;"",INDEX($AE$2:$AP$440,MATCH($AT127,$AS$2:$AS$440,0),COLUMNS($AT$2:AY127)),"")</f>
        <v>0</v>
      </c>
      <c r="BA127">
        <f>IF(AZ127&lt;&gt;"",INDEX($AE$2:$AP$440,MATCH($AT127,$AS$2:$AS$440,0),COLUMNS($AT$2:AZ127)),"")</f>
        <v>0</v>
      </c>
      <c r="BB127">
        <f>IF(BA127&lt;&gt;"",INDEX($AE$2:$AP$440,MATCH($AT127,$AS$2:$AS$440,0),COLUMNS($AT$2:BA127)),"")</f>
        <v>0</v>
      </c>
      <c r="BC127">
        <f>IF(BB127&lt;&gt;"",INDEX($AE$2:$AP$440,MATCH($AT127,$AS$2:$AS$440,0),COLUMNS($AT$2:BB127)),"")</f>
        <v>0</v>
      </c>
      <c r="BD127">
        <f>IF(BC127&lt;&gt;"",INDEX($AE$2:$AP$440,MATCH($AT127,$AS$2:$AS$440,0),COLUMNS($AT$2:BC127)),"")</f>
        <v>0</v>
      </c>
      <c r="BE127">
        <f>IF(BD127&lt;&gt;"",INDEX($AE$2:$AP$440,MATCH($AT127,$AS$2:$AS$440,0),COLUMNS($AT$2:BD127)),"")</f>
        <v>58</v>
      </c>
      <c r="BF127">
        <f>IF(BE127&lt;&gt;"",INDEX($AE$2:$AP$440,MATCH($AT127,$AS$2:$AS$440,0),COLUMNS($AT$2:BE127)),"")</f>
        <v>6</v>
      </c>
    </row>
    <row r="128" spans="1:58" x14ac:dyDescent="0.25">
      <c r="A128" s="3">
        <v>2006</v>
      </c>
      <c r="B128" s="3">
        <v>7</v>
      </c>
      <c r="C128" s="4" t="s">
        <v>33</v>
      </c>
      <c r="D128" s="3">
        <v>38</v>
      </c>
      <c r="E128" s="3">
        <v>0</v>
      </c>
      <c r="F128" s="3">
        <v>0</v>
      </c>
      <c r="G128" s="3">
        <v>0</v>
      </c>
      <c r="H128" s="3">
        <v>0</v>
      </c>
      <c r="I128" s="3">
        <v>0</v>
      </c>
      <c r="J128" s="3">
        <v>0</v>
      </c>
      <c r="K128" s="3">
        <v>56</v>
      </c>
      <c r="L128" s="5">
        <f>IF(Table2[[#This Row],['#]]=1,"Champion", IF(Table2[[#This Row],['#]]&gt;=18,"Relegated",Table2[[#This Row],['#]]))</f>
        <v>7</v>
      </c>
      <c r="N128">
        <f>IF(COUNTIF($O$2:O128,O128)=1,N127+1,N127)</f>
        <v>30</v>
      </c>
      <c r="O128" s="4" t="str">
        <f>Table2[[#This Row],[Team]]</f>
        <v>Bolton Wanderers</v>
      </c>
      <c r="P128" s="1" t="str">
        <f>IFERROR(VLOOKUP(ROWS($O$2:O128),$N$2:$O$441,2,0),"")</f>
        <v/>
      </c>
      <c r="Q128" s="1" t="str">
        <f>IF(P128&lt;&gt;"",SUMPRODUCT(--(Table2[Team]=P128)),"")</f>
        <v/>
      </c>
      <c r="R128" s="11" t="str">
        <f>IF(Q128&lt;&gt;"",Q128+ROWS($Q$2:Q128)/100,"")</f>
        <v/>
      </c>
      <c r="S128" t="str">
        <f>IF(R128&lt;&gt;"",LARGE($R$2:$R$441,ROWS($R$2:R128)),"")</f>
        <v/>
      </c>
      <c r="T128" s="1" t="str">
        <f>IF(R128&lt;&gt;"",INDEX($P$2:$Q$441,MATCH($S128,$R$2:$R$441,0),COLUMNS($S$2:S128)),"")</f>
        <v/>
      </c>
      <c r="U128" s="1" t="str">
        <f>IF(S128&lt;&gt;"",INDEX($P$2:$Q$441,MATCH($S128,$R$2:$R$441,0),COLUMNS($S$2:T128)),"")</f>
        <v/>
      </c>
      <c r="AE128" s="1">
        <f>Table2[[#This Row],[Year]]</f>
        <v>2006</v>
      </c>
      <c r="AF128" s="1">
        <f>Table2[[#This Row],['#]]</f>
        <v>7</v>
      </c>
      <c r="AG128" s="1" t="str">
        <f>Table2[[#This Row],[Team]]</f>
        <v>Bolton Wanderers</v>
      </c>
      <c r="AH128" s="1">
        <f>Table2[[#This Row],[Pl]]</f>
        <v>38</v>
      </c>
      <c r="AI128" s="1">
        <f>Table2[[#This Row],[W]]</f>
        <v>0</v>
      </c>
      <c r="AJ128" s="1">
        <f>Table2[[#This Row],[D]]</f>
        <v>0</v>
      </c>
      <c r="AK128" s="1">
        <f>Table2[[#This Row],[L]]</f>
        <v>0</v>
      </c>
      <c r="AL128" s="1">
        <f>Table2[[#This Row],[F]]</f>
        <v>0</v>
      </c>
      <c r="AM128" s="1">
        <f>Table2[[#This Row],[A]]</f>
        <v>0</v>
      </c>
      <c r="AN128" s="1">
        <f>Table2[[#This Row],[GD]]</f>
        <v>0</v>
      </c>
      <c r="AO128" s="1">
        <f>Table2[[#This Row],[Pts]]</f>
        <v>56</v>
      </c>
      <c r="AP128" s="1">
        <f>Table2[[#This Row],[Column1]]</f>
        <v>7</v>
      </c>
      <c r="AR128" t="b">
        <f t="shared" si="4"/>
        <v>1</v>
      </c>
      <c r="AS128">
        <f>IF(AR128,ROWS($AR$2:AR128),"")</f>
        <v>127</v>
      </c>
      <c r="AT128">
        <f>IFERROR(SMALL($AS$2:$AS$440,ROWS($AS$2:AS128)),"")</f>
        <v>127</v>
      </c>
      <c r="AU128">
        <f>IF(AT128&lt;&gt;"",INDEX($AE$2:$AP$440,MATCH($AT128,$AS$2:$AS$440,0),COLUMNS($AT$2:AT128)),"")</f>
        <v>2006</v>
      </c>
      <c r="AV128">
        <f>IF(AU128&lt;&gt;"",INDEX($AE$2:$AP$440,MATCH($AT128,$AS$2:$AS$440,0),COLUMNS($AT$2:AU128)),"")</f>
        <v>7</v>
      </c>
      <c r="AW128" t="str">
        <f>IF(AV128&lt;&gt;"",INDEX($AE$2:$AP$440,MATCH($AT128,$AS$2:$AS$440,0),COLUMNS($AT$2:AV128)),"")</f>
        <v>Bolton Wanderers</v>
      </c>
      <c r="AX128">
        <f>IF(AW128&lt;&gt;"",INDEX($AE$2:$AP$440,MATCH($AT128,$AS$2:$AS$440,0),COLUMNS($AT$2:AW128)),"")</f>
        <v>38</v>
      </c>
      <c r="AY128">
        <f>IF(AX128&lt;&gt;"",INDEX($AE$2:$AP$440,MATCH($AT128,$AS$2:$AS$440,0),COLUMNS($AT$2:AX128)),"")</f>
        <v>0</v>
      </c>
      <c r="AZ128">
        <f>IF(AY128&lt;&gt;"",INDEX($AE$2:$AP$440,MATCH($AT128,$AS$2:$AS$440,0),COLUMNS($AT$2:AY128)),"")</f>
        <v>0</v>
      </c>
      <c r="BA128">
        <f>IF(AZ128&lt;&gt;"",INDEX($AE$2:$AP$440,MATCH($AT128,$AS$2:$AS$440,0),COLUMNS($AT$2:AZ128)),"")</f>
        <v>0</v>
      </c>
      <c r="BB128">
        <f>IF(BA128&lt;&gt;"",INDEX($AE$2:$AP$440,MATCH($AT128,$AS$2:$AS$440,0),COLUMNS($AT$2:BA128)),"")</f>
        <v>0</v>
      </c>
      <c r="BC128">
        <f>IF(BB128&lt;&gt;"",INDEX($AE$2:$AP$440,MATCH($AT128,$AS$2:$AS$440,0),COLUMNS($AT$2:BB128)),"")</f>
        <v>0</v>
      </c>
      <c r="BD128">
        <f>IF(BC128&lt;&gt;"",INDEX($AE$2:$AP$440,MATCH($AT128,$AS$2:$AS$440,0),COLUMNS($AT$2:BC128)),"")</f>
        <v>0</v>
      </c>
      <c r="BE128">
        <f>IF(BD128&lt;&gt;"",INDEX($AE$2:$AP$440,MATCH($AT128,$AS$2:$AS$440,0),COLUMNS($AT$2:BD128)),"")</f>
        <v>56</v>
      </c>
      <c r="BF128">
        <f>IF(BE128&lt;&gt;"",INDEX($AE$2:$AP$440,MATCH($AT128,$AS$2:$AS$440,0),COLUMNS($AT$2:BE128)),"")</f>
        <v>7</v>
      </c>
    </row>
    <row r="129" spans="1:58" x14ac:dyDescent="0.25">
      <c r="A129" s="5">
        <v>2006</v>
      </c>
      <c r="B129" s="5">
        <v>8</v>
      </c>
      <c r="C129" s="6" t="s">
        <v>41</v>
      </c>
      <c r="D129" s="5">
        <v>38</v>
      </c>
      <c r="E129" s="5">
        <v>0</v>
      </c>
      <c r="F129" s="5">
        <v>0</v>
      </c>
      <c r="G129" s="5">
        <v>0</v>
      </c>
      <c r="H129" s="5">
        <v>0</v>
      </c>
      <c r="I129" s="5">
        <v>0</v>
      </c>
      <c r="J129" s="5">
        <v>0</v>
      </c>
      <c r="K129" s="5">
        <v>55</v>
      </c>
      <c r="L129" s="5">
        <f>IF(Table2[[#This Row],['#]]=1,"Champion", IF(Table2[[#This Row],['#]]&gt;=18,"Relegated",Table2[[#This Row],['#]]))</f>
        <v>8</v>
      </c>
      <c r="N129">
        <f>IF(COUNTIF($O$2:O129,O129)=1,N128+1,N128)</f>
        <v>31</v>
      </c>
      <c r="O129" s="4" t="str">
        <f>Table2[[#This Row],[Team]]</f>
        <v>Reading</v>
      </c>
      <c r="P129" s="1" t="str">
        <f>IFERROR(VLOOKUP(ROWS($O$2:O129),$N$2:$O$441,2,0),"")</f>
        <v/>
      </c>
      <c r="Q129" s="1" t="str">
        <f>IF(P129&lt;&gt;"",SUMPRODUCT(--(Table2[Team]=P129)),"")</f>
        <v/>
      </c>
      <c r="R129" s="11" t="str">
        <f>IF(Q129&lt;&gt;"",Q129+ROWS($Q$2:Q129)/100,"")</f>
        <v/>
      </c>
      <c r="S129" t="str">
        <f>IF(R129&lt;&gt;"",LARGE($R$2:$R$441,ROWS($R$2:R129)),"")</f>
        <v/>
      </c>
      <c r="T129" s="1" t="str">
        <f>IF(R129&lt;&gt;"",INDEX($P$2:$Q$441,MATCH($S129,$R$2:$R$441,0),COLUMNS($S$2:S129)),"")</f>
        <v/>
      </c>
      <c r="U129" s="1" t="str">
        <f>IF(S129&lt;&gt;"",INDEX($P$2:$Q$441,MATCH($S129,$R$2:$R$441,0),COLUMNS($S$2:T129)),"")</f>
        <v/>
      </c>
      <c r="AE129" s="1">
        <f>Table2[[#This Row],[Year]]</f>
        <v>2006</v>
      </c>
      <c r="AF129" s="1">
        <f>Table2[[#This Row],['#]]</f>
        <v>8</v>
      </c>
      <c r="AG129" s="1" t="str">
        <f>Table2[[#This Row],[Team]]</f>
        <v>Reading</v>
      </c>
      <c r="AH129" s="1">
        <f>Table2[[#This Row],[Pl]]</f>
        <v>38</v>
      </c>
      <c r="AI129" s="1">
        <f>Table2[[#This Row],[W]]</f>
        <v>0</v>
      </c>
      <c r="AJ129" s="1">
        <f>Table2[[#This Row],[D]]</f>
        <v>0</v>
      </c>
      <c r="AK129" s="1">
        <f>Table2[[#This Row],[L]]</f>
        <v>0</v>
      </c>
      <c r="AL129" s="1">
        <f>Table2[[#This Row],[F]]</f>
        <v>0</v>
      </c>
      <c r="AM129" s="1">
        <f>Table2[[#This Row],[A]]</f>
        <v>0</v>
      </c>
      <c r="AN129" s="1">
        <f>Table2[[#This Row],[GD]]</f>
        <v>0</v>
      </c>
      <c r="AO129" s="1">
        <f>Table2[[#This Row],[Pts]]</f>
        <v>55</v>
      </c>
      <c r="AP129" s="1">
        <f>Table2[[#This Row],[Column1]]</f>
        <v>8</v>
      </c>
      <c r="AR129" t="b">
        <f t="shared" si="4"/>
        <v>1</v>
      </c>
      <c r="AS129">
        <f>IF(AR129,ROWS($AR$2:AR129),"")</f>
        <v>128</v>
      </c>
      <c r="AT129">
        <f>IFERROR(SMALL($AS$2:$AS$440,ROWS($AS$2:AS129)),"")</f>
        <v>128</v>
      </c>
      <c r="AU129">
        <f>IF(AT129&lt;&gt;"",INDEX($AE$2:$AP$440,MATCH($AT129,$AS$2:$AS$440,0),COLUMNS($AT$2:AT129)),"")</f>
        <v>2006</v>
      </c>
      <c r="AV129">
        <f>IF(AU129&lt;&gt;"",INDEX($AE$2:$AP$440,MATCH($AT129,$AS$2:$AS$440,0),COLUMNS($AT$2:AU129)),"")</f>
        <v>8</v>
      </c>
      <c r="AW129" t="str">
        <f>IF(AV129&lt;&gt;"",INDEX($AE$2:$AP$440,MATCH($AT129,$AS$2:$AS$440,0),COLUMNS($AT$2:AV129)),"")</f>
        <v>Reading</v>
      </c>
      <c r="AX129">
        <f>IF(AW129&lt;&gt;"",INDEX($AE$2:$AP$440,MATCH($AT129,$AS$2:$AS$440,0),COLUMNS($AT$2:AW129)),"")</f>
        <v>38</v>
      </c>
      <c r="AY129">
        <f>IF(AX129&lt;&gt;"",INDEX($AE$2:$AP$440,MATCH($AT129,$AS$2:$AS$440,0),COLUMNS($AT$2:AX129)),"")</f>
        <v>0</v>
      </c>
      <c r="AZ129">
        <f>IF(AY129&lt;&gt;"",INDEX($AE$2:$AP$440,MATCH($AT129,$AS$2:$AS$440,0),COLUMNS($AT$2:AY129)),"")</f>
        <v>0</v>
      </c>
      <c r="BA129">
        <f>IF(AZ129&lt;&gt;"",INDEX($AE$2:$AP$440,MATCH($AT129,$AS$2:$AS$440,0),COLUMNS($AT$2:AZ129)),"")</f>
        <v>0</v>
      </c>
      <c r="BB129">
        <f>IF(BA129&lt;&gt;"",INDEX($AE$2:$AP$440,MATCH($AT129,$AS$2:$AS$440,0),COLUMNS($AT$2:BA129)),"")</f>
        <v>0</v>
      </c>
      <c r="BC129">
        <f>IF(BB129&lt;&gt;"",INDEX($AE$2:$AP$440,MATCH($AT129,$AS$2:$AS$440,0),COLUMNS($AT$2:BB129)),"")</f>
        <v>0</v>
      </c>
      <c r="BD129">
        <f>IF(BC129&lt;&gt;"",INDEX($AE$2:$AP$440,MATCH($AT129,$AS$2:$AS$440,0),COLUMNS($AT$2:BC129)),"")</f>
        <v>0</v>
      </c>
      <c r="BE129">
        <f>IF(BD129&lt;&gt;"",INDEX($AE$2:$AP$440,MATCH($AT129,$AS$2:$AS$440,0),COLUMNS($AT$2:BD129)),"")</f>
        <v>55</v>
      </c>
      <c r="BF129">
        <f>IF(BE129&lt;&gt;"",INDEX($AE$2:$AP$440,MATCH($AT129,$AS$2:$AS$440,0),COLUMNS($AT$2:BE129)),"")</f>
        <v>8</v>
      </c>
    </row>
    <row r="130" spans="1:58" x14ac:dyDescent="0.25">
      <c r="A130" s="3">
        <v>2006</v>
      </c>
      <c r="B130" s="3">
        <v>9</v>
      </c>
      <c r="C130" s="4" t="s">
        <v>36</v>
      </c>
      <c r="D130" s="3">
        <v>38</v>
      </c>
      <c r="E130" s="3">
        <v>0</v>
      </c>
      <c r="F130" s="3">
        <v>0</v>
      </c>
      <c r="G130" s="3">
        <v>0</v>
      </c>
      <c r="H130" s="3">
        <v>0</v>
      </c>
      <c r="I130" s="3">
        <v>0</v>
      </c>
      <c r="J130" s="3">
        <v>0</v>
      </c>
      <c r="K130" s="3">
        <v>54</v>
      </c>
      <c r="L130" s="5">
        <f>IF(Table2[[#This Row],['#]]=1,"Champion", IF(Table2[[#This Row],['#]]&gt;=18,"Relegated",Table2[[#This Row],['#]]))</f>
        <v>9</v>
      </c>
      <c r="N130">
        <f>IF(COUNTIF($O$2:O130,O130)=1,N129+1,N129)</f>
        <v>31</v>
      </c>
      <c r="O130" s="4" t="str">
        <f>Table2[[#This Row],[Team]]</f>
        <v>Portsmouth</v>
      </c>
      <c r="P130" s="1" t="str">
        <f>IFERROR(VLOOKUP(ROWS($O$2:O130),$N$2:$O$441,2,0),"")</f>
        <v/>
      </c>
      <c r="Q130" s="1" t="str">
        <f>IF(P130&lt;&gt;"",SUMPRODUCT(--(Table2[Team]=P130)),"")</f>
        <v/>
      </c>
      <c r="R130" s="11" t="str">
        <f>IF(Q130&lt;&gt;"",Q130+ROWS($Q$2:Q130)/100,"")</f>
        <v/>
      </c>
      <c r="S130" t="str">
        <f>IF(R130&lt;&gt;"",LARGE($R$2:$R$441,ROWS($R$2:R130)),"")</f>
        <v/>
      </c>
      <c r="T130" s="1" t="str">
        <f>IF(R130&lt;&gt;"",INDEX($P$2:$Q$441,MATCH($S130,$R$2:$R$441,0),COLUMNS($S$2:S130)),"")</f>
        <v/>
      </c>
      <c r="U130" s="1" t="str">
        <f>IF(S130&lt;&gt;"",INDEX($P$2:$Q$441,MATCH($S130,$R$2:$R$441,0),COLUMNS($S$2:T130)),"")</f>
        <v/>
      </c>
      <c r="AE130" s="1">
        <f>Table2[[#This Row],[Year]]</f>
        <v>2006</v>
      </c>
      <c r="AF130" s="1">
        <f>Table2[[#This Row],['#]]</f>
        <v>9</v>
      </c>
      <c r="AG130" s="1" t="str">
        <f>Table2[[#This Row],[Team]]</f>
        <v>Portsmouth</v>
      </c>
      <c r="AH130" s="1">
        <f>Table2[[#This Row],[Pl]]</f>
        <v>38</v>
      </c>
      <c r="AI130" s="1">
        <f>Table2[[#This Row],[W]]</f>
        <v>0</v>
      </c>
      <c r="AJ130" s="1">
        <f>Table2[[#This Row],[D]]</f>
        <v>0</v>
      </c>
      <c r="AK130" s="1">
        <f>Table2[[#This Row],[L]]</f>
        <v>0</v>
      </c>
      <c r="AL130" s="1">
        <f>Table2[[#This Row],[F]]</f>
        <v>0</v>
      </c>
      <c r="AM130" s="1">
        <f>Table2[[#This Row],[A]]</f>
        <v>0</v>
      </c>
      <c r="AN130" s="1">
        <f>Table2[[#This Row],[GD]]</f>
        <v>0</v>
      </c>
      <c r="AO130" s="1">
        <f>Table2[[#This Row],[Pts]]</f>
        <v>54</v>
      </c>
      <c r="AP130" s="1">
        <f>Table2[[#This Row],[Column1]]</f>
        <v>9</v>
      </c>
      <c r="AR130" t="b">
        <f t="shared" si="4"/>
        <v>1</v>
      </c>
      <c r="AS130">
        <f>IF(AR130,ROWS($AR$2:AR130),"")</f>
        <v>129</v>
      </c>
      <c r="AT130">
        <f>IFERROR(SMALL($AS$2:$AS$440,ROWS($AS$2:AS130)),"")</f>
        <v>129</v>
      </c>
      <c r="AU130">
        <f>IF(AT130&lt;&gt;"",INDEX($AE$2:$AP$440,MATCH($AT130,$AS$2:$AS$440,0),COLUMNS($AT$2:AT130)),"")</f>
        <v>2006</v>
      </c>
      <c r="AV130">
        <f>IF(AU130&lt;&gt;"",INDEX($AE$2:$AP$440,MATCH($AT130,$AS$2:$AS$440,0),COLUMNS($AT$2:AU130)),"")</f>
        <v>9</v>
      </c>
      <c r="AW130" t="str">
        <f>IF(AV130&lt;&gt;"",INDEX($AE$2:$AP$440,MATCH($AT130,$AS$2:$AS$440,0),COLUMNS($AT$2:AV130)),"")</f>
        <v>Portsmouth</v>
      </c>
      <c r="AX130">
        <f>IF(AW130&lt;&gt;"",INDEX($AE$2:$AP$440,MATCH($AT130,$AS$2:$AS$440,0),COLUMNS($AT$2:AW130)),"")</f>
        <v>38</v>
      </c>
      <c r="AY130">
        <f>IF(AX130&lt;&gt;"",INDEX($AE$2:$AP$440,MATCH($AT130,$AS$2:$AS$440,0),COLUMNS($AT$2:AX130)),"")</f>
        <v>0</v>
      </c>
      <c r="AZ130">
        <f>IF(AY130&lt;&gt;"",INDEX($AE$2:$AP$440,MATCH($AT130,$AS$2:$AS$440,0),COLUMNS($AT$2:AY130)),"")</f>
        <v>0</v>
      </c>
      <c r="BA130">
        <f>IF(AZ130&lt;&gt;"",INDEX($AE$2:$AP$440,MATCH($AT130,$AS$2:$AS$440,0),COLUMNS($AT$2:AZ130)),"")</f>
        <v>0</v>
      </c>
      <c r="BB130">
        <f>IF(BA130&lt;&gt;"",INDEX($AE$2:$AP$440,MATCH($AT130,$AS$2:$AS$440,0),COLUMNS($AT$2:BA130)),"")</f>
        <v>0</v>
      </c>
      <c r="BC130">
        <f>IF(BB130&lt;&gt;"",INDEX($AE$2:$AP$440,MATCH($AT130,$AS$2:$AS$440,0),COLUMNS($AT$2:BB130)),"")</f>
        <v>0</v>
      </c>
      <c r="BD130">
        <f>IF(BC130&lt;&gt;"",INDEX($AE$2:$AP$440,MATCH($AT130,$AS$2:$AS$440,0),COLUMNS($AT$2:BC130)),"")</f>
        <v>0</v>
      </c>
      <c r="BE130">
        <f>IF(BD130&lt;&gt;"",INDEX($AE$2:$AP$440,MATCH($AT130,$AS$2:$AS$440,0),COLUMNS($AT$2:BD130)),"")</f>
        <v>54</v>
      </c>
      <c r="BF130">
        <f>IF(BE130&lt;&gt;"",INDEX($AE$2:$AP$440,MATCH($AT130,$AS$2:$AS$440,0),COLUMNS($AT$2:BE130)),"")</f>
        <v>9</v>
      </c>
    </row>
    <row r="131" spans="1:58" x14ac:dyDescent="0.25">
      <c r="A131" s="5">
        <v>2006</v>
      </c>
      <c r="B131" s="5">
        <v>10</v>
      </c>
      <c r="C131" s="6" t="s">
        <v>31</v>
      </c>
      <c r="D131" s="5">
        <v>38</v>
      </c>
      <c r="E131" s="5">
        <v>0</v>
      </c>
      <c r="F131" s="5">
        <v>0</v>
      </c>
      <c r="G131" s="5">
        <v>0</v>
      </c>
      <c r="H131" s="5">
        <v>0</v>
      </c>
      <c r="I131" s="5">
        <v>0</v>
      </c>
      <c r="J131" s="5">
        <v>0</v>
      </c>
      <c r="K131" s="5">
        <v>52</v>
      </c>
      <c r="L131" s="5">
        <f>IF(Table2[[#This Row],['#]]=1,"Champion", IF(Table2[[#This Row],['#]]&gt;=18,"Relegated",Table2[[#This Row],['#]]))</f>
        <v>10</v>
      </c>
      <c r="N131">
        <f>IF(COUNTIF($O$2:O131,O131)=1,N130+1,N130)</f>
        <v>31</v>
      </c>
      <c r="O131" s="4" t="str">
        <f>Table2[[#This Row],[Team]]</f>
        <v>Blackburn Rovers</v>
      </c>
      <c r="P131" s="1" t="str">
        <f>IFERROR(VLOOKUP(ROWS($O$2:O131),$N$2:$O$441,2,0),"")</f>
        <v/>
      </c>
      <c r="Q131" s="1" t="str">
        <f>IF(P131&lt;&gt;"",SUMPRODUCT(--(Table2[Team]=P131)),"")</f>
        <v/>
      </c>
      <c r="R131" s="11" t="str">
        <f>IF(Q131&lt;&gt;"",Q131+ROWS($Q$2:Q131)/100,"")</f>
        <v/>
      </c>
      <c r="S131" t="str">
        <f>IF(R131&lt;&gt;"",LARGE($R$2:$R$441,ROWS($R$2:R131)),"")</f>
        <v/>
      </c>
      <c r="T131" s="1" t="str">
        <f>IF(R131&lt;&gt;"",INDEX($P$2:$Q$441,MATCH($S131,$R$2:$R$441,0),COLUMNS($S$2:S131)),"")</f>
        <v/>
      </c>
      <c r="U131" s="1" t="str">
        <f>IF(S131&lt;&gt;"",INDEX($P$2:$Q$441,MATCH($S131,$R$2:$R$441,0),COLUMNS($S$2:T131)),"")</f>
        <v/>
      </c>
      <c r="AE131" s="1">
        <f>Table2[[#This Row],[Year]]</f>
        <v>2006</v>
      </c>
      <c r="AF131" s="1">
        <f>Table2[[#This Row],['#]]</f>
        <v>10</v>
      </c>
      <c r="AG131" s="1" t="str">
        <f>Table2[[#This Row],[Team]]</f>
        <v>Blackburn Rovers</v>
      </c>
      <c r="AH131" s="1">
        <f>Table2[[#This Row],[Pl]]</f>
        <v>38</v>
      </c>
      <c r="AI131" s="1">
        <f>Table2[[#This Row],[W]]</f>
        <v>0</v>
      </c>
      <c r="AJ131" s="1">
        <f>Table2[[#This Row],[D]]</f>
        <v>0</v>
      </c>
      <c r="AK131" s="1">
        <f>Table2[[#This Row],[L]]</f>
        <v>0</v>
      </c>
      <c r="AL131" s="1">
        <f>Table2[[#This Row],[F]]</f>
        <v>0</v>
      </c>
      <c r="AM131" s="1">
        <f>Table2[[#This Row],[A]]</f>
        <v>0</v>
      </c>
      <c r="AN131" s="1">
        <f>Table2[[#This Row],[GD]]</f>
        <v>0</v>
      </c>
      <c r="AO131" s="1">
        <f>Table2[[#This Row],[Pts]]</f>
        <v>52</v>
      </c>
      <c r="AP131" s="1">
        <f>Table2[[#This Row],[Column1]]</f>
        <v>10</v>
      </c>
      <c r="AR131" t="b">
        <f t="shared" ref="AR131:AR194" si="6">IF($X$1="",TRUE,ISNUMBER(SEARCH($X$1,AG131)))</f>
        <v>1</v>
      </c>
      <c r="AS131">
        <f>IF(AR131,ROWS($AR$2:AR131),"")</f>
        <v>130</v>
      </c>
      <c r="AT131">
        <f>IFERROR(SMALL($AS$2:$AS$440,ROWS($AS$2:AS131)),"")</f>
        <v>130</v>
      </c>
      <c r="AU131">
        <f>IF(AT131&lt;&gt;"",INDEX($AE$2:$AP$440,MATCH($AT131,$AS$2:$AS$440,0),COLUMNS($AT$2:AT131)),"")</f>
        <v>2006</v>
      </c>
      <c r="AV131">
        <f>IF(AU131&lt;&gt;"",INDEX($AE$2:$AP$440,MATCH($AT131,$AS$2:$AS$440,0),COLUMNS($AT$2:AU131)),"")</f>
        <v>10</v>
      </c>
      <c r="AW131" t="str">
        <f>IF(AV131&lt;&gt;"",INDEX($AE$2:$AP$440,MATCH($AT131,$AS$2:$AS$440,0),COLUMNS($AT$2:AV131)),"")</f>
        <v>Blackburn Rovers</v>
      </c>
      <c r="AX131">
        <f>IF(AW131&lt;&gt;"",INDEX($AE$2:$AP$440,MATCH($AT131,$AS$2:$AS$440,0),COLUMNS($AT$2:AW131)),"")</f>
        <v>38</v>
      </c>
      <c r="AY131">
        <f>IF(AX131&lt;&gt;"",INDEX($AE$2:$AP$440,MATCH($AT131,$AS$2:$AS$440,0),COLUMNS($AT$2:AX131)),"")</f>
        <v>0</v>
      </c>
      <c r="AZ131">
        <f>IF(AY131&lt;&gt;"",INDEX($AE$2:$AP$440,MATCH($AT131,$AS$2:$AS$440,0),COLUMNS($AT$2:AY131)),"")</f>
        <v>0</v>
      </c>
      <c r="BA131">
        <f>IF(AZ131&lt;&gt;"",INDEX($AE$2:$AP$440,MATCH($AT131,$AS$2:$AS$440,0),COLUMNS($AT$2:AZ131)),"")</f>
        <v>0</v>
      </c>
      <c r="BB131">
        <f>IF(BA131&lt;&gt;"",INDEX($AE$2:$AP$440,MATCH($AT131,$AS$2:$AS$440,0),COLUMNS($AT$2:BA131)),"")</f>
        <v>0</v>
      </c>
      <c r="BC131">
        <f>IF(BB131&lt;&gt;"",INDEX($AE$2:$AP$440,MATCH($AT131,$AS$2:$AS$440,0),COLUMNS($AT$2:BB131)),"")</f>
        <v>0</v>
      </c>
      <c r="BD131">
        <f>IF(BC131&lt;&gt;"",INDEX($AE$2:$AP$440,MATCH($AT131,$AS$2:$AS$440,0),COLUMNS($AT$2:BC131)),"")</f>
        <v>0</v>
      </c>
      <c r="BE131">
        <f>IF(BD131&lt;&gt;"",INDEX($AE$2:$AP$440,MATCH($AT131,$AS$2:$AS$440,0),COLUMNS($AT$2:BD131)),"")</f>
        <v>52</v>
      </c>
      <c r="BF131">
        <f>IF(BE131&lt;&gt;"",INDEX($AE$2:$AP$440,MATCH($AT131,$AS$2:$AS$440,0),COLUMNS($AT$2:BE131)),"")</f>
        <v>10</v>
      </c>
    </row>
    <row r="132" spans="1:58" x14ac:dyDescent="0.25">
      <c r="A132" s="3">
        <v>2006</v>
      </c>
      <c r="B132" s="3">
        <v>11</v>
      </c>
      <c r="C132" s="4" t="s">
        <v>18</v>
      </c>
      <c r="D132" s="3">
        <v>38</v>
      </c>
      <c r="E132" s="3">
        <v>0</v>
      </c>
      <c r="F132" s="3">
        <v>0</v>
      </c>
      <c r="G132" s="3">
        <v>0</v>
      </c>
      <c r="H132" s="3">
        <v>0</v>
      </c>
      <c r="I132" s="3">
        <v>0</v>
      </c>
      <c r="J132" s="3">
        <v>0</v>
      </c>
      <c r="K132" s="3">
        <v>50</v>
      </c>
      <c r="L132" s="5">
        <f>IF(Table2[[#This Row],['#]]=1,"Champion", IF(Table2[[#This Row],['#]]&gt;=18,"Relegated",Table2[[#This Row],['#]]))</f>
        <v>11</v>
      </c>
      <c r="N132">
        <f>IF(COUNTIF($O$2:O132,O132)=1,N131+1,N131)</f>
        <v>31</v>
      </c>
      <c r="O132" s="4" t="str">
        <f>Table2[[#This Row],[Team]]</f>
        <v>Aston Villa</v>
      </c>
      <c r="P132" s="1" t="str">
        <f>IFERROR(VLOOKUP(ROWS($O$2:O132),$N$2:$O$441,2,0),"")</f>
        <v/>
      </c>
      <c r="Q132" s="1" t="str">
        <f>IF(P132&lt;&gt;"",SUMPRODUCT(--(Table2[Team]=P132)),"")</f>
        <v/>
      </c>
      <c r="R132" s="11" t="str">
        <f>IF(Q132&lt;&gt;"",Q132+ROWS($Q$2:Q132)/100,"")</f>
        <v/>
      </c>
      <c r="S132" t="str">
        <f>IF(R132&lt;&gt;"",LARGE($R$2:$R$441,ROWS($R$2:R132)),"")</f>
        <v/>
      </c>
      <c r="T132" s="1" t="str">
        <f>IF(R132&lt;&gt;"",INDEX($P$2:$Q$441,MATCH($S132,$R$2:$R$441,0),COLUMNS($S$2:S132)),"")</f>
        <v/>
      </c>
      <c r="U132" s="1" t="str">
        <f>IF(S132&lt;&gt;"",INDEX($P$2:$Q$441,MATCH($S132,$R$2:$R$441,0),COLUMNS($S$2:T132)),"")</f>
        <v/>
      </c>
      <c r="AE132" s="1">
        <f>Table2[[#This Row],[Year]]</f>
        <v>2006</v>
      </c>
      <c r="AF132" s="1">
        <f>Table2[[#This Row],['#]]</f>
        <v>11</v>
      </c>
      <c r="AG132" s="1" t="str">
        <f>Table2[[#This Row],[Team]]</f>
        <v>Aston Villa</v>
      </c>
      <c r="AH132" s="1">
        <f>Table2[[#This Row],[Pl]]</f>
        <v>38</v>
      </c>
      <c r="AI132" s="1">
        <f>Table2[[#This Row],[W]]</f>
        <v>0</v>
      </c>
      <c r="AJ132" s="1">
        <f>Table2[[#This Row],[D]]</f>
        <v>0</v>
      </c>
      <c r="AK132" s="1">
        <f>Table2[[#This Row],[L]]</f>
        <v>0</v>
      </c>
      <c r="AL132" s="1">
        <f>Table2[[#This Row],[F]]</f>
        <v>0</v>
      </c>
      <c r="AM132" s="1">
        <f>Table2[[#This Row],[A]]</f>
        <v>0</v>
      </c>
      <c r="AN132" s="1">
        <f>Table2[[#This Row],[GD]]</f>
        <v>0</v>
      </c>
      <c r="AO132" s="1">
        <f>Table2[[#This Row],[Pts]]</f>
        <v>50</v>
      </c>
      <c r="AP132" s="1">
        <f>Table2[[#This Row],[Column1]]</f>
        <v>11</v>
      </c>
      <c r="AR132" t="b">
        <f t="shared" si="6"/>
        <v>1</v>
      </c>
      <c r="AS132">
        <f>IF(AR132,ROWS($AR$2:AR132),"")</f>
        <v>131</v>
      </c>
      <c r="AT132">
        <f>IFERROR(SMALL($AS$2:$AS$440,ROWS($AS$2:AS132)),"")</f>
        <v>131</v>
      </c>
      <c r="AU132">
        <f>IF(AT132&lt;&gt;"",INDEX($AE$2:$AP$440,MATCH($AT132,$AS$2:$AS$440,0),COLUMNS($AT$2:AT132)),"")</f>
        <v>2006</v>
      </c>
      <c r="AV132">
        <f>IF(AU132&lt;&gt;"",INDEX($AE$2:$AP$440,MATCH($AT132,$AS$2:$AS$440,0),COLUMNS($AT$2:AU132)),"")</f>
        <v>11</v>
      </c>
      <c r="AW132" t="str">
        <f>IF(AV132&lt;&gt;"",INDEX($AE$2:$AP$440,MATCH($AT132,$AS$2:$AS$440,0),COLUMNS($AT$2:AV132)),"")</f>
        <v>Aston Villa</v>
      </c>
      <c r="AX132">
        <f>IF(AW132&lt;&gt;"",INDEX($AE$2:$AP$440,MATCH($AT132,$AS$2:$AS$440,0),COLUMNS($AT$2:AW132)),"")</f>
        <v>38</v>
      </c>
      <c r="AY132">
        <f>IF(AX132&lt;&gt;"",INDEX($AE$2:$AP$440,MATCH($AT132,$AS$2:$AS$440,0),COLUMNS($AT$2:AX132)),"")</f>
        <v>0</v>
      </c>
      <c r="AZ132">
        <f>IF(AY132&lt;&gt;"",INDEX($AE$2:$AP$440,MATCH($AT132,$AS$2:$AS$440,0),COLUMNS($AT$2:AY132)),"")</f>
        <v>0</v>
      </c>
      <c r="BA132">
        <f>IF(AZ132&lt;&gt;"",INDEX($AE$2:$AP$440,MATCH($AT132,$AS$2:$AS$440,0),COLUMNS($AT$2:AZ132)),"")</f>
        <v>0</v>
      </c>
      <c r="BB132">
        <f>IF(BA132&lt;&gt;"",INDEX($AE$2:$AP$440,MATCH($AT132,$AS$2:$AS$440,0),COLUMNS($AT$2:BA132)),"")</f>
        <v>0</v>
      </c>
      <c r="BC132">
        <f>IF(BB132&lt;&gt;"",INDEX($AE$2:$AP$440,MATCH($AT132,$AS$2:$AS$440,0),COLUMNS($AT$2:BB132)),"")</f>
        <v>0</v>
      </c>
      <c r="BD132">
        <f>IF(BC132&lt;&gt;"",INDEX($AE$2:$AP$440,MATCH($AT132,$AS$2:$AS$440,0),COLUMNS($AT$2:BC132)),"")</f>
        <v>0</v>
      </c>
      <c r="BE132">
        <f>IF(BD132&lt;&gt;"",INDEX($AE$2:$AP$440,MATCH($AT132,$AS$2:$AS$440,0),COLUMNS($AT$2:BD132)),"")</f>
        <v>50</v>
      </c>
      <c r="BF132">
        <f>IF(BE132&lt;&gt;"",INDEX($AE$2:$AP$440,MATCH($AT132,$AS$2:$AS$440,0),COLUMNS($AT$2:BE132)),"")</f>
        <v>11</v>
      </c>
    </row>
    <row r="133" spans="1:58" x14ac:dyDescent="0.25">
      <c r="A133" s="5">
        <v>2006</v>
      </c>
      <c r="B133" s="5">
        <v>12</v>
      </c>
      <c r="C133" s="6" t="s">
        <v>24</v>
      </c>
      <c r="D133" s="5">
        <v>38</v>
      </c>
      <c r="E133" s="5">
        <v>0</v>
      </c>
      <c r="F133" s="5">
        <v>0</v>
      </c>
      <c r="G133" s="5">
        <v>0</v>
      </c>
      <c r="H133" s="5">
        <v>0</v>
      </c>
      <c r="I133" s="5">
        <v>0</v>
      </c>
      <c r="J133" s="5">
        <v>0</v>
      </c>
      <c r="K133" s="5">
        <v>46</v>
      </c>
      <c r="L133" s="5">
        <f>IF(Table2[[#This Row],['#]]=1,"Champion", IF(Table2[[#This Row],['#]]&gt;=18,"Relegated",Table2[[#This Row],['#]]))</f>
        <v>12</v>
      </c>
      <c r="N133">
        <f>IF(COUNTIF($O$2:O133,O133)=1,N132+1,N132)</f>
        <v>31</v>
      </c>
      <c r="O133" s="4" t="str">
        <f>Table2[[#This Row],[Team]]</f>
        <v>Middlesbrough</v>
      </c>
      <c r="P133" s="1" t="str">
        <f>IFERROR(VLOOKUP(ROWS($O$2:O133),$N$2:$O$441,2,0),"")</f>
        <v/>
      </c>
      <c r="Q133" s="1" t="str">
        <f>IF(P133&lt;&gt;"",SUMPRODUCT(--(Table2[Team]=P133)),"")</f>
        <v/>
      </c>
      <c r="R133" s="11" t="str">
        <f>IF(Q133&lt;&gt;"",Q133+ROWS($Q$2:Q133)/100,"")</f>
        <v/>
      </c>
      <c r="S133" t="str">
        <f>IF(R133&lt;&gt;"",LARGE($R$2:$R$441,ROWS($R$2:R133)),"")</f>
        <v/>
      </c>
      <c r="T133" s="1" t="str">
        <f>IF(R133&lt;&gt;"",INDEX($P$2:$Q$441,MATCH($S133,$R$2:$R$441,0),COLUMNS($S$2:S133)),"")</f>
        <v/>
      </c>
      <c r="U133" s="1" t="str">
        <f>IF(S133&lt;&gt;"",INDEX($P$2:$Q$441,MATCH($S133,$R$2:$R$441,0),COLUMNS($S$2:T133)),"")</f>
        <v/>
      </c>
      <c r="AE133" s="1">
        <f>Table2[[#This Row],[Year]]</f>
        <v>2006</v>
      </c>
      <c r="AF133" s="1">
        <f>Table2[[#This Row],['#]]</f>
        <v>12</v>
      </c>
      <c r="AG133" s="1" t="str">
        <f>Table2[[#This Row],[Team]]</f>
        <v>Middlesbrough</v>
      </c>
      <c r="AH133" s="1">
        <f>Table2[[#This Row],[Pl]]</f>
        <v>38</v>
      </c>
      <c r="AI133" s="1">
        <f>Table2[[#This Row],[W]]</f>
        <v>0</v>
      </c>
      <c r="AJ133" s="1">
        <f>Table2[[#This Row],[D]]</f>
        <v>0</v>
      </c>
      <c r="AK133" s="1">
        <f>Table2[[#This Row],[L]]</f>
        <v>0</v>
      </c>
      <c r="AL133" s="1">
        <f>Table2[[#This Row],[F]]</f>
        <v>0</v>
      </c>
      <c r="AM133" s="1">
        <f>Table2[[#This Row],[A]]</f>
        <v>0</v>
      </c>
      <c r="AN133" s="1">
        <f>Table2[[#This Row],[GD]]</f>
        <v>0</v>
      </c>
      <c r="AO133" s="1">
        <f>Table2[[#This Row],[Pts]]</f>
        <v>46</v>
      </c>
      <c r="AP133" s="1">
        <f>Table2[[#This Row],[Column1]]</f>
        <v>12</v>
      </c>
      <c r="AR133" t="b">
        <f t="shared" si="6"/>
        <v>1</v>
      </c>
      <c r="AS133">
        <f>IF(AR133,ROWS($AR$2:AR133),"")</f>
        <v>132</v>
      </c>
      <c r="AT133">
        <f>IFERROR(SMALL($AS$2:$AS$440,ROWS($AS$2:AS133)),"")</f>
        <v>132</v>
      </c>
      <c r="AU133">
        <f>IF(AT133&lt;&gt;"",INDEX($AE$2:$AP$440,MATCH($AT133,$AS$2:$AS$440,0),COLUMNS($AT$2:AT133)),"")</f>
        <v>2006</v>
      </c>
      <c r="AV133">
        <f>IF(AU133&lt;&gt;"",INDEX($AE$2:$AP$440,MATCH($AT133,$AS$2:$AS$440,0),COLUMNS($AT$2:AU133)),"")</f>
        <v>12</v>
      </c>
      <c r="AW133" t="str">
        <f>IF(AV133&lt;&gt;"",INDEX($AE$2:$AP$440,MATCH($AT133,$AS$2:$AS$440,0),COLUMNS($AT$2:AV133)),"")</f>
        <v>Middlesbrough</v>
      </c>
      <c r="AX133">
        <f>IF(AW133&lt;&gt;"",INDEX($AE$2:$AP$440,MATCH($AT133,$AS$2:$AS$440,0),COLUMNS($AT$2:AW133)),"")</f>
        <v>38</v>
      </c>
      <c r="AY133">
        <f>IF(AX133&lt;&gt;"",INDEX($AE$2:$AP$440,MATCH($AT133,$AS$2:$AS$440,0),COLUMNS($AT$2:AX133)),"")</f>
        <v>0</v>
      </c>
      <c r="AZ133">
        <f>IF(AY133&lt;&gt;"",INDEX($AE$2:$AP$440,MATCH($AT133,$AS$2:$AS$440,0),COLUMNS($AT$2:AY133)),"")</f>
        <v>0</v>
      </c>
      <c r="BA133">
        <f>IF(AZ133&lt;&gt;"",INDEX($AE$2:$AP$440,MATCH($AT133,$AS$2:$AS$440,0),COLUMNS($AT$2:AZ133)),"")</f>
        <v>0</v>
      </c>
      <c r="BB133">
        <f>IF(BA133&lt;&gt;"",INDEX($AE$2:$AP$440,MATCH($AT133,$AS$2:$AS$440,0),COLUMNS($AT$2:BA133)),"")</f>
        <v>0</v>
      </c>
      <c r="BC133">
        <f>IF(BB133&lt;&gt;"",INDEX($AE$2:$AP$440,MATCH($AT133,$AS$2:$AS$440,0),COLUMNS($AT$2:BB133)),"")</f>
        <v>0</v>
      </c>
      <c r="BD133">
        <f>IF(BC133&lt;&gt;"",INDEX($AE$2:$AP$440,MATCH($AT133,$AS$2:$AS$440,0),COLUMNS($AT$2:BC133)),"")</f>
        <v>0</v>
      </c>
      <c r="BE133">
        <f>IF(BD133&lt;&gt;"",INDEX($AE$2:$AP$440,MATCH($AT133,$AS$2:$AS$440,0),COLUMNS($AT$2:BD133)),"")</f>
        <v>46</v>
      </c>
      <c r="BF133">
        <f>IF(BE133&lt;&gt;"",INDEX($AE$2:$AP$440,MATCH($AT133,$AS$2:$AS$440,0),COLUMNS($AT$2:BE133)),"")</f>
        <v>12</v>
      </c>
    </row>
    <row r="134" spans="1:58" x14ac:dyDescent="0.25">
      <c r="A134" s="3">
        <v>2006</v>
      </c>
      <c r="B134" s="3">
        <v>13</v>
      </c>
      <c r="C134" s="4" t="s">
        <v>21</v>
      </c>
      <c r="D134" s="3">
        <v>38</v>
      </c>
      <c r="E134" s="3">
        <v>0</v>
      </c>
      <c r="F134" s="3">
        <v>0</v>
      </c>
      <c r="G134" s="3">
        <v>0</v>
      </c>
      <c r="H134" s="3">
        <v>0</v>
      </c>
      <c r="I134" s="3">
        <v>0</v>
      </c>
      <c r="J134" s="3">
        <v>0</v>
      </c>
      <c r="K134" s="3">
        <v>43</v>
      </c>
      <c r="L134" s="5">
        <f>IF(Table2[[#This Row],['#]]=1,"Champion", IF(Table2[[#This Row],['#]]&gt;=18,"Relegated",Table2[[#This Row],['#]]))</f>
        <v>13</v>
      </c>
      <c r="N134">
        <f>IF(COUNTIF($O$2:O134,O134)=1,N133+1,N133)</f>
        <v>31</v>
      </c>
      <c r="O134" s="4" t="str">
        <f>Table2[[#This Row],[Team]]</f>
        <v>Newcastle United</v>
      </c>
      <c r="P134" s="1" t="str">
        <f>IFERROR(VLOOKUP(ROWS($O$2:O134),$N$2:$O$441,2,0),"")</f>
        <v/>
      </c>
      <c r="Q134" s="1" t="str">
        <f>IF(P134&lt;&gt;"",SUMPRODUCT(--(Table2[Team]=P134)),"")</f>
        <v/>
      </c>
      <c r="R134" s="11" t="str">
        <f>IF(Q134&lt;&gt;"",Q134+ROWS($Q$2:Q134)/100,"")</f>
        <v/>
      </c>
      <c r="S134" t="str">
        <f>IF(R134&lt;&gt;"",LARGE($R$2:$R$441,ROWS($R$2:R134)),"")</f>
        <v/>
      </c>
      <c r="T134" s="1" t="str">
        <f>IF(R134&lt;&gt;"",INDEX($P$2:$Q$441,MATCH($S134,$R$2:$R$441,0),COLUMNS($S$2:S134)),"")</f>
        <v/>
      </c>
      <c r="U134" s="1" t="str">
        <f>IF(S134&lt;&gt;"",INDEX($P$2:$Q$441,MATCH($S134,$R$2:$R$441,0),COLUMNS($S$2:T134)),"")</f>
        <v/>
      </c>
      <c r="AE134" s="1">
        <f>Table2[[#This Row],[Year]]</f>
        <v>2006</v>
      </c>
      <c r="AF134" s="1">
        <f>Table2[[#This Row],['#]]</f>
        <v>13</v>
      </c>
      <c r="AG134" s="1" t="str">
        <f>Table2[[#This Row],[Team]]</f>
        <v>Newcastle United</v>
      </c>
      <c r="AH134" s="1">
        <f>Table2[[#This Row],[Pl]]</f>
        <v>38</v>
      </c>
      <c r="AI134" s="1">
        <f>Table2[[#This Row],[W]]</f>
        <v>0</v>
      </c>
      <c r="AJ134" s="1">
        <f>Table2[[#This Row],[D]]</f>
        <v>0</v>
      </c>
      <c r="AK134" s="1">
        <f>Table2[[#This Row],[L]]</f>
        <v>0</v>
      </c>
      <c r="AL134" s="1">
        <f>Table2[[#This Row],[F]]</f>
        <v>0</v>
      </c>
      <c r="AM134" s="1">
        <f>Table2[[#This Row],[A]]</f>
        <v>0</v>
      </c>
      <c r="AN134" s="1">
        <f>Table2[[#This Row],[GD]]</f>
        <v>0</v>
      </c>
      <c r="AO134" s="1">
        <f>Table2[[#This Row],[Pts]]</f>
        <v>43</v>
      </c>
      <c r="AP134" s="1">
        <f>Table2[[#This Row],[Column1]]</f>
        <v>13</v>
      </c>
      <c r="AR134" t="b">
        <f t="shared" si="6"/>
        <v>1</v>
      </c>
      <c r="AS134">
        <f>IF(AR134,ROWS($AR$2:AR134),"")</f>
        <v>133</v>
      </c>
      <c r="AT134">
        <f>IFERROR(SMALL($AS$2:$AS$440,ROWS($AS$2:AS134)),"")</f>
        <v>133</v>
      </c>
      <c r="AU134">
        <f>IF(AT134&lt;&gt;"",INDEX($AE$2:$AP$440,MATCH($AT134,$AS$2:$AS$440,0),COLUMNS($AT$2:AT134)),"")</f>
        <v>2006</v>
      </c>
      <c r="AV134">
        <f>IF(AU134&lt;&gt;"",INDEX($AE$2:$AP$440,MATCH($AT134,$AS$2:$AS$440,0),COLUMNS($AT$2:AU134)),"")</f>
        <v>13</v>
      </c>
      <c r="AW134" t="str">
        <f>IF(AV134&lt;&gt;"",INDEX($AE$2:$AP$440,MATCH($AT134,$AS$2:$AS$440,0),COLUMNS($AT$2:AV134)),"")</f>
        <v>Newcastle United</v>
      </c>
      <c r="AX134">
        <f>IF(AW134&lt;&gt;"",INDEX($AE$2:$AP$440,MATCH($AT134,$AS$2:$AS$440,0),COLUMNS($AT$2:AW134)),"")</f>
        <v>38</v>
      </c>
      <c r="AY134">
        <f>IF(AX134&lt;&gt;"",INDEX($AE$2:$AP$440,MATCH($AT134,$AS$2:$AS$440,0),COLUMNS($AT$2:AX134)),"")</f>
        <v>0</v>
      </c>
      <c r="AZ134">
        <f>IF(AY134&lt;&gt;"",INDEX($AE$2:$AP$440,MATCH($AT134,$AS$2:$AS$440,0),COLUMNS($AT$2:AY134)),"")</f>
        <v>0</v>
      </c>
      <c r="BA134">
        <f>IF(AZ134&lt;&gt;"",INDEX($AE$2:$AP$440,MATCH($AT134,$AS$2:$AS$440,0),COLUMNS($AT$2:AZ134)),"")</f>
        <v>0</v>
      </c>
      <c r="BB134">
        <f>IF(BA134&lt;&gt;"",INDEX($AE$2:$AP$440,MATCH($AT134,$AS$2:$AS$440,0),COLUMNS($AT$2:BA134)),"")</f>
        <v>0</v>
      </c>
      <c r="BC134">
        <f>IF(BB134&lt;&gt;"",INDEX($AE$2:$AP$440,MATCH($AT134,$AS$2:$AS$440,0),COLUMNS($AT$2:BB134)),"")</f>
        <v>0</v>
      </c>
      <c r="BD134">
        <f>IF(BC134&lt;&gt;"",INDEX($AE$2:$AP$440,MATCH($AT134,$AS$2:$AS$440,0),COLUMNS($AT$2:BC134)),"")</f>
        <v>0</v>
      </c>
      <c r="BE134">
        <f>IF(BD134&lt;&gt;"",INDEX($AE$2:$AP$440,MATCH($AT134,$AS$2:$AS$440,0),COLUMNS($AT$2:BD134)),"")</f>
        <v>43</v>
      </c>
      <c r="BF134">
        <f>IF(BE134&lt;&gt;"",INDEX($AE$2:$AP$440,MATCH($AT134,$AS$2:$AS$440,0),COLUMNS($AT$2:BE134)),"")</f>
        <v>13</v>
      </c>
    </row>
    <row r="135" spans="1:58" x14ac:dyDescent="0.25">
      <c r="A135" s="5">
        <v>2006</v>
      </c>
      <c r="B135" s="5">
        <v>14</v>
      </c>
      <c r="C135" s="6" t="s">
        <v>28</v>
      </c>
      <c r="D135" s="5">
        <v>38</v>
      </c>
      <c r="E135" s="5">
        <v>0</v>
      </c>
      <c r="F135" s="5">
        <v>0</v>
      </c>
      <c r="G135" s="5">
        <v>0</v>
      </c>
      <c r="H135" s="5">
        <v>0</v>
      </c>
      <c r="I135" s="5">
        <v>0</v>
      </c>
      <c r="J135" s="5">
        <v>0</v>
      </c>
      <c r="K135" s="5">
        <v>42</v>
      </c>
      <c r="L135" s="5">
        <f>IF(Table2[[#This Row],['#]]=1,"Champion", IF(Table2[[#This Row],['#]]&gt;=18,"Relegated",Table2[[#This Row],['#]]))</f>
        <v>14</v>
      </c>
      <c r="N135">
        <f>IF(COUNTIF($O$2:O135,O135)=1,N134+1,N134)</f>
        <v>31</v>
      </c>
      <c r="O135" s="4" t="str">
        <f>Table2[[#This Row],[Team]]</f>
        <v>Manchester City</v>
      </c>
      <c r="P135" s="1" t="str">
        <f>IFERROR(VLOOKUP(ROWS($O$2:O135),$N$2:$O$441,2,0),"")</f>
        <v/>
      </c>
      <c r="Q135" s="1" t="str">
        <f>IF(P135&lt;&gt;"",SUMPRODUCT(--(Table2[Team]=P135)),"")</f>
        <v/>
      </c>
      <c r="R135" s="11" t="str">
        <f>IF(Q135&lt;&gt;"",Q135+ROWS($Q$2:Q135)/100,"")</f>
        <v/>
      </c>
      <c r="S135" t="str">
        <f>IF(R135&lt;&gt;"",LARGE($R$2:$R$441,ROWS($R$2:R135)),"")</f>
        <v/>
      </c>
      <c r="T135" s="1" t="str">
        <f>IF(R135&lt;&gt;"",INDEX($P$2:$Q$441,MATCH($S135,$R$2:$R$441,0),COLUMNS($S$2:S135)),"")</f>
        <v/>
      </c>
      <c r="U135" s="1" t="str">
        <f>IF(S135&lt;&gt;"",INDEX($P$2:$Q$441,MATCH($S135,$R$2:$R$441,0),COLUMNS($S$2:T135)),"")</f>
        <v/>
      </c>
      <c r="AE135" s="1">
        <f>Table2[[#This Row],[Year]]</f>
        <v>2006</v>
      </c>
      <c r="AF135" s="1">
        <f>Table2[[#This Row],['#]]</f>
        <v>14</v>
      </c>
      <c r="AG135" s="1" t="str">
        <f>Table2[[#This Row],[Team]]</f>
        <v>Manchester City</v>
      </c>
      <c r="AH135" s="1">
        <f>Table2[[#This Row],[Pl]]</f>
        <v>38</v>
      </c>
      <c r="AI135" s="1">
        <f>Table2[[#This Row],[W]]</f>
        <v>0</v>
      </c>
      <c r="AJ135" s="1">
        <f>Table2[[#This Row],[D]]</f>
        <v>0</v>
      </c>
      <c r="AK135" s="1">
        <f>Table2[[#This Row],[L]]</f>
        <v>0</v>
      </c>
      <c r="AL135" s="1">
        <f>Table2[[#This Row],[F]]</f>
        <v>0</v>
      </c>
      <c r="AM135" s="1">
        <f>Table2[[#This Row],[A]]</f>
        <v>0</v>
      </c>
      <c r="AN135" s="1">
        <f>Table2[[#This Row],[GD]]</f>
        <v>0</v>
      </c>
      <c r="AO135" s="1">
        <f>Table2[[#This Row],[Pts]]</f>
        <v>42</v>
      </c>
      <c r="AP135" s="1">
        <f>Table2[[#This Row],[Column1]]</f>
        <v>14</v>
      </c>
      <c r="AR135" t="b">
        <f t="shared" si="6"/>
        <v>1</v>
      </c>
      <c r="AS135">
        <f>IF(AR135,ROWS($AR$2:AR135),"")</f>
        <v>134</v>
      </c>
      <c r="AT135">
        <f>IFERROR(SMALL($AS$2:$AS$440,ROWS($AS$2:AS135)),"")</f>
        <v>134</v>
      </c>
      <c r="AU135">
        <f>IF(AT135&lt;&gt;"",INDEX($AE$2:$AP$440,MATCH($AT135,$AS$2:$AS$440,0),COLUMNS($AT$2:AT135)),"")</f>
        <v>2006</v>
      </c>
      <c r="AV135">
        <f>IF(AU135&lt;&gt;"",INDEX($AE$2:$AP$440,MATCH($AT135,$AS$2:$AS$440,0),COLUMNS($AT$2:AU135)),"")</f>
        <v>14</v>
      </c>
      <c r="AW135" t="str">
        <f>IF(AV135&lt;&gt;"",INDEX($AE$2:$AP$440,MATCH($AT135,$AS$2:$AS$440,0),COLUMNS($AT$2:AV135)),"")</f>
        <v>Manchester City</v>
      </c>
      <c r="AX135">
        <f>IF(AW135&lt;&gt;"",INDEX($AE$2:$AP$440,MATCH($AT135,$AS$2:$AS$440,0),COLUMNS($AT$2:AW135)),"")</f>
        <v>38</v>
      </c>
      <c r="AY135">
        <f>IF(AX135&lt;&gt;"",INDEX($AE$2:$AP$440,MATCH($AT135,$AS$2:$AS$440,0),COLUMNS($AT$2:AX135)),"")</f>
        <v>0</v>
      </c>
      <c r="AZ135">
        <f>IF(AY135&lt;&gt;"",INDEX($AE$2:$AP$440,MATCH($AT135,$AS$2:$AS$440,0),COLUMNS($AT$2:AY135)),"")</f>
        <v>0</v>
      </c>
      <c r="BA135">
        <f>IF(AZ135&lt;&gt;"",INDEX($AE$2:$AP$440,MATCH($AT135,$AS$2:$AS$440,0),COLUMNS($AT$2:AZ135)),"")</f>
        <v>0</v>
      </c>
      <c r="BB135">
        <f>IF(BA135&lt;&gt;"",INDEX($AE$2:$AP$440,MATCH($AT135,$AS$2:$AS$440,0),COLUMNS($AT$2:BA135)),"")</f>
        <v>0</v>
      </c>
      <c r="BC135">
        <f>IF(BB135&lt;&gt;"",INDEX($AE$2:$AP$440,MATCH($AT135,$AS$2:$AS$440,0),COLUMNS($AT$2:BB135)),"")</f>
        <v>0</v>
      </c>
      <c r="BD135">
        <f>IF(BC135&lt;&gt;"",INDEX($AE$2:$AP$440,MATCH($AT135,$AS$2:$AS$440,0),COLUMNS($AT$2:BC135)),"")</f>
        <v>0</v>
      </c>
      <c r="BE135">
        <f>IF(BD135&lt;&gt;"",INDEX($AE$2:$AP$440,MATCH($AT135,$AS$2:$AS$440,0),COLUMNS($AT$2:BD135)),"")</f>
        <v>42</v>
      </c>
      <c r="BF135">
        <f>IF(BE135&lt;&gt;"",INDEX($AE$2:$AP$440,MATCH($AT135,$AS$2:$AS$440,0),COLUMNS($AT$2:BE135)),"")</f>
        <v>14</v>
      </c>
    </row>
    <row r="136" spans="1:58" x14ac:dyDescent="0.25">
      <c r="A136" s="3">
        <v>2006</v>
      </c>
      <c r="B136" s="3">
        <v>15</v>
      </c>
      <c r="C136" s="4" t="s">
        <v>25</v>
      </c>
      <c r="D136" s="3">
        <v>38</v>
      </c>
      <c r="E136" s="3">
        <v>0</v>
      </c>
      <c r="F136" s="3">
        <v>0</v>
      </c>
      <c r="G136" s="3">
        <v>0</v>
      </c>
      <c r="H136" s="3">
        <v>0</v>
      </c>
      <c r="I136" s="3">
        <v>0</v>
      </c>
      <c r="J136" s="3">
        <v>0</v>
      </c>
      <c r="K136" s="3">
        <v>41</v>
      </c>
      <c r="L136" s="5">
        <f>IF(Table2[[#This Row],['#]]=1,"Champion", IF(Table2[[#This Row],['#]]&gt;=18,"Relegated",Table2[[#This Row],['#]]))</f>
        <v>15</v>
      </c>
      <c r="N136">
        <f>IF(COUNTIF($O$2:O136,O136)=1,N135+1,N135)</f>
        <v>31</v>
      </c>
      <c r="O136" s="4" t="str">
        <f>Table2[[#This Row],[Team]]</f>
        <v>West Ham United</v>
      </c>
      <c r="P136" s="1" t="str">
        <f>IFERROR(VLOOKUP(ROWS($O$2:O136),$N$2:$O$441,2,0),"")</f>
        <v/>
      </c>
      <c r="Q136" s="1" t="str">
        <f>IF(P136&lt;&gt;"",SUMPRODUCT(--(Table2[Team]=P136)),"")</f>
        <v/>
      </c>
      <c r="R136" s="11" t="str">
        <f>IF(Q136&lt;&gt;"",Q136+ROWS($Q$2:Q136)/100,"")</f>
        <v/>
      </c>
      <c r="S136" t="str">
        <f>IF(R136&lt;&gt;"",LARGE($R$2:$R$441,ROWS($R$2:R136)),"")</f>
        <v/>
      </c>
      <c r="T136" s="1" t="str">
        <f>IF(R136&lt;&gt;"",INDEX($P$2:$Q$441,MATCH($S136,$R$2:$R$441,0),COLUMNS($S$2:S136)),"")</f>
        <v/>
      </c>
      <c r="U136" s="1" t="str">
        <f>IF(S136&lt;&gt;"",INDEX($P$2:$Q$441,MATCH($S136,$R$2:$R$441,0),COLUMNS($S$2:T136)),"")</f>
        <v/>
      </c>
      <c r="AE136" s="1">
        <f>Table2[[#This Row],[Year]]</f>
        <v>2006</v>
      </c>
      <c r="AF136" s="1">
        <f>Table2[[#This Row],['#]]</f>
        <v>15</v>
      </c>
      <c r="AG136" s="1" t="str">
        <f>Table2[[#This Row],[Team]]</f>
        <v>West Ham United</v>
      </c>
      <c r="AH136" s="1">
        <f>Table2[[#This Row],[Pl]]</f>
        <v>38</v>
      </c>
      <c r="AI136" s="1">
        <f>Table2[[#This Row],[W]]</f>
        <v>0</v>
      </c>
      <c r="AJ136" s="1">
        <f>Table2[[#This Row],[D]]</f>
        <v>0</v>
      </c>
      <c r="AK136" s="1">
        <f>Table2[[#This Row],[L]]</f>
        <v>0</v>
      </c>
      <c r="AL136" s="1">
        <f>Table2[[#This Row],[F]]</f>
        <v>0</v>
      </c>
      <c r="AM136" s="1">
        <f>Table2[[#This Row],[A]]</f>
        <v>0</v>
      </c>
      <c r="AN136" s="1">
        <f>Table2[[#This Row],[GD]]</f>
        <v>0</v>
      </c>
      <c r="AO136" s="1">
        <f>Table2[[#This Row],[Pts]]</f>
        <v>41</v>
      </c>
      <c r="AP136" s="1">
        <f>Table2[[#This Row],[Column1]]</f>
        <v>15</v>
      </c>
      <c r="AR136" t="b">
        <f t="shared" si="6"/>
        <v>1</v>
      </c>
      <c r="AS136">
        <f>IF(AR136,ROWS($AR$2:AR136),"")</f>
        <v>135</v>
      </c>
      <c r="AT136">
        <f>IFERROR(SMALL($AS$2:$AS$440,ROWS($AS$2:AS136)),"")</f>
        <v>135</v>
      </c>
      <c r="AU136">
        <f>IF(AT136&lt;&gt;"",INDEX($AE$2:$AP$440,MATCH($AT136,$AS$2:$AS$440,0),COLUMNS($AT$2:AT136)),"")</f>
        <v>2006</v>
      </c>
      <c r="AV136">
        <f>IF(AU136&lt;&gt;"",INDEX($AE$2:$AP$440,MATCH($AT136,$AS$2:$AS$440,0),COLUMNS($AT$2:AU136)),"")</f>
        <v>15</v>
      </c>
      <c r="AW136" t="str">
        <f>IF(AV136&lt;&gt;"",INDEX($AE$2:$AP$440,MATCH($AT136,$AS$2:$AS$440,0),COLUMNS($AT$2:AV136)),"")</f>
        <v>West Ham United</v>
      </c>
      <c r="AX136">
        <f>IF(AW136&lt;&gt;"",INDEX($AE$2:$AP$440,MATCH($AT136,$AS$2:$AS$440,0),COLUMNS($AT$2:AW136)),"")</f>
        <v>38</v>
      </c>
      <c r="AY136">
        <f>IF(AX136&lt;&gt;"",INDEX($AE$2:$AP$440,MATCH($AT136,$AS$2:$AS$440,0),COLUMNS($AT$2:AX136)),"")</f>
        <v>0</v>
      </c>
      <c r="AZ136">
        <f>IF(AY136&lt;&gt;"",INDEX($AE$2:$AP$440,MATCH($AT136,$AS$2:$AS$440,0),COLUMNS($AT$2:AY136)),"")</f>
        <v>0</v>
      </c>
      <c r="BA136">
        <f>IF(AZ136&lt;&gt;"",INDEX($AE$2:$AP$440,MATCH($AT136,$AS$2:$AS$440,0),COLUMNS($AT$2:AZ136)),"")</f>
        <v>0</v>
      </c>
      <c r="BB136">
        <f>IF(BA136&lt;&gt;"",INDEX($AE$2:$AP$440,MATCH($AT136,$AS$2:$AS$440,0),COLUMNS($AT$2:BA136)),"")</f>
        <v>0</v>
      </c>
      <c r="BC136">
        <f>IF(BB136&lt;&gt;"",INDEX($AE$2:$AP$440,MATCH($AT136,$AS$2:$AS$440,0),COLUMNS($AT$2:BB136)),"")</f>
        <v>0</v>
      </c>
      <c r="BD136">
        <f>IF(BC136&lt;&gt;"",INDEX($AE$2:$AP$440,MATCH($AT136,$AS$2:$AS$440,0),COLUMNS($AT$2:BC136)),"")</f>
        <v>0</v>
      </c>
      <c r="BE136">
        <f>IF(BD136&lt;&gt;"",INDEX($AE$2:$AP$440,MATCH($AT136,$AS$2:$AS$440,0),COLUMNS($AT$2:BD136)),"")</f>
        <v>41</v>
      </c>
      <c r="BF136">
        <f>IF(BE136&lt;&gt;"",INDEX($AE$2:$AP$440,MATCH($AT136,$AS$2:$AS$440,0),COLUMNS($AT$2:BE136)),"")</f>
        <v>15</v>
      </c>
    </row>
    <row r="137" spans="1:58" x14ac:dyDescent="0.25">
      <c r="A137" s="5">
        <v>2006</v>
      </c>
      <c r="B137" s="5">
        <v>16</v>
      </c>
      <c r="C137" s="6" t="s">
        <v>32</v>
      </c>
      <c r="D137" s="5">
        <v>38</v>
      </c>
      <c r="E137" s="5">
        <v>0</v>
      </c>
      <c r="F137" s="5">
        <v>0</v>
      </c>
      <c r="G137" s="5">
        <v>0</v>
      </c>
      <c r="H137" s="5">
        <v>0</v>
      </c>
      <c r="I137" s="5">
        <v>0</v>
      </c>
      <c r="J137" s="5">
        <v>0</v>
      </c>
      <c r="K137" s="5">
        <v>39</v>
      </c>
      <c r="L137" s="5">
        <f>IF(Table2[[#This Row],['#]]=1,"Champion", IF(Table2[[#This Row],['#]]&gt;=18,"Relegated",Table2[[#This Row],['#]]))</f>
        <v>16</v>
      </c>
      <c r="N137">
        <f>IF(COUNTIF($O$2:O137,O137)=1,N136+1,N136)</f>
        <v>31</v>
      </c>
      <c r="O137" s="4" t="str">
        <f>Table2[[#This Row],[Team]]</f>
        <v>Fulham</v>
      </c>
      <c r="P137" s="1" t="str">
        <f>IFERROR(VLOOKUP(ROWS($O$2:O137),$N$2:$O$441,2,0),"")</f>
        <v/>
      </c>
      <c r="Q137" s="1" t="str">
        <f>IF(P137&lt;&gt;"",SUMPRODUCT(--(Table2[Team]=P137)),"")</f>
        <v/>
      </c>
      <c r="R137" s="11" t="str">
        <f>IF(Q137&lt;&gt;"",Q137+ROWS($Q$2:Q137)/100,"")</f>
        <v/>
      </c>
      <c r="S137" t="str">
        <f>IF(R137&lt;&gt;"",LARGE($R$2:$R$441,ROWS($R$2:R137)),"")</f>
        <v/>
      </c>
      <c r="T137" s="1" t="str">
        <f>IF(R137&lt;&gt;"",INDEX($P$2:$Q$441,MATCH($S137,$R$2:$R$441,0),COLUMNS($S$2:S137)),"")</f>
        <v/>
      </c>
      <c r="U137" s="1" t="str">
        <f>IF(S137&lt;&gt;"",INDEX($P$2:$Q$441,MATCH($S137,$R$2:$R$441,0),COLUMNS($S$2:T137)),"")</f>
        <v/>
      </c>
      <c r="AE137" s="1">
        <f>Table2[[#This Row],[Year]]</f>
        <v>2006</v>
      </c>
      <c r="AF137" s="1">
        <f>Table2[[#This Row],['#]]</f>
        <v>16</v>
      </c>
      <c r="AG137" s="1" t="str">
        <f>Table2[[#This Row],[Team]]</f>
        <v>Fulham</v>
      </c>
      <c r="AH137" s="1">
        <f>Table2[[#This Row],[Pl]]</f>
        <v>38</v>
      </c>
      <c r="AI137" s="1">
        <f>Table2[[#This Row],[W]]</f>
        <v>0</v>
      </c>
      <c r="AJ137" s="1">
        <f>Table2[[#This Row],[D]]</f>
        <v>0</v>
      </c>
      <c r="AK137" s="1">
        <f>Table2[[#This Row],[L]]</f>
        <v>0</v>
      </c>
      <c r="AL137" s="1">
        <f>Table2[[#This Row],[F]]</f>
        <v>0</v>
      </c>
      <c r="AM137" s="1">
        <f>Table2[[#This Row],[A]]</f>
        <v>0</v>
      </c>
      <c r="AN137" s="1">
        <f>Table2[[#This Row],[GD]]</f>
        <v>0</v>
      </c>
      <c r="AO137" s="1">
        <f>Table2[[#This Row],[Pts]]</f>
        <v>39</v>
      </c>
      <c r="AP137" s="1">
        <f>Table2[[#This Row],[Column1]]</f>
        <v>16</v>
      </c>
      <c r="AR137" t="b">
        <f t="shared" si="6"/>
        <v>1</v>
      </c>
      <c r="AS137">
        <f>IF(AR137,ROWS($AR$2:AR137),"")</f>
        <v>136</v>
      </c>
      <c r="AT137">
        <f>IFERROR(SMALL($AS$2:$AS$440,ROWS($AS$2:AS137)),"")</f>
        <v>136</v>
      </c>
      <c r="AU137">
        <f>IF(AT137&lt;&gt;"",INDEX($AE$2:$AP$440,MATCH($AT137,$AS$2:$AS$440,0),COLUMNS($AT$2:AT137)),"")</f>
        <v>2006</v>
      </c>
      <c r="AV137">
        <f>IF(AU137&lt;&gt;"",INDEX($AE$2:$AP$440,MATCH($AT137,$AS$2:$AS$440,0),COLUMNS($AT$2:AU137)),"")</f>
        <v>16</v>
      </c>
      <c r="AW137" t="str">
        <f>IF(AV137&lt;&gt;"",INDEX($AE$2:$AP$440,MATCH($AT137,$AS$2:$AS$440,0),COLUMNS($AT$2:AV137)),"")</f>
        <v>Fulham</v>
      </c>
      <c r="AX137">
        <f>IF(AW137&lt;&gt;"",INDEX($AE$2:$AP$440,MATCH($AT137,$AS$2:$AS$440,0),COLUMNS($AT$2:AW137)),"")</f>
        <v>38</v>
      </c>
      <c r="AY137">
        <f>IF(AX137&lt;&gt;"",INDEX($AE$2:$AP$440,MATCH($AT137,$AS$2:$AS$440,0),COLUMNS($AT$2:AX137)),"")</f>
        <v>0</v>
      </c>
      <c r="AZ137">
        <f>IF(AY137&lt;&gt;"",INDEX($AE$2:$AP$440,MATCH($AT137,$AS$2:$AS$440,0),COLUMNS($AT$2:AY137)),"")</f>
        <v>0</v>
      </c>
      <c r="BA137">
        <f>IF(AZ137&lt;&gt;"",INDEX($AE$2:$AP$440,MATCH($AT137,$AS$2:$AS$440,0),COLUMNS($AT$2:AZ137)),"")</f>
        <v>0</v>
      </c>
      <c r="BB137">
        <f>IF(BA137&lt;&gt;"",INDEX($AE$2:$AP$440,MATCH($AT137,$AS$2:$AS$440,0),COLUMNS($AT$2:BA137)),"")</f>
        <v>0</v>
      </c>
      <c r="BC137">
        <f>IF(BB137&lt;&gt;"",INDEX($AE$2:$AP$440,MATCH($AT137,$AS$2:$AS$440,0),COLUMNS($AT$2:BB137)),"")</f>
        <v>0</v>
      </c>
      <c r="BD137">
        <f>IF(BC137&lt;&gt;"",INDEX($AE$2:$AP$440,MATCH($AT137,$AS$2:$AS$440,0),COLUMNS($AT$2:BC137)),"")</f>
        <v>0</v>
      </c>
      <c r="BE137">
        <f>IF(BD137&lt;&gt;"",INDEX($AE$2:$AP$440,MATCH($AT137,$AS$2:$AS$440,0),COLUMNS($AT$2:BD137)),"")</f>
        <v>39</v>
      </c>
      <c r="BF137">
        <f>IF(BE137&lt;&gt;"",INDEX($AE$2:$AP$440,MATCH($AT137,$AS$2:$AS$440,0),COLUMNS($AT$2:BE137)),"")</f>
        <v>16</v>
      </c>
    </row>
    <row r="138" spans="1:58" x14ac:dyDescent="0.25">
      <c r="A138" s="3">
        <v>2006</v>
      </c>
      <c r="B138" s="3">
        <v>17</v>
      </c>
      <c r="C138" s="4" t="s">
        <v>40</v>
      </c>
      <c r="D138" s="3">
        <v>38</v>
      </c>
      <c r="E138" s="3">
        <v>0</v>
      </c>
      <c r="F138" s="3">
        <v>0</v>
      </c>
      <c r="G138" s="3">
        <v>0</v>
      </c>
      <c r="H138" s="3">
        <v>0</v>
      </c>
      <c r="I138" s="3">
        <v>0</v>
      </c>
      <c r="J138" s="3">
        <v>0</v>
      </c>
      <c r="K138" s="3">
        <v>38</v>
      </c>
      <c r="L138" s="5">
        <f>IF(Table2[[#This Row],['#]]=1,"Champion", IF(Table2[[#This Row],['#]]&gt;=18,"Relegated",Table2[[#This Row],['#]]))</f>
        <v>17</v>
      </c>
      <c r="N138">
        <f>IF(COUNTIF($O$2:O138,O138)=1,N137+1,N137)</f>
        <v>31</v>
      </c>
      <c r="O138" s="4" t="str">
        <f>Table2[[#This Row],[Team]]</f>
        <v>Wigan Athletic</v>
      </c>
      <c r="P138" s="1" t="str">
        <f>IFERROR(VLOOKUP(ROWS($O$2:O138),$N$2:$O$441,2,0),"")</f>
        <v/>
      </c>
      <c r="Q138" s="1" t="str">
        <f>IF(P138&lt;&gt;"",SUMPRODUCT(--(Table2[Team]=P138)),"")</f>
        <v/>
      </c>
      <c r="R138" s="11" t="str">
        <f>IF(Q138&lt;&gt;"",Q138+ROWS($Q$2:Q138)/100,"")</f>
        <v/>
      </c>
      <c r="S138" t="str">
        <f>IF(R138&lt;&gt;"",LARGE($R$2:$R$441,ROWS($R$2:R138)),"")</f>
        <v/>
      </c>
      <c r="T138" s="1" t="str">
        <f>IF(R138&lt;&gt;"",INDEX($P$2:$Q$441,MATCH($S138,$R$2:$R$441,0),COLUMNS($S$2:S138)),"")</f>
        <v/>
      </c>
      <c r="U138" s="1" t="str">
        <f>IF(S138&lt;&gt;"",INDEX($P$2:$Q$441,MATCH($S138,$R$2:$R$441,0),COLUMNS($S$2:T138)),"")</f>
        <v/>
      </c>
      <c r="AE138" s="1">
        <f>Table2[[#This Row],[Year]]</f>
        <v>2006</v>
      </c>
      <c r="AF138" s="1">
        <f>Table2[[#This Row],['#]]</f>
        <v>17</v>
      </c>
      <c r="AG138" s="1" t="str">
        <f>Table2[[#This Row],[Team]]</f>
        <v>Wigan Athletic</v>
      </c>
      <c r="AH138" s="1">
        <f>Table2[[#This Row],[Pl]]</f>
        <v>38</v>
      </c>
      <c r="AI138" s="1">
        <f>Table2[[#This Row],[W]]</f>
        <v>0</v>
      </c>
      <c r="AJ138" s="1">
        <f>Table2[[#This Row],[D]]</f>
        <v>0</v>
      </c>
      <c r="AK138" s="1">
        <f>Table2[[#This Row],[L]]</f>
        <v>0</v>
      </c>
      <c r="AL138" s="1">
        <f>Table2[[#This Row],[F]]</f>
        <v>0</v>
      </c>
      <c r="AM138" s="1">
        <f>Table2[[#This Row],[A]]</f>
        <v>0</v>
      </c>
      <c r="AN138" s="1">
        <f>Table2[[#This Row],[GD]]</f>
        <v>0</v>
      </c>
      <c r="AO138" s="1">
        <f>Table2[[#This Row],[Pts]]</f>
        <v>38</v>
      </c>
      <c r="AP138" s="1">
        <f>Table2[[#This Row],[Column1]]</f>
        <v>17</v>
      </c>
      <c r="AR138" t="b">
        <f t="shared" si="6"/>
        <v>1</v>
      </c>
      <c r="AS138">
        <f>IF(AR138,ROWS($AR$2:AR138),"")</f>
        <v>137</v>
      </c>
      <c r="AT138">
        <f>IFERROR(SMALL($AS$2:$AS$440,ROWS($AS$2:AS138)),"")</f>
        <v>137</v>
      </c>
      <c r="AU138">
        <f>IF(AT138&lt;&gt;"",INDEX($AE$2:$AP$440,MATCH($AT138,$AS$2:$AS$440,0),COLUMNS($AT$2:AT138)),"")</f>
        <v>2006</v>
      </c>
      <c r="AV138">
        <f>IF(AU138&lt;&gt;"",INDEX($AE$2:$AP$440,MATCH($AT138,$AS$2:$AS$440,0),COLUMNS($AT$2:AU138)),"")</f>
        <v>17</v>
      </c>
      <c r="AW138" t="str">
        <f>IF(AV138&lt;&gt;"",INDEX($AE$2:$AP$440,MATCH($AT138,$AS$2:$AS$440,0),COLUMNS($AT$2:AV138)),"")</f>
        <v>Wigan Athletic</v>
      </c>
      <c r="AX138">
        <f>IF(AW138&lt;&gt;"",INDEX($AE$2:$AP$440,MATCH($AT138,$AS$2:$AS$440,0),COLUMNS($AT$2:AW138)),"")</f>
        <v>38</v>
      </c>
      <c r="AY138">
        <f>IF(AX138&lt;&gt;"",INDEX($AE$2:$AP$440,MATCH($AT138,$AS$2:$AS$440,0),COLUMNS($AT$2:AX138)),"")</f>
        <v>0</v>
      </c>
      <c r="AZ138">
        <f>IF(AY138&lt;&gt;"",INDEX($AE$2:$AP$440,MATCH($AT138,$AS$2:$AS$440,0),COLUMNS($AT$2:AY138)),"")</f>
        <v>0</v>
      </c>
      <c r="BA138">
        <f>IF(AZ138&lt;&gt;"",INDEX($AE$2:$AP$440,MATCH($AT138,$AS$2:$AS$440,0),COLUMNS($AT$2:AZ138)),"")</f>
        <v>0</v>
      </c>
      <c r="BB138">
        <f>IF(BA138&lt;&gt;"",INDEX($AE$2:$AP$440,MATCH($AT138,$AS$2:$AS$440,0),COLUMNS($AT$2:BA138)),"")</f>
        <v>0</v>
      </c>
      <c r="BC138">
        <f>IF(BB138&lt;&gt;"",INDEX($AE$2:$AP$440,MATCH($AT138,$AS$2:$AS$440,0),COLUMNS($AT$2:BB138)),"")</f>
        <v>0</v>
      </c>
      <c r="BD138">
        <f>IF(BC138&lt;&gt;"",INDEX($AE$2:$AP$440,MATCH($AT138,$AS$2:$AS$440,0),COLUMNS($AT$2:BC138)),"")</f>
        <v>0</v>
      </c>
      <c r="BE138">
        <f>IF(BD138&lt;&gt;"",INDEX($AE$2:$AP$440,MATCH($AT138,$AS$2:$AS$440,0),COLUMNS($AT$2:BD138)),"")</f>
        <v>38</v>
      </c>
      <c r="BF138">
        <f>IF(BE138&lt;&gt;"",INDEX($AE$2:$AP$440,MATCH($AT138,$AS$2:$AS$440,0),COLUMNS($AT$2:BE138)),"")</f>
        <v>17</v>
      </c>
    </row>
    <row r="139" spans="1:58" x14ac:dyDescent="0.25">
      <c r="A139" s="5">
        <v>2006</v>
      </c>
      <c r="B139" s="5">
        <v>18</v>
      </c>
      <c r="C139" s="6" t="s">
        <v>42</v>
      </c>
      <c r="D139" s="5">
        <v>38</v>
      </c>
      <c r="E139" s="5">
        <v>0</v>
      </c>
      <c r="F139" s="5">
        <v>0</v>
      </c>
      <c r="G139" s="5">
        <v>0</v>
      </c>
      <c r="H139" s="5">
        <v>0</v>
      </c>
      <c r="I139" s="5">
        <v>0</v>
      </c>
      <c r="J139" s="5">
        <v>0</v>
      </c>
      <c r="K139" s="5">
        <v>38</v>
      </c>
      <c r="L139" s="5" t="str">
        <f>IF(Table2[[#This Row],['#]]=1,"Champion", IF(Table2[[#This Row],['#]]&gt;=18,"Relegated",Table2[[#This Row],['#]]))</f>
        <v>Relegated</v>
      </c>
      <c r="N139">
        <f>IF(COUNTIF($O$2:O139,O139)=1,N138+1,N138)</f>
        <v>32</v>
      </c>
      <c r="O139" s="4" t="str">
        <f>Table2[[#This Row],[Team]]</f>
        <v>Sheffield United</v>
      </c>
      <c r="P139" s="1" t="str">
        <f>IFERROR(VLOOKUP(ROWS($O$2:O139),$N$2:$O$441,2,0),"")</f>
        <v/>
      </c>
      <c r="Q139" s="1" t="str">
        <f>IF(P139&lt;&gt;"",SUMPRODUCT(--(Table2[Team]=P139)),"")</f>
        <v/>
      </c>
      <c r="R139" s="11" t="str">
        <f>IF(Q139&lt;&gt;"",Q139+ROWS($Q$2:Q139)/100,"")</f>
        <v/>
      </c>
      <c r="S139" t="str">
        <f>IF(R139&lt;&gt;"",LARGE($R$2:$R$441,ROWS($R$2:R139)),"")</f>
        <v/>
      </c>
      <c r="T139" s="1" t="str">
        <f>IF(R139&lt;&gt;"",INDEX($P$2:$Q$441,MATCH($S139,$R$2:$R$441,0),COLUMNS($S$2:S139)),"")</f>
        <v/>
      </c>
      <c r="U139" s="1" t="str">
        <f>IF(S139&lt;&gt;"",INDEX($P$2:$Q$441,MATCH($S139,$R$2:$R$441,0),COLUMNS($S$2:T139)),"")</f>
        <v/>
      </c>
      <c r="AE139" s="1">
        <f>Table2[[#This Row],[Year]]</f>
        <v>2006</v>
      </c>
      <c r="AF139" s="1">
        <f>Table2[[#This Row],['#]]</f>
        <v>18</v>
      </c>
      <c r="AG139" s="1" t="str">
        <f>Table2[[#This Row],[Team]]</f>
        <v>Sheffield United</v>
      </c>
      <c r="AH139" s="1">
        <f>Table2[[#This Row],[Pl]]</f>
        <v>38</v>
      </c>
      <c r="AI139" s="1">
        <f>Table2[[#This Row],[W]]</f>
        <v>0</v>
      </c>
      <c r="AJ139" s="1">
        <f>Table2[[#This Row],[D]]</f>
        <v>0</v>
      </c>
      <c r="AK139" s="1">
        <f>Table2[[#This Row],[L]]</f>
        <v>0</v>
      </c>
      <c r="AL139" s="1">
        <f>Table2[[#This Row],[F]]</f>
        <v>0</v>
      </c>
      <c r="AM139" s="1">
        <f>Table2[[#This Row],[A]]</f>
        <v>0</v>
      </c>
      <c r="AN139" s="1">
        <f>Table2[[#This Row],[GD]]</f>
        <v>0</v>
      </c>
      <c r="AO139" s="1">
        <f>Table2[[#This Row],[Pts]]</f>
        <v>38</v>
      </c>
      <c r="AP139" s="1" t="str">
        <f>Table2[[#This Row],[Column1]]</f>
        <v>Relegated</v>
      </c>
      <c r="AR139" t="b">
        <f t="shared" si="6"/>
        <v>1</v>
      </c>
      <c r="AS139">
        <f>IF(AR139,ROWS($AR$2:AR139),"")</f>
        <v>138</v>
      </c>
      <c r="AT139">
        <f>IFERROR(SMALL($AS$2:$AS$440,ROWS($AS$2:AS139)),"")</f>
        <v>138</v>
      </c>
      <c r="AU139">
        <f>IF(AT139&lt;&gt;"",INDEX($AE$2:$AP$440,MATCH($AT139,$AS$2:$AS$440,0),COLUMNS($AT$2:AT139)),"")</f>
        <v>2006</v>
      </c>
      <c r="AV139">
        <f>IF(AU139&lt;&gt;"",INDEX($AE$2:$AP$440,MATCH($AT139,$AS$2:$AS$440,0),COLUMNS($AT$2:AU139)),"")</f>
        <v>18</v>
      </c>
      <c r="AW139" t="str">
        <f>IF(AV139&lt;&gt;"",INDEX($AE$2:$AP$440,MATCH($AT139,$AS$2:$AS$440,0),COLUMNS($AT$2:AV139)),"")</f>
        <v>Sheffield United</v>
      </c>
      <c r="AX139">
        <f>IF(AW139&lt;&gt;"",INDEX($AE$2:$AP$440,MATCH($AT139,$AS$2:$AS$440,0),COLUMNS($AT$2:AW139)),"")</f>
        <v>38</v>
      </c>
      <c r="AY139">
        <f>IF(AX139&lt;&gt;"",INDEX($AE$2:$AP$440,MATCH($AT139,$AS$2:$AS$440,0),COLUMNS($AT$2:AX139)),"")</f>
        <v>0</v>
      </c>
      <c r="AZ139">
        <f>IF(AY139&lt;&gt;"",INDEX($AE$2:$AP$440,MATCH($AT139,$AS$2:$AS$440,0),COLUMNS($AT$2:AY139)),"")</f>
        <v>0</v>
      </c>
      <c r="BA139">
        <f>IF(AZ139&lt;&gt;"",INDEX($AE$2:$AP$440,MATCH($AT139,$AS$2:$AS$440,0),COLUMNS($AT$2:AZ139)),"")</f>
        <v>0</v>
      </c>
      <c r="BB139">
        <f>IF(BA139&lt;&gt;"",INDEX($AE$2:$AP$440,MATCH($AT139,$AS$2:$AS$440,0),COLUMNS($AT$2:BA139)),"")</f>
        <v>0</v>
      </c>
      <c r="BC139">
        <f>IF(BB139&lt;&gt;"",INDEX($AE$2:$AP$440,MATCH($AT139,$AS$2:$AS$440,0),COLUMNS($AT$2:BB139)),"")</f>
        <v>0</v>
      </c>
      <c r="BD139">
        <f>IF(BC139&lt;&gt;"",INDEX($AE$2:$AP$440,MATCH($AT139,$AS$2:$AS$440,0),COLUMNS($AT$2:BC139)),"")</f>
        <v>0</v>
      </c>
      <c r="BE139">
        <f>IF(BD139&lt;&gt;"",INDEX($AE$2:$AP$440,MATCH($AT139,$AS$2:$AS$440,0),COLUMNS($AT$2:BD139)),"")</f>
        <v>38</v>
      </c>
      <c r="BF139" t="str">
        <f>IF(BE139&lt;&gt;"",INDEX($AE$2:$AP$440,MATCH($AT139,$AS$2:$AS$440,0),COLUMNS($AT$2:BE139)),"")</f>
        <v>Relegated</v>
      </c>
    </row>
    <row r="140" spans="1:58" x14ac:dyDescent="0.25">
      <c r="A140" s="3">
        <v>2006</v>
      </c>
      <c r="B140" s="3">
        <v>19</v>
      </c>
      <c r="C140" s="4" t="s">
        <v>19</v>
      </c>
      <c r="D140" s="3">
        <v>38</v>
      </c>
      <c r="E140" s="3">
        <v>0</v>
      </c>
      <c r="F140" s="3">
        <v>0</v>
      </c>
      <c r="G140" s="3">
        <v>0</v>
      </c>
      <c r="H140" s="3">
        <v>0</v>
      </c>
      <c r="I140" s="3">
        <v>0</v>
      </c>
      <c r="J140" s="3">
        <v>0</v>
      </c>
      <c r="K140" s="3">
        <v>34</v>
      </c>
      <c r="L140" s="5" t="str">
        <f>IF(Table2[[#This Row],['#]]=1,"Champion", IF(Table2[[#This Row],['#]]&gt;=18,"Relegated",Table2[[#This Row],['#]]))</f>
        <v>Relegated</v>
      </c>
      <c r="N140">
        <f>IF(COUNTIF($O$2:O140,O140)=1,N139+1,N139)</f>
        <v>32</v>
      </c>
      <c r="O140" s="4" t="str">
        <f>Table2[[#This Row],[Team]]</f>
        <v>Charlton Athletic</v>
      </c>
      <c r="P140" s="1" t="str">
        <f>IFERROR(VLOOKUP(ROWS($O$2:O140),$N$2:$O$441,2,0),"")</f>
        <v/>
      </c>
      <c r="Q140" s="1" t="str">
        <f>IF(P140&lt;&gt;"",SUMPRODUCT(--(Table2[Team]=P140)),"")</f>
        <v/>
      </c>
      <c r="R140" s="11" t="str">
        <f>IF(Q140&lt;&gt;"",Q140+ROWS($Q$2:Q140)/100,"")</f>
        <v/>
      </c>
      <c r="S140" t="str">
        <f>IF(R140&lt;&gt;"",LARGE($R$2:$R$441,ROWS($R$2:R140)),"")</f>
        <v/>
      </c>
      <c r="T140" s="1" t="str">
        <f>IF(R140&lt;&gt;"",INDEX($P$2:$Q$441,MATCH($S140,$R$2:$R$441,0),COLUMNS($S$2:S140)),"")</f>
        <v/>
      </c>
      <c r="U140" s="1" t="str">
        <f>IF(S140&lt;&gt;"",INDEX($P$2:$Q$441,MATCH($S140,$R$2:$R$441,0),COLUMNS($S$2:T140)),"")</f>
        <v/>
      </c>
      <c r="AE140" s="1">
        <f>Table2[[#This Row],[Year]]</f>
        <v>2006</v>
      </c>
      <c r="AF140" s="1">
        <f>Table2[[#This Row],['#]]</f>
        <v>19</v>
      </c>
      <c r="AG140" s="1" t="str">
        <f>Table2[[#This Row],[Team]]</f>
        <v>Charlton Athletic</v>
      </c>
      <c r="AH140" s="1">
        <f>Table2[[#This Row],[Pl]]</f>
        <v>38</v>
      </c>
      <c r="AI140" s="1">
        <f>Table2[[#This Row],[W]]</f>
        <v>0</v>
      </c>
      <c r="AJ140" s="1">
        <f>Table2[[#This Row],[D]]</f>
        <v>0</v>
      </c>
      <c r="AK140" s="1">
        <f>Table2[[#This Row],[L]]</f>
        <v>0</v>
      </c>
      <c r="AL140" s="1">
        <f>Table2[[#This Row],[F]]</f>
        <v>0</v>
      </c>
      <c r="AM140" s="1">
        <f>Table2[[#This Row],[A]]</f>
        <v>0</v>
      </c>
      <c r="AN140" s="1">
        <f>Table2[[#This Row],[GD]]</f>
        <v>0</v>
      </c>
      <c r="AO140" s="1">
        <f>Table2[[#This Row],[Pts]]</f>
        <v>34</v>
      </c>
      <c r="AP140" s="1" t="str">
        <f>Table2[[#This Row],[Column1]]</f>
        <v>Relegated</v>
      </c>
      <c r="AR140" t="b">
        <f t="shared" si="6"/>
        <v>1</v>
      </c>
      <c r="AS140">
        <f>IF(AR140,ROWS($AR$2:AR140),"")</f>
        <v>139</v>
      </c>
      <c r="AT140">
        <f>IFERROR(SMALL($AS$2:$AS$440,ROWS($AS$2:AS140)),"")</f>
        <v>139</v>
      </c>
      <c r="AU140">
        <f>IF(AT140&lt;&gt;"",INDEX($AE$2:$AP$440,MATCH($AT140,$AS$2:$AS$440,0),COLUMNS($AT$2:AT140)),"")</f>
        <v>2006</v>
      </c>
      <c r="AV140">
        <f>IF(AU140&lt;&gt;"",INDEX($AE$2:$AP$440,MATCH($AT140,$AS$2:$AS$440,0),COLUMNS($AT$2:AU140)),"")</f>
        <v>19</v>
      </c>
      <c r="AW140" t="str">
        <f>IF(AV140&lt;&gt;"",INDEX($AE$2:$AP$440,MATCH($AT140,$AS$2:$AS$440,0),COLUMNS($AT$2:AV140)),"")</f>
        <v>Charlton Athletic</v>
      </c>
      <c r="AX140">
        <f>IF(AW140&lt;&gt;"",INDEX($AE$2:$AP$440,MATCH($AT140,$AS$2:$AS$440,0),COLUMNS($AT$2:AW140)),"")</f>
        <v>38</v>
      </c>
      <c r="AY140">
        <f>IF(AX140&lt;&gt;"",INDEX($AE$2:$AP$440,MATCH($AT140,$AS$2:$AS$440,0),COLUMNS($AT$2:AX140)),"")</f>
        <v>0</v>
      </c>
      <c r="AZ140">
        <f>IF(AY140&lt;&gt;"",INDEX($AE$2:$AP$440,MATCH($AT140,$AS$2:$AS$440,0),COLUMNS($AT$2:AY140)),"")</f>
        <v>0</v>
      </c>
      <c r="BA140">
        <f>IF(AZ140&lt;&gt;"",INDEX($AE$2:$AP$440,MATCH($AT140,$AS$2:$AS$440,0),COLUMNS($AT$2:AZ140)),"")</f>
        <v>0</v>
      </c>
      <c r="BB140">
        <f>IF(BA140&lt;&gt;"",INDEX($AE$2:$AP$440,MATCH($AT140,$AS$2:$AS$440,0),COLUMNS($AT$2:BA140)),"")</f>
        <v>0</v>
      </c>
      <c r="BC140">
        <f>IF(BB140&lt;&gt;"",INDEX($AE$2:$AP$440,MATCH($AT140,$AS$2:$AS$440,0),COLUMNS($AT$2:BB140)),"")</f>
        <v>0</v>
      </c>
      <c r="BD140">
        <f>IF(BC140&lt;&gt;"",INDEX($AE$2:$AP$440,MATCH($AT140,$AS$2:$AS$440,0),COLUMNS($AT$2:BC140)),"")</f>
        <v>0</v>
      </c>
      <c r="BE140">
        <f>IF(BD140&lt;&gt;"",INDEX($AE$2:$AP$440,MATCH($AT140,$AS$2:$AS$440,0),COLUMNS($AT$2:BD140)),"")</f>
        <v>34</v>
      </c>
      <c r="BF140" t="str">
        <f>IF(BE140&lt;&gt;"",INDEX($AE$2:$AP$440,MATCH($AT140,$AS$2:$AS$440,0),COLUMNS($AT$2:BE140)),"")</f>
        <v>Relegated</v>
      </c>
    </row>
    <row r="141" spans="1:58" x14ac:dyDescent="0.25">
      <c r="A141" s="5">
        <v>2006</v>
      </c>
      <c r="B141" s="5">
        <v>20</v>
      </c>
      <c r="C141" s="6" t="s">
        <v>43</v>
      </c>
      <c r="D141" s="5">
        <v>38</v>
      </c>
      <c r="E141" s="5">
        <v>0</v>
      </c>
      <c r="F141" s="5">
        <v>0</v>
      </c>
      <c r="G141" s="5">
        <v>0</v>
      </c>
      <c r="H141" s="5">
        <v>0</v>
      </c>
      <c r="I141" s="5">
        <v>0</v>
      </c>
      <c r="J141" s="5">
        <v>0</v>
      </c>
      <c r="K141" s="5">
        <v>28</v>
      </c>
      <c r="L141" s="5" t="str">
        <f>IF(Table2[[#This Row],['#]]=1,"Champion", IF(Table2[[#This Row],['#]]&gt;=18,"Relegated",Table2[[#This Row],['#]]))</f>
        <v>Relegated</v>
      </c>
      <c r="N141">
        <f>IF(COUNTIF($O$2:O141,O141)=1,N140+1,N140)</f>
        <v>33</v>
      </c>
      <c r="O141" s="4" t="str">
        <f>Table2[[#This Row],[Team]]</f>
        <v>Watford</v>
      </c>
      <c r="P141" s="1" t="str">
        <f>IFERROR(VLOOKUP(ROWS($O$2:O141),$N$2:$O$441,2,0),"")</f>
        <v/>
      </c>
      <c r="Q141" s="1" t="str">
        <f>IF(P141&lt;&gt;"",SUMPRODUCT(--(Table2[Team]=P141)),"")</f>
        <v/>
      </c>
      <c r="R141" s="11" t="str">
        <f>IF(Q141&lt;&gt;"",Q141+ROWS($Q$2:Q141)/100,"")</f>
        <v/>
      </c>
      <c r="S141" t="str">
        <f>IF(R141&lt;&gt;"",LARGE($R$2:$R$441,ROWS($R$2:R141)),"")</f>
        <v/>
      </c>
      <c r="T141" s="1" t="str">
        <f>IF(R141&lt;&gt;"",INDEX($P$2:$Q$441,MATCH($S141,$R$2:$R$441,0),COLUMNS($S$2:S141)),"")</f>
        <v/>
      </c>
      <c r="U141" s="1" t="str">
        <f>IF(S141&lt;&gt;"",INDEX($P$2:$Q$441,MATCH($S141,$R$2:$R$441,0),COLUMNS($S$2:T141)),"")</f>
        <v/>
      </c>
      <c r="AE141" s="1">
        <f>Table2[[#This Row],[Year]]</f>
        <v>2006</v>
      </c>
      <c r="AF141" s="1">
        <f>Table2[[#This Row],['#]]</f>
        <v>20</v>
      </c>
      <c r="AG141" s="1" t="str">
        <f>Table2[[#This Row],[Team]]</f>
        <v>Watford</v>
      </c>
      <c r="AH141" s="1">
        <f>Table2[[#This Row],[Pl]]</f>
        <v>38</v>
      </c>
      <c r="AI141" s="1">
        <f>Table2[[#This Row],[W]]</f>
        <v>0</v>
      </c>
      <c r="AJ141" s="1">
        <f>Table2[[#This Row],[D]]</f>
        <v>0</v>
      </c>
      <c r="AK141" s="1">
        <f>Table2[[#This Row],[L]]</f>
        <v>0</v>
      </c>
      <c r="AL141" s="1">
        <f>Table2[[#This Row],[F]]</f>
        <v>0</v>
      </c>
      <c r="AM141" s="1">
        <f>Table2[[#This Row],[A]]</f>
        <v>0</v>
      </c>
      <c r="AN141" s="1">
        <f>Table2[[#This Row],[GD]]</f>
        <v>0</v>
      </c>
      <c r="AO141" s="1">
        <f>Table2[[#This Row],[Pts]]</f>
        <v>28</v>
      </c>
      <c r="AP141" s="1" t="str">
        <f>Table2[[#This Row],[Column1]]</f>
        <v>Relegated</v>
      </c>
      <c r="AR141" t="b">
        <f t="shared" si="6"/>
        <v>1</v>
      </c>
      <c r="AS141">
        <f>IF(AR141,ROWS($AR$2:AR141),"")</f>
        <v>140</v>
      </c>
      <c r="AT141">
        <f>IFERROR(SMALL($AS$2:$AS$440,ROWS($AS$2:AS141)),"")</f>
        <v>140</v>
      </c>
      <c r="AU141">
        <f>IF(AT141&lt;&gt;"",INDEX($AE$2:$AP$440,MATCH($AT141,$AS$2:$AS$440,0),COLUMNS($AT$2:AT141)),"")</f>
        <v>2006</v>
      </c>
      <c r="AV141">
        <f>IF(AU141&lt;&gt;"",INDEX($AE$2:$AP$440,MATCH($AT141,$AS$2:$AS$440,0),COLUMNS($AT$2:AU141)),"")</f>
        <v>20</v>
      </c>
      <c r="AW141" t="str">
        <f>IF(AV141&lt;&gt;"",INDEX($AE$2:$AP$440,MATCH($AT141,$AS$2:$AS$440,0),COLUMNS($AT$2:AV141)),"")</f>
        <v>Watford</v>
      </c>
      <c r="AX141">
        <f>IF(AW141&lt;&gt;"",INDEX($AE$2:$AP$440,MATCH($AT141,$AS$2:$AS$440,0),COLUMNS($AT$2:AW141)),"")</f>
        <v>38</v>
      </c>
      <c r="AY141">
        <f>IF(AX141&lt;&gt;"",INDEX($AE$2:$AP$440,MATCH($AT141,$AS$2:$AS$440,0),COLUMNS($AT$2:AX141)),"")</f>
        <v>0</v>
      </c>
      <c r="AZ141">
        <f>IF(AY141&lt;&gt;"",INDEX($AE$2:$AP$440,MATCH($AT141,$AS$2:$AS$440,0),COLUMNS($AT$2:AY141)),"")</f>
        <v>0</v>
      </c>
      <c r="BA141">
        <f>IF(AZ141&lt;&gt;"",INDEX($AE$2:$AP$440,MATCH($AT141,$AS$2:$AS$440,0),COLUMNS($AT$2:AZ141)),"")</f>
        <v>0</v>
      </c>
      <c r="BB141">
        <f>IF(BA141&lt;&gt;"",INDEX($AE$2:$AP$440,MATCH($AT141,$AS$2:$AS$440,0),COLUMNS($AT$2:BA141)),"")</f>
        <v>0</v>
      </c>
      <c r="BC141">
        <f>IF(BB141&lt;&gt;"",INDEX($AE$2:$AP$440,MATCH($AT141,$AS$2:$AS$440,0),COLUMNS($AT$2:BB141)),"")</f>
        <v>0</v>
      </c>
      <c r="BD141">
        <f>IF(BC141&lt;&gt;"",INDEX($AE$2:$AP$440,MATCH($AT141,$AS$2:$AS$440,0),COLUMNS($AT$2:BC141)),"")</f>
        <v>0</v>
      </c>
      <c r="BE141">
        <f>IF(BD141&lt;&gt;"",INDEX($AE$2:$AP$440,MATCH($AT141,$AS$2:$AS$440,0),COLUMNS($AT$2:BD141)),"")</f>
        <v>28</v>
      </c>
      <c r="BF141" t="str">
        <f>IF(BE141&lt;&gt;"",INDEX($AE$2:$AP$440,MATCH($AT141,$AS$2:$AS$440,0),COLUMNS($AT$2:BE141)),"")</f>
        <v>Relegated</v>
      </c>
    </row>
    <row r="142" spans="1:58" x14ac:dyDescent="0.25">
      <c r="A142" s="3">
        <v>2007</v>
      </c>
      <c r="B142" s="3">
        <v>1</v>
      </c>
      <c r="C142" s="4" t="s">
        <v>11</v>
      </c>
      <c r="D142" s="3">
        <v>38</v>
      </c>
      <c r="E142" s="3">
        <v>27</v>
      </c>
      <c r="F142" s="3">
        <v>6</v>
      </c>
      <c r="G142" s="3">
        <v>5</v>
      </c>
      <c r="H142" s="3">
        <v>80</v>
      </c>
      <c r="I142" s="3">
        <v>22</v>
      </c>
      <c r="J142" s="3">
        <v>58</v>
      </c>
      <c r="K142" s="3">
        <v>87</v>
      </c>
      <c r="L142" s="5" t="str">
        <f>IF(Table2[[#This Row],['#]]=1,"Champion", IF(Table2[[#This Row],['#]]&gt;=18,"Relegated",Table2[[#This Row],['#]]))</f>
        <v>Champion</v>
      </c>
      <c r="N142">
        <f>IF(COUNTIF($O$2:O142,O142)=1,N141+1,N141)</f>
        <v>33</v>
      </c>
      <c r="O142" s="4" t="str">
        <f>Table2[[#This Row],[Team]]</f>
        <v>Manchester United</v>
      </c>
      <c r="P142" s="1" t="str">
        <f>IFERROR(VLOOKUP(ROWS($O$2:O142),$N$2:$O$441,2,0),"")</f>
        <v/>
      </c>
      <c r="Q142" s="1" t="str">
        <f>IF(P142&lt;&gt;"",SUMPRODUCT(--(Table2[Team]=P142)),"")</f>
        <v/>
      </c>
      <c r="R142" s="11" t="str">
        <f>IF(Q142&lt;&gt;"",Q142+ROWS($Q$2:Q142)/100,"")</f>
        <v/>
      </c>
      <c r="S142" t="str">
        <f>IF(R142&lt;&gt;"",LARGE($R$2:$R$441,ROWS($R$2:R142)),"")</f>
        <v/>
      </c>
      <c r="T142" s="1" t="str">
        <f>IF(R142&lt;&gt;"",INDEX($P$2:$Q$441,MATCH($S142,$R$2:$R$441,0),COLUMNS($S$2:S142)),"")</f>
        <v/>
      </c>
      <c r="U142" s="1" t="str">
        <f>IF(S142&lt;&gt;"",INDEX($P$2:$Q$441,MATCH($S142,$R$2:$R$441,0),COLUMNS($S$2:T142)),"")</f>
        <v/>
      </c>
      <c r="AE142" s="1">
        <f>Table2[[#This Row],[Year]]</f>
        <v>2007</v>
      </c>
      <c r="AF142" s="1">
        <f>Table2[[#This Row],['#]]</f>
        <v>1</v>
      </c>
      <c r="AG142" s="1" t="str">
        <f>Table2[[#This Row],[Team]]</f>
        <v>Manchester United</v>
      </c>
      <c r="AH142" s="1">
        <f>Table2[[#This Row],[Pl]]</f>
        <v>38</v>
      </c>
      <c r="AI142" s="1">
        <f>Table2[[#This Row],[W]]</f>
        <v>27</v>
      </c>
      <c r="AJ142" s="1">
        <f>Table2[[#This Row],[D]]</f>
        <v>6</v>
      </c>
      <c r="AK142" s="1">
        <f>Table2[[#This Row],[L]]</f>
        <v>5</v>
      </c>
      <c r="AL142" s="1">
        <f>Table2[[#This Row],[F]]</f>
        <v>80</v>
      </c>
      <c r="AM142" s="1">
        <f>Table2[[#This Row],[A]]</f>
        <v>22</v>
      </c>
      <c r="AN142" s="1">
        <f>Table2[[#This Row],[GD]]</f>
        <v>58</v>
      </c>
      <c r="AO142" s="1">
        <f>Table2[[#This Row],[Pts]]</f>
        <v>87</v>
      </c>
      <c r="AP142" s="1" t="str">
        <f>Table2[[#This Row],[Column1]]</f>
        <v>Champion</v>
      </c>
      <c r="AR142" t="b">
        <f t="shared" si="6"/>
        <v>1</v>
      </c>
      <c r="AS142">
        <f>IF(AR142,ROWS($AR$2:AR142),"")</f>
        <v>141</v>
      </c>
      <c r="AT142">
        <f>IFERROR(SMALL($AS$2:$AS$440,ROWS($AS$2:AS142)),"")</f>
        <v>141</v>
      </c>
      <c r="AU142">
        <f>IF(AT142&lt;&gt;"",INDEX($AE$2:$AP$440,MATCH($AT142,$AS$2:$AS$440,0),COLUMNS($AT$2:AT142)),"")</f>
        <v>2007</v>
      </c>
      <c r="AV142">
        <f>IF(AU142&lt;&gt;"",INDEX($AE$2:$AP$440,MATCH($AT142,$AS$2:$AS$440,0),COLUMNS($AT$2:AU142)),"")</f>
        <v>1</v>
      </c>
      <c r="AW142" t="str">
        <f>IF(AV142&lt;&gt;"",INDEX($AE$2:$AP$440,MATCH($AT142,$AS$2:$AS$440,0),COLUMNS($AT$2:AV142)),"")</f>
        <v>Manchester United</v>
      </c>
      <c r="AX142">
        <f>IF(AW142&lt;&gt;"",INDEX($AE$2:$AP$440,MATCH($AT142,$AS$2:$AS$440,0),COLUMNS($AT$2:AW142)),"")</f>
        <v>38</v>
      </c>
      <c r="AY142">
        <f>IF(AX142&lt;&gt;"",INDEX($AE$2:$AP$440,MATCH($AT142,$AS$2:$AS$440,0),COLUMNS($AT$2:AX142)),"")</f>
        <v>27</v>
      </c>
      <c r="AZ142">
        <f>IF(AY142&lt;&gt;"",INDEX($AE$2:$AP$440,MATCH($AT142,$AS$2:$AS$440,0),COLUMNS($AT$2:AY142)),"")</f>
        <v>6</v>
      </c>
      <c r="BA142">
        <f>IF(AZ142&lt;&gt;"",INDEX($AE$2:$AP$440,MATCH($AT142,$AS$2:$AS$440,0),COLUMNS($AT$2:AZ142)),"")</f>
        <v>5</v>
      </c>
      <c r="BB142">
        <f>IF(BA142&lt;&gt;"",INDEX($AE$2:$AP$440,MATCH($AT142,$AS$2:$AS$440,0),COLUMNS($AT$2:BA142)),"")</f>
        <v>80</v>
      </c>
      <c r="BC142">
        <f>IF(BB142&lt;&gt;"",INDEX($AE$2:$AP$440,MATCH($AT142,$AS$2:$AS$440,0),COLUMNS($AT$2:BB142)),"")</f>
        <v>22</v>
      </c>
      <c r="BD142">
        <f>IF(BC142&lt;&gt;"",INDEX($AE$2:$AP$440,MATCH($AT142,$AS$2:$AS$440,0),COLUMNS($AT$2:BC142)),"")</f>
        <v>58</v>
      </c>
      <c r="BE142">
        <f>IF(BD142&lt;&gt;"",INDEX($AE$2:$AP$440,MATCH($AT142,$AS$2:$AS$440,0),COLUMNS($AT$2:BD142)),"")</f>
        <v>87</v>
      </c>
      <c r="BF142" t="str">
        <f>IF(BE142&lt;&gt;"",INDEX($AE$2:$AP$440,MATCH($AT142,$AS$2:$AS$440,0),COLUMNS($AT$2:BE142)),"")</f>
        <v>Champion</v>
      </c>
    </row>
    <row r="143" spans="1:58" x14ac:dyDescent="0.25">
      <c r="A143" s="5">
        <v>2007</v>
      </c>
      <c r="B143" s="5">
        <v>2</v>
      </c>
      <c r="C143" s="6" t="s">
        <v>16</v>
      </c>
      <c r="D143" s="5">
        <v>38</v>
      </c>
      <c r="E143" s="5">
        <v>25</v>
      </c>
      <c r="F143" s="5">
        <v>10</v>
      </c>
      <c r="G143" s="5">
        <v>3</v>
      </c>
      <c r="H143" s="5">
        <v>65</v>
      </c>
      <c r="I143" s="5">
        <v>26</v>
      </c>
      <c r="J143" s="5">
        <v>39</v>
      </c>
      <c r="K143" s="5">
        <v>85</v>
      </c>
      <c r="L143" s="5">
        <f>IF(Table2[[#This Row],['#]]=1,"Champion", IF(Table2[[#This Row],['#]]&gt;=18,"Relegated",Table2[[#This Row],['#]]))</f>
        <v>2</v>
      </c>
      <c r="N143">
        <f>IF(COUNTIF($O$2:O143,O143)=1,N142+1,N142)</f>
        <v>33</v>
      </c>
      <c r="O143" s="4" t="str">
        <f>Table2[[#This Row],[Team]]</f>
        <v>Chelsea</v>
      </c>
      <c r="P143" s="1" t="str">
        <f>IFERROR(VLOOKUP(ROWS($O$2:O143),$N$2:$O$441,2,0),"")</f>
        <v/>
      </c>
      <c r="Q143" s="1" t="str">
        <f>IF(P143&lt;&gt;"",SUMPRODUCT(--(Table2[Team]=P143)),"")</f>
        <v/>
      </c>
      <c r="R143" s="11" t="str">
        <f>IF(Q143&lt;&gt;"",Q143+ROWS($Q$2:Q143)/100,"")</f>
        <v/>
      </c>
      <c r="S143" t="str">
        <f>IF(R143&lt;&gt;"",LARGE($R$2:$R$441,ROWS($R$2:R143)),"")</f>
        <v/>
      </c>
      <c r="T143" s="1" t="str">
        <f>IF(R143&lt;&gt;"",INDEX($P$2:$Q$441,MATCH($S143,$R$2:$R$441,0),COLUMNS($S$2:S143)),"")</f>
        <v/>
      </c>
      <c r="U143" s="1" t="str">
        <f>IF(S143&lt;&gt;"",INDEX($P$2:$Q$441,MATCH($S143,$R$2:$R$441,0),COLUMNS($S$2:T143)),"")</f>
        <v/>
      </c>
      <c r="AE143" s="1">
        <f>Table2[[#This Row],[Year]]</f>
        <v>2007</v>
      </c>
      <c r="AF143" s="1">
        <f>Table2[[#This Row],['#]]</f>
        <v>2</v>
      </c>
      <c r="AG143" s="1" t="str">
        <f>Table2[[#This Row],[Team]]</f>
        <v>Chelsea</v>
      </c>
      <c r="AH143" s="1">
        <f>Table2[[#This Row],[Pl]]</f>
        <v>38</v>
      </c>
      <c r="AI143" s="1">
        <f>Table2[[#This Row],[W]]</f>
        <v>25</v>
      </c>
      <c r="AJ143" s="1">
        <f>Table2[[#This Row],[D]]</f>
        <v>10</v>
      </c>
      <c r="AK143" s="1">
        <f>Table2[[#This Row],[L]]</f>
        <v>3</v>
      </c>
      <c r="AL143" s="1">
        <f>Table2[[#This Row],[F]]</f>
        <v>65</v>
      </c>
      <c r="AM143" s="1">
        <f>Table2[[#This Row],[A]]</f>
        <v>26</v>
      </c>
      <c r="AN143" s="1">
        <f>Table2[[#This Row],[GD]]</f>
        <v>39</v>
      </c>
      <c r="AO143" s="1">
        <f>Table2[[#This Row],[Pts]]</f>
        <v>85</v>
      </c>
      <c r="AP143" s="1">
        <f>Table2[[#This Row],[Column1]]</f>
        <v>2</v>
      </c>
      <c r="AR143" t="b">
        <f t="shared" si="6"/>
        <v>1</v>
      </c>
      <c r="AS143">
        <f>IF(AR143,ROWS($AR$2:AR143),"")</f>
        <v>142</v>
      </c>
      <c r="AT143">
        <f>IFERROR(SMALL($AS$2:$AS$440,ROWS($AS$2:AS143)),"")</f>
        <v>142</v>
      </c>
      <c r="AU143">
        <f>IF(AT143&lt;&gt;"",INDEX($AE$2:$AP$440,MATCH($AT143,$AS$2:$AS$440,0),COLUMNS($AT$2:AT143)),"")</f>
        <v>2007</v>
      </c>
      <c r="AV143">
        <f>IF(AU143&lt;&gt;"",INDEX($AE$2:$AP$440,MATCH($AT143,$AS$2:$AS$440,0),COLUMNS($AT$2:AU143)),"")</f>
        <v>2</v>
      </c>
      <c r="AW143" t="str">
        <f>IF(AV143&lt;&gt;"",INDEX($AE$2:$AP$440,MATCH($AT143,$AS$2:$AS$440,0),COLUMNS($AT$2:AV143)),"")</f>
        <v>Chelsea</v>
      </c>
      <c r="AX143">
        <f>IF(AW143&lt;&gt;"",INDEX($AE$2:$AP$440,MATCH($AT143,$AS$2:$AS$440,0),COLUMNS($AT$2:AW143)),"")</f>
        <v>38</v>
      </c>
      <c r="AY143">
        <f>IF(AX143&lt;&gt;"",INDEX($AE$2:$AP$440,MATCH($AT143,$AS$2:$AS$440,0),COLUMNS($AT$2:AX143)),"")</f>
        <v>25</v>
      </c>
      <c r="AZ143">
        <f>IF(AY143&lt;&gt;"",INDEX($AE$2:$AP$440,MATCH($AT143,$AS$2:$AS$440,0),COLUMNS($AT$2:AY143)),"")</f>
        <v>10</v>
      </c>
      <c r="BA143">
        <f>IF(AZ143&lt;&gt;"",INDEX($AE$2:$AP$440,MATCH($AT143,$AS$2:$AS$440,0),COLUMNS($AT$2:AZ143)),"")</f>
        <v>3</v>
      </c>
      <c r="BB143">
        <f>IF(BA143&lt;&gt;"",INDEX($AE$2:$AP$440,MATCH($AT143,$AS$2:$AS$440,0),COLUMNS($AT$2:BA143)),"")</f>
        <v>65</v>
      </c>
      <c r="BC143">
        <f>IF(BB143&lt;&gt;"",INDEX($AE$2:$AP$440,MATCH($AT143,$AS$2:$AS$440,0),COLUMNS($AT$2:BB143)),"")</f>
        <v>26</v>
      </c>
      <c r="BD143">
        <f>IF(BC143&lt;&gt;"",INDEX($AE$2:$AP$440,MATCH($AT143,$AS$2:$AS$440,0),COLUMNS($AT$2:BC143)),"")</f>
        <v>39</v>
      </c>
      <c r="BE143">
        <f>IF(BD143&lt;&gt;"",INDEX($AE$2:$AP$440,MATCH($AT143,$AS$2:$AS$440,0),COLUMNS($AT$2:BD143)),"")</f>
        <v>85</v>
      </c>
      <c r="BF143">
        <f>IF(BE143&lt;&gt;"",INDEX($AE$2:$AP$440,MATCH($AT143,$AS$2:$AS$440,0),COLUMNS($AT$2:BE143)),"")</f>
        <v>2</v>
      </c>
    </row>
    <row r="144" spans="1:58" x14ac:dyDescent="0.25">
      <c r="A144" s="3">
        <v>2007</v>
      </c>
      <c r="B144" s="3">
        <v>3</v>
      </c>
      <c r="C144" s="6" t="s">
        <v>12</v>
      </c>
      <c r="D144" s="3">
        <v>38</v>
      </c>
      <c r="E144" s="3">
        <v>24</v>
      </c>
      <c r="F144" s="3">
        <v>11</v>
      </c>
      <c r="G144" s="3">
        <v>3</v>
      </c>
      <c r="H144" s="3">
        <v>74</v>
      </c>
      <c r="I144" s="3">
        <v>31</v>
      </c>
      <c r="J144" s="3">
        <v>43</v>
      </c>
      <c r="K144" s="3">
        <v>83</v>
      </c>
      <c r="L144" s="5">
        <f>IF(Table2[[#This Row],['#]]=1,"Champion", IF(Table2[[#This Row],['#]]&gt;=18,"Relegated",Table2[[#This Row],['#]]))</f>
        <v>3</v>
      </c>
      <c r="N144">
        <f>IF(COUNTIF($O$2:O144,O144)=1,N143+1,N143)</f>
        <v>33</v>
      </c>
      <c r="O144" s="4" t="str">
        <f>Table2[[#This Row],[Team]]</f>
        <v>Arsenal</v>
      </c>
      <c r="P144" s="1" t="str">
        <f>IFERROR(VLOOKUP(ROWS($O$2:O144),$N$2:$O$441,2,0),"")</f>
        <v/>
      </c>
      <c r="Q144" s="1" t="str">
        <f>IF(P144&lt;&gt;"",SUMPRODUCT(--(Table2[Team]=P144)),"")</f>
        <v/>
      </c>
      <c r="R144" s="11" t="str">
        <f>IF(Q144&lt;&gt;"",Q144+ROWS($Q$2:Q144)/100,"")</f>
        <v/>
      </c>
      <c r="S144" t="str">
        <f>IF(R144&lt;&gt;"",LARGE($R$2:$R$441,ROWS($R$2:R144)),"")</f>
        <v/>
      </c>
      <c r="T144" s="1" t="str">
        <f>IF(R144&lt;&gt;"",INDEX($P$2:$Q$441,MATCH($S144,$R$2:$R$441,0),COLUMNS($S$2:S144)),"")</f>
        <v/>
      </c>
      <c r="U144" s="1" t="str">
        <f>IF(S144&lt;&gt;"",INDEX($P$2:$Q$441,MATCH($S144,$R$2:$R$441,0),COLUMNS($S$2:T144)),"")</f>
        <v/>
      </c>
      <c r="AE144" s="1">
        <f>Table2[[#This Row],[Year]]</f>
        <v>2007</v>
      </c>
      <c r="AF144" s="1">
        <f>Table2[[#This Row],['#]]</f>
        <v>3</v>
      </c>
      <c r="AG144" s="1" t="str">
        <f>Table2[[#This Row],[Team]]</f>
        <v>Arsenal</v>
      </c>
      <c r="AH144" s="1">
        <f>Table2[[#This Row],[Pl]]</f>
        <v>38</v>
      </c>
      <c r="AI144" s="1">
        <f>Table2[[#This Row],[W]]</f>
        <v>24</v>
      </c>
      <c r="AJ144" s="1">
        <f>Table2[[#This Row],[D]]</f>
        <v>11</v>
      </c>
      <c r="AK144" s="1">
        <f>Table2[[#This Row],[L]]</f>
        <v>3</v>
      </c>
      <c r="AL144" s="1">
        <f>Table2[[#This Row],[F]]</f>
        <v>74</v>
      </c>
      <c r="AM144" s="1">
        <f>Table2[[#This Row],[A]]</f>
        <v>31</v>
      </c>
      <c r="AN144" s="1">
        <f>Table2[[#This Row],[GD]]</f>
        <v>43</v>
      </c>
      <c r="AO144" s="1">
        <f>Table2[[#This Row],[Pts]]</f>
        <v>83</v>
      </c>
      <c r="AP144" s="1">
        <f>Table2[[#This Row],[Column1]]</f>
        <v>3</v>
      </c>
      <c r="AR144" t="b">
        <f t="shared" si="6"/>
        <v>1</v>
      </c>
      <c r="AS144">
        <f>IF(AR144,ROWS($AR$2:AR144),"")</f>
        <v>143</v>
      </c>
      <c r="AT144">
        <f>IFERROR(SMALL($AS$2:$AS$440,ROWS($AS$2:AS144)),"")</f>
        <v>143</v>
      </c>
      <c r="AU144">
        <f>IF(AT144&lt;&gt;"",INDEX($AE$2:$AP$440,MATCH($AT144,$AS$2:$AS$440,0),COLUMNS($AT$2:AT144)),"")</f>
        <v>2007</v>
      </c>
      <c r="AV144">
        <f>IF(AU144&lt;&gt;"",INDEX($AE$2:$AP$440,MATCH($AT144,$AS$2:$AS$440,0),COLUMNS($AT$2:AU144)),"")</f>
        <v>3</v>
      </c>
      <c r="AW144" t="str">
        <f>IF(AV144&lt;&gt;"",INDEX($AE$2:$AP$440,MATCH($AT144,$AS$2:$AS$440,0),COLUMNS($AT$2:AV144)),"")</f>
        <v>Arsenal</v>
      </c>
      <c r="AX144">
        <f>IF(AW144&lt;&gt;"",INDEX($AE$2:$AP$440,MATCH($AT144,$AS$2:$AS$440,0),COLUMNS($AT$2:AW144)),"")</f>
        <v>38</v>
      </c>
      <c r="AY144">
        <f>IF(AX144&lt;&gt;"",INDEX($AE$2:$AP$440,MATCH($AT144,$AS$2:$AS$440,0),COLUMNS($AT$2:AX144)),"")</f>
        <v>24</v>
      </c>
      <c r="AZ144">
        <f>IF(AY144&lt;&gt;"",INDEX($AE$2:$AP$440,MATCH($AT144,$AS$2:$AS$440,0),COLUMNS($AT$2:AY144)),"")</f>
        <v>11</v>
      </c>
      <c r="BA144">
        <f>IF(AZ144&lt;&gt;"",INDEX($AE$2:$AP$440,MATCH($AT144,$AS$2:$AS$440,0),COLUMNS($AT$2:AZ144)),"")</f>
        <v>3</v>
      </c>
      <c r="BB144">
        <f>IF(BA144&lt;&gt;"",INDEX($AE$2:$AP$440,MATCH($AT144,$AS$2:$AS$440,0),COLUMNS($AT$2:BA144)),"")</f>
        <v>74</v>
      </c>
      <c r="BC144">
        <f>IF(BB144&lt;&gt;"",INDEX($AE$2:$AP$440,MATCH($AT144,$AS$2:$AS$440,0),COLUMNS($AT$2:BB144)),"")</f>
        <v>31</v>
      </c>
      <c r="BD144">
        <f>IF(BC144&lt;&gt;"",INDEX($AE$2:$AP$440,MATCH($AT144,$AS$2:$AS$440,0),COLUMNS($AT$2:BC144)),"")</f>
        <v>43</v>
      </c>
      <c r="BE144">
        <f>IF(BD144&lt;&gt;"",INDEX($AE$2:$AP$440,MATCH($AT144,$AS$2:$AS$440,0),COLUMNS($AT$2:BD144)),"")</f>
        <v>83</v>
      </c>
      <c r="BF144">
        <f>IF(BE144&lt;&gt;"",INDEX($AE$2:$AP$440,MATCH($AT144,$AS$2:$AS$440,0),COLUMNS($AT$2:BE144)),"")</f>
        <v>3</v>
      </c>
    </row>
    <row r="145" spans="1:58" x14ac:dyDescent="0.25">
      <c r="A145" s="5">
        <v>2007</v>
      </c>
      <c r="B145" s="5">
        <v>4</v>
      </c>
      <c r="C145" s="4" t="s">
        <v>13</v>
      </c>
      <c r="D145" s="5">
        <v>38</v>
      </c>
      <c r="E145" s="5">
        <v>21</v>
      </c>
      <c r="F145" s="5">
        <v>13</v>
      </c>
      <c r="G145" s="5">
        <v>4</v>
      </c>
      <c r="H145" s="5">
        <v>67</v>
      </c>
      <c r="I145" s="5">
        <v>28</v>
      </c>
      <c r="J145" s="5">
        <v>39</v>
      </c>
      <c r="K145" s="5">
        <v>76</v>
      </c>
      <c r="L145" s="5">
        <f>IF(Table2[[#This Row],['#]]=1,"Champion", IF(Table2[[#This Row],['#]]&gt;=18,"Relegated",Table2[[#This Row],['#]]))</f>
        <v>4</v>
      </c>
      <c r="N145">
        <f>IF(COUNTIF($O$2:O145,O145)=1,N144+1,N144)</f>
        <v>33</v>
      </c>
      <c r="O145" s="4" t="str">
        <f>Table2[[#This Row],[Team]]</f>
        <v>Liverpool</v>
      </c>
      <c r="P145" s="1" t="str">
        <f>IFERROR(VLOOKUP(ROWS($O$2:O145),$N$2:$O$441,2,0),"")</f>
        <v/>
      </c>
      <c r="Q145" s="1" t="str">
        <f>IF(P145&lt;&gt;"",SUMPRODUCT(--(Table2[Team]=P145)),"")</f>
        <v/>
      </c>
      <c r="R145" s="11" t="str">
        <f>IF(Q145&lt;&gt;"",Q145+ROWS($Q$2:Q145)/100,"")</f>
        <v/>
      </c>
      <c r="S145" t="str">
        <f>IF(R145&lt;&gt;"",LARGE($R$2:$R$441,ROWS($R$2:R145)),"")</f>
        <v/>
      </c>
      <c r="T145" s="1" t="str">
        <f>IF(R145&lt;&gt;"",INDEX($P$2:$Q$441,MATCH($S145,$R$2:$R$441,0),COLUMNS($S$2:S145)),"")</f>
        <v/>
      </c>
      <c r="U145" s="1" t="str">
        <f>IF(S145&lt;&gt;"",INDEX($P$2:$Q$441,MATCH($S145,$R$2:$R$441,0),COLUMNS($S$2:T145)),"")</f>
        <v/>
      </c>
      <c r="AE145" s="1">
        <f>Table2[[#This Row],[Year]]</f>
        <v>2007</v>
      </c>
      <c r="AF145" s="1">
        <f>Table2[[#This Row],['#]]</f>
        <v>4</v>
      </c>
      <c r="AG145" s="1" t="str">
        <f>Table2[[#This Row],[Team]]</f>
        <v>Liverpool</v>
      </c>
      <c r="AH145" s="1">
        <f>Table2[[#This Row],[Pl]]</f>
        <v>38</v>
      </c>
      <c r="AI145" s="1">
        <f>Table2[[#This Row],[W]]</f>
        <v>21</v>
      </c>
      <c r="AJ145" s="1">
        <f>Table2[[#This Row],[D]]</f>
        <v>13</v>
      </c>
      <c r="AK145" s="1">
        <f>Table2[[#This Row],[L]]</f>
        <v>4</v>
      </c>
      <c r="AL145" s="1">
        <f>Table2[[#This Row],[F]]</f>
        <v>67</v>
      </c>
      <c r="AM145" s="1">
        <f>Table2[[#This Row],[A]]</f>
        <v>28</v>
      </c>
      <c r="AN145" s="1">
        <f>Table2[[#This Row],[GD]]</f>
        <v>39</v>
      </c>
      <c r="AO145" s="1">
        <f>Table2[[#This Row],[Pts]]</f>
        <v>76</v>
      </c>
      <c r="AP145" s="1">
        <f>Table2[[#This Row],[Column1]]</f>
        <v>4</v>
      </c>
      <c r="AR145" t="b">
        <f t="shared" si="6"/>
        <v>1</v>
      </c>
      <c r="AS145">
        <f>IF(AR145,ROWS($AR$2:AR145),"")</f>
        <v>144</v>
      </c>
      <c r="AT145">
        <f>IFERROR(SMALL($AS$2:$AS$440,ROWS($AS$2:AS145)),"")</f>
        <v>144</v>
      </c>
      <c r="AU145">
        <f>IF(AT145&lt;&gt;"",INDEX($AE$2:$AP$440,MATCH($AT145,$AS$2:$AS$440,0),COLUMNS($AT$2:AT145)),"")</f>
        <v>2007</v>
      </c>
      <c r="AV145">
        <f>IF(AU145&lt;&gt;"",INDEX($AE$2:$AP$440,MATCH($AT145,$AS$2:$AS$440,0),COLUMNS($AT$2:AU145)),"")</f>
        <v>4</v>
      </c>
      <c r="AW145" t="str">
        <f>IF(AV145&lt;&gt;"",INDEX($AE$2:$AP$440,MATCH($AT145,$AS$2:$AS$440,0),COLUMNS($AT$2:AV145)),"")</f>
        <v>Liverpool</v>
      </c>
      <c r="AX145">
        <f>IF(AW145&lt;&gt;"",INDEX($AE$2:$AP$440,MATCH($AT145,$AS$2:$AS$440,0),COLUMNS($AT$2:AW145)),"")</f>
        <v>38</v>
      </c>
      <c r="AY145">
        <f>IF(AX145&lt;&gt;"",INDEX($AE$2:$AP$440,MATCH($AT145,$AS$2:$AS$440,0),COLUMNS($AT$2:AX145)),"")</f>
        <v>21</v>
      </c>
      <c r="AZ145">
        <f>IF(AY145&lt;&gt;"",INDEX($AE$2:$AP$440,MATCH($AT145,$AS$2:$AS$440,0),COLUMNS($AT$2:AY145)),"")</f>
        <v>13</v>
      </c>
      <c r="BA145">
        <f>IF(AZ145&lt;&gt;"",INDEX($AE$2:$AP$440,MATCH($AT145,$AS$2:$AS$440,0),COLUMNS($AT$2:AZ145)),"")</f>
        <v>4</v>
      </c>
      <c r="BB145">
        <f>IF(BA145&lt;&gt;"",INDEX($AE$2:$AP$440,MATCH($AT145,$AS$2:$AS$440,0),COLUMNS($AT$2:BA145)),"")</f>
        <v>67</v>
      </c>
      <c r="BC145">
        <f>IF(BB145&lt;&gt;"",INDEX($AE$2:$AP$440,MATCH($AT145,$AS$2:$AS$440,0),COLUMNS($AT$2:BB145)),"")</f>
        <v>28</v>
      </c>
      <c r="BD145">
        <f>IF(BC145&lt;&gt;"",INDEX($AE$2:$AP$440,MATCH($AT145,$AS$2:$AS$440,0),COLUMNS($AT$2:BC145)),"")</f>
        <v>39</v>
      </c>
      <c r="BE145">
        <f>IF(BD145&lt;&gt;"",INDEX($AE$2:$AP$440,MATCH($AT145,$AS$2:$AS$440,0),COLUMNS($AT$2:BD145)),"")</f>
        <v>76</v>
      </c>
      <c r="BF145">
        <f>IF(BE145&lt;&gt;"",INDEX($AE$2:$AP$440,MATCH($AT145,$AS$2:$AS$440,0),COLUMNS($AT$2:BE145)),"")</f>
        <v>4</v>
      </c>
    </row>
    <row r="146" spans="1:58" x14ac:dyDescent="0.25">
      <c r="A146" s="3">
        <v>2007</v>
      </c>
      <c r="B146" s="3">
        <v>5</v>
      </c>
      <c r="C146" s="4" t="s">
        <v>26</v>
      </c>
      <c r="D146" s="3">
        <v>38</v>
      </c>
      <c r="E146" s="3">
        <v>19</v>
      </c>
      <c r="F146" s="3">
        <v>8</v>
      </c>
      <c r="G146" s="3">
        <v>11</v>
      </c>
      <c r="H146" s="3">
        <v>55</v>
      </c>
      <c r="I146" s="3">
        <v>33</v>
      </c>
      <c r="J146" s="3">
        <v>22</v>
      </c>
      <c r="K146" s="3">
        <v>65</v>
      </c>
      <c r="L146" s="5">
        <f>IF(Table2[[#This Row],['#]]=1,"Champion", IF(Table2[[#This Row],['#]]&gt;=18,"Relegated",Table2[[#This Row],['#]]))</f>
        <v>5</v>
      </c>
      <c r="N146">
        <f>IF(COUNTIF($O$2:O146,O146)=1,N145+1,N145)</f>
        <v>33</v>
      </c>
      <c r="O146" s="4" t="str">
        <f>Table2[[#This Row],[Team]]</f>
        <v>Everton</v>
      </c>
      <c r="P146" s="1" t="str">
        <f>IFERROR(VLOOKUP(ROWS($O$2:O146),$N$2:$O$441,2,0),"")</f>
        <v/>
      </c>
      <c r="Q146" s="1" t="str">
        <f>IF(P146&lt;&gt;"",SUMPRODUCT(--(Table2[Team]=P146)),"")</f>
        <v/>
      </c>
      <c r="R146" s="11" t="str">
        <f>IF(Q146&lt;&gt;"",Q146+ROWS($Q$2:Q146)/100,"")</f>
        <v/>
      </c>
      <c r="S146" t="str">
        <f>IF(R146&lt;&gt;"",LARGE($R$2:$R$441,ROWS($R$2:R146)),"")</f>
        <v/>
      </c>
      <c r="T146" s="1" t="str">
        <f>IF(R146&lt;&gt;"",INDEX($P$2:$Q$441,MATCH($S146,$R$2:$R$441,0),COLUMNS($S$2:S146)),"")</f>
        <v/>
      </c>
      <c r="U146" s="1" t="str">
        <f>IF(S146&lt;&gt;"",INDEX($P$2:$Q$441,MATCH($S146,$R$2:$R$441,0),COLUMNS($S$2:T146)),"")</f>
        <v/>
      </c>
      <c r="AE146" s="1">
        <f>Table2[[#This Row],[Year]]</f>
        <v>2007</v>
      </c>
      <c r="AF146" s="1">
        <f>Table2[[#This Row],['#]]</f>
        <v>5</v>
      </c>
      <c r="AG146" s="1" t="str">
        <f>Table2[[#This Row],[Team]]</f>
        <v>Everton</v>
      </c>
      <c r="AH146" s="1">
        <f>Table2[[#This Row],[Pl]]</f>
        <v>38</v>
      </c>
      <c r="AI146" s="1">
        <f>Table2[[#This Row],[W]]</f>
        <v>19</v>
      </c>
      <c r="AJ146" s="1">
        <f>Table2[[#This Row],[D]]</f>
        <v>8</v>
      </c>
      <c r="AK146" s="1">
        <f>Table2[[#This Row],[L]]</f>
        <v>11</v>
      </c>
      <c r="AL146" s="1">
        <f>Table2[[#This Row],[F]]</f>
        <v>55</v>
      </c>
      <c r="AM146" s="1">
        <f>Table2[[#This Row],[A]]</f>
        <v>33</v>
      </c>
      <c r="AN146" s="1">
        <f>Table2[[#This Row],[GD]]</f>
        <v>22</v>
      </c>
      <c r="AO146" s="1">
        <f>Table2[[#This Row],[Pts]]</f>
        <v>65</v>
      </c>
      <c r="AP146" s="1">
        <f>Table2[[#This Row],[Column1]]</f>
        <v>5</v>
      </c>
      <c r="AR146" t="b">
        <f t="shared" si="6"/>
        <v>1</v>
      </c>
      <c r="AS146">
        <f>IF(AR146,ROWS($AR$2:AR146),"")</f>
        <v>145</v>
      </c>
      <c r="AT146">
        <f>IFERROR(SMALL($AS$2:$AS$440,ROWS($AS$2:AS146)),"")</f>
        <v>145</v>
      </c>
      <c r="AU146">
        <f>IF(AT146&lt;&gt;"",INDEX($AE$2:$AP$440,MATCH($AT146,$AS$2:$AS$440,0),COLUMNS($AT$2:AT146)),"")</f>
        <v>2007</v>
      </c>
      <c r="AV146">
        <f>IF(AU146&lt;&gt;"",INDEX($AE$2:$AP$440,MATCH($AT146,$AS$2:$AS$440,0),COLUMNS($AT$2:AU146)),"")</f>
        <v>5</v>
      </c>
      <c r="AW146" t="str">
        <f>IF(AV146&lt;&gt;"",INDEX($AE$2:$AP$440,MATCH($AT146,$AS$2:$AS$440,0),COLUMNS($AT$2:AV146)),"")</f>
        <v>Everton</v>
      </c>
      <c r="AX146">
        <f>IF(AW146&lt;&gt;"",INDEX($AE$2:$AP$440,MATCH($AT146,$AS$2:$AS$440,0),COLUMNS($AT$2:AW146)),"")</f>
        <v>38</v>
      </c>
      <c r="AY146">
        <f>IF(AX146&lt;&gt;"",INDEX($AE$2:$AP$440,MATCH($AT146,$AS$2:$AS$440,0),COLUMNS($AT$2:AX146)),"")</f>
        <v>19</v>
      </c>
      <c r="AZ146">
        <f>IF(AY146&lt;&gt;"",INDEX($AE$2:$AP$440,MATCH($AT146,$AS$2:$AS$440,0),COLUMNS($AT$2:AY146)),"")</f>
        <v>8</v>
      </c>
      <c r="BA146">
        <f>IF(AZ146&lt;&gt;"",INDEX($AE$2:$AP$440,MATCH($AT146,$AS$2:$AS$440,0),COLUMNS($AT$2:AZ146)),"")</f>
        <v>11</v>
      </c>
      <c r="BB146">
        <f>IF(BA146&lt;&gt;"",INDEX($AE$2:$AP$440,MATCH($AT146,$AS$2:$AS$440,0),COLUMNS($AT$2:BA146)),"")</f>
        <v>55</v>
      </c>
      <c r="BC146">
        <f>IF(BB146&lt;&gt;"",INDEX($AE$2:$AP$440,MATCH($AT146,$AS$2:$AS$440,0),COLUMNS($AT$2:BB146)),"")</f>
        <v>33</v>
      </c>
      <c r="BD146">
        <f>IF(BC146&lt;&gt;"",INDEX($AE$2:$AP$440,MATCH($AT146,$AS$2:$AS$440,0),COLUMNS($AT$2:BC146)),"")</f>
        <v>22</v>
      </c>
      <c r="BE146">
        <f>IF(BD146&lt;&gt;"",INDEX($AE$2:$AP$440,MATCH($AT146,$AS$2:$AS$440,0),COLUMNS($AT$2:BD146)),"")</f>
        <v>65</v>
      </c>
      <c r="BF146">
        <f>IF(BE146&lt;&gt;"",INDEX($AE$2:$AP$440,MATCH($AT146,$AS$2:$AS$440,0),COLUMNS($AT$2:BE146)),"")</f>
        <v>5</v>
      </c>
    </row>
    <row r="147" spans="1:58" x14ac:dyDescent="0.25">
      <c r="A147" s="5">
        <v>2007</v>
      </c>
      <c r="B147" s="5">
        <v>6</v>
      </c>
      <c r="C147" s="6" t="s">
        <v>18</v>
      </c>
      <c r="D147" s="5">
        <v>38</v>
      </c>
      <c r="E147" s="5">
        <v>16</v>
      </c>
      <c r="F147" s="5">
        <v>12</v>
      </c>
      <c r="G147" s="5">
        <v>10</v>
      </c>
      <c r="H147" s="5">
        <v>71</v>
      </c>
      <c r="I147" s="5">
        <v>51</v>
      </c>
      <c r="J147" s="5">
        <v>20</v>
      </c>
      <c r="K147" s="5">
        <v>60</v>
      </c>
      <c r="L147" s="5">
        <f>IF(Table2[[#This Row],['#]]=1,"Champion", IF(Table2[[#This Row],['#]]&gt;=18,"Relegated",Table2[[#This Row],['#]]))</f>
        <v>6</v>
      </c>
      <c r="N147">
        <f>IF(COUNTIF($O$2:O147,O147)=1,N146+1,N146)</f>
        <v>33</v>
      </c>
      <c r="O147" s="4" t="str">
        <f>Table2[[#This Row],[Team]]</f>
        <v>Aston Villa</v>
      </c>
      <c r="P147" s="1" t="str">
        <f>IFERROR(VLOOKUP(ROWS($O$2:O147),$N$2:$O$441,2,0),"")</f>
        <v/>
      </c>
      <c r="Q147" s="1" t="str">
        <f>IF(P147&lt;&gt;"",SUMPRODUCT(--(Table2[Team]=P147)),"")</f>
        <v/>
      </c>
      <c r="R147" s="11" t="str">
        <f>IF(Q147&lt;&gt;"",Q147+ROWS($Q$2:Q147)/100,"")</f>
        <v/>
      </c>
      <c r="S147" t="str">
        <f>IF(R147&lt;&gt;"",LARGE($R$2:$R$441,ROWS($R$2:R147)),"")</f>
        <v/>
      </c>
      <c r="T147" s="1" t="str">
        <f>IF(R147&lt;&gt;"",INDEX($P$2:$Q$441,MATCH($S147,$R$2:$R$441,0),COLUMNS($S$2:S147)),"")</f>
        <v/>
      </c>
      <c r="U147" s="1" t="str">
        <f>IF(S147&lt;&gt;"",INDEX($P$2:$Q$441,MATCH($S147,$R$2:$R$441,0),COLUMNS($S$2:T147)),"")</f>
        <v/>
      </c>
      <c r="AE147" s="1">
        <f>Table2[[#This Row],[Year]]</f>
        <v>2007</v>
      </c>
      <c r="AF147" s="1">
        <f>Table2[[#This Row],['#]]</f>
        <v>6</v>
      </c>
      <c r="AG147" s="1" t="str">
        <f>Table2[[#This Row],[Team]]</f>
        <v>Aston Villa</v>
      </c>
      <c r="AH147" s="1">
        <f>Table2[[#This Row],[Pl]]</f>
        <v>38</v>
      </c>
      <c r="AI147" s="1">
        <f>Table2[[#This Row],[W]]</f>
        <v>16</v>
      </c>
      <c r="AJ147" s="1">
        <f>Table2[[#This Row],[D]]</f>
        <v>12</v>
      </c>
      <c r="AK147" s="1">
        <f>Table2[[#This Row],[L]]</f>
        <v>10</v>
      </c>
      <c r="AL147" s="1">
        <f>Table2[[#This Row],[F]]</f>
        <v>71</v>
      </c>
      <c r="AM147" s="1">
        <f>Table2[[#This Row],[A]]</f>
        <v>51</v>
      </c>
      <c r="AN147" s="1">
        <f>Table2[[#This Row],[GD]]</f>
        <v>20</v>
      </c>
      <c r="AO147" s="1">
        <f>Table2[[#This Row],[Pts]]</f>
        <v>60</v>
      </c>
      <c r="AP147" s="1">
        <f>Table2[[#This Row],[Column1]]</f>
        <v>6</v>
      </c>
      <c r="AR147" t="b">
        <f t="shared" si="6"/>
        <v>1</v>
      </c>
      <c r="AS147">
        <f>IF(AR147,ROWS($AR$2:AR147),"")</f>
        <v>146</v>
      </c>
      <c r="AT147">
        <f>IFERROR(SMALL($AS$2:$AS$440,ROWS($AS$2:AS147)),"")</f>
        <v>146</v>
      </c>
      <c r="AU147">
        <f>IF(AT147&lt;&gt;"",INDEX($AE$2:$AP$440,MATCH($AT147,$AS$2:$AS$440,0),COLUMNS($AT$2:AT147)),"")</f>
        <v>2007</v>
      </c>
      <c r="AV147">
        <f>IF(AU147&lt;&gt;"",INDEX($AE$2:$AP$440,MATCH($AT147,$AS$2:$AS$440,0),COLUMNS($AT$2:AU147)),"")</f>
        <v>6</v>
      </c>
      <c r="AW147" t="str">
        <f>IF(AV147&lt;&gt;"",INDEX($AE$2:$AP$440,MATCH($AT147,$AS$2:$AS$440,0),COLUMNS($AT$2:AV147)),"")</f>
        <v>Aston Villa</v>
      </c>
      <c r="AX147">
        <f>IF(AW147&lt;&gt;"",INDEX($AE$2:$AP$440,MATCH($AT147,$AS$2:$AS$440,0),COLUMNS($AT$2:AW147)),"")</f>
        <v>38</v>
      </c>
      <c r="AY147">
        <f>IF(AX147&lt;&gt;"",INDEX($AE$2:$AP$440,MATCH($AT147,$AS$2:$AS$440,0),COLUMNS($AT$2:AX147)),"")</f>
        <v>16</v>
      </c>
      <c r="AZ147">
        <f>IF(AY147&lt;&gt;"",INDEX($AE$2:$AP$440,MATCH($AT147,$AS$2:$AS$440,0),COLUMNS($AT$2:AY147)),"")</f>
        <v>12</v>
      </c>
      <c r="BA147">
        <f>IF(AZ147&lt;&gt;"",INDEX($AE$2:$AP$440,MATCH($AT147,$AS$2:$AS$440,0),COLUMNS($AT$2:AZ147)),"")</f>
        <v>10</v>
      </c>
      <c r="BB147">
        <f>IF(BA147&lt;&gt;"",INDEX($AE$2:$AP$440,MATCH($AT147,$AS$2:$AS$440,0),COLUMNS($AT$2:BA147)),"")</f>
        <v>71</v>
      </c>
      <c r="BC147">
        <f>IF(BB147&lt;&gt;"",INDEX($AE$2:$AP$440,MATCH($AT147,$AS$2:$AS$440,0),COLUMNS($AT$2:BB147)),"")</f>
        <v>51</v>
      </c>
      <c r="BD147">
        <f>IF(BC147&lt;&gt;"",INDEX($AE$2:$AP$440,MATCH($AT147,$AS$2:$AS$440,0),COLUMNS($AT$2:BC147)),"")</f>
        <v>20</v>
      </c>
      <c r="BE147">
        <f>IF(BD147&lt;&gt;"",INDEX($AE$2:$AP$440,MATCH($AT147,$AS$2:$AS$440,0),COLUMNS($AT$2:BD147)),"")</f>
        <v>60</v>
      </c>
      <c r="BF147">
        <f>IF(BE147&lt;&gt;"",INDEX($AE$2:$AP$440,MATCH($AT147,$AS$2:$AS$440,0),COLUMNS($AT$2:BE147)),"")</f>
        <v>6</v>
      </c>
    </row>
    <row r="148" spans="1:58" x14ac:dyDescent="0.25">
      <c r="A148" s="3">
        <v>2007</v>
      </c>
      <c r="B148" s="3">
        <v>7</v>
      </c>
      <c r="C148" s="4" t="s">
        <v>31</v>
      </c>
      <c r="D148" s="3">
        <v>38</v>
      </c>
      <c r="E148" s="3">
        <v>15</v>
      </c>
      <c r="F148" s="3">
        <v>13</v>
      </c>
      <c r="G148" s="3">
        <v>10</v>
      </c>
      <c r="H148" s="3">
        <v>50</v>
      </c>
      <c r="I148" s="3">
        <v>48</v>
      </c>
      <c r="J148" s="3">
        <v>2</v>
      </c>
      <c r="K148" s="3">
        <v>58</v>
      </c>
      <c r="L148" s="5">
        <f>IF(Table2[[#This Row],['#]]=1,"Champion", IF(Table2[[#This Row],['#]]&gt;=18,"Relegated",Table2[[#This Row],['#]]))</f>
        <v>7</v>
      </c>
      <c r="N148">
        <f>IF(COUNTIF($O$2:O148,O148)=1,N147+1,N147)</f>
        <v>33</v>
      </c>
      <c r="O148" s="4" t="str">
        <f>Table2[[#This Row],[Team]]</f>
        <v>Blackburn Rovers</v>
      </c>
      <c r="P148" s="1" t="str">
        <f>IFERROR(VLOOKUP(ROWS($O$2:O148),$N$2:$O$441,2,0),"")</f>
        <v/>
      </c>
      <c r="Q148" s="1" t="str">
        <f>IF(P148&lt;&gt;"",SUMPRODUCT(--(Table2[Team]=P148)),"")</f>
        <v/>
      </c>
      <c r="R148" s="11" t="str">
        <f>IF(Q148&lt;&gt;"",Q148+ROWS($Q$2:Q148)/100,"")</f>
        <v/>
      </c>
      <c r="S148" t="str">
        <f>IF(R148&lt;&gt;"",LARGE($R$2:$R$441,ROWS($R$2:R148)),"")</f>
        <v/>
      </c>
      <c r="T148" s="1" t="str">
        <f>IF(R148&lt;&gt;"",INDEX($P$2:$Q$441,MATCH($S148,$R$2:$R$441,0),COLUMNS($S$2:S148)),"")</f>
        <v/>
      </c>
      <c r="U148" s="1" t="str">
        <f>IF(S148&lt;&gt;"",INDEX($P$2:$Q$441,MATCH($S148,$R$2:$R$441,0),COLUMNS($S$2:T148)),"")</f>
        <v/>
      </c>
      <c r="AE148" s="1">
        <f>Table2[[#This Row],[Year]]</f>
        <v>2007</v>
      </c>
      <c r="AF148" s="1">
        <f>Table2[[#This Row],['#]]</f>
        <v>7</v>
      </c>
      <c r="AG148" s="1" t="str">
        <f>Table2[[#This Row],[Team]]</f>
        <v>Blackburn Rovers</v>
      </c>
      <c r="AH148" s="1">
        <f>Table2[[#This Row],[Pl]]</f>
        <v>38</v>
      </c>
      <c r="AI148" s="1">
        <f>Table2[[#This Row],[W]]</f>
        <v>15</v>
      </c>
      <c r="AJ148" s="1">
        <f>Table2[[#This Row],[D]]</f>
        <v>13</v>
      </c>
      <c r="AK148" s="1">
        <f>Table2[[#This Row],[L]]</f>
        <v>10</v>
      </c>
      <c r="AL148" s="1">
        <f>Table2[[#This Row],[F]]</f>
        <v>50</v>
      </c>
      <c r="AM148" s="1">
        <f>Table2[[#This Row],[A]]</f>
        <v>48</v>
      </c>
      <c r="AN148" s="1">
        <f>Table2[[#This Row],[GD]]</f>
        <v>2</v>
      </c>
      <c r="AO148" s="1">
        <f>Table2[[#This Row],[Pts]]</f>
        <v>58</v>
      </c>
      <c r="AP148" s="1">
        <f>Table2[[#This Row],[Column1]]</f>
        <v>7</v>
      </c>
      <c r="AR148" t="b">
        <f t="shared" si="6"/>
        <v>1</v>
      </c>
      <c r="AS148">
        <f>IF(AR148,ROWS($AR$2:AR148),"")</f>
        <v>147</v>
      </c>
      <c r="AT148">
        <f>IFERROR(SMALL($AS$2:$AS$440,ROWS($AS$2:AS148)),"")</f>
        <v>147</v>
      </c>
      <c r="AU148">
        <f>IF(AT148&lt;&gt;"",INDEX($AE$2:$AP$440,MATCH($AT148,$AS$2:$AS$440,0),COLUMNS($AT$2:AT148)),"")</f>
        <v>2007</v>
      </c>
      <c r="AV148">
        <f>IF(AU148&lt;&gt;"",INDEX($AE$2:$AP$440,MATCH($AT148,$AS$2:$AS$440,0),COLUMNS($AT$2:AU148)),"")</f>
        <v>7</v>
      </c>
      <c r="AW148" t="str">
        <f>IF(AV148&lt;&gt;"",INDEX($AE$2:$AP$440,MATCH($AT148,$AS$2:$AS$440,0),COLUMNS($AT$2:AV148)),"")</f>
        <v>Blackburn Rovers</v>
      </c>
      <c r="AX148">
        <f>IF(AW148&lt;&gt;"",INDEX($AE$2:$AP$440,MATCH($AT148,$AS$2:$AS$440,0),COLUMNS($AT$2:AW148)),"")</f>
        <v>38</v>
      </c>
      <c r="AY148">
        <f>IF(AX148&lt;&gt;"",INDEX($AE$2:$AP$440,MATCH($AT148,$AS$2:$AS$440,0),COLUMNS($AT$2:AX148)),"")</f>
        <v>15</v>
      </c>
      <c r="AZ148">
        <f>IF(AY148&lt;&gt;"",INDEX($AE$2:$AP$440,MATCH($AT148,$AS$2:$AS$440,0),COLUMNS($AT$2:AY148)),"")</f>
        <v>13</v>
      </c>
      <c r="BA148">
        <f>IF(AZ148&lt;&gt;"",INDEX($AE$2:$AP$440,MATCH($AT148,$AS$2:$AS$440,0),COLUMNS($AT$2:AZ148)),"")</f>
        <v>10</v>
      </c>
      <c r="BB148">
        <f>IF(BA148&lt;&gt;"",INDEX($AE$2:$AP$440,MATCH($AT148,$AS$2:$AS$440,0),COLUMNS($AT$2:BA148)),"")</f>
        <v>50</v>
      </c>
      <c r="BC148">
        <f>IF(BB148&lt;&gt;"",INDEX($AE$2:$AP$440,MATCH($AT148,$AS$2:$AS$440,0),COLUMNS($AT$2:BB148)),"")</f>
        <v>48</v>
      </c>
      <c r="BD148">
        <f>IF(BC148&lt;&gt;"",INDEX($AE$2:$AP$440,MATCH($AT148,$AS$2:$AS$440,0),COLUMNS($AT$2:BC148)),"")</f>
        <v>2</v>
      </c>
      <c r="BE148">
        <f>IF(BD148&lt;&gt;"",INDEX($AE$2:$AP$440,MATCH($AT148,$AS$2:$AS$440,0),COLUMNS($AT$2:BD148)),"")</f>
        <v>58</v>
      </c>
      <c r="BF148">
        <f>IF(BE148&lt;&gt;"",INDEX($AE$2:$AP$440,MATCH($AT148,$AS$2:$AS$440,0),COLUMNS($AT$2:BE148)),"")</f>
        <v>7</v>
      </c>
    </row>
    <row r="149" spans="1:58" x14ac:dyDescent="0.25">
      <c r="A149" s="5">
        <v>2007</v>
      </c>
      <c r="B149" s="5">
        <v>8</v>
      </c>
      <c r="C149" s="6" t="s">
        <v>36</v>
      </c>
      <c r="D149" s="5">
        <v>38</v>
      </c>
      <c r="E149" s="5">
        <v>16</v>
      </c>
      <c r="F149" s="5">
        <v>9</v>
      </c>
      <c r="G149" s="5">
        <v>13</v>
      </c>
      <c r="H149" s="5">
        <v>48</v>
      </c>
      <c r="I149" s="5">
        <v>40</v>
      </c>
      <c r="J149" s="5">
        <v>8</v>
      </c>
      <c r="K149" s="5">
        <v>57</v>
      </c>
      <c r="L149" s="5">
        <f>IF(Table2[[#This Row],['#]]=1,"Champion", IF(Table2[[#This Row],['#]]&gt;=18,"Relegated",Table2[[#This Row],['#]]))</f>
        <v>8</v>
      </c>
      <c r="N149">
        <f>IF(COUNTIF($O$2:O149,O149)=1,N148+1,N148)</f>
        <v>33</v>
      </c>
      <c r="O149" s="4" t="str">
        <f>Table2[[#This Row],[Team]]</f>
        <v>Portsmouth</v>
      </c>
      <c r="P149" s="1" t="str">
        <f>IFERROR(VLOOKUP(ROWS($O$2:O149),$N$2:$O$441,2,0),"")</f>
        <v/>
      </c>
      <c r="Q149" s="1" t="str">
        <f>IF(P149&lt;&gt;"",SUMPRODUCT(--(Table2[Team]=P149)),"")</f>
        <v/>
      </c>
      <c r="R149" s="11" t="str">
        <f>IF(Q149&lt;&gt;"",Q149+ROWS($Q$2:Q149)/100,"")</f>
        <v/>
      </c>
      <c r="S149" t="str">
        <f>IF(R149&lt;&gt;"",LARGE($R$2:$R$441,ROWS($R$2:R149)),"")</f>
        <v/>
      </c>
      <c r="T149" s="1" t="str">
        <f>IF(R149&lt;&gt;"",INDEX($P$2:$Q$441,MATCH($S149,$R$2:$R$441,0),COLUMNS($S$2:S149)),"")</f>
        <v/>
      </c>
      <c r="U149" s="1" t="str">
        <f>IF(S149&lt;&gt;"",INDEX($P$2:$Q$441,MATCH($S149,$R$2:$R$441,0),COLUMNS($S$2:T149)),"")</f>
        <v/>
      </c>
      <c r="AE149" s="1">
        <f>Table2[[#This Row],[Year]]</f>
        <v>2007</v>
      </c>
      <c r="AF149" s="1">
        <f>Table2[[#This Row],['#]]</f>
        <v>8</v>
      </c>
      <c r="AG149" s="1" t="str">
        <f>Table2[[#This Row],[Team]]</f>
        <v>Portsmouth</v>
      </c>
      <c r="AH149" s="1">
        <f>Table2[[#This Row],[Pl]]</f>
        <v>38</v>
      </c>
      <c r="AI149" s="1">
        <f>Table2[[#This Row],[W]]</f>
        <v>16</v>
      </c>
      <c r="AJ149" s="1">
        <f>Table2[[#This Row],[D]]</f>
        <v>9</v>
      </c>
      <c r="AK149" s="1">
        <f>Table2[[#This Row],[L]]</f>
        <v>13</v>
      </c>
      <c r="AL149" s="1">
        <f>Table2[[#This Row],[F]]</f>
        <v>48</v>
      </c>
      <c r="AM149" s="1">
        <f>Table2[[#This Row],[A]]</f>
        <v>40</v>
      </c>
      <c r="AN149" s="1">
        <f>Table2[[#This Row],[GD]]</f>
        <v>8</v>
      </c>
      <c r="AO149" s="1">
        <f>Table2[[#This Row],[Pts]]</f>
        <v>57</v>
      </c>
      <c r="AP149" s="1">
        <f>Table2[[#This Row],[Column1]]</f>
        <v>8</v>
      </c>
      <c r="AR149" t="b">
        <f t="shared" si="6"/>
        <v>1</v>
      </c>
      <c r="AS149">
        <f>IF(AR149,ROWS($AR$2:AR149),"")</f>
        <v>148</v>
      </c>
      <c r="AT149">
        <f>IFERROR(SMALL($AS$2:$AS$440,ROWS($AS$2:AS149)),"")</f>
        <v>148</v>
      </c>
      <c r="AU149">
        <f>IF(AT149&lt;&gt;"",INDEX($AE$2:$AP$440,MATCH($AT149,$AS$2:$AS$440,0),COLUMNS($AT$2:AT149)),"")</f>
        <v>2007</v>
      </c>
      <c r="AV149">
        <f>IF(AU149&lt;&gt;"",INDEX($AE$2:$AP$440,MATCH($AT149,$AS$2:$AS$440,0),COLUMNS($AT$2:AU149)),"")</f>
        <v>8</v>
      </c>
      <c r="AW149" t="str">
        <f>IF(AV149&lt;&gt;"",INDEX($AE$2:$AP$440,MATCH($AT149,$AS$2:$AS$440,0),COLUMNS($AT$2:AV149)),"")</f>
        <v>Portsmouth</v>
      </c>
      <c r="AX149">
        <f>IF(AW149&lt;&gt;"",INDEX($AE$2:$AP$440,MATCH($AT149,$AS$2:$AS$440,0),COLUMNS($AT$2:AW149)),"")</f>
        <v>38</v>
      </c>
      <c r="AY149">
        <f>IF(AX149&lt;&gt;"",INDEX($AE$2:$AP$440,MATCH($AT149,$AS$2:$AS$440,0),COLUMNS($AT$2:AX149)),"")</f>
        <v>16</v>
      </c>
      <c r="AZ149">
        <f>IF(AY149&lt;&gt;"",INDEX($AE$2:$AP$440,MATCH($AT149,$AS$2:$AS$440,0),COLUMNS($AT$2:AY149)),"")</f>
        <v>9</v>
      </c>
      <c r="BA149">
        <f>IF(AZ149&lt;&gt;"",INDEX($AE$2:$AP$440,MATCH($AT149,$AS$2:$AS$440,0),COLUMNS($AT$2:AZ149)),"")</f>
        <v>13</v>
      </c>
      <c r="BB149">
        <f>IF(BA149&lt;&gt;"",INDEX($AE$2:$AP$440,MATCH($AT149,$AS$2:$AS$440,0),COLUMNS($AT$2:BA149)),"")</f>
        <v>48</v>
      </c>
      <c r="BC149">
        <f>IF(BB149&lt;&gt;"",INDEX($AE$2:$AP$440,MATCH($AT149,$AS$2:$AS$440,0),COLUMNS($AT$2:BB149)),"")</f>
        <v>40</v>
      </c>
      <c r="BD149">
        <f>IF(BC149&lt;&gt;"",INDEX($AE$2:$AP$440,MATCH($AT149,$AS$2:$AS$440,0),COLUMNS($AT$2:BC149)),"")</f>
        <v>8</v>
      </c>
      <c r="BE149">
        <f>IF(BD149&lt;&gt;"",INDEX($AE$2:$AP$440,MATCH($AT149,$AS$2:$AS$440,0),COLUMNS($AT$2:BD149)),"")</f>
        <v>57</v>
      </c>
      <c r="BF149">
        <f>IF(BE149&lt;&gt;"",INDEX($AE$2:$AP$440,MATCH($AT149,$AS$2:$AS$440,0),COLUMNS($AT$2:BE149)),"")</f>
        <v>8</v>
      </c>
    </row>
    <row r="150" spans="1:58" x14ac:dyDescent="0.25">
      <c r="A150" s="3">
        <v>2007</v>
      </c>
      <c r="B150" s="3">
        <v>9</v>
      </c>
      <c r="C150" s="4" t="s">
        <v>28</v>
      </c>
      <c r="D150" s="3">
        <v>38</v>
      </c>
      <c r="E150" s="3">
        <v>15</v>
      </c>
      <c r="F150" s="3">
        <v>10</v>
      </c>
      <c r="G150" s="3">
        <v>13</v>
      </c>
      <c r="H150" s="3">
        <v>45</v>
      </c>
      <c r="I150" s="3">
        <v>53</v>
      </c>
      <c r="J150" s="3">
        <v>-8</v>
      </c>
      <c r="K150" s="3">
        <v>55</v>
      </c>
      <c r="L150" s="5">
        <f>IF(Table2[[#This Row],['#]]=1,"Champion", IF(Table2[[#This Row],['#]]&gt;=18,"Relegated",Table2[[#This Row],['#]]))</f>
        <v>9</v>
      </c>
      <c r="N150">
        <f>IF(COUNTIF($O$2:O150,O150)=1,N149+1,N149)</f>
        <v>33</v>
      </c>
      <c r="O150" s="4" t="str">
        <f>Table2[[#This Row],[Team]]</f>
        <v>Manchester City</v>
      </c>
      <c r="P150" s="1" t="str">
        <f>IFERROR(VLOOKUP(ROWS($O$2:O150),$N$2:$O$441,2,0),"")</f>
        <v/>
      </c>
      <c r="Q150" s="1" t="str">
        <f>IF(P150&lt;&gt;"",SUMPRODUCT(--(Table2[Team]=P150)),"")</f>
        <v/>
      </c>
      <c r="R150" s="11" t="str">
        <f>IF(Q150&lt;&gt;"",Q150+ROWS($Q$2:Q150)/100,"")</f>
        <v/>
      </c>
      <c r="S150" t="str">
        <f>IF(R150&lt;&gt;"",LARGE($R$2:$R$441,ROWS($R$2:R150)),"")</f>
        <v/>
      </c>
      <c r="T150" s="1" t="str">
        <f>IF(R150&lt;&gt;"",INDEX($P$2:$Q$441,MATCH($S150,$R$2:$R$441,0),COLUMNS($S$2:S150)),"")</f>
        <v/>
      </c>
      <c r="U150" s="1" t="str">
        <f>IF(S150&lt;&gt;"",INDEX($P$2:$Q$441,MATCH($S150,$R$2:$R$441,0),COLUMNS($S$2:T150)),"")</f>
        <v/>
      </c>
      <c r="AE150" s="1">
        <f>Table2[[#This Row],[Year]]</f>
        <v>2007</v>
      </c>
      <c r="AF150" s="1">
        <f>Table2[[#This Row],['#]]</f>
        <v>9</v>
      </c>
      <c r="AG150" s="1" t="str">
        <f>Table2[[#This Row],[Team]]</f>
        <v>Manchester City</v>
      </c>
      <c r="AH150" s="1">
        <f>Table2[[#This Row],[Pl]]</f>
        <v>38</v>
      </c>
      <c r="AI150" s="1">
        <f>Table2[[#This Row],[W]]</f>
        <v>15</v>
      </c>
      <c r="AJ150" s="1">
        <f>Table2[[#This Row],[D]]</f>
        <v>10</v>
      </c>
      <c r="AK150" s="1">
        <f>Table2[[#This Row],[L]]</f>
        <v>13</v>
      </c>
      <c r="AL150" s="1">
        <f>Table2[[#This Row],[F]]</f>
        <v>45</v>
      </c>
      <c r="AM150" s="1">
        <f>Table2[[#This Row],[A]]</f>
        <v>53</v>
      </c>
      <c r="AN150" s="1">
        <f>Table2[[#This Row],[GD]]</f>
        <v>-8</v>
      </c>
      <c r="AO150" s="1">
        <f>Table2[[#This Row],[Pts]]</f>
        <v>55</v>
      </c>
      <c r="AP150" s="1">
        <f>Table2[[#This Row],[Column1]]</f>
        <v>9</v>
      </c>
      <c r="AR150" t="b">
        <f t="shared" si="6"/>
        <v>1</v>
      </c>
      <c r="AS150">
        <f>IF(AR150,ROWS($AR$2:AR150),"")</f>
        <v>149</v>
      </c>
      <c r="AT150">
        <f>IFERROR(SMALL($AS$2:$AS$440,ROWS($AS$2:AS150)),"")</f>
        <v>149</v>
      </c>
      <c r="AU150">
        <f>IF(AT150&lt;&gt;"",INDEX($AE$2:$AP$440,MATCH($AT150,$AS$2:$AS$440,0),COLUMNS($AT$2:AT150)),"")</f>
        <v>2007</v>
      </c>
      <c r="AV150">
        <f>IF(AU150&lt;&gt;"",INDEX($AE$2:$AP$440,MATCH($AT150,$AS$2:$AS$440,0),COLUMNS($AT$2:AU150)),"")</f>
        <v>9</v>
      </c>
      <c r="AW150" t="str">
        <f>IF(AV150&lt;&gt;"",INDEX($AE$2:$AP$440,MATCH($AT150,$AS$2:$AS$440,0),COLUMNS($AT$2:AV150)),"")</f>
        <v>Manchester City</v>
      </c>
      <c r="AX150">
        <f>IF(AW150&lt;&gt;"",INDEX($AE$2:$AP$440,MATCH($AT150,$AS$2:$AS$440,0),COLUMNS($AT$2:AW150)),"")</f>
        <v>38</v>
      </c>
      <c r="AY150">
        <f>IF(AX150&lt;&gt;"",INDEX($AE$2:$AP$440,MATCH($AT150,$AS$2:$AS$440,0),COLUMNS($AT$2:AX150)),"")</f>
        <v>15</v>
      </c>
      <c r="AZ150">
        <f>IF(AY150&lt;&gt;"",INDEX($AE$2:$AP$440,MATCH($AT150,$AS$2:$AS$440,0),COLUMNS($AT$2:AY150)),"")</f>
        <v>10</v>
      </c>
      <c r="BA150">
        <f>IF(AZ150&lt;&gt;"",INDEX($AE$2:$AP$440,MATCH($AT150,$AS$2:$AS$440,0),COLUMNS($AT$2:AZ150)),"")</f>
        <v>13</v>
      </c>
      <c r="BB150">
        <f>IF(BA150&lt;&gt;"",INDEX($AE$2:$AP$440,MATCH($AT150,$AS$2:$AS$440,0),COLUMNS($AT$2:BA150)),"")</f>
        <v>45</v>
      </c>
      <c r="BC150">
        <f>IF(BB150&lt;&gt;"",INDEX($AE$2:$AP$440,MATCH($AT150,$AS$2:$AS$440,0),COLUMNS($AT$2:BB150)),"")</f>
        <v>53</v>
      </c>
      <c r="BD150">
        <f>IF(BC150&lt;&gt;"",INDEX($AE$2:$AP$440,MATCH($AT150,$AS$2:$AS$440,0),COLUMNS($AT$2:BC150)),"")</f>
        <v>-8</v>
      </c>
      <c r="BE150">
        <f>IF(BD150&lt;&gt;"",INDEX($AE$2:$AP$440,MATCH($AT150,$AS$2:$AS$440,0),COLUMNS($AT$2:BD150)),"")</f>
        <v>55</v>
      </c>
      <c r="BF150">
        <f>IF(BE150&lt;&gt;"",INDEX($AE$2:$AP$440,MATCH($AT150,$AS$2:$AS$440,0),COLUMNS($AT$2:BE150)),"")</f>
        <v>9</v>
      </c>
    </row>
    <row r="151" spans="1:58" x14ac:dyDescent="0.25">
      <c r="A151" s="5">
        <v>2007</v>
      </c>
      <c r="B151" s="5">
        <v>10</v>
      </c>
      <c r="C151" s="6" t="s">
        <v>25</v>
      </c>
      <c r="D151" s="5">
        <v>38</v>
      </c>
      <c r="E151" s="5">
        <v>13</v>
      </c>
      <c r="F151" s="5">
        <v>10</v>
      </c>
      <c r="G151" s="5">
        <v>15</v>
      </c>
      <c r="H151" s="5">
        <v>42</v>
      </c>
      <c r="I151" s="5">
        <v>50</v>
      </c>
      <c r="J151" s="5">
        <v>-8</v>
      </c>
      <c r="K151" s="5">
        <v>49</v>
      </c>
      <c r="L151" s="5">
        <f>IF(Table2[[#This Row],['#]]=1,"Champion", IF(Table2[[#This Row],['#]]&gt;=18,"Relegated",Table2[[#This Row],['#]]))</f>
        <v>10</v>
      </c>
      <c r="N151">
        <f>IF(COUNTIF($O$2:O151,O151)=1,N150+1,N150)</f>
        <v>33</v>
      </c>
      <c r="O151" s="4" t="str">
        <f>Table2[[#This Row],[Team]]</f>
        <v>West Ham United</v>
      </c>
      <c r="P151" s="1" t="str">
        <f>IFERROR(VLOOKUP(ROWS($O$2:O151),$N$2:$O$441,2,0),"")</f>
        <v/>
      </c>
      <c r="Q151" s="1" t="str">
        <f>IF(P151&lt;&gt;"",SUMPRODUCT(--(Table2[Team]=P151)),"")</f>
        <v/>
      </c>
      <c r="R151" s="11" t="str">
        <f>IF(Q151&lt;&gt;"",Q151+ROWS($Q$2:Q151)/100,"")</f>
        <v/>
      </c>
      <c r="S151" t="str">
        <f>IF(R151&lt;&gt;"",LARGE($R$2:$R$441,ROWS($R$2:R151)),"")</f>
        <v/>
      </c>
      <c r="T151" s="1" t="str">
        <f>IF(R151&lt;&gt;"",INDEX($P$2:$Q$441,MATCH($S151,$R$2:$R$441,0),COLUMNS($S$2:S151)),"")</f>
        <v/>
      </c>
      <c r="U151" s="1" t="str">
        <f>IF(S151&lt;&gt;"",INDEX($P$2:$Q$441,MATCH($S151,$R$2:$R$441,0),COLUMNS($S$2:T151)),"")</f>
        <v/>
      </c>
      <c r="AE151" s="1">
        <f>Table2[[#This Row],[Year]]</f>
        <v>2007</v>
      </c>
      <c r="AF151" s="1">
        <f>Table2[[#This Row],['#]]</f>
        <v>10</v>
      </c>
      <c r="AG151" s="1" t="str">
        <f>Table2[[#This Row],[Team]]</f>
        <v>West Ham United</v>
      </c>
      <c r="AH151" s="1">
        <f>Table2[[#This Row],[Pl]]</f>
        <v>38</v>
      </c>
      <c r="AI151" s="1">
        <f>Table2[[#This Row],[W]]</f>
        <v>13</v>
      </c>
      <c r="AJ151" s="1">
        <f>Table2[[#This Row],[D]]</f>
        <v>10</v>
      </c>
      <c r="AK151" s="1">
        <f>Table2[[#This Row],[L]]</f>
        <v>15</v>
      </c>
      <c r="AL151" s="1">
        <f>Table2[[#This Row],[F]]</f>
        <v>42</v>
      </c>
      <c r="AM151" s="1">
        <f>Table2[[#This Row],[A]]</f>
        <v>50</v>
      </c>
      <c r="AN151" s="1">
        <f>Table2[[#This Row],[GD]]</f>
        <v>-8</v>
      </c>
      <c r="AO151" s="1">
        <f>Table2[[#This Row],[Pts]]</f>
        <v>49</v>
      </c>
      <c r="AP151" s="1">
        <f>Table2[[#This Row],[Column1]]</f>
        <v>10</v>
      </c>
      <c r="AR151" t="b">
        <f t="shared" si="6"/>
        <v>1</v>
      </c>
      <c r="AS151">
        <f>IF(AR151,ROWS($AR$2:AR151),"")</f>
        <v>150</v>
      </c>
      <c r="AT151">
        <f>IFERROR(SMALL($AS$2:$AS$440,ROWS($AS$2:AS151)),"")</f>
        <v>150</v>
      </c>
      <c r="AU151">
        <f>IF(AT151&lt;&gt;"",INDEX($AE$2:$AP$440,MATCH($AT151,$AS$2:$AS$440,0),COLUMNS($AT$2:AT151)),"")</f>
        <v>2007</v>
      </c>
      <c r="AV151">
        <f>IF(AU151&lt;&gt;"",INDEX($AE$2:$AP$440,MATCH($AT151,$AS$2:$AS$440,0),COLUMNS($AT$2:AU151)),"")</f>
        <v>10</v>
      </c>
      <c r="AW151" t="str">
        <f>IF(AV151&lt;&gt;"",INDEX($AE$2:$AP$440,MATCH($AT151,$AS$2:$AS$440,0),COLUMNS($AT$2:AV151)),"")</f>
        <v>West Ham United</v>
      </c>
      <c r="AX151">
        <f>IF(AW151&lt;&gt;"",INDEX($AE$2:$AP$440,MATCH($AT151,$AS$2:$AS$440,0),COLUMNS($AT$2:AW151)),"")</f>
        <v>38</v>
      </c>
      <c r="AY151">
        <f>IF(AX151&lt;&gt;"",INDEX($AE$2:$AP$440,MATCH($AT151,$AS$2:$AS$440,0),COLUMNS($AT$2:AX151)),"")</f>
        <v>13</v>
      </c>
      <c r="AZ151">
        <f>IF(AY151&lt;&gt;"",INDEX($AE$2:$AP$440,MATCH($AT151,$AS$2:$AS$440,0),COLUMNS($AT$2:AY151)),"")</f>
        <v>10</v>
      </c>
      <c r="BA151">
        <f>IF(AZ151&lt;&gt;"",INDEX($AE$2:$AP$440,MATCH($AT151,$AS$2:$AS$440,0),COLUMNS($AT$2:AZ151)),"")</f>
        <v>15</v>
      </c>
      <c r="BB151">
        <f>IF(BA151&lt;&gt;"",INDEX($AE$2:$AP$440,MATCH($AT151,$AS$2:$AS$440,0),COLUMNS($AT$2:BA151)),"")</f>
        <v>42</v>
      </c>
      <c r="BC151">
        <f>IF(BB151&lt;&gt;"",INDEX($AE$2:$AP$440,MATCH($AT151,$AS$2:$AS$440,0),COLUMNS($AT$2:BB151)),"")</f>
        <v>50</v>
      </c>
      <c r="BD151">
        <f>IF(BC151&lt;&gt;"",INDEX($AE$2:$AP$440,MATCH($AT151,$AS$2:$AS$440,0),COLUMNS($AT$2:BC151)),"")</f>
        <v>-8</v>
      </c>
      <c r="BE151">
        <f>IF(BD151&lt;&gt;"",INDEX($AE$2:$AP$440,MATCH($AT151,$AS$2:$AS$440,0),COLUMNS($AT$2:BD151)),"")</f>
        <v>49</v>
      </c>
      <c r="BF151">
        <f>IF(BE151&lt;&gt;"",INDEX($AE$2:$AP$440,MATCH($AT151,$AS$2:$AS$440,0),COLUMNS($AT$2:BE151)),"")</f>
        <v>10</v>
      </c>
    </row>
    <row r="152" spans="1:58" x14ac:dyDescent="0.25">
      <c r="A152" s="3">
        <v>2007</v>
      </c>
      <c r="B152" s="3">
        <v>11</v>
      </c>
      <c r="C152" s="4" t="s">
        <v>22</v>
      </c>
      <c r="D152" s="3">
        <v>38</v>
      </c>
      <c r="E152" s="3">
        <v>11</v>
      </c>
      <c r="F152" s="3">
        <v>13</v>
      </c>
      <c r="G152" s="3">
        <v>14</v>
      </c>
      <c r="H152" s="3">
        <v>66</v>
      </c>
      <c r="I152" s="3">
        <v>61</v>
      </c>
      <c r="J152" s="3">
        <v>5</v>
      </c>
      <c r="K152" s="3">
        <v>46</v>
      </c>
      <c r="L152" s="5">
        <f>IF(Table2[[#This Row],['#]]=1,"Champion", IF(Table2[[#This Row],['#]]&gt;=18,"Relegated",Table2[[#This Row],['#]]))</f>
        <v>11</v>
      </c>
      <c r="N152">
        <f>IF(COUNTIF($O$2:O152,O152)=1,N151+1,N151)</f>
        <v>33</v>
      </c>
      <c r="O152" s="4" t="str">
        <f>Table2[[#This Row],[Team]]</f>
        <v>Tottenham Hotspur</v>
      </c>
      <c r="P152" s="1" t="str">
        <f>IFERROR(VLOOKUP(ROWS($O$2:O152),$N$2:$O$441,2,0),"")</f>
        <v/>
      </c>
      <c r="Q152" s="1" t="str">
        <f>IF(P152&lt;&gt;"",SUMPRODUCT(--(Table2[Team]=P152)),"")</f>
        <v/>
      </c>
      <c r="R152" s="11" t="str">
        <f>IF(Q152&lt;&gt;"",Q152+ROWS($Q$2:Q152)/100,"")</f>
        <v/>
      </c>
      <c r="S152" t="str">
        <f>IF(R152&lt;&gt;"",LARGE($R$2:$R$441,ROWS($R$2:R152)),"")</f>
        <v/>
      </c>
      <c r="T152" s="1" t="str">
        <f>IF(R152&lt;&gt;"",INDEX($P$2:$Q$441,MATCH($S152,$R$2:$R$441,0),COLUMNS($S$2:S152)),"")</f>
        <v/>
      </c>
      <c r="U152" s="1" t="str">
        <f>IF(S152&lt;&gt;"",INDEX($P$2:$Q$441,MATCH($S152,$R$2:$R$441,0),COLUMNS($S$2:T152)),"")</f>
        <v/>
      </c>
      <c r="AE152" s="1">
        <f>Table2[[#This Row],[Year]]</f>
        <v>2007</v>
      </c>
      <c r="AF152" s="1">
        <f>Table2[[#This Row],['#]]</f>
        <v>11</v>
      </c>
      <c r="AG152" s="1" t="str">
        <f>Table2[[#This Row],[Team]]</f>
        <v>Tottenham Hotspur</v>
      </c>
      <c r="AH152" s="1">
        <f>Table2[[#This Row],[Pl]]</f>
        <v>38</v>
      </c>
      <c r="AI152" s="1">
        <f>Table2[[#This Row],[W]]</f>
        <v>11</v>
      </c>
      <c r="AJ152" s="1">
        <f>Table2[[#This Row],[D]]</f>
        <v>13</v>
      </c>
      <c r="AK152" s="1">
        <f>Table2[[#This Row],[L]]</f>
        <v>14</v>
      </c>
      <c r="AL152" s="1">
        <f>Table2[[#This Row],[F]]</f>
        <v>66</v>
      </c>
      <c r="AM152" s="1">
        <f>Table2[[#This Row],[A]]</f>
        <v>61</v>
      </c>
      <c r="AN152" s="1">
        <f>Table2[[#This Row],[GD]]</f>
        <v>5</v>
      </c>
      <c r="AO152" s="1">
        <f>Table2[[#This Row],[Pts]]</f>
        <v>46</v>
      </c>
      <c r="AP152" s="1">
        <f>Table2[[#This Row],[Column1]]</f>
        <v>11</v>
      </c>
      <c r="AR152" t="b">
        <f t="shared" si="6"/>
        <v>1</v>
      </c>
      <c r="AS152">
        <f>IF(AR152,ROWS($AR$2:AR152),"")</f>
        <v>151</v>
      </c>
      <c r="AT152">
        <f>IFERROR(SMALL($AS$2:$AS$440,ROWS($AS$2:AS152)),"")</f>
        <v>151</v>
      </c>
      <c r="AU152">
        <f>IF(AT152&lt;&gt;"",INDEX($AE$2:$AP$440,MATCH($AT152,$AS$2:$AS$440,0),COLUMNS($AT$2:AT152)),"")</f>
        <v>2007</v>
      </c>
      <c r="AV152">
        <f>IF(AU152&lt;&gt;"",INDEX($AE$2:$AP$440,MATCH($AT152,$AS$2:$AS$440,0),COLUMNS($AT$2:AU152)),"")</f>
        <v>11</v>
      </c>
      <c r="AW152" t="str">
        <f>IF(AV152&lt;&gt;"",INDEX($AE$2:$AP$440,MATCH($AT152,$AS$2:$AS$440,0),COLUMNS($AT$2:AV152)),"")</f>
        <v>Tottenham Hotspur</v>
      </c>
      <c r="AX152">
        <f>IF(AW152&lt;&gt;"",INDEX($AE$2:$AP$440,MATCH($AT152,$AS$2:$AS$440,0),COLUMNS($AT$2:AW152)),"")</f>
        <v>38</v>
      </c>
      <c r="AY152">
        <f>IF(AX152&lt;&gt;"",INDEX($AE$2:$AP$440,MATCH($AT152,$AS$2:$AS$440,0),COLUMNS($AT$2:AX152)),"")</f>
        <v>11</v>
      </c>
      <c r="AZ152">
        <f>IF(AY152&lt;&gt;"",INDEX($AE$2:$AP$440,MATCH($AT152,$AS$2:$AS$440,0),COLUMNS($AT$2:AY152)),"")</f>
        <v>13</v>
      </c>
      <c r="BA152">
        <f>IF(AZ152&lt;&gt;"",INDEX($AE$2:$AP$440,MATCH($AT152,$AS$2:$AS$440,0),COLUMNS($AT$2:AZ152)),"")</f>
        <v>14</v>
      </c>
      <c r="BB152">
        <f>IF(BA152&lt;&gt;"",INDEX($AE$2:$AP$440,MATCH($AT152,$AS$2:$AS$440,0),COLUMNS($AT$2:BA152)),"")</f>
        <v>66</v>
      </c>
      <c r="BC152">
        <f>IF(BB152&lt;&gt;"",INDEX($AE$2:$AP$440,MATCH($AT152,$AS$2:$AS$440,0),COLUMNS($AT$2:BB152)),"")</f>
        <v>61</v>
      </c>
      <c r="BD152">
        <f>IF(BC152&lt;&gt;"",INDEX($AE$2:$AP$440,MATCH($AT152,$AS$2:$AS$440,0),COLUMNS($AT$2:BC152)),"")</f>
        <v>5</v>
      </c>
      <c r="BE152">
        <f>IF(BD152&lt;&gt;"",INDEX($AE$2:$AP$440,MATCH($AT152,$AS$2:$AS$440,0),COLUMNS($AT$2:BD152)),"")</f>
        <v>46</v>
      </c>
      <c r="BF152">
        <f>IF(BE152&lt;&gt;"",INDEX($AE$2:$AP$440,MATCH($AT152,$AS$2:$AS$440,0),COLUMNS($AT$2:BE152)),"")</f>
        <v>11</v>
      </c>
    </row>
    <row r="153" spans="1:58" x14ac:dyDescent="0.25">
      <c r="A153" s="5">
        <v>2007</v>
      </c>
      <c r="B153" s="5">
        <v>12</v>
      </c>
      <c r="C153" s="6" t="s">
        <v>21</v>
      </c>
      <c r="D153" s="5">
        <v>38</v>
      </c>
      <c r="E153" s="5">
        <v>11</v>
      </c>
      <c r="F153" s="5">
        <v>10</v>
      </c>
      <c r="G153" s="5">
        <v>17</v>
      </c>
      <c r="H153" s="5">
        <v>45</v>
      </c>
      <c r="I153" s="5">
        <v>65</v>
      </c>
      <c r="J153" s="5">
        <v>-20</v>
      </c>
      <c r="K153" s="5">
        <v>43</v>
      </c>
      <c r="L153" s="5">
        <f>IF(Table2[[#This Row],['#]]=1,"Champion", IF(Table2[[#This Row],['#]]&gt;=18,"Relegated",Table2[[#This Row],['#]]))</f>
        <v>12</v>
      </c>
      <c r="N153">
        <f>IF(COUNTIF($O$2:O153,O153)=1,N152+1,N152)</f>
        <v>33</v>
      </c>
      <c r="O153" s="4" t="str">
        <f>Table2[[#This Row],[Team]]</f>
        <v>Newcastle United</v>
      </c>
      <c r="P153" s="1" t="str">
        <f>IFERROR(VLOOKUP(ROWS($O$2:O153),$N$2:$O$441,2,0),"")</f>
        <v/>
      </c>
      <c r="Q153" s="1" t="str">
        <f>IF(P153&lt;&gt;"",SUMPRODUCT(--(Table2[Team]=P153)),"")</f>
        <v/>
      </c>
      <c r="R153" s="11" t="str">
        <f>IF(Q153&lt;&gt;"",Q153+ROWS($Q$2:Q153)/100,"")</f>
        <v/>
      </c>
      <c r="S153" t="str">
        <f>IF(R153&lt;&gt;"",LARGE($R$2:$R$441,ROWS($R$2:R153)),"")</f>
        <v/>
      </c>
      <c r="T153" s="1" t="str">
        <f>IF(R153&lt;&gt;"",INDEX($P$2:$Q$441,MATCH($S153,$R$2:$R$441,0),COLUMNS($S$2:S153)),"")</f>
        <v/>
      </c>
      <c r="U153" s="1" t="str">
        <f>IF(S153&lt;&gt;"",INDEX($P$2:$Q$441,MATCH($S153,$R$2:$R$441,0),COLUMNS($S$2:T153)),"")</f>
        <v/>
      </c>
      <c r="AE153" s="1">
        <f>Table2[[#This Row],[Year]]</f>
        <v>2007</v>
      </c>
      <c r="AF153" s="1">
        <f>Table2[[#This Row],['#]]</f>
        <v>12</v>
      </c>
      <c r="AG153" s="1" t="str">
        <f>Table2[[#This Row],[Team]]</f>
        <v>Newcastle United</v>
      </c>
      <c r="AH153" s="1">
        <f>Table2[[#This Row],[Pl]]</f>
        <v>38</v>
      </c>
      <c r="AI153" s="1">
        <f>Table2[[#This Row],[W]]</f>
        <v>11</v>
      </c>
      <c r="AJ153" s="1">
        <f>Table2[[#This Row],[D]]</f>
        <v>10</v>
      </c>
      <c r="AK153" s="1">
        <f>Table2[[#This Row],[L]]</f>
        <v>17</v>
      </c>
      <c r="AL153" s="1">
        <f>Table2[[#This Row],[F]]</f>
        <v>45</v>
      </c>
      <c r="AM153" s="1">
        <f>Table2[[#This Row],[A]]</f>
        <v>65</v>
      </c>
      <c r="AN153" s="1">
        <f>Table2[[#This Row],[GD]]</f>
        <v>-20</v>
      </c>
      <c r="AO153" s="1">
        <f>Table2[[#This Row],[Pts]]</f>
        <v>43</v>
      </c>
      <c r="AP153" s="1">
        <f>Table2[[#This Row],[Column1]]</f>
        <v>12</v>
      </c>
      <c r="AR153" t="b">
        <f t="shared" si="6"/>
        <v>1</v>
      </c>
      <c r="AS153">
        <f>IF(AR153,ROWS($AR$2:AR153),"")</f>
        <v>152</v>
      </c>
      <c r="AT153">
        <f>IFERROR(SMALL($AS$2:$AS$440,ROWS($AS$2:AS153)),"")</f>
        <v>152</v>
      </c>
      <c r="AU153">
        <f>IF(AT153&lt;&gt;"",INDEX($AE$2:$AP$440,MATCH($AT153,$AS$2:$AS$440,0),COLUMNS($AT$2:AT153)),"")</f>
        <v>2007</v>
      </c>
      <c r="AV153">
        <f>IF(AU153&lt;&gt;"",INDEX($AE$2:$AP$440,MATCH($AT153,$AS$2:$AS$440,0),COLUMNS($AT$2:AU153)),"")</f>
        <v>12</v>
      </c>
      <c r="AW153" t="str">
        <f>IF(AV153&lt;&gt;"",INDEX($AE$2:$AP$440,MATCH($AT153,$AS$2:$AS$440,0),COLUMNS($AT$2:AV153)),"")</f>
        <v>Newcastle United</v>
      </c>
      <c r="AX153">
        <f>IF(AW153&lt;&gt;"",INDEX($AE$2:$AP$440,MATCH($AT153,$AS$2:$AS$440,0),COLUMNS($AT$2:AW153)),"")</f>
        <v>38</v>
      </c>
      <c r="AY153">
        <f>IF(AX153&lt;&gt;"",INDEX($AE$2:$AP$440,MATCH($AT153,$AS$2:$AS$440,0),COLUMNS($AT$2:AX153)),"")</f>
        <v>11</v>
      </c>
      <c r="AZ153">
        <f>IF(AY153&lt;&gt;"",INDEX($AE$2:$AP$440,MATCH($AT153,$AS$2:$AS$440,0),COLUMNS($AT$2:AY153)),"")</f>
        <v>10</v>
      </c>
      <c r="BA153">
        <f>IF(AZ153&lt;&gt;"",INDEX($AE$2:$AP$440,MATCH($AT153,$AS$2:$AS$440,0),COLUMNS($AT$2:AZ153)),"")</f>
        <v>17</v>
      </c>
      <c r="BB153">
        <f>IF(BA153&lt;&gt;"",INDEX($AE$2:$AP$440,MATCH($AT153,$AS$2:$AS$440,0),COLUMNS($AT$2:BA153)),"")</f>
        <v>45</v>
      </c>
      <c r="BC153">
        <f>IF(BB153&lt;&gt;"",INDEX($AE$2:$AP$440,MATCH($AT153,$AS$2:$AS$440,0),COLUMNS($AT$2:BB153)),"")</f>
        <v>65</v>
      </c>
      <c r="BD153">
        <f>IF(BC153&lt;&gt;"",INDEX($AE$2:$AP$440,MATCH($AT153,$AS$2:$AS$440,0),COLUMNS($AT$2:BC153)),"")</f>
        <v>-20</v>
      </c>
      <c r="BE153">
        <f>IF(BD153&lt;&gt;"",INDEX($AE$2:$AP$440,MATCH($AT153,$AS$2:$AS$440,0),COLUMNS($AT$2:BD153)),"")</f>
        <v>43</v>
      </c>
      <c r="BF153">
        <f>IF(BE153&lt;&gt;"",INDEX($AE$2:$AP$440,MATCH($AT153,$AS$2:$AS$440,0),COLUMNS($AT$2:BE153)),"")</f>
        <v>12</v>
      </c>
    </row>
    <row r="154" spans="1:58" x14ac:dyDescent="0.25">
      <c r="A154" s="3">
        <v>2007</v>
      </c>
      <c r="B154" s="3">
        <v>13</v>
      </c>
      <c r="C154" s="4" t="s">
        <v>24</v>
      </c>
      <c r="D154" s="3">
        <v>38</v>
      </c>
      <c r="E154" s="3">
        <v>10</v>
      </c>
      <c r="F154" s="3">
        <v>12</v>
      </c>
      <c r="G154" s="3">
        <v>16</v>
      </c>
      <c r="H154" s="3">
        <v>43</v>
      </c>
      <c r="I154" s="3">
        <v>53</v>
      </c>
      <c r="J154" s="3">
        <v>-10</v>
      </c>
      <c r="K154" s="3">
        <v>42</v>
      </c>
      <c r="L154" s="5">
        <f>IF(Table2[[#This Row],['#]]=1,"Champion", IF(Table2[[#This Row],['#]]&gt;=18,"Relegated",Table2[[#This Row],['#]]))</f>
        <v>13</v>
      </c>
      <c r="N154">
        <f>IF(COUNTIF($O$2:O154,O154)=1,N153+1,N153)</f>
        <v>33</v>
      </c>
      <c r="O154" s="4" t="str">
        <f>Table2[[#This Row],[Team]]</f>
        <v>Middlesbrough</v>
      </c>
      <c r="P154" s="1" t="str">
        <f>IFERROR(VLOOKUP(ROWS($O$2:O154),$N$2:$O$441,2,0),"")</f>
        <v/>
      </c>
      <c r="Q154" s="1" t="str">
        <f>IF(P154&lt;&gt;"",SUMPRODUCT(--(Table2[Team]=P154)),"")</f>
        <v/>
      </c>
      <c r="R154" s="11" t="str">
        <f>IF(Q154&lt;&gt;"",Q154+ROWS($Q$2:Q154)/100,"")</f>
        <v/>
      </c>
      <c r="S154" t="str">
        <f>IF(R154&lt;&gt;"",LARGE($R$2:$R$441,ROWS($R$2:R154)),"")</f>
        <v/>
      </c>
      <c r="T154" s="1" t="str">
        <f>IF(R154&lt;&gt;"",INDEX($P$2:$Q$441,MATCH($S154,$R$2:$R$441,0),COLUMNS($S$2:S154)),"")</f>
        <v/>
      </c>
      <c r="U154" s="1" t="str">
        <f>IF(S154&lt;&gt;"",INDEX($P$2:$Q$441,MATCH($S154,$R$2:$R$441,0),COLUMNS($S$2:T154)),"")</f>
        <v/>
      </c>
      <c r="AE154" s="1">
        <f>Table2[[#This Row],[Year]]</f>
        <v>2007</v>
      </c>
      <c r="AF154" s="1">
        <f>Table2[[#This Row],['#]]</f>
        <v>13</v>
      </c>
      <c r="AG154" s="1" t="str">
        <f>Table2[[#This Row],[Team]]</f>
        <v>Middlesbrough</v>
      </c>
      <c r="AH154" s="1">
        <f>Table2[[#This Row],[Pl]]</f>
        <v>38</v>
      </c>
      <c r="AI154" s="1">
        <f>Table2[[#This Row],[W]]</f>
        <v>10</v>
      </c>
      <c r="AJ154" s="1">
        <f>Table2[[#This Row],[D]]</f>
        <v>12</v>
      </c>
      <c r="AK154" s="1">
        <f>Table2[[#This Row],[L]]</f>
        <v>16</v>
      </c>
      <c r="AL154" s="1">
        <f>Table2[[#This Row],[F]]</f>
        <v>43</v>
      </c>
      <c r="AM154" s="1">
        <f>Table2[[#This Row],[A]]</f>
        <v>53</v>
      </c>
      <c r="AN154" s="1">
        <f>Table2[[#This Row],[GD]]</f>
        <v>-10</v>
      </c>
      <c r="AO154" s="1">
        <f>Table2[[#This Row],[Pts]]</f>
        <v>42</v>
      </c>
      <c r="AP154" s="1">
        <f>Table2[[#This Row],[Column1]]</f>
        <v>13</v>
      </c>
      <c r="AR154" t="b">
        <f t="shared" si="6"/>
        <v>1</v>
      </c>
      <c r="AS154">
        <f>IF(AR154,ROWS($AR$2:AR154),"")</f>
        <v>153</v>
      </c>
      <c r="AT154">
        <f>IFERROR(SMALL($AS$2:$AS$440,ROWS($AS$2:AS154)),"")</f>
        <v>153</v>
      </c>
      <c r="AU154">
        <f>IF(AT154&lt;&gt;"",INDEX($AE$2:$AP$440,MATCH($AT154,$AS$2:$AS$440,0),COLUMNS($AT$2:AT154)),"")</f>
        <v>2007</v>
      </c>
      <c r="AV154">
        <f>IF(AU154&lt;&gt;"",INDEX($AE$2:$AP$440,MATCH($AT154,$AS$2:$AS$440,0),COLUMNS($AT$2:AU154)),"")</f>
        <v>13</v>
      </c>
      <c r="AW154" t="str">
        <f>IF(AV154&lt;&gt;"",INDEX($AE$2:$AP$440,MATCH($AT154,$AS$2:$AS$440,0),COLUMNS($AT$2:AV154)),"")</f>
        <v>Middlesbrough</v>
      </c>
      <c r="AX154">
        <f>IF(AW154&lt;&gt;"",INDEX($AE$2:$AP$440,MATCH($AT154,$AS$2:$AS$440,0),COLUMNS($AT$2:AW154)),"")</f>
        <v>38</v>
      </c>
      <c r="AY154">
        <f>IF(AX154&lt;&gt;"",INDEX($AE$2:$AP$440,MATCH($AT154,$AS$2:$AS$440,0),COLUMNS($AT$2:AX154)),"")</f>
        <v>10</v>
      </c>
      <c r="AZ154">
        <f>IF(AY154&lt;&gt;"",INDEX($AE$2:$AP$440,MATCH($AT154,$AS$2:$AS$440,0),COLUMNS($AT$2:AY154)),"")</f>
        <v>12</v>
      </c>
      <c r="BA154">
        <f>IF(AZ154&lt;&gt;"",INDEX($AE$2:$AP$440,MATCH($AT154,$AS$2:$AS$440,0),COLUMNS($AT$2:AZ154)),"")</f>
        <v>16</v>
      </c>
      <c r="BB154">
        <f>IF(BA154&lt;&gt;"",INDEX($AE$2:$AP$440,MATCH($AT154,$AS$2:$AS$440,0),COLUMNS($AT$2:BA154)),"")</f>
        <v>43</v>
      </c>
      <c r="BC154">
        <f>IF(BB154&lt;&gt;"",INDEX($AE$2:$AP$440,MATCH($AT154,$AS$2:$AS$440,0),COLUMNS($AT$2:BB154)),"")</f>
        <v>53</v>
      </c>
      <c r="BD154">
        <f>IF(BC154&lt;&gt;"",INDEX($AE$2:$AP$440,MATCH($AT154,$AS$2:$AS$440,0),COLUMNS($AT$2:BC154)),"")</f>
        <v>-10</v>
      </c>
      <c r="BE154">
        <f>IF(BD154&lt;&gt;"",INDEX($AE$2:$AP$440,MATCH($AT154,$AS$2:$AS$440,0),COLUMNS($AT$2:BD154)),"")</f>
        <v>42</v>
      </c>
      <c r="BF154">
        <f>IF(BE154&lt;&gt;"",INDEX($AE$2:$AP$440,MATCH($AT154,$AS$2:$AS$440,0),COLUMNS($AT$2:BE154)),"")</f>
        <v>13</v>
      </c>
    </row>
    <row r="155" spans="1:58" x14ac:dyDescent="0.25">
      <c r="A155" s="5">
        <v>2007</v>
      </c>
      <c r="B155" s="5">
        <v>14</v>
      </c>
      <c r="C155" s="6" t="s">
        <v>40</v>
      </c>
      <c r="D155" s="5">
        <v>38</v>
      </c>
      <c r="E155" s="5">
        <v>10</v>
      </c>
      <c r="F155" s="5">
        <v>10</v>
      </c>
      <c r="G155" s="5">
        <v>18</v>
      </c>
      <c r="H155" s="5">
        <v>34</v>
      </c>
      <c r="I155" s="5">
        <v>51</v>
      </c>
      <c r="J155" s="5">
        <v>-17</v>
      </c>
      <c r="K155" s="5">
        <v>40</v>
      </c>
      <c r="L155" s="5">
        <f>IF(Table2[[#This Row],['#]]=1,"Champion", IF(Table2[[#This Row],['#]]&gt;=18,"Relegated",Table2[[#This Row],['#]]))</f>
        <v>14</v>
      </c>
      <c r="N155">
        <f>IF(COUNTIF($O$2:O155,O155)=1,N154+1,N154)</f>
        <v>33</v>
      </c>
      <c r="O155" s="4" t="str">
        <f>Table2[[#This Row],[Team]]</f>
        <v>Wigan Athletic</v>
      </c>
      <c r="P155" s="1" t="str">
        <f>IFERROR(VLOOKUP(ROWS($O$2:O155),$N$2:$O$441,2,0),"")</f>
        <v/>
      </c>
      <c r="Q155" s="1" t="str">
        <f>IF(P155&lt;&gt;"",SUMPRODUCT(--(Table2[Team]=P155)),"")</f>
        <v/>
      </c>
      <c r="R155" s="11" t="str">
        <f>IF(Q155&lt;&gt;"",Q155+ROWS($Q$2:Q155)/100,"")</f>
        <v/>
      </c>
      <c r="S155" t="str">
        <f>IF(R155&lt;&gt;"",LARGE($R$2:$R$441,ROWS($R$2:R155)),"")</f>
        <v/>
      </c>
      <c r="T155" s="1" t="str">
        <f>IF(R155&lt;&gt;"",INDEX($P$2:$Q$441,MATCH($S155,$R$2:$R$441,0),COLUMNS($S$2:S155)),"")</f>
        <v/>
      </c>
      <c r="U155" s="1" t="str">
        <f>IF(S155&lt;&gt;"",INDEX($P$2:$Q$441,MATCH($S155,$R$2:$R$441,0),COLUMNS($S$2:T155)),"")</f>
        <v/>
      </c>
      <c r="AE155" s="1">
        <f>Table2[[#This Row],[Year]]</f>
        <v>2007</v>
      </c>
      <c r="AF155" s="1">
        <f>Table2[[#This Row],['#]]</f>
        <v>14</v>
      </c>
      <c r="AG155" s="1" t="str">
        <f>Table2[[#This Row],[Team]]</f>
        <v>Wigan Athletic</v>
      </c>
      <c r="AH155" s="1">
        <f>Table2[[#This Row],[Pl]]</f>
        <v>38</v>
      </c>
      <c r="AI155" s="1">
        <f>Table2[[#This Row],[W]]</f>
        <v>10</v>
      </c>
      <c r="AJ155" s="1">
        <f>Table2[[#This Row],[D]]</f>
        <v>10</v>
      </c>
      <c r="AK155" s="1">
        <f>Table2[[#This Row],[L]]</f>
        <v>18</v>
      </c>
      <c r="AL155" s="1">
        <f>Table2[[#This Row],[F]]</f>
        <v>34</v>
      </c>
      <c r="AM155" s="1">
        <f>Table2[[#This Row],[A]]</f>
        <v>51</v>
      </c>
      <c r="AN155" s="1">
        <f>Table2[[#This Row],[GD]]</f>
        <v>-17</v>
      </c>
      <c r="AO155" s="1">
        <f>Table2[[#This Row],[Pts]]</f>
        <v>40</v>
      </c>
      <c r="AP155" s="1">
        <f>Table2[[#This Row],[Column1]]</f>
        <v>14</v>
      </c>
      <c r="AR155" t="b">
        <f t="shared" si="6"/>
        <v>1</v>
      </c>
      <c r="AS155">
        <f>IF(AR155,ROWS($AR$2:AR155),"")</f>
        <v>154</v>
      </c>
      <c r="AT155">
        <f>IFERROR(SMALL($AS$2:$AS$440,ROWS($AS$2:AS155)),"")</f>
        <v>154</v>
      </c>
      <c r="AU155">
        <f>IF(AT155&lt;&gt;"",INDEX($AE$2:$AP$440,MATCH($AT155,$AS$2:$AS$440,0),COLUMNS($AT$2:AT155)),"")</f>
        <v>2007</v>
      </c>
      <c r="AV155">
        <f>IF(AU155&lt;&gt;"",INDEX($AE$2:$AP$440,MATCH($AT155,$AS$2:$AS$440,0),COLUMNS($AT$2:AU155)),"")</f>
        <v>14</v>
      </c>
      <c r="AW155" t="str">
        <f>IF(AV155&lt;&gt;"",INDEX($AE$2:$AP$440,MATCH($AT155,$AS$2:$AS$440,0),COLUMNS($AT$2:AV155)),"")</f>
        <v>Wigan Athletic</v>
      </c>
      <c r="AX155">
        <f>IF(AW155&lt;&gt;"",INDEX($AE$2:$AP$440,MATCH($AT155,$AS$2:$AS$440,0),COLUMNS($AT$2:AW155)),"")</f>
        <v>38</v>
      </c>
      <c r="AY155">
        <f>IF(AX155&lt;&gt;"",INDEX($AE$2:$AP$440,MATCH($AT155,$AS$2:$AS$440,0),COLUMNS($AT$2:AX155)),"")</f>
        <v>10</v>
      </c>
      <c r="AZ155">
        <f>IF(AY155&lt;&gt;"",INDEX($AE$2:$AP$440,MATCH($AT155,$AS$2:$AS$440,0),COLUMNS($AT$2:AY155)),"")</f>
        <v>10</v>
      </c>
      <c r="BA155">
        <f>IF(AZ155&lt;&gt;"",INDEX($AE$2:$AP$440,MATCH($AT155,$AS$2:$AS$440,0),COLUMNS($AT$2:AZ155)),"")</f>
        <v>18</v>
      </c>
      <c r="BB155">
        <f>IF(BA155&lt;&gt;"",INDEX($AE$2:$AP$440,MATCH($AT155,$AS$2:$AS$440,0),COLUMNS($AT$2:BA155)),"")</f>
        <v>34</v>
      </c>
      <c r="BC155">
        <f>IF(BB155&lt;&gt;"",INDEX($AE$2:$AP$440,MATCH($AT155,$AS$2:$AS$440,0),COLUMNS($AT$2:BB155)),"")</f>
        <v>51</v>
      </c>
      <c r="BD155">
        <f>IF(BC155&lt;&gt;"",INDEX($AE$2:$AP$440,MATCH($AT155,$AS$2:$AS$440,0),COLUMNS($AT$2:BC155)),"")</f>
        <v>-17</v>
      </c>
      <c r="BE155">
        <f>IF(BD155&lt;&gt;"",INDEX($AE$2:$AP$440,MATCH($AT155,$AS$2:$AS$440,0),COLUMNS($AT$2:BD155)),"")</f>
        <v>40</v>
      </c>
      <c r="BF155">
        <f>IF(BE155&lt;&gt;"",INDEX($AE$2:$AP$440,MATCH($AT155,$AS$2:$AS$440,0),COLUMNS($AT$2:BE155)),"")</f>
        <v>14</v>
      </c>
    </row>
    <row r="156" spans="1:58" x14ac:dyDescent="0.25">
      <c r="A156" s="3">
        <v>2007</v>
      </c>
      <c r="B156" s="3">
        <v>15</v>
      </c>
      <c r="C156" s="4" t="s">
        <v>17</v>
      </c>
      <c r="D156" s="3">
        <v>38</v>
      </c>
      <c r="E156" s="3">
        <v>11</v>
      </c>
      <c r="F156" s="3">
        <v>6</v>
      </c>
      <c r="G156" s="3">
        <v>21</v>
      </c>
      <c r="H156" s="3">
        <v>36</v>
      </c>
      <c r="I156" s="3">
        <v>59</v>
      </c>
      <c r="J156" s="3">
        <v>-23</v>
      </c>
      <c r="K156" s="3">
        <v>39</v>
      </c>
      <c r="L156" s="5">
        <f>IF(Table2[[#This Row],['#]]=1,"Champion", IF(Table2[[#This Row],['#]]&gt;=18,"Relegated",Table2[[#This Row],['#]]))</f>
        <v>15</v>
      </c>
      <c r="N156">
        <f>IF(COUNTIF($O$2:O156,O156)=1,N155+1,N155)</f>
        <v>33</v>
      </c>
      <c r="O156" s="4" t="str">
        <f>Table2[[#This Row],[Team]]</f>
        <v>Sunderland</v>
      </c>
      <c r="P156" s="1" t="str">
        <f>IFERROR(VLOOKUP(ROWS($O$2:O156),$N$2:$O$441,2,0),"")</f>
        <v/>
      </c>
      <c r="Q156" s="1" t="str">
        <f>IF(P156&lt;&gt;"",SUMPRODUCT(--(Table2[Team]=P156)),"")</f>
        <v/>
      </c>
      <c r="R156" s="11" t="str">
        <f>IF(Q156&lt;&gt;"",Q156+ROWS($Q$2:Q156)/100,"")</f>
        <v/>
      </c>
      <c r="S156" t="str">
        <f>IF(R156&lt;&gt;"",LARGE($R$2:$R$441,ROWS($R$2:R156)),"")</f>
        <v/>
      </c>
      <c r="T156" s="1" t="str">
        <f>IF(R156&lt;&gt;"",INDEX($P$2:$Q$441,MATCH($S156,$R$2:$R$441,0),COLUMNS($S$2:S156)),"")</f>
        <v/>
      </c>
      <c r="U156" s="1" t="str">
        <f>IF(S156&lt;&gt;"",INDEX($P$2:$Q$441,MATCH($S156,$R$2:$R$441,0),COLUMNS($S$2:T156)),"")</f>
        <v/>
      </c>
      <c r="AE156" s="1">
        <f>Table2[[#This Row],[Year]]</f>
        <v>2007</v>
      </c>
      <c r="AF156" s="1">
        <f>Table2[[#This Row],['#]]</f>
        <v>15</v>
      </c>
      <c r="AG156" s="1" t="str">
        <f>Table2[[#This Row],[Team]]</f>
        <v>Sunderland</v>
      </c>
      <c r="AH156" s="1">
        <f>Table2[[#This Row],[Pl]]</f>
        <v>38</v>
      </c>
      <c r="AI156" s="1">
        <f>Table2[[#This Row],[W]]</f>
        <v>11</v>
      </c>
      <c r="AJ156" s="1">
        <f>Table2[[#This Row],[D]]</f>
        <v>6</v>
      </c>
      <c r="AK156" s="1">
        <f>Table2[[#This Row],[L]]</f>
        <v>21</v>
      </c>
      <c r="AL156" s="1">
        <f>Table2[[#This Row],[F]]</f>
        <v>36</v>
      </c>
      <c r="AM156" s="1">
        <f>Table2[[#This Row],[A]]</f>
        <v>59</v>
      </c>
      <c r="AN156" s="1">
        <f>Table2[[#This Row],[GD]]</f>
        <v>-23</v>
      </c>
      <c r="AO156" s="1">
        <f>Table2[[#This Row],[Pts]]</f>
        <v>39</v>
      </c>
      <c r="AP156" s="1">
        <f>Table2[[#This Row],[Column1]]</f>
        <v>15</v>
      </c>
      <c r="AR156" t="b">
        <f t="shared" si="6"/>
        <v>1</v>
      </c>
      <c r="AS156">
        <f>IF(AR156,ROWS($AR$2:AR156),"")</f>
        <v>155</v>
      </c>
      <c r="AT156">
        <f>IFERROR(SMALL($AS$2:$AS$440,ROWS($AS$2:AS156)),"")</f>
        <v>155</v>
      </c>
      <c r="AU156">
        <f>IF(AT156&lt;&gt;"",INDEX($AE$2:$AP$440,MATCH($AT156,$AS$2:$AS$440,0),COLUMNS($AT$2:AT156)),"")</f>
        <v>2007</v>
      </c>
      <c r="AV156">
        <f>IF(AU156&lt;&gt;"",INDEX($AE$2:$AP$440,MATCH($AT156,$AS$2:$AS$440,0),COLUMNS($AT$2:AU156)),"")</f>
        <v>15</v>
      </c>
      <c r="AW156" t="str">
        <f>IF(AV156&lt;&gt;"",INDEX($AE$2:$AP$440,MATCH($AT156,$AS$2:$AS$440,0),COLUMNS($AT$2:AV156)),"")</f>
        <v>Sunderland</v>
      </c>
      <c r="AX156">
        <f>IF(AW156&lt;&gt;"",INDEX($AE$2:$AP$440,MATCH($AT156,$AS$2:$AS$440,0),COLUMNS($AT$2:AW156)),"")</f>
        <v>38</v>
      </c>
      <c r="AY156">
        <f>IF(AX156&lt;&gt;"",INDEX($AE$2:$AP$440,MATCH($AT156,$AS$2:$AS$440,0),COLUMNS($AT$2:AX156)),"")</f>
        <v>11</v>
      </c>
      <c r="AZ156">
        <f>IF(AY156&lt;&gt;"",INDEX($AE$2:$AP$440,MATCH($AT156,$AS$2:$AS$440,0),COLUMNS($AT$2:AY156)),"")</f>
        <v>6</v>
      </c>
      <c r="BA156">
        <f>IF(AZ156&lt;&gt;"",INDEX($AE$2:$AP$440,MATCH($AT156,$AS$2:$AS$440,0),COLUMNS($AT$2:AZ156)),"")</f>
        <v>21</v>
      </c>
      <c r="BB156">
        <f>IF(BA156&lt;&gt;"",INDEX($AE$2:$AP$440,MATCH($AT156,$AS$2:$AS$440,0),COLUMNS($AT$2:BA156)),"")</f>
        <v>36</v>
      </c>
      <c r="BC156">
        <f>IF(BB156&lt;&gt;"",INDEX($AE$2:$AP$440,MATCH($AT156,$AS$2:$AS$440,0),COLUMNS($AT$2:BB156)),"")</f>
        <v>59</v>
      </c>
      <c r="BD156">
        <f>IF(BC156&lt;&gt;"",INDEX($AE$2:$AP$440,MATCH($AT156,$AS$2:$AS$440,0),COLUMNS($AT$2:BC156)),"")</f>
        <v>-23</v>
      </c>
      <c r="BE156">
        <f>IF(BD156&lt;&gt;"",INDEX($AE$2:$AP$440,MATCH($AT156,$AS$2:$AS$440,0),COLUMNS($AT$2:BD156)),"")</f>
        <v>39</v>
      </c>
      <c r="BF156">
        <f>IF(BE156&lt;&gt;"",INDEX($AE$2:$AP$440,MATCH($AT156,$AS$2:$AS$440,0),COLUMNS($AT$2:BE156)),"")</f>
        <v>15</v>
      </c>
    </row>
    <row r="157" spans="1:58" x14ac:dyDescent="0.25">
      <c r="A157" s="5">
        <v>2007</v>
      </c>
      <c r="B157" s="5">
        <v>16</v>
      </c>
      <c r="C157" s="6" t="s">
        <v>33</v>
      </c>
      <c r="D157" s="5">
        <v>38</v>
      </c>
      <c r="E157" s="5">
        <v>9</v>
      </c>
      <c r="F157" s="5">
        <v>10</v>
      </c>
      <c r="G157" s="5">
        <v>19</v>
      </c>
      <c r="H157" s="5">
        <v>36</v>
      </c>
      <c r="I157" s="5">
        <v>54</v>
      </c>
      <c r="J157" s="5">
        <v>-18</v>
      </c>
      <c r="K157" s="5">
        <v>37</v>
      </c>
      <c r="L157" s="5">
        <f>IF(Table2[[#This Row],['#]]=1,"Champion", IF(Table2[[#This Row],['#]]&gt;=18,"Relegated",Table2[[#This Row],['#]]))</f>
        <v>16</v>
      </c>
      <c r="N157">
        <f>IF(COUNTIF($O$2:O157,O157)=1,N156+1,N156)</f>
        <v>33</v>
      </c>
      <c r="O157" s="4" t="str">
        <f>Table2[[#This Row],[Team]]</f>
        <v>Bolton Wanderers</v>
      </c>
      <c r="P157" s="1" t="str">
        <f>IFERROR(VLOOKUP(ROWS($O$2:O157),$N$2:$O$441,2,0),"")</f>
        <v/>
      </c>
      <c r="Q157" s="1" t="str">
        <f>IF(P157&lt;&gt;"",SUMPRODUCT(--(Table2[Team]=P157)),"")</f>
        <v/>
      </c>
      <c r="R157" s="11" t="str">
        <f>IF(Q157&lt;&gt;"",Q157+ROWS($Q$2:Q157)/100,"")</f>
        <v/>
      </c>
      <c r="S157" t="str">
        <f>IF(R157&lt;&gt;"",LARGE($R$2:$R$441,ROWS($R$2:R157)),"")</f>
        <v/>
      </c>
      <c r="T157" s="1" t="str">
        <f>IF(R157&lt;&gt;"",INDEX($P$2:$Q$441,MATCH($S157,$R$2:$R$441,0),COLUMNS($S$2:S157)),"")</f>
        <v/>
      </c>
      <c r="U157" s="1" t="str">
        <f>IF(S157&lt;&gt;"",INDEX($P$2:$Q$441,MATCH($S157,$R$2:$R$441,0),COLUMNS($S$2:T157)),"")</f>
        <v/>
      </c>
      <c r="AE157" s="1">
        <f>Table2[[#This Row],[Year]]</f>
        <v>2007</v>
      </c>
      <c r="AF157" s="1">
        <f>Table2[[#This Row],['#]]</f>
        <v>16</v>
      </c>
      <c r="AG157" s="1" t="str">
        <f>Table2[[#This Row],[Team]]</f>
        <v>Bolton Wanderers</v>
      </c>
      <c r="AH157" s="1">
        <f>Table2[[#This Row],[Pl]]</f>
        <v>38</v>
      </c>
      <c r="AI157" s="1">
        <f>Table2[[#This Row],[W]]</f>
        <v>9</v>
      </c>
      <c r="AJ157" s="1">
        <f>Table2[[#This Row],[D]]</f>
        <v>10</v>
      </c>
      <c r="AK157" s="1">
        <f>Table2[[#This Row],[L]]</f>
        <v>19</v>
      </c>
      <c r="AL157" s="1">
        <f>Table2[[#This Row],[F]]</f>
        <v>36</v>
      </c>
      <c r="AM157" s="1">
        <f>Table2[[#This Row],[A]]</f>
        <v>54</v>
      </c>
      <c r="AN157" s="1">
        <f>Table2[[#This Row],[GD]]</f>
        <v>-18</v>
      </c>
      <c r="AO157" s="1">
        <f>Table2[[#This Row],[Pts]]</f>
        <v>37</v>
      </c>
      <c r="AP157" s="1">
        <f>Table2[[#This Row],[Column1]]</f>
        <v>16</v>
      </c>
      <c r="AR157" t="b">
        <f t="shared" si="6"/>
        <v>1</v>
      </c>
      <c r="AS157">
        <f>IF(AR157,ROWS($AR$2:AR157),"")</f>
        <v>156</v>
      </c>
      <c r="AT157">
        <f>IFERROR(SMALL($AS$2:$AS$440,ROWS($AS$2:AS157)),"")</f>
        <v>156</v>
      </c>
      <c r="AU157">
        <f>IF(AT157&lt;&gt;"",INDEX($AE$2:$AP$440,MATCH($AT157,$AS$2:$AS$440,0),COLUMNS($AT$2:AT157)),"")</f>
        <v>2007</v>
      </c>
      <c r="AV157">
        <f>IF(AU157&lt;&gt;"",INDEX($AE$2:$AP$440,MATCH($AT157,$AS$2:$AS$440,0),COLUMNS($AT$2:AU157)),"")</f>
        <v>16</v>
      </c>
      <c r="AW157" t="str">
        <f>IF(AV157&lt;&gt;"",INDEX($AE$2:$AP$440,MATCH($AT157,$AS$2:$AS$440,0),COLUMNS($AT$2:AV157)),"")</f>
        <v>Bolton Wanderers</v>
      </c>
      <c r="AX157">
        <f>IF(AW157&lt;&gt;"",INDEX($AE$2:$AP$440,MATCH($AT157,$AS$2:$AS$440,0),COLUMNS($AT$2:AW157)),"")</f>
        <v>38</v>
      </c>
      <c r="AY157">
        <f>IF(AX157&lt;&gt;"",INDEX($AE$2:$AP$440,MATCH($AT157,$AS$2:$AS$440,0),COLUMNS($AT$2:AX157)),"")</f>
        <v>9</v>
      </c>
      <c r="AZ157">
        <f>IF(AY157&lt;&gt;"",INDEX($AE$2:$AP$440,MATCH($AT157,$AS$2:$AS$440,0),COLUMNS($AT$2:AY157)),"")</f>
        <v>10</v>
      </c>
      <c r="BA157">
        <f>IF(AZ157&lt;&gt;"",INDEX($AE$2:$AP$440,MATCH($AT157,$AS$2:$AS$440,0),COLUMNS($AT$2:AZ157)),"")</f>
        <v>19</v>
      </c>
      <c r="BB157">
        <f>IF(BA157&lt;&gt;"",INDEX($AE$2:$AP$440,MATCH($AT157,$AS$2:$AS$440,0),COLUMNS($AT$2:BA157)),"")</f>
        <v>36</v>
      </c>
      <c r="BC157">
        <f>IF(BB157&lt;&gt;"",INDEX($AE$2:$AP$440,MATCH($AT157,$AS$2:$AS$440,0),COLUMNS($AT$2:BB157)),"")</f>
        <v>54</v>
      </c>
      <c r="BD157">
        <f>IF(BC157&lt;&gt;"",INDEX($AE$2:$AP$440,MATCH($AT157,$AS$2:$AS$440,0),COLUMNS($AT$2:BC157)),"")</f>
        <v>-18</v>
      </c>
      <c r="BE157">
        <f>IF(BD157&lt;&gt;"",INDEX($AE$2:$AP$440,MATCH($AT157,$AS$2:$AS$440,0),COLUMNS($AT$2:BD157)),"")</f>
        <v>37</v>
      </c>
      <c r="BF157">
        <f>IF(BE157&lt;&gt;"",INDEX($AE$2:$AP$440,MATCH($AT157,$AS$2:$AS$440,0),COLUMNS($AT$2:BE157)),"")</f>
        <v>16</v>
      </c>
    </row>
    <row r="158" spans="1:58" x14ac:dyDescent="0.25">
      <c r="A158" s="3">
        <v>2007</v>
      </c>
      <c r="B158" s="3">
        <v>17</v>
      </c>
      <c r="C158" s="4" t="s">
        <v>32</v>
      </c>
      <c r="D158" s="3">
        <v>38</v>
      </c>
      <c r="E158" s="3">
        <v>8</v>
      </c>
      <c r="F158" s="3">
        <v>12</v>
      </c>
      <c r="G158" s="3">
        <v>18</v>
      </c>
      <c r="H158" s="3">
        <v>38</v>
      </c>
      <c r="I158" s="3">
        <v>60</v>
      </c>
      <c r="J158" s="3">
        <v>-22</v>
      </c>
      <c r="K158" s="3">
        <v>36</v>
      </c>
      <c r="L158" s="5">
        <f>IF(Table2[[#This Row],['#]]=1,"Champion", IF(Table2[[#This Row],['#]]&gt;=18,"Relegated",Table2[[#This Row],['#]]))</f>
        <v>17</v>
      </c>
      <c r="N158">
        <f>IF(COUNTIF($O$2:O158,O158)=1,N157+1,N157)</f>
        <v>33</v>
      </c>
      <c r="O158" s="4" t="str">
        <f>Table2[[#This Row],[Team]]</f>
        <v>Fulham</v>
      </c>
      <c r="P158" s="1" t="str">
        <f>IFERROR(VLOOKUP(ROWS($O$2:O158),$N$2:$O$441,2,0),"")</f>
        <v/>
      </c>
      <c r="Q158" s="1" t="str">
        <f>IF(P158&lt;&gt;"",SUMPRODUCT(--(Table2[Team]=P158)),"")</f>
        <v/>
      </c>
      <c r="R158" s="11" t="str">
        <f>IF(Q158&lt;&gt;"",Q158+ROWS($Q$2:Q158)/100,"")</f>
        <v/>
      </c>
      <c r="S158" t="str">
        <f>IF(R158&lt;&gt;"",LARGE($R$2:$R$441,ROWS($R$2:R158)),"")</f>
        <v/>
      </c>
      <c r="T158" s="1" t="str">
        <f>IF(R158&lt;&gt;"",INDEX($P$2:$Q$441,MATCH($S158,$R$2:$R$441,0),COLUMNS($S$2:S158)),"")</f>
        <v/>
      </c>
      <c r="U158" s="1" t="str">
        <f>IF(S158&lt;&gt;"",INDEX($P$2:$Q$441,MATCH($S158,$R$2:$R$441,0),COLUMNS($S$2:T158)),"")</f>
        <v/>
      </c>
      <c r="AE158" s="1">
        <f>Table2[[#This Row],[Year]]</f>
        <v>2007</v>
      </c>
      <c r="AF158" s="1">
        <f>Table2[[#This Row],['#]]</f>
        <v>17</v>
      </c>
      <c r="AG158" s="1" t="str">
        <f>Table2[[#This Row],[Team]]</f>
        <v>Fulham</v>
      </c>
      <c r="AH158" s="1">
        <f>Table2[[#This Row],[Pl]]</f>
        <v>38</v>
      </c>
      <c r="AI158" s="1">
        <f>Table2[[#This Row],[W]]</f>
        <v>8</v>
      </c>
      <c r="AJ158" s="1">
        <f>Table2[[#This Row],[D]]</f>
        <v>12</v>
      </c>
      <c r="AK158" s="1">
        <f>Table2[[#This Row],[L]]</f>
        <v>18</v>
      </c>
      <c r="AL158" s="1">
        <f>Table2[[#This Row],[F]]</f>
        <v>38</v>
      </c>
      <c r="AM158" s="1">
        <f>Table2[[#This Row],[A]]</f>
        <v>60</v>
      </c>
      <c r="AN158" s="1">
        <f>Table2[[#This Row],[GD]]</f>
        <v>-22</v>
      </c>
      <c r="AO158" s="1">
        <f>Table2[[#This Row],[Pts]]</f>
        <v>36</v>
      </c>
      <c r="AP158" s="1">
        <f>Table2[[#This Row],[Column1]]</f>
        <v>17</v>
      </c>
      <c r="AR158" t="b">
        <f t="shared" si="6"/>
        <v>1</v>
      </c>
      <c r="AS158">
        <f>IF(AR158,ROWS($AR$2:AR158),"")</f>
        <v>157</v>
      </c>
      <c r="AT158">
        <f>IFERROR(SMALL($AS$2:$AS$440,ROWS($AS$2:AS158)),"")</f>
        <v>157</v>
      </c>
      <c r="AU158">
        <f>IF(AT158&lt;&gt;"",INDEX($AE$2:$AP$440,MATCH($AT158,$AS$2:$AS$440,0),COLUMNS($AT$2:AT158)),"")</f>
        <v>2007</v>
      </c>
      <c r="AV158">
        <f>IF(AU158&lt;&gt;"",INDEX($AE$2:$AP$440,MATCH($AT158,$AS$2:$AS$440,0),COLUMNS($AT$2:AU158)),"")</f>
        <v>17</v>
      </c>
      <c r="AW158" t="str">
        <f>IF(AV158&lt;&gt;"",INDEX($AE$2:$AP$440,MATCH($AT158,$AS$2:$AS$440,0),COLUMNS($AT$2:AV158)),"")</f>
        <v>Fulham</v>
      </c>
      <c r="AX158">
        <f>IF(AW158&lt;&gt;"",INDEX($AE$2:$AP$440,MATCH($AT158,$AS$2:$AS$440,0),COLUMNS($AT$2:AW158)),"")</f>
        <v>38</v>
      </c>
      <c r="AY158">
        <f>IF(AX158&lt;&gt;"",INDEX($AE$2:$AP$440,MATCH($AT158,$AS$2:$AS$440,0),COLUMNS($AT$2:AX158)),"")</f>
        <v>8</v>
      </c>
      <c r="AZ158">
        <f>IF(AY158&lt;&gt;"",INDEX($AE$2:$AP$440,MATCH($AT158,$AS$2:$AS$440,0),COLUMNS($AT$2:AY158)),"")</f>
        <v>12</v>
      </c>
      <c r="BA158">
        <f>IF(AZ158&lt;&gt;"",INDEX($AE$2:$AP$440,MATCH($AT158,$AS$2:$AS$440,0),COLUMNS($AT$2:AZ158)),"")</f>
        <v>18</v>
      </c>
      <c r="BB158">
        <f>IF(BA158&lt;&gt;"",INDEX($AE$2:$AP$440,MATCH($AT158,$AS$2:$AS$440,0),COLUMNS($AT$2:BA158)),"")</f>
        <v>38</v>
      </c>
      <c r="BC158">
        <f>IF(BB158&lt;&gt;"",INDEX($AE$2:$AP$440,MATCH($AT158,$AS$2:$AS$440,0),COLUMNS($AT$2:BB158)),"")</f>
        <v>60</v>
      </c>
      <c r="BD158">
        <f>IF(BC158&lt;&gt;"",INDEX($AE$2:$AP$440,MATCH($AT158,$AS$2:$AS$440,0),COLUMNS($AT$2:BC158)),"")</f>
        <v>-22</v>
      </c>
      <c r="BE158">
        <f>IF(BD158&lt;&gt;"",INDEX($AE$2:$AP$440,MATCH($AT158,$AS$2:$AS$440,0),COLUMNS($AT$2:BD158)),"")</f>
        <v>36</v>
      </c>
      <c r="BF158">
        <f>IF(BE158&lt;&gt;"",INDEX($AE$2:$AP$440,MATCH($AT158,$AS$2:$AS$440,0),COLUMNS($AT$2:BE158)),"")</f>
        <v>17</v>
      </c>
    </row>
    <row r="159" spans="1:58" x14ac:dyDescent="0.25">
      <c r="A159" s="5">
        <v>2007</v>
      </c>
      <c r="B159" s="5">
        <v>18</v>
      </c>
      <c r="C159" s="6" t="s">
        <v>41</v>
      </c>
      <c r="D159" s="5">
        <v>38</v>
      </c>
      <c r="E159" s="5">
        <v>10</v>
      </c>
      <c r="F159" s="5">
        <v>6</v>
      </c>
      <c r="G159" s="5">
        <v>22</v>
      </c>
      <c r="H159" s="5">
        <v>41</v>
      </c>
      <c r="I159" s="5">
        <v>66</v>
      </c>
      <c r="J159" s="5">
        <v>-25</v>
      </c>
      <c r="K159" s="5">
        <v>36</v>
      </c>
      <c r="L159" s="5" t="str">
        <f>IF(Table2[[#This Row],['#]]=1,"Champion", IF(Table2[[#This Row],['#]]&gt;=18,"Relegated",Table2[[#This Row],['#]]))</f>
        <v>Relegated</v>
      </c>
      <c r="N159">
        <f>IF(COUNTIF($O$2:O159,O159)=1,N158+1,N158)</f>
        <v>33</v>
      </c>
      <c r="O159" s="4" t="str">
        <f>Table2[[#This Row],[Team]]</f>
        <v>Reading</v>
      </c>
      <c r="P159" s="1" t="str">
        <f>IFERROR(VLOOKUP(ROWS($O$2:O159),$N$2:$O$441,2,0),"")</f>
        <v/>
      </c>
      <c r="Q159" s="1" t="str">
        <f>IF(P159&lt;&gt;"",SUMPRODUCT(--(Table2[Team]=P159)),"")</f>
        <v/>
      </c>
      <c r="R159" s="11" t="str">
        <f>IF(Q159&lt;&gt;"",Q159+ROWS($Q$2:Q159)/100,"")</f>
        <v/>
      </c>
      <c r="S159" t="str">
        <f>IF(R159&lt;&gt;"",LARGE($R$2:$R$441,ROWS($R$2:R159)),"")</f>
        <v/>
      </c>
      <c r="T159" s="1" t="str">
        <f>IF(R159&lt;&gt;"",INDEX($P$2:$Q$441,MATCH($S159,$R$2:$R$441,0),COLUMNS($S$2:S159)),"")</f>
        <v/>
      </c>
      <c r="U159" s="1" t="str">
        <f>IF(S159&lt;&gt;"",INDEX($P$2:$Q$441,MATCH($S159,$R$2:$R$441,0),COLUMNS($S$2:T159)),"")</f>
        <v/>
      </c>
      <c r="AE159" s="1">
        <f>Table2[[#This Row],[Year]]</f>
        <v>2007</v>
      </c>
      <c r="AF159" s="1">
        <f>Table2[[#This Row],['#]]</f>
        <v>18</v>
      </c>
      <c r="AG159" s="1" t="str">
        <f>Table2[[#This Row],[Team]]</f>
        <v>Reading</v>
      </c>
      <c r="AH159" s="1">
        <f>Table2[[#This Row],[Pl]]</f>
        <v>38</v>
      </c>
      <c r="AI159" s="1">
        <f>Table2[[#This Row],[W]]</f>
        <v>10</v>
      </c>
      <c r="AJ159" s="1">
        <f>Table2[[#This Row],[D]]</f>
        <v>6</v>
      </c>
      <c r="AK159" s="1">
        <f>Table2[[#This Row],[L]]</f>
        <v>22</v>
      </c>
      <c r="AL159" s="1">
        <f>Table2[[#This Row],[F]]</f>
        <v>41</v>
      </c>
      <c r="AM159" s="1">
        <f>Table2[[#This Row],[A]]</f>
        <v>66</v>
      </c>
      <c r="AN159" s="1">
        <f>Table2[[#This Row],[GD]]</f>
        <v>-25</v>
      </c>
      <c r="AO159" s="1">
        <f>Table2[[#This Row],[Pts]]</f>
        <v>36</v>
      </c>
      <c r="AP159" s="1" t="str">
        <f>Table2[[#This Row],[Column1]]</f>
        <v>Relegated</v>
      </c>
      <c r="AR159" t="b">
        <f t="shared" si="6"/>
        <v>1</v>
      </c>
      <c r="AS159">
        <f>IF(AR159,ROWS($AR$2:AR159),"")</f>
        <v>158</v>
      </c>
      <c r="AT159">
        <f>IFERROR(SMALL($AS$2:$AS$440,ROWS($AS$2:AS159)),"")</f>
        <v>158</v>
      </c>
      <c r="AU159">
        <f>IF(AT159&lt;&gt;"",INDEX($AE$2:$AP$440,MATCH($AT159,$AS$2:$AS$440,0),COLUMNS($AT$2:AT159)),"")</f>
        <v>2007</v>
      </c>
      <c r="AV159">
        <f>IF(AU159&lt;&gt;"",INDEX($AE$2:$AP$440,MATCH($AT159,$AS$2:$AS$440,0),COLUMNS($AT$2:AU159)),"")</f>
        <v>18</v>
      </c>
      <c r="AW159" t="str">
        <f>IF(AV159&lt;&gt;"",INDEX($AE$2:$AP$440,MATCH($AT159,$AS$2:$AS$440,0),COLUMNS($AT$2:AV159)),"")</f>
        <v>Reading</v>
      </c>
      <c r="AX159">
        <f>IF(AW159&lt;&gt;"",INDEX($AE$2:$AP$440,MATCH($AT159,$AS$2:$AS$440,0),COLUMNS($AT$2:AW159)),"")</f>
        <v>38</v>
      </c>
      <c r="AY159">
        <f>IF(AX159&lt;&gt;"",INDEX($AE$2:$AP$440,MATCH($AT159,$AS$2:$AS$440,0),COLUMNS($AT$2:AX159)),"")</f>
        <v>10</v>
      </c>
      <c r="AZ159">
        <f>IF(AY159&lt;&gt;"",INDEX($AE$2:$AP$440,MATCH($AT159,$AS$2:$AS$440,0),COLUMNS($AT$2:AY159)),"")</f>
        <v>6</v>
      </c>
      <c r="BA159">
        <f>IF(AZ159&lt;&gt;"",INDEX($AE$2:$AP$440,MATCH($AT159,$AS$2:$AS$440,0),COLUMNS($AT$2:AZ159)),"")</f>
        <v>22</v>
      </c>
      <c r="BB159">
        <f>IF(BA159&lt;&gt;"",INDEX($AE$2:$AP$440,MATCH($AT159,$AS$2:$AS$440,0),COLUMNS($AT$2:BA159)),"")</f>
        <v>41</v>
      </c>
      <c r="BC159">
        <f>IF(BB159&lt;&gt;"",INDEX($AE$2:$AP$440,MATCH($AT159,$AS$2:$AS$440,0),COLUMNS($AT$2:BB159)),"")</f>
        <v>66</v>
      </c>
      <c r="BD159">
        <f>IF(BC159&lt;&gt;"",INDEX($AE$2:$AP$440,MATCH($AT159,$AS$2:$AS$440,0),COLUMNS($AT$2:BC159)),"")</f>
        <v>-25</v>
      </c>
      <c r="BE159">
        <f>IF(BD159&lt;&gt;"",INDEX($AE$2:$AP$440,MATCH($AT159,$AS$2:$AS$440,0),COLUMNS($AT$2:BD159)),"")</f>
        <v>36</v>
      </c>
      <c r="BF159" t="str">
        <f>IF(BE159&lt;&gt;"",INDEX($AE$2:$AP$440,MATCH($AT159,$AS$2:$AS$440,0),COLUMNS($AT$2:BE159)),"")</f>
        <v>Relegated</v>
      </c>
    </row>
    <row r="160" spans="1:58" x14ac:dyDescent="0.25">
      <c r="A160" s="3">
        <v>2007</v>
      </c>
      <c r="B160" s="3">
        <v>19</v>
      </c>
      <c r="C160" s="4" t="s">
        <v>34</v>
      </c>
      <c r="D160" s="3">
        <v>38</v>
      </c>
      <c r="E160" s="3">
        <v>8</v>
      </c>
      <c r="F160" s="3">
        <v>11</v>
      </c>
      <c r="G160" s="3">
        <v>19</v>
      </c>
      <c r="H160" s="3">
        <v>46</v>
      </c>
      <c r="I160" s="3">
        <v>62</v>
      </c>
      <c r="J160" s="3">
        <v>-16</v>
      </c>
      <c r="K160" s="3">
        <v>35</v>
      </c>
      <c r="L160" s="5" t="str">
        <f>IF(Table2[[#This Row],['#]]=1,"Champion", IF(Table2[[#This Row],['#]]&gt;=18,"Relegated",Table2[[#This Row],['#]]))</f>
        <v>Relegated</v>
      </c>
      <c r="N160">
        <f>IF(COUNTIF($O$2:O160,O160)=1,N159+1,N159)</f>
        <v>33</v>
      </c>
      <c r="O160" s="4" t="str">
        <f>Table2[[#This Row],[Team]]</f>
        <v>Birmingham City</v>
      </c>
      <c r="P160" s="1" t="str">
        <f>IFERROR(VLOOKUP(ROWS($O$2:O160),$N$2:$O$441,2,0),"")</f>
        <v/>
      </c>
      <c r="Q160" s="1" t="str">
        <f>IF(P160&lt;&gt;"",SUMPRODUCT(--(Table2[Team]=P160)),"")</f>
        <v/>
      </c>
      <c r="R160" s="11" t="str">
        <f>IF(Q160&lt;&gt;"",Q160+ROWS($Q$2:Q160)/100,"")</f>
        <v/>
      </c>
      <c r="S160" t="str">
        <f>IF(R160&lt;&gt;"",LARGE($R$2:$R$441,ROWS($R$2:R160)),"")</f>
        <v/>
      </c>
      <c r="T160" s="1" t="str">
        <f>IF(R160&lt;&gt;"",INDEX($P$2:$Q$441,MATCH($S160,$R$2:$R$441,0),COLUMNS($S$2:S160)),"")</f>
        <v/>
      </c>
      <c r="U160" s="1" t="str">
        <f>IF(S160&lt;&gt;"",INDEX($P$2:$Q$441,MATCH($S160,$R$2:$R$441,0),COLUMNS($S$2:T160)),"")</f>
        <v/>
      </c>
      <c r="AE160" s="1">
        <f>Table2[[#This Row],[Year]]</f>
        <v>2007</v>
      </c>
      <c r="AF160" s="1">
        <f>Table2[[#This Row],['#]]</f>
        <v>19</v>
      </c>
      <c r="AG160" s="1" t="str">
        <f>Table2[[#This Row],[Team]]</f>
        <v>Birmingham City</v>
      </c>
      <c r="AH160" s="1">
        <f>Table2[[#This Row],[Pl]]</f>
        <v>38</v>
      </c>
      <c r="AI160" s="1">
        <f>Table2[[#This Row],[W]]</f>
        <v>8</v>
      </c>
      <c r="AJ160" s="1">
        <f>Table2[[#This Row],[D]]</f>
        <v>11</v>
      </c>
      <c r="AK160" s="1">
        <f>Table2[[#This Row],[L]]</f>
        <v>19</v>
      </c>
      <c r="AL160" s="1">
        <f>Table2[[#This Row],[F]]</f>
        <v>46</v>
      </c>
      <c r="AM160" s="1">
        <f>Table2[[#This Row],[A]]</f>
        <v>62</v>
      </c>
      <c r="AN160" s="1">
        <f>Table2[[#This Row],[GD]]</f>
        <v>-16</v>
      </c>
      <c r="AO160" s="1">
        <f>Table2[[#This Row],[Pts]]</f>
        <v>35</v>
      </c>
      <c r="AP160" s="1" t="str">
        <f>Table2[[#This Row],[Column1]]</f>
        <v>Relegated</v>
      </c>
      <c r="AR160" t="b">
        <f t="shared" si="6"/>
        <v>1</v>
      </c>
      <c r="AS160">
        <f>IF(AR160,ROWS($AR$2:AR160),"")</f>
        <v>159</v>
      </c>
      <c r="AT160">
        <f>IFERROR(SMALL($AS$2:$AS$440,ROWS($AS$2:AS160)),"")</f>
        <v>159</v>
      </c>
      <c r="AU160">
        <f>IF(AT160&lt;&gt;"",INDEX($AE$2:$AP$440,MATCH($AT160,$AS$2:$AS$440,0),COLUMNS($AT$2:AT160)),"")</f>
        <v>2007</v>
      </c>
      <c r="AV160">
        <f>IF(AU160&lt;&gt;"",INDEX($AE$2:$AP$440,MATCH($AT160,$AS$2:$AS$440,0),COLUMNS($AT$2:AU160)),"")</f>
        <v>19</v>
      </c>
      <c r="AW160" t="str">
        <f>IF(AV160&lt;&gt;"",INDEX($AE$2:$AP$440,MATCH($AT160,$AS$2:$AS$440,0),COLUMNS($AT$2:AV160)),"")</f>
        <v>Birmingham City</v>
      </c>
      <c r="AX160">
        <f>IF(AW160&lt;&gt;"",INDEX($AE$2:$AP$440,MATCH($AT160,$AS$2:$AS$440,0),COLUMNS($AT$2:AW160)),"")</f>
        <v>38</v>
      </c>
      <c r="AY160">
        <f>IF(AX160&lt;&gt;"",INDEX($AE$2:$AP$440,MATCH($AT160,$AS$2:$AS$440,0),COLUMNS($AT$2:AX160)),"")</f>
        <v>8</v>
      </c>
      <c r="AZ160">
        <f>IF(AY160&lt;&gt;"",INDEX($AE$2:$AP$440,MATCH($AT160,$AS$2:$AS$440,0),COLUMNS($AT$2:AY160)),"")</f>
        <v>11</v>
      </c>
      <c r="BA160">
        <f>IF(AZ160&lt;&gt;"",INDEX($AE$2:$AP$440,MATCH($AT160,$AS$2:$AS$440,0),COLUMNS($AT$2:AZ160)),"")</f>
        <v>19</v>
      </c>
      <c r="BB160">
        <f>IF(BA160&lt;&gt;"",INDEX($AE$2:$AP$440,MATCH($AT160,$AS$2:$AS$440,0),COLUMNS($AT$2:BA160)),"")</f>
        <v>46</v>
      </c>
      <c r="BC160">
        <f>IF(BB160&lt;&gt;"",INDEX($AE$2:$AP$440,MATCH($AT160,$AS$2:$AS$440,0),COLUMNS($AT$2:BB160)),"")</f>
        <v>62</v>
      </c>
      <c r="BD160">
        <f>IF(BC160&lt;&gt;"",INDEX($AE$2:$AP$440,MATCH($AT160,$AS$2:$AS$440,0),COLUMNS($AT$2:BC160)),"")</f>
        <v>-16</v>
      </c>
      <c r="BE160">
        <f>IF(BD160&lt;&gt;"",INDEX($AE$2:$AP$440,MATCH($AT160,$AS$2:$AS$440,0),COLUMNS($AT$2:BD160)),"")</f>
        <v>35</v>
      </c>
      <c r="BF160" t="str">
        <f>IF(BE160&lt;&gt;"",INDEX($AE$2:$AP$440,MATCH($AT160,$AS$2:$AS$440,0),COLUMNS($AT$2:BE160)),"")</f>
        <v>Relegated</v>
      </c>
    </row>
    <row r="161" spans="1:58" x14ac:dyDescent="0.25">
      <c r="A161" s="5">
        <v>2007</v>
      </c>
      <c r="B161" s="5">
        <v>20</v>
      </c>
      <c r="C161" s="6" t="s">
        <v>27</v>
      </c>
      <c r="D161" s="5">
        <v>38</v>
      </c>
      <c r="E161" s="5">
        <v>1</v>
      </c>
      <c r="F161" s="5">
        <v>8</v>
      </c>
      <c r="G161" s="5">
        <v>29</v>
      </c>
      <c r="H161" s="5">
        <v>20</v>
      </c>
      <c r="I161" s="5">
        <v>89</v>
      </c>
      <c r="J161" s="5">
        <v>-69</v>
      </c>
      <c r="K161" s="5">
        <v>11</v>
      </c>
      <c r="L161" s="5" t="str">
        <f>IF(Table2[[#This Row],['#]]=1,"Champion", IF(Table2[[#This Row],['#]]&gt;=18,"Relegated",Table2[[#This Row],['#]]))</f>
        <v>Relegated</v>
      </c>
      <c r="N161">
        <f>IF(COUNTIF($O$2:O161,O161)=1,N160+1,N160)</f>
        <v>33</v>
      </c>
      <c r="O161" s="4" t="str">
        <f>Table2[[#This Row],[Team]]</f>
        <v>Derby County</v>
      </c>
      <c r="P161" s="1" t="str">
        <f>IFERROR(VLOOKUP(ROWS($O$2:O161),$N$2:$O$441,2,0),"")</f>
        <v/>
      </c>
      <c r="Q161" s="1" t="str">
        <f>IF(P161&lt;&gt;"",SUMPRODUCT(--(Table2[Team]=P161)),"")</f>
        <v/>
      </c>
      <c r="R161" s="11" t="str">
        <f>IF(Q161&lt;&gt;"",Q161+ROWS($Q$2:Q161)/100,"")</f>
        <v/>
      </c>
      <c r="S161" t="str">
        <f>IF(R161&lt;&gt;"",LARGE($R$2:$R$441,ROWS($R$2:R161)),"")</f>
        <v/>
      </c>
      <c r="T161" s="1" t="str">
        <f>IF(R161&lt;&gt;"",INDEX($P$2:$Q$441,MATCH($S161,$R$2:$R$441,0),COLUMNS($S$2:S161)),"")</f>
        <v/>
      </c>
      <c r="U161" s="1" t="str">
        <f>IF(S161&lt;&gt;"",INDEX($P$2:$Q$441,MATCH($S161,$R$2:$R$441,0),COLUMNS($S$2:T161)),"")</f>
        <v/>
      </c>
      <c r="AE161" s="1">
        <f>Table2[[#This Row],[Year]]</f>
        <v>2007</v>
      </c>
      <c r="AF161" s="1">
        <f>Table2[[#This Row],['#]]</f>
        <v>20</v>
      </c>
      <c r="AG161" s="1" t="str">
        <f>Table2[[#This Row],[Team]]</f>
        <v>Derby County</v>
      </c>
      <c r="AH161" s="1">
        <f>Table2[[#This Row],[Pl]]</f>
        <v>38</v>
      </c>
      <c r="AI161" s="1">
        <f>Table2[[#This Row],[W]]</f>
        <v>1</v>
      </c>
      <c r="AJ161" s="1">
        <f>Table2[[#This Row],[D]]</f>
        <v>8</v>
      </c>
      <c r="AK161" s="1">
        <f>Table2[[#This Row],[L]]</f>
        <v>29</v>
      </c>
      <c r="AL161" s="1">
        <f>Table2[[#This Row],[F]]</f>
        <v>20</v>
      </c>
      <c r="AM161" s="1">
        <f>Table2[[#This Row],[A]]</f>
        <v>89</v>
      </c>
      <c r="AN161" s="1">
        <f>Table2[[#This Row],[GD]]</f>
        <v>-69</v>
      </c>
      <c r="AO161" s="1">
        <f>Table2[[#This Row],[Pts]]</f>
        <v>11</v>
      </c>
      <c r="AP161" s="1" t="str">
        <f>Table2[[#This Row],[Column1]]</f>
        <v>Relegated</v>
      </c>
      <c r="AR161" t="b">
        <f t="shared" si="6"/>
        <v>1</v>
      </c>
      <c r="AS161">
        <f>IF(AR161,ROWS($AR$2:AR161),"")</f>
        <v>160</v>
      </c>
      <c r="AT161">
        <f>IFERROR(SMALL($AS$2:$AS$440,ROWS($AS$2:AS161)),"")</f>
        <v>160</v>
      </c>
      <c r="AU161">
        <f>IF(AT161&lt;&gt;"",INDEX($AE$2:$AP$440,MATCH($AT161,$AS$2:$AS$440,0),COLUMNS($AT$2:AT161)),"")</f>
        <v>2007</v>
      </c>
      <c r="AV161">
        <f>IF(AU161&lt;&gt;"",INDEX($AE$2:$AP$440,MATCH($AT161,$AS$2:$AS$440,0),COLUMNS($AT$2:AU161)),"")</f>
        <v>20</v>
      </c>
      <c r="AW161" t="str">
        <f>IF(AV161&lt;&gt;"",INDEX($AE$2:$AP$440,MATCH($AT161,$AS$2:$AS$440,0),COLUMNS($AT$2:AV161)),"")</f>
        <v>Derby County</v>
      </c>
      <c r="AX161">
        <f>IF(AW161&lt;&gt;"",INDEX($AE$2:$AP$440,MATCH($AT161,$AS$2:$AS$440,0),COLUMNS($AT$2:AW161)),"")</f>
        <v>38</v>
      </c>
      <c r="AY161">
        <f>IF(AX161&lt;&gt;"",INDEX($AE$2:$AP$440,MATCH($AT161,$AS$2:$AS$440,0),COLUMNS($AT$2:AX161)),"")</f>
        <v>1</v>
      </c>
      <c r="AZ161">
        <f>IF(AY161&lt;&gt;"",INDEX($AE$2:$AP$440,MATCH($AT161,$AS$2:$AS$440,0),COLUMNS($AT$2:AY161)),"")</f>
        <v>8</v>
      </c>
      <c r="BA161">
        <f>IF(AZ161&lt;&gt;"",INDEX($AE$2:$AP$440,MATCH($AT161,$AS$2:$AS$440,0),COLUMNS($AT$2:AZ161)),"")</f>
        <v>29</v>
      </c>
      <c r="BB161">
        <f>IF(BA161&lt;&gt;"",INDEX($AE$2:$AP$440,MATCH($AT161,$AS$2:$AS$440,0),COLUMNS($AT$2:BA161)),"")</f>
        <v>20</v>
      </c>
      <c r="BC161">
        <f>IF(BB161&lt;&gt;"",INDEX($AE$2:$AP$440,MATCH($AT161,$AS$2:$AS$440,0),COLUMNS($AT$2:BB161)),"")</f>
        <v>89</v>
      </c>
      <c r="BD161">
        <f>IF(BC161&lt;&gt;"",INDEX($AE$2:$AP$440,MATCH($AT161,$AS$2:$AS$440,0),COLUMNS($AT$2:BC161)),"")</f>
        <v>-69</v>
      </c>
      <c r="BE161">
        <f>IF(BD161&lt;&gt;"",INDEX($AE$2:$AP$440,MATCH($AT161,$AS$2:$AS$440,0),COLUMNS($AT$2:BD161)),"")</f>
        <v>11</v>
      </c>
      <c r="BF161" t="str">
        <f>IF(BE161&lt;&gt;"",INDEX($AE$2:$AP$440,MATCH($AT161,$AS$2:$AS$440,0),COLUMNS($AT$2:BE161)),"")</f>
        <v>Relegated</v>
      </c>
    </row>
    <row r="162" spans="1:58" x14ac:dyDescent="0.25">
      <c r="A162" s="3">
        <v>2008</v>
      </c>
      <c r="B162" s="3">
        <v>1</v>
      </c>
      <c r="C162" s="4" t="s">
        <v>11</v>
      </c>
      <c r="D162" s="3">
        <v>38</v>
      </c>
      <c r="E162" s="3">
        <v>28</v>
      </c>
      <c r="F162" s="3">
        <v>6</v>
      </c>
      <c r="G162" s="3">
        <v>4</v>
      </c>
      <c r="H162" s="3">
        <v>68</v>
      </c>
      <c r="I162" s="3">
        <v>24</v>
      </c>
      <c r="J162" s="3">
        <v>44</v>
      </c>
      <c r="K162" s="3">
        <v>90</v>
      </c>
      <c r="L162" s="5" t="str">
        <f>IF(Table2[[#This Row],['#]]=1,"Champion", IF(Table2[[#This Row],['#]]&gt;=18,"Relegated",Table2[[#This Row],['#]]))</f>
        <v>Champion</v>
      </c>
      <c r="N162">
        <f>IF(COUNTIF($O$2:O162,O162)=1,N161+1,N161)</f>
        <v>33</v>
      </c>
      <c r="O162" s="4" t="str">
        <f>Table2[[#This Row],[Team]]</f>
        <v>Manchester United</v>
      </c>
      <c r="P162" s="1" t="str">
        <f>IFERROR(VLOOKUP(ROWS($O$2:O162),$N$2:$O$441,2,0),"")</f>
        <v/>
      </c>
      <c r="Q162" s="1" t="str">
        <f>IF(P162&lt;&gt;"",SUMPRODUCT(--(Table2[Team]=P162)),"")</f>
        <v/>
      </c>
      <c r="R162" s="11" t="str">
        <f>IF(Q162&lt;&gt;"",Q162+ROWS($Q$2:Q162)/100,"")</f>
        <v/>
      </c>
      <c r="S162" t="str">
        <f>IF(R162&lt;&gt;"",LARGE($R$2:$R$441,ROWS($R$2:R162)),"")</f>
        <v/>
      </c>
      <c r="T162" s="1" t="str">
        <f>IF(R162&lt;&gt;"",INDEX($P$2:$Q$441,MATCH($S162,$R$2:$R$441,0),COLUMNS($S$2:S162)),"")</f>
        <v/>
      </c>
      <c r="U162" s="1" t="str">
        <f>IF(S162&lt;&gt;"",INDEX($P$2:$Q$441,MATCH($S162,$R$2:$R$441,0),COLUMNS($S$2:T162)),"")</f>
        <v/>
      </c>
      <c r="AE162" s="1">
        <f>Table2[[#This Row],[Year]]</f>
        <v>2008</v>
      </c>
      <c r="AF162" s="1">
        <f>Table2[[#This Row],['#]]</f>
        <v>1</v>
      </c>
      <c r="AG162" s="1" t="str">
        <f>Table2[[#This Row],[Team]]</f>
        <v>Manchester United</v>
      </c>
      <c r="AH162" s="1">
        <f>Table2[[#This Row],[Pl]]</f>
        <v>38</v>
      </c>
      <c r="AI162" s="1">
        <f>Table2[[#This Row],[W]]</f>
        <v>28</v>
      </c>
      <c r="AJ162" s="1">
        <f>Table2[[#This Row],[D]]</f>
        <v>6</v>
      </c>
      <c r="AK162" s="1">
        <f>Table2[[#This Row],[L]]</f>
        <v>4</v>
      </c>
      <c r="AL162" s="1">
        <f>Table2[[#This Row],[F]]</f>
        <v>68</v>
      </c>
      <c r="AM162" s="1">
        <f>Table2[[#This Row],[A]]</f>
        <v>24</v>
      </c>
      <c r="AN162" s="1">
        <f>Table2[[#This Row],[GD]]</f>
        <v>44</v>
      </c>
      <c r="AO162" s="1">
        <f>Table2[[#This Row],[Pts]]</f>
        <v>90</v>
      </c>
      <c r="AP162" s="1" t="str">
        <f>Table2[[#This Row],[Column1]]</f>
        <v>Champion</v>
      </c>
      <c r="AR162" t="b">
        <f t="shared" si="6"/>
        <v>1</v>
      </c>
      <c r="AS162">
        <f>IF(AR162,ROWS($AR$2:AR162),"")</f>
        <v>161</v>
      </c>
      <c r="AT162">
        <f>IFERROR(SMALL($AS$2:$AS$440,ROWS($AS$2:AS162)),"")</f>
        <v>161</v>
      </c>
      <c r="AU162">
        <f>IF(AT162&lt;&gt;"",INDEX($AE$2:$AP$440,MATCH($AT162,$AS$2:$AS$440,0),COLUMNS($AT$2:AT162)),"")</f>
        <v>2008</v>
      </c>
      <c r="AV162">
        <f>IF(AU162&lt;&gt;"",INDEX($AE$2:$AP$440,MATCH($AT162,$AS$2:$AS$440,0),COLUMNS($AT$2:AU162)),"")</f>
        <v>1</v>
      </c>
      <c r="AW162" t="str">
        <f>IF(AV162&lt;&gt;"",INDEX($AE$2:$AP$440,MATCH($AT162,$AS$2:$AS$440,0),COLUMNS($AT$2:AV162)),"")</f>
        <v>Manchester United</v>
      </c>
      <c r="AX162">
        <f>IF(AW162&lt;&gt;"",INDEX($AE$2:$AP$440,MATCH($AT162,$AS$2:$AS$440,0),COLUMNS($AT$2:AW162)),"")</f>
        <v>38</v>
      </c>
      <c r="AY162">
        <f>IF(AX162&lt;&gt;"",INDEX($AE$2:$AP$440,MATCH($AT162,$AS$2:$AS$440,0),COLUMNS($AT$2:AX162)),"")</f>
        <v>28</v>
      </c>
      <c r="AZ162">
        <f>IF(AY162&lt;&gt;"",INDEX($AE$2:$AP$440,MATCH($AT162,$AS$2:$AS$440,0),COLUMNS($AT$2:AY162)),"")</f>
        <v>6</v>
      </c>
      <c r="BA162">
        <f>IF(AZ162&lt;&gt;"",INDEX($AE$2:$AP$440,MATCH($AT162,$AS$2:$AS$440,0),COLUMNS($AT$2:AZ162)),"")</f>
        <v>4</v>
      </c>
      <c r="BB162">
        <f>IF(BA162&lt;&gt;"",INDEX($AE$2:$AP$440,MATCH($AT162,$AS$2:$AS$440,0),COLUMNS($AT$2:BA162)),"")</f>
        <v>68</v>
      </c>
      <c r="BC162">
        <f>IF(BB162&lt;&gt;"",INDEX($AE$2:$AP$440,MATCH($AT162,$AS$2:$AS$440,0),COLUMNS($AT$2:BB162)),"")</f>
        <v>24</v>
      </c>
      <c r="BD162">
        <f>IF(BC162&lt;&gt;"",INDEX($AE$2:$AP$440,MATCH($AT162,$AS$2:$AS$440,0),COLUMNS($AT$2:BC162)),"")</f>
        <v>44</v>
      </c>
      <c r="BE162">
        <f>IF(BD162&lt;&gt;"",INDEX($AE$2:$AP$440,MATCH($AT162,$AS$2:$AS$440,0),COLUMNS($AT$2:BD162)),"")</f>
        <v>90</v>
      </c>
      <c r="BF162" t="str">
        <f>IF(BE162&lt;&gt;"",INDEX($AE$2:$AP$440,MATCH($AT162,$AS$2:$AS$440,0),COLUMNS($AT$2:BE162)),"")</f>
        <v>Champion</v>
      </c>
    </row>
    <row r="163" spans="1:58" x14ac:dyDescent="0.25">
      <c r="A163" s="5">
        <v>2008</v>
      </c>
      <c r="B163" s="5">
        <v>2</v>
      </c>
      <c r="C163" s="4" t="s">
        <v>13</v>
      </c>
      <c r="D163" s="5">
        <v>38</v>
      </c>
      <c r="E163" s="5">
        <v>25</v>
      </c>
      <c r="F163" s="5">
        <v>11</v>
      </c>
      <c r="G163" s="5">
        <v>2</v>
      </c>
      <c r="H163" s="5">
        <v>77</v>
      </c>
      <c r="I163" s="5">
        <v>27</v>
      </c>
      <c r="J163" s="5">
        <v>50</v>
      </c>
      <c r="K163" s="5">
        <v>86</v>
      </c>
      <c r="L163" s="5">
        <f>IF(Table2[[#This Row],['#]]=1,"Champion", IF(Table2[[#This Row],['#]]&gt;=18,"Relegated",Table2[[#This Row],['#]]))</f>
        <v>2</v>
      </c>
      <c r="N163">
        <f>IF(COUNTIF($O$2:O163,O163)=1,N162+1,N162)</f>
        <v>33</v>
      </c>
      <c r="O163" s="4" t="str">
        <f>Table2[[#This Row],[Team]]</f>
        <v>Liverpool</v>
      </c>
      <c r="P163" s="1" t="str">
        <f>IFERROR(VLOOKUP(ROWS($O$2:O163),$N$2:$O$441,2,0),"")</f>
        <v/>
      </c>
      <c r="Q163" s="1" t="str">
        <f>IF(P163&lt;&gt;"",SUMPRODUCT(--(Table2[Team]=P163)),"")</f>
        <v/>
      </c>
      <c r="R163" s="11" t="str">
        <f>IF(Q163&lt;&gt;"",Q163+ROWS($Q$2:Q163)/100,"")</f>
        <v/>
      </c>
      <c r="S163" t="str">
        <f>IF(R163&lt;&gt;"",LARGE($R$2:$R$441,ROWS($R$2:R163)),"")</f>
        <v/>
      </c>
      <c r="T163" s="1" t="str">
        <f>IF(R163&lt;&gt;"",INDEX($P$2:$Q$441,MATCH($S163,$R$2:$R$441,0),COLUMNS($S$2:S163)),"")</f>
        <v/>
      </c>
      <c r="U163" s="1" t="str">
        <f>IF(S163&lt;&gt;"",INDEX($P$2:$Q$441,MATCH($S163,$R$2:$R$441,0),COLUMNS($S$2:T163)),"")</f>
        <v/>
      </c>
      <c r="AE163" s="1">
        <f>Table2[[#This Row],[Year]]</f>
        <v>2008</v>
      </c>
      <c r="AF163" s="1">
        <f>Table2[[#This Row],['#]]</f>
        <v>2</v>
      </c>
      <c r="AG163" s="1" t="str">
        <f>Table2[[#This Row],[Team]]</f>
        <v>Liverpool</v>
      </c>
      <c r="AH163" s="1">
        <f>Table2[[#This Row],[Pl]]</f>
        <v>38</v>
      </c>
      <c r="AI163" s="1">
        <f>Table2[[#This Row],[W]]</f>
        <v>25</v>
      </c>
      <c r="AJ163" s="1">
        <f>Table2[[#This Row],[D]]</f>
        <v>11</v>
      </c>
      <c r="AK163" s="1">
        <f>Table2[[#This Row],[L]]</f>
        <v>2</v>
      </c>
      <c r="AL163" s="1">
        <f>Table2[[#This Row],[F]]</f>
        <v>77</v>
      </c>
      <c r="AM163" s="1">
        <f>Table2[[#This Row],[A]]</f>
        <v>27</v>
      </c>
      <c r="AN163" s="1">
        <f>Table2[[#This Row],[GD]]</f>
        <v>50</v>
      </c>
      <c r="AO163" s="1">
        <f>Table2[[#This Row],[Pts]]</f>
        <v>86</v>
      </c>
      <c r="AP163" s="1">
        <f>Table2[[#This Row],[Column1]]</f>
        <v>2</v>
      </c>
      <c r="AR163" t="b">
        <f t="shared" si="6"/>
        <v>1</v>
      </c>
      <c r="AS163">
        <f>IF(AR163,ROWS($AR$2:AR163),"")</f>
        <v>162</v>
      </c>
      <c r="AT163">
        <f>IFERROR(SMALL($AS$2:$AS$440,ROWS($AS$2:AS163)),"")</f>
        <v>162</v>
      </c>
      <c r="AU163">
        <f>IF(AT163&lt;&gt;"",INDEX($AE$2:$AP$440,MATCH($AT163,$AS$2:$AS$440,0),COLUMNS($AT$2:AT163)),"")</f>
        <v>2008</v>
      </c>
      <c r="AV163">
        <f>IF(AU163&lt;&gt;"",INDEX($AE$2:$AP$440,MATCH($AT163,$AS$2:$AS$440,0),COLUMNS($AT$2:AU163)),"")</f>
        <v>2</v>
      </c>
      <c r="AW163" t="str">
        <f>IF(AV163&lt;&gt;"",INDEX($AE$2:$AP$440,MATCH($AT163,$AS$2:$AS$440,0),COLUMNS($AT$2:AV163)),"")</f>
        <v>Liverpool</v>
      </c>
      <c r="AX163">
        <f>IF(AW163&lt;&gt;"",INDEX($AE$2:$AP$440,MATCH($AT163,$AS$2:$AS$440,0),COLUMNS($AT$2:AW163)),"")</f>
        <v>38</v>
      </c>
      <c r="AY163">
        <f>IF(AX163&lt;&gt;"",INDEX($AE$2:$AP$440,MATCH($AT163,$AS$2:$AS$440,0),COLUMNS($AT$2:AX163)),"")</f>
        <v>25</v>
      </c>
      <c r="AZ163">
        <f>IF(AY163&lt;&gt;"",INDEX($AE$2:$AP$440,MATCH($AT163,$AS$2:$AS$440,0),COLUMNS($AT$2:AY163)),"")</f>
        <v>11</v>
      </c>
      <c r="BA163">
        <f>IF(AZ163&lt;&gt;"",INDEX($AE$2:$AP$440,MATCH($AT163,$AS$2:$AS$440,0),COLUMNS($AT$2:AZ163)),"")</f>
        <v>2</v>
      </c>
      <c r="BB163">
        <f>IF(BA163&lt;&gt;"",INDEX($AE$2:$AP$440,MATCH($AT163,$AS$2:$AS$440,0),COLUMNS($AT$2:BA163)),"")</f>
        <v>77</v>
      </c>
      <c r="BC163">
        <f>IF(BB163&lt;&gt;"",INDEX($AE$2:$AP$440,MATCH($AT163,$AS$2:$AS$440,0),COLUMNS($AT$2:BB163)),"")</f>
        <v>27</v>
      </c>
      <c r="BD163">
        <f>IF(BC163&lt;&gt;"",INDEX($AE$2:$AP$440,MATCH($AT163,$AS$2:$AS$440,0),COLUMNS($AT$2:BC163)),"")</f>
        <v>50</v>
      </c>
      <c r="BE163">
        <f>IF(BD163&lt;&gt;"",INDEX($AE$2:$AP$440,MATCH($AT163,$AS$2:$AS$440,0),COLUMNS($AT$2:BD163)),"")</f>
        <v>86</v>
      </c>
      <c r="BF163">
        <f>IF(BE163&lt;&gt;"",INDEX($AE$2:$AP$440,MATCH($AT163,$AS$2:$AS$440,0),COLUMNS($AT$2:BE163)),"")</f>
        <v>2</v>
      </c>
    </row>
    <row r="164" spans="1:58" x14ac:dyDescent="0.25">
      <c r="A164" s="3">
        <v>2008</v>
      </c>
      <c r="B164" s="3">
        <v>3</v>
      </c>
      <c r="C164" s="4" t="s">
        <v>16</v>
      </c>
      <c r="D164" s="3">
        <v>38</v>
      </c>
      <c r="E164" s="3">
        <v>25</v>
      </c>
      <c r="F164" s="3">
        <v>8</v>
      </c>
      <c r="G164" s="3">
        <v>5</v>
      </c>
      <c r="H164" s="3">
        <v>68</v>
      </c>
      <c r="I164" s="3">
        <v>24</v>
      </c>
      <c r="J164" s="3">
        <v>44</v>
      </c>
      <c r="K164" s="3">
        <v>83</v>
      </c>
      <c r="L164" s="5">
        <f>IF(Table2[[#This Row],['#]]=1,"Champion", IF(Table2[[#This Row],['#]]&gt;=18,"Relegated",Table2[[#This Row],['#]]))</f>
        <v>3</v>
      </c>
      <c r="N164">
        <f>IF(COUNTIF($O$2:O164,O164)=1,N163+1,N163)</f>
        <v>33</v>
      </c>
      <c r="O164" s="4" t="str">
        <f>Table2[[#This Row],[Team]]</f>
        <v>Chelsea</v>
      </c>
      <c r="P164" s="1" t="str">
        <f>IFERROR(VLOOKUP(ROWS($O$2:O164),$N$2:$O$441,2,0),"")</f>
        <v/>
      </c>
      <c r="Q164" s="1" t="str">
        <f>IF(P164&lt;&gt;"",SUMPRODUCT(--(Table2[Team]=P164)),"")</f>
        <v/>
      </c>
      <c r="R164" s="11" t="str">
        <f>IF(Q164&lt;&gt;"",Q164+ROWS($Q$2:Q164)/100,"")</f>
        <v/>
      </c>
      <c r="S164" t="str">
        <f>IF(R164&lt;&gt;"",LARGE($R$2:$R$441,ROWS($R$2:R164)),"")</f>
        <v/>
      </c>
      <c r="T164" s="1" t="str">
        <f>IF(R164&lt;&gt;"",INDEX($P$2:$Q$441,MATCH($S164,$R$2:$R$441,0),COLUMNS($S$2:S164)),"")</f>
        <v/>
      </c>
      <c r="U164" s="1" t="str">
        <f>IF(S164&lt;&gt;"",INDEX($P$2:$Q$441,MATCH($S164,$R$2:$R$441,0),COLUMNS($S$2:T164)),"")</f>
        <v/>
      </c>
      <c r="AE164" s="1">
        <f>Table2[[#This Row],[Year]]</f>
        <v>2008</v>
      </c>
      <c r="AF164" s="1">
        <f>Table2[[#This Row],['#]]</f>
        <v>3</v>
      </c>
      <c r="AG164" s="1" t="str">
        <f>Table2[[#This Row],[Team]]</f>
        <v>Chelsea</v>
      </c>
      <c r="AH164" s="1">
        <f>Table2[[#This Row],[Pl]]</f>
        <v>38</v>
      </c>
      <c r="AI164" s="1">
        <f>Table2[[#This Row],[W]]</f>
        <v>25</v>
      </c>
      <c r="AJ164" s="1">
        <f>Table2[[#This Row],[D]]</f>
        <v>8</v>
      </c>
      <c r="AK164" s="1">
        <f>Table2[[#This Row],[L]]</f>
        <v>5</v>
      </c>
      <c r="AL164" s="1">
        <f>Table2[[#This Row],[F]]</f>
        <v>68</v>
      </c>
      <c r="AM164" s="1">
        <f>Table2[[#This Row],[A]]</f>
        <v>24</v>
      </c>
      <c r="AN164" s="1">
        <f>Table2[[#This Row],[GD]]</f>
        <v>44</v>
      </c>
      <c r="AO164" s="1">
        <f>Table2[[#This Row],[Pts]]</f>
        <v>83</v>
      </c>
      <c r="AP164" s="1">
        <f>Table2[[#This Row],[Column1]]</f>
        <v>3</v>
      </c>
      <c r="AR164" t="b">
        <f t="shared" si="6"/>
        <v>1</v>
      </c>
      <c r="AS164">
        <f>IF(AR164,ROWS($AR$2:AR164),"")</f>
        <v>163</v>
      </c>
      <c r="AT164">
        <f>IFERROR(SMALL($AS$2:$AS$440,ROWS($AS$2:AS164)),"")</f>
        <v>163</v>
      </c>
      <c r="AU164">
        <f>IF(AT164&lt;&gt;"",INDEX($AE$2:$AP$440,MATCH($AT164,$AS$2:$AS$440,0),COLUMNS($AT$2:AT164)),"")</f>
        <v>2008</v>
      </c>
      <c r="AV164">
        <f>IF(AU164&lt;&gt;"",INDEX($AE$2:$AP$440,MATCH($AT164,$AS$2:$AS$440,0),COLUMNS($AT$2:AU164)),"")</f>
        <v>3</v>
      </c>
      <c r="AW164" t="str">
        <f>IF(AV164&lt;&gt;"",INDEX($AE$2:$AP$440,MATCH($AT164,$AS$2:$AS$440,0),COLUMNS($AT$2:AV164)),"")</f>
        <v>Chelsea</v>
      </c>
      <c r="AX164">
        <f>IF(AW164&lt;&gt;"",INDEX($AE$2:$AP$440,MATCH($AT164,$AS$2:$AS$440,0),COLUMNS($AT$2:AW164)),"")</f>
        <v>38</v>
      </c>
      <c r="AY164">
        <f>IF(AX164&lt;&gt;"",INDEX($AE$2:$AP$440,MATCH($AT164,$AS$2:$AS$440,0),COLUMNS($AT$2:AX164)),"")</f>
        <v>25</v>
      </c>
      <c r="AZ164">
        <f>IF(AY164&lt;&gt;"",INDEX($AE$2:$AP$440,MATCH($AT164,$AS$2:$AS$440,0),COLUMNS($AT$2:AY164)),"")</f>
        <v>8</v>
      </c>
      <c r="BA164">
        <f>IF(AZ164&lt;&gt;"",INDEX($AE$2:$AP$440,MATCH($AT164,$AS$2:$AS$440,0),COLUMNS($AT$2:AZ164)),"")</f>
        <v>5</v>
      </c>
      <c r="BB164">
        <f>IF(BA164&lt;&gt;"",INDEX($AE$2:$AP$440,MATCH($AT164,$AS$2:$AS$440,0),COLUMNS($AT$2:BA164)),"")</f>
        <v>68</v>
      </c>
      <c r="BC164">
        <f>IF(BB164&lt;&gt;"",INDEX($AE$2:$AP$440,MATCH($AT164,$AS$2:$AS$440,0),COLUMNS($AT$2:BB164)),"")</f>
        <v>24</v>
      </c>
      <c r="BD164">
        <f>IF(BC164&lt;&gt;"",INDEX($AE$2:$AP$440,MATCH($AT164,$AS$2:$AS$440,0),COLUMNS($AT$2:BC164)),"")</f>
        <v>44</v>
      </c>
      <c r="BE164">
        <f>IF(BD164&lt;&gt;"",INDEX($AE$2:$AP$440,MATCH($AT164,$AS$2:$AS$440,0),COLUMNS($AT$2:BD164)),"")</f>
        <v>83</v>
      </c>
      <c r="BF164">
        <f>IF(BE164&lt;&gt;"",INDEX($AE$2:$AP$440,MATCH($AT164,$AS$2:$AS$440,0),COLUMNS($AT$2:BE164)),"")</f>
        <v>3</v>
      </c>
    </row>
    <row r="165" spans="1:58" x14ac:dyDescent="0.25">
      <c r="A165" s="5">
        <v>2008</v>
      </c>
      <c r="B165" s="5">
        <v>4</v>
      </c>
      <c r="C165" s="6" t="s">
        <v>12</v>
      </c>
      <c r="D165" s="5">
        <v>38</v>
      </c>
      <c r="E165" s="5">
        <v>20</v>
      </c>
      <c r="F165" s="5">
        <v>12</v>
      </c>
      <c r="G165" s="5">
        <v>6</v>
      </c>
      <c r="H165" s="5">
        <v>68</v>
      </c>
      <c r="I165" s="5">
        <v>37</v>
      </c>
      <c r="J165" s="5">
        <v>31</v>
      </c>
      <c r="K165" s="5">
        <v>72</v>
      </c>
      <c r="L165" s="5">
        <f>IF(Table2[[#This Row],['#]]=1,"Champion", IF(Table2[[#This Row],['#]]&gt;=18,"Relegated",Table2[[#This Row],['#]]))</f>
        <v>4</v>
      </c>
      <c r="N165">
        <f>IF(COUNTIF($O$2:O165,O165)=1,N164+1,N164)</f>
        <v>33</v>
      </c>
      <c r="O165" s="4" t="str">
        <f>Table2[[#This Row],[Team]]</f>
        <v>Arsenal</v>
      </c>
      <c r="P165" s="1" t="str">
        <f>IFERROR(VLOOKUP(ROWS($O$2:O165),$N$2:$O$441,2,0),"")</f>
        <v/>
      </c>
      <c r="Q165" s="1" t="str">
        <f>IF(P165&lt;&gt;"",SUMPRODUCT(--(Table2[Team]=P165)),"")</f>
        <v/>
      </c>
      <c r="R165" s="11" t="str">
        <f>IF(Q165&lt;&gt;"",Q165+ROWS($Q$2:Q165)/100,"")</f>
        <v/>
      </c>
      <c r="S165" t="str">
        <f>IF(R165&lt;&gt;"",LARGE($R$2:$R$441,ROWS($R$2:R165)),"")</f>
        <v/>
      </c>
      <c r="T165" s="1" t="str">
        <f>IF(R165&lt;&gt;"",INDEX($P$2:$Q$441,MATCH($S165,$R$2:$R$441,0),COLUMNS($S$2:S165)),"")</f>
        <v/>
      </c>
      <c r="U165" s="1" t="str">
        <f>IF(S165&lt;&gt;"",INDEX($P$2:$Q$441,MATCH($S165,$R$2:$R$441,0),COLUMNS($S$2:T165)),"")</f>
        <v/>
      </c>
      <c r="AE165" s="1">
        <f>Table2[[#This Row],[Year]]</f>
        <v>2008</v>
      </c>
      <c r="AF165" s="1">
        <f>Table2[[#This Row],['#]]</f>
        <v>4</v>
      </c>
      <c r="AG165" s="1" t="str">
        <f>Table2[[#This Row],[Team]]</f>
        <v>Arsenal</v>
      </c>
      <c r="AH165" s="1">
        <f>Table2[[#This Row],[Pl]]</f>
        <v>38</v>
      </c>
      <c r="AI165" s="1">
        <f>Table2[[#This Row],[W]]</f>
        <v>20</v>
      </c>
      <c r="AJ165" s="1">
        <f>Table2[[#This Row],[D]]</f>
        <v>12</v>
      </c>
      <c r="AK165" s="1">
        <f>Table2[[#This Row],[L]]</f>
        <v>6</v>
      </c>
      <c r="AL165" s="1">
        <f>Table2[[#This Row],[F]]</f>
        <v>68</v>
      </c>
      <c r="AM165" s="1">
        <f>Table2[[#This Row],[A]]</f>
        <v>37</v>
      </c>
      <c r="AN165" s="1">
        <f>Table2[[#This Row],[GD]]</f>
        <v>31</v>
      </c>
      <c r="AO165" s="1">
        <f>Table2[[#This Row],[Pts]]</f>
        <v>72</v>
      </c>
      <c r="AP165" s="1">
        <f>Table2[[#This Row],[Column1]]</f>
        <v>4</v>
      </c>
      <c r="AR165" t="b">
        <f t="shared" si="6"/>
        <v>1</v>
      </c>
      <c r="AS165">
        <f>IF(AR165,ROWS($AR$2:AR165),"")</f>
        <v>164</v>
      </c>
      <c r="AT165">
        <f>IFERROR(SMALL($AS$2:$AS$440,ROWS($AS$2:AS165)),"")</f>
        <v>164</v>
      </c>
      <c r="AU165">
        <f>IF(AT165&lt;&gt;"",INDEX($AE$2:$AP$440,MATCH($AT165,$AS$2:$AS$440,0),COLUMNS($AT$2:AT165)),"")</f>
        <v>2008</v>
      </c>
      <c r="AV165">
        <f>IF(AU165&lt;&gt;"",INDEX($AE$2:$AP$440,MATCH($AT165,$AS$2:$AS$440,0),COLUMNS($AT$2:AU165)),"")</f>
        <v>4</v>
      </c>
      <c r="AW165" t="str">
        <f>IF(AV165&lt;&gt;"",INDEX($AE$2:$AP$440,MATCH($AT165,$AS$2:$AS$440,0),COLUMNS($AT$2:AV165)),"")</f>
        <v>Arsenal</v>
      </c>
      <c r="AX165">
        <f>IF(AW165&lt;&gt;"",INDEX($AE$2:$AP$440,MATCH($AT165,$AS$2:$AS$440,0),COLUMNS($AT$2:AW165)),"")</f>
        <v>38</v>
      </c>
      <c r="AY165">
        <f>IF(AX165&lt;&gt;"",INDEX($AE$2:$AP$440,MATCH($AT165,$AS$2:$AS$440,0),COLUMNS($AT$2:AX165)),"")</f>
        <v>20</v>
      </c>
      <c r="AZ165">
        <f>IF(AY165&lt;&gt;"",INDEX($AE$2:$AP$440,MATCH($AT165,$AS$2:$AS$440,0),COLUMNS($AT$2:AY165)),"")</f>
        <v>12</v>
      </c>
      <c r="BA165">
        <f>IF(AZ165&lt;&gt;"",INDEX($AE$2:$AP$440,MATCH($AT165,$AS$2:$AS$440,0),COLUMNS($AT$2:AZ165)),"")</f>
        <v>6</v>
      </c>
      <c r="BB165">
        <f>IF(BA165&lt;&gt;"",INDEX($AE$2:$AP$440,MATCH($AT165,$AS$2:$AS$440,0),COLUMNS($AT$2:BA165)),"")</f>
        <v>68</v>
      </c>
      <c r="BC165">
        <f>IF(BB165&lt;&gt;"",INDEX($AE$2:$AP$440,MATCH($AT165,$AS$2:$AS$440,0),COLUMNS($AT$2:BB165)),"")</f>
        <v>37</v>
      </c>
      <c r="BD165">
        <f>IF(BC165&lt;&gt;"",INDEX($AE$2:$AP$440,MATCH($AT165,$AS$2:$AS$440,0),COLUMNS($AT$2:BC165)),"")</f>
        <v>31</v>
      </c>
      <c r="BE165">
        <f>IF(BD165&lt;&gt;"",INDEX($AE$2:$AP$440,MATCH($AT165,$AS$2:$AS$440,0),COLUMNS($AT$2:BD165)),"")</f>
        <v>72</v>
      </c>
      <c r="BF165">
        <f>IF(BE165&lt;&gt;"",INDEX($AE$2:$AP$440,MATCH($AT165,$AS$2:$AS$440,0),COLUMNS($AT$2:BE165)),"")</f>
        <v>4</v>
      </c>
    </row>
    <row r="166" spans="1:58" x14ac:dyDescent="0.25">
      <c r="A166" s="3">
        <v>2008</v>
      </c>
      <c r="B166" s="3">
        <v>5</v>
      </c>
      <c r="C166" s="4" t="s">
        <v>26</v>
      </c>
      <c r="D166" s="3">
        <v>38</v>
      </c>
      <c r="E166" s="3">
        <v>17</v>
      </c>
      <c r="F166" s="3">
        <v>12</v>
      </c>
      <c r="G166" s="3">
        <v>9</v>
      </c>
      <c r="H166" s="3">
        <v>55</v>
      </c>
      <c r="I166" s="3">
        <v>37</v>
      </c>
      <c r="J166" s="3">
        <v>18</v>
      </c>
      <c r="K166" s="3">
        <v>63</v>
      </c>
      <c r="L166" s="5">
        <f>IF(Table2[[#This Row],['#]]=1,"Champion", IF(Table2[[#This Row],['#]]&gt;=18,"Relegated",Table2[[#This Row],['#]]))</f>
        <v>5</v>
      </c>
      <c r="N166">
        <f>IF(COUNTIF($O$2:O166,O166)=1,N165+1,N165)</f>
        <v>33</v>
      </c>
      <c r="O166" s="4" t="str">
        <f>Table2[[#This Row],[Team]]</f>
        <v>Everton</v>
      </c>
      <c r="P166" s="1" t="str">
        <f>IFERROR(VLOOKUP(ROWS($O$2:O166),$N$2:$O$441,2,0),"")</f>
        <v/>
      </c>
      <c r="Q166" s="1" t="str">
        <f>IF(P166&lt;&gt;"",SUMPRODUCT(--(Table2[Team]=P166)),"")</f>
        <v/>
      </c>
      <c r="R166" s="11" t="str">
        <f>IF(Q166&lt;&gt;"",Q166+ROWS($Q$2:Q166)/100,"")</f>
        <v/>
      </c>
      <c r="S166" t="str">
        <f>IF(R166&lt;&gt;"",LARGE($R$2:$R$441,ROWS($R$2:R166)),"")</f>
        <v/>
      </c>
      <c r="T166" s="1" t="str">
        <f>IF(R166&lt;&gt;"",INDEX($P$2:$Q$441,MATCH($S166,$R$2:$R$441,0),COLUMNS($S$2:S166)),"")</f>
        <v/>
      </c>
      <c r="U166" s="1" t="str">
        <f>IF(S166&lt;&gt;"",INDEX($P$2:$Q$441,MATCH($S166,$R$2:$R$441,0),COLUMNS($S$2:T166)),"")</f>
        <v/>
      </c>
      <c r="AE166" s="1">
        <f>Table2[[#This Row],[Year]]</f>
        <v>2008</v>
      </c>
      <c r="AF166" s="1">
        <f>Table2[[#This Row],['#]]</f>
        <v>5</v>
      </c>
      <c r="AG166" s="1" t="str">
        <f>Table2[[#This Row],[Team]]</f>
        <v>Everton</v>
      </c>
      <c r="AH166" s="1">
        <f>Table2[[#This Row],[Pl]]</f>
        <v>38</v>
      </c>
      <c r="AI166" s="1">
        <f>Table2[[#This Row],[W]]</f>
        <v>17</v>
      </c>
      <c r="AJ166" s="1">
        <f>Table2[[#This Row],[D]]</f>
        <v>12</v>
      </c>
      <c r="AK166" s="1">
        <f>Table2[[#This Row],[L]]</f>
        <v>9</v>
      </c>
      <c r="AL166" s="1">
        <f>Table2[[#This Row],[F]]</f>
        <v>55</v>
      </c>
      <c r="AM166" s="1">
        <f>Table2[[#This Row],[A]]</f>
        <v>37</v>
      </c>
      <c r="AN166" s="1">
        <f>Table2[[#This Row],[GD]]</f>
        <v>18</v>
      </c>
      <c r="AO166" s="1">
        <f>Table2[[#This Row],[Pts]]</f>
        <v>63</v>
      </c>
      <c r="AP166" s="1">
        <f>Table2[[#This Row],[Column1]]</f>
        <v>5</v>
      </c>
      <c r="AR166" t="b">
        <f t="shared" si="6"/>
        <v>1</v>
      </c>
      <c r="AS166">
        <f>IF(AR166,ROWS($AR$2:AR166),"")</f>
        <v>165</v>
      </c>
      <c r="AT166">
        <f>IFERROR(SMALL($AS$2:$AS$440,ROWS($AS$2:AS166)),"")</f>
        <v>165</v>
      </c>
      <c r="AU166">
        <f>IF(AT166&lt;&gt;"",INDEX($AE$2:$AP$440,MATCH($AT166,$AS$2:$AS$440,0),COLUMNS($AT$2:AT166)),"")</f>
        <v>2008</v>
      </c>
      <c r="AV166">
        <f>IF(AU166&lt;&gt;"",INDEX($AE$2:$AP$440,MATCH($AT166,$AS$2:$AS$440,0),COLUMNS($AT$2:AU166)),"")</f>
        <v>5</v>
      </c>
      <c r="AW166" t="str">
        <f>IF(AV166&lt;&gt;"",INDEX($AE$2:$AP$440,MATCH($AT166,$AS$2:$AS$440,0),COLUMNS($AT$2:AV166)),"")</f>
        <v>Everton</v>
      </c>
      <c r="AX166">
        <f>IF(AW166&lt;&gt;"",INDEX($AE$2:$AP$440,MATCH($AT166,$AS$2:$AS$440,0),COLUMNS($AT$2:AW166)),"")</f>
        <v>38</v>
      </c>
      <c r="AY166">
        <f>IF(AX166&lt;&gt;"",INDEX($AE$2:$AP$440,MATCH($AT166,$AS$2:$AS$440,0),COLUMNS($AT$2:AX166)),"")</f>
        <v>17</v>
      </c>
      <c r="AZ166">
        <f>IF(AY166&lt;&gt;"",INDEX($AE$2:$AP$440,MATCH($AT166,$AS$2:$AS$440,0),COLUMNS($AT$2:AY166)),"")</f>
        <v>12</v>
      </c>
      <c r="BA166">
        <f>IF(AZ166&lt;&gt;"",INDEX($AE$2:$AP$440,MATCH($AT166,$AS$2:$AS$440,0),COLUMNS($AT$2:AZ166)),"")</f>
        <v>9</v>
      </c>
      <c r="BB166">
        <f>IF(BA166&lt;&gt;"",INDEX($AE$2:$AP$440,MATCH($AT166,$AS$2:$AS$440,0),COLUMNS($AT$2:BA166)),"")</f>
        <v>55</v>
      </c>
      <c r="BC166">
        <f>IF(BB166&lt;&gt;"",INDEX($AE$2:$AP$440,MATCH($AT166,$AS$2:$AS$440,0),COLUMNS($AT$2:BB166)),"")</f>
        <v>37</v>
      </c>
      <c r="BD166">
        <f>IF(BC166&lt;&gt;"",INDEX($AE$2:$AP$440,MATCH($AT166,$AS$2:$AS$440,0),COLUMNS($AT$2:BC166)),"")</f>
        <v>18</v>
      </c>
      <c r="BE166">
        <f>IF(BD166&lt;&gt;"",INDEX($AE$2:$AP$440,MATCH($AT166,$AS$2:$AS$440,0),COLUMNS($AT$2:BD166)),"")</f>
        <v>63</v>
      </c>
      <c r="BF166">
        <f>IF(BE166&lt;&gt;"",INDEX($AE$2:$AP$440,MATCH($AT166,$AS$2:$AS$440,0),COLUMNS($AT$2:BE166)),"")</f>
        <v>5</v>
      </c>
    </row>
    <row r="167" spans="1:58" x14ac:dyDescent="0.25">
      <c r="A167" s="5">
        <v>2008</v>
      </c>
      <c r="B167" s="5">
        <v>6</v>
      </c>
      <c r="C167" s="6" t="s">
        <v>18</v>
      </c>
      <c r="D167" s="5">
        <v>38</v>
      </c>
      <c r="E167" s="5">
        <v>17</v>
      </c>
      <c r="F167" s="5">
        <v>11</v>
      </c>
      <c r="G167" s="5">
        <v>10</v>
      </c>
      <c r="H167" s="5">
        <v>54</v>
      </c>
      <c r="I167" s="5">
        <v>48</v>
      </c>
      <c r="J167" s="5">
        <v>6</v>
      </c>
      <c r="K167" s="5">
        <v>62</v>
      </c>
      <c r="L167" s="5">
        <f>IF(Table2[[#This Row],['#]]=1,"Champion", IF(Table2[[#This Row],['#]]&gt;=18,"Relegated",Table2[[#This Row],['#]]))</f>
        <v>6</v>
      </c>
      <c r="N167">
        <f>IF(COUNTIF($O$2:O167,O167)=1,N166+1,N166)</f>
        <v>33</v>
      </c>
      <c r="O167" s="4" t="str">
        <f>Table2[[#This Row],[Team]]</f>
        <v>Aston Villa</v>
      </c>
      <c r="P167" s="1" t="str">
        <f>IFERROR(VLOOKUP(ROWS($O$2:O167),$N$2:$O$441,2,0),"")</f>
        <v/>
      </c>
      <c r="Q167" s="1" t="str">
        <f>IF(P167&lt;&gt;"",SUMPRODUCT(--(Table2[Team]=P167)),"")</f>
        <v/>
      </c>
      <c r="R167" s="11" t="str">
        <f>IF(Q167&lt;&gt;"",Q167+ROWS($Q$2:Q167)/100,"")</f>
        <v/>
      </c>
      <c r="S167" t="str">
        <f>IF(R167&lt;&gt;"",LARGE($R$2:$R$441,ROWS($R$2:R167)),"")</f>
        <v/>
      </c>
      <c r="T167" s="1" t="str">
        <f>IF(R167&lt;&gt;"",INDEX($P$2:$Q$441,MATCH($S167,$R$2:$R$441,0),COLUMNS($S$2:S167)),"")</f>
        <v/>
      </c>
      <c r="U167" s="1" t="str">
        <f>IF(S167&lt;&gt;"",INDEX($P$2:$Q$441,MATCH($S167,$R$2:$R$441,0),COLUMNS($S$2:T167)),"")</f>
        <v/>
      </c>
      <c r="AE167" s="1">
        <f>Table2[[#This Row],[Year]]</f>
        <v>2008</v>
      </c>
      <c r="AF167" s="1">
        <f>Table2[[#This Row],['#]]</f>
        <v>6</v>
      </c>
      <c r="AG167" s="1" t="str">
        <f>Table2[[#This Row],[Team]]</f>
        <v>Aston Villa</v>
      </c>
      <c r="AH167" s="1">
        <f>Table2[[#This Row],[Pl]]</f>
        <v>38</v>
      </c>
      <c r="AI167" s="1">
        <f>Table2[[#This Row],[W]]</f>
        <v>17</v>
      </c>
      <c r="AJ167" s="1">
        <f>Table2[[#This Row],[D]]</f>
        <v>11</v>
      </c>
      <c r="AK167" s="1">
        <f>Table2[[#This Row],[L]]</f>
        <v>10</v>
      </c>
      <c r="AL167" s="1">
        <f>Table2[[#This Row],[F]]</f>
        <v>54</v>
      </c>
      <c r="AM167" s="1">
        <f>Table2[[#This Row],[A]]</f>
        <v>48</v>
      </c>
      <c r="AN167" s="1">
        <f>Table2[[#This Row],[GD]]</f>
        <v>6</v>
      </c>
      <c r="AO167" s="1">
        <f>Table2[[#This Row],[Pts]]</f>
        <v>62</v>
      </c>
      <c r="AP167" s="1">
        <f>Table2[[#This Row],[Column1]]</f>
        <v>6</v>
      </c>
      <c r="AR167" t="b">
        <f t="shared" si="6"/>
        <v>1</v>
      </c>
      <c r="AS167">
        <f>IF(AR167,ROWS($AR$2:AR167),"")</f>
        <v>166</v>
      </c>
      <c r="AT167">
        <f>IFERROR(SMALL($AS$2:$AS$440,ROWS($AS$2:AS167)),"")</f>
        <v>166</v>
      </c>
      <c r="AU167">
        <f>IF(AT167&lt;&gt;"",INDEX($AE$2:$AP$440,MATCH($AT167,$AS$2:$AS$440,0),COLUMNS($AT$2:AT167)),"")</f>
        <v>2008</v>
      </c>
      <c r="AV167">
        <f>IF(AU167&lt;&gt;"",INDEX($AE$2:$AP$440,MATCH($AT167,$AS$2:$AS$440,0),COLUMNS($AT$2:AU167)),"")</f>
        <v>6</v>
      </c>
      <c r="AW167" t="str">
        <f>IF(AV167&lt;&gt;"",INDEX($AE$2:$AP$440,MATCH($AT167,$AS$2:$AS$440,0),COLUMNS($AT$2:AV167)),"")</f>
        <v>Aston Villa</v>
      </c>
      <c r="AX167">
        <f>IF(AW167&lt;&gt;"",INDEX($AE$2:$AP$440,MATCH($AT167,$AS$2:$AS$440,0),COLUMNS($AT$2:AW167)),"")</f>
        <v>38</v>
      </c>
      <c r="AY167">
        <f>IF(AX167&lt;&gt;"",INDEX($AE$2:$AP$440,MATCH($AT167,$AS$2:$AS$440,0),COLUMNS($AT$2:AX167)),"")</f>
        <v>17</v>
      </c>
      <c r="AZ167">
        <f>IF(AY167&lt;&gt;"",INDEX($AE$2:$AP$440,MATCH($AT167,$AS$2:$AS$440,0),COLUMNS($AT$2:AY167)),"")</f>
        <v>11</v>
      </c>
      <c r="BA167">
        <f>IF(AZ167&lt;&gt;"",INDEX($AE$2:$AP$440,MATCH($AT167,$AS$2:$AS$440,0),COLUMNS($AT$2:AZ167)),"")</f>
        <v>10</v>
      </c>
      <c r="BB167">
        <f>IF(BA167&lt;&gt;"",INDEX($AE$2:$AP$440,MATCH($AT167,$AS$2:$AS$440,0),COLUMNS($AT$2:BA167)),"")</f>
        <v>54</v>
      </c>
      <c r="BC167">
        <f>IF(BB167&lt;&gt;"",INDEX($AE$2:$AP$440,MATCH($AT167,$AS$2:$AS$440,0),COLUMNS($AT$2:BB167)),"")</f>
        <v>48</v>
      </c>
      <c r="BD167">
        <f>IF(BC167&lt;&gt;"",INDEX($AE$2:$AP$440,MATCH($AT167,$AS$2:$AS$440,0),COLUMNS($AT$2:BC167)),"")</f>
        <v>6</v>
      </c>
      <c r="BE167">
        <f>IF(BD167&lt;&gt;"",INDEX($AE$2:$AP$440,MATCH($AT167,$AS$2:$AS$440,0),COLUMNS($AT$2:BD167)),"")</f>
        <v>62</v>
      </c>
      <c r="BF167">
        <f>IF(BE167&lt;&gt;"",INDEX($AE$2:$AP$440,MATCH($AT167,$AS$2:$AS$440,0),COLUMNS($AT$2:BE167)),"")</f>
        <v>6</v>
      </c>
    </row>
    <row r="168" spans="1:58" x14ac:dyDescent="0.25">
      <c r="A168" s="3">
        <v>2008</v>
      </c>
      <c r="B168" s="3">
        <v>7</v>
      </c>
      <c r="C168" s="4" t="s">
        <v>32</v>
      </c>
      <c r="D168" s="3">
        <v>38</v>
      </c>
      <c r="E168" s="3">
        <v>14</v>
      </c>
      <c r="F168" s="3">
        <v>11</v>
      </c>
      <c r="G168" s="3">
        <v>13</v>
      </c>
      <c r="H168" s="3">
        <v>39</v>
      </c>
      <c r="I168" s="3">
        <v>34</v>
      </c>
      <c r="J168" s="3">
        <v>5</v>
      </c>
      <c r="K168" s="3">
        <v>53</v>
      </c>
      <c r="L168" s="5">
        <f>IF(Table2[[#This Row],['#]]=1,"Champion", IF(Table2[[#This Row],['#]]&gt;=18,"Relegated",Table2[[#This Row],['#]]))</f>
        <v>7</v>
      </c>
      <c r="N168">
        <f>IF(COUNTIF($O$2:O168,O168)=1,N167+1,N167)</f>
        <v>33</v>
      </c>
      <c r="O168" s="4" t="str">
        <f>Table2[[#This Row],[Team]]</f>
        <v>Fulham</v>
      </c>
      <c r="P168" s="1" t="str">
        <f>IFERROR(VLOOKUP(ROWS($O$2:O168),$N$2:$O$441,2,0),"")</f>
        <v/>
      </c>
      <c r="Q168" s="1" t="str">
        <f>IF(P168&lt;&gt;"",SUMPRODUCT(--(Table2[Team]=P168)),"")</f>
        <v/>
      </c>
      <c r="R168" s="11" t="str">
        <f>IF(Q168&lt;&gt;"",Q168+ROWS($Q$2:Q168)/100,"")</f>
        <v/>
      </c>
      <c r="S168" t="str">
        <f>IF(R168&lt;&gt;"",LARGE($R$2:$R$441,ROWS($R$2:R168)),"")</f>
        <v/>
      </c>
      <c r="T168" s="1" t="str">
        <f>IF(R168&lt;&gt;"",INDEX($P$2:$Q$441,MATCH($S168,$R$2:$R$441,0),COLUMNS($S$2:S168)),"")</f>
        <v/>
      </c>
      <c r="U168" s="1" t="str">
        <f>IF(S168&lt;&gt;"",INDEX($P$2:$Q$441,MATCH($S168,$R$2:$R$441,0),COLUMNS($S$2:T168)),"")</f>
        <v/>
      </c>
      <c r="AE168" s="1">
        <f>Table2[[#This Row],[Year]]</f>
        <v>2008</v>
      </c>
      <c r="AF168" s="1">
        <f>Table2[[#This Row],['#]]</f>
        <v>7</v>
      </c>
      <c r="AG168" s="1" t="str">
        <f>Table2[[#This Row],[Team]]</f>
        <v>Fulham</v>
      </c>
      <c r="AH168" s="1">
        <f>Table2[[#This Row],[Pl]]</f>
        <v>38</v>
      </c>
      <c r="AI168" s="1">
        <f>Table2[[#This Row],[W]]</f>
        <v>14</v>
      </c>
      <c r="AJ168" s="1">
        <f>Table2[[#This Row],[D]]</f>
        <v>11</v>
      </c>
      <c r="AK168" s="1">
        <f>Table2[[#This Row],[L]]</f>
        <v>13</v>
      </c>
      <c r="AL168" s="1">
        <f>Table2[[#This Row],[F]]</f>
        <v>39</v>
      </c>
      <c r="AM168" s="1">
        <f>Table2[[#This Row],[A]]</f>
        <v>34</v>
      </c>
      <c r="AN168" s="1">
        <f>Table2[[#This Row],[GD]]</f>
        <v>5</v>
      </c>
      <c r="AO168" s="1">
        <f>Table2[[#This Row],[Pts]]</f>
        <v>53</v>
      </c>
      <c r="AP168" s="1">
        <f>Table2[[#This Row],[Column1]]</f>
        <v>7</v>
      </c>
      <c r="AR168" t="b">
        <f t="shared" si="6"/>
        <v>1</v>
      </c>
      <c r="AS168">
        <f>IF(AR168,ROWS($AR$2:AR168),"")</f>
        <v>167</v>
      </c>
      <c r="AT168">
        <f>IFERROR(SMALL($AS$2:$AS$440,ROWS($AS$2:AS168)),"")</f>
        <v>167</v>
      </c>
      <c r="AU168">
        <f>IF(AT168&lt;&gt;"",INDEX($AE$2:$AP$440,MATCH($AT168,$AS$2:$AS$440,0),COLUMNS($AT$2:AT168)),"")</f>
        <v>2008</v>
      </c>
      <c r="AV168">
        <f>IF(AU168&lt;&gt;"",INDEX($AE$2:$AP$440,MATCH($AT168,$AS$2:$AS$440,0),COLUMNS($AT$2:AU168)),"")</f>
        <v>7</v>
      </c>
      <c r="AW168" t="str">
        <f>IF(AV168&lt;&gt;"",INDEX($AE$2:$AP$440,MATCH($AT168,$AS$2:$AS$440,0),COLUMNS($AT$2:AV168)),"")</f>
        <v>Fulham</v>
      </c>
      <c r="AX168">
        <f>IF(AW168&lt;&gt;"",INDEX($AE$2:$AP$440,MATCH($AT168,$AS$2:$AS$440,0),COLUMNS($AT$2:AW168)),"")</f>
        <v>38</v>
      </c>
      <c r="AY168">
        <f>IF(AX168&lt;&gt;"",INDEX($AE$2:$AP$440,MATCH($AT168,$AS$2:$AS$440,0),COLUMNS($AT$2:AX168)),"")</f>
        <v>14</v>
      </c>
      <c r="AZ168">
        <f>IF(AY168&lt;&gt;"",INDEX($AE$2:$AP$440,MATCH($AT168,$AS$2:$AS$440,0),COLUMNS($AT$2:AY168)),"")</f>
        <v>11</v>
      </c>
      <c r="BA168">
        <f>IF(AZ168&lt;&gt;"",INDEX($AE$2:$AP$440,MATCH($AT168,$AS$2:$AS$440,0),COLUMNS($AT$2:AZ168)),"")</f>
        <v>13</v>
      </c>
      <c r="BB168">
        <f>IF(BA168&lt;&gt;"",INDEX($AE$2:$AP$440,MATCH($AT168,$AS$2:$AS$440,0),COLUMNS($AT$2:BA168)),"")</f>
        <v>39</v>
      </c>
      <c r="BC168">
        <f>IF(BB168&lt;&gt;"",INDEX($AE$2:$AP$440,MATCH($AT168,$AS$2:$AS$440,0),COLUMNS($AT$2:BB168)),"")</f>
        <v>34</v>
      </c>
      <c r="BD168">
        <f>IF(BC168&lt;&gt;"",INDEX($AE$2:$AP$440,MATCH($AT168,$AS$2:$AS$440,0),COLUMNS($AT$2:BC168)),"")</f>
        <v>5</v>
      </c>
      <c r="BE168">
        <f>IF(BD168&lt;&gt;"",INDEX($AE$2:$AP$440,MATCH($AT168,$AS$2:$AS$440,0),COLUMNS($AT$2:BD168)),"")</f>
        <v>53</v>
      </c>
      <c r="BF168">
        <f>IF(BE168&lt;&gt;"",INDEX($AE$2:$AP$440,MATCH($AT168,$AS$2:$AS$440,0),COLUMNS($AT$2:BE168)),"")</f>
        <v>7</v>
      </c>
    </row>
    <row r="169" spans="1:58" x14ac:dyDescent="0.25">
      <c r="A169" s="5">
        <v>2008</v>
      </c>
      <c r="B169" s="5">
        <v>8</v>
      </c>
      <c r="C169" s="6" t="s">
        <v>22</v>
      </c>
      <c r="D169" s="5">
        <v>38</v>
      </c>
      <c r="E169" s="5">
        <v>14</v>
      </c>
      <c r="F169" s="5">
        <v>9</v>
      </c>
      <c r="G169" s="5">
        <v>15</v>
      </c>
      <c r="H169" s="5">
        <v>45</v>
      </c>
      <c r="I169" s="5">
        <v>45</v>
      </c>
      <c r="J169" s="5">
        <v>0</v>
      </c>
      <c r="K169" s="5">
        <v>51</v>
      </c>
      <c r="L169" s="5">
        <f>IF(Table2[[#This Row],['#]]=1,"Champion", IF(Table2[[#This Row],['#]]&gt;=18,"Relegated",Table2[[#This Row],['#]]))</f>
        <v>8</v>
      </c>
      <c r="N169">
        <f>IF(COUNTIF($O$2:O169,O169)=1,N168+1,N168)</f>
        <v>33</v>
      </c>
      <c r="O169" s="4" t="str">
        <f>Table2[[#This Row],[Team]]</f>
        <v>Tottenham Hotspur</v>
      </c>
      <c r="P169" s="1" t="str">
        <f>IFERROR(VLOOKUP(ROWS($O$2:O169),$N$2:$O$441,2,0),"")</f>
        <v/>
      </c>
      <c r="Q169" s="1" t="str">
        <f>IF(P169&lt;&gt;"",SUMPRODUCT(--(Table2[Team]=P169)),"")</f>
        <v/>
      </c>
      <c r="R169" s="11" t="str">
        <f>IF(Q169&lt;&gt;"",Q169+ROWS($Q$2:Q169)/100,"")</f>
        <v/>
      </c>
      <c r="S169" t="str">
        <f>IF(R169&lt;&gt;"",LARGE($R$2:$R$441,ROWS($R$2:R169)),"")</f>
        <v/>
      </c>
      <c r="T169" s="1" t="str">
        <f>IF(R169&lt;&gt;"",INDEX($P$2:$Q$441,MATCH($S169,$R$2:$R$441,0),COLUMNS($S$2:S169)),"")</f>
        <v/>
      </c>
      <c r="U169" s="1" t="str">
        <f>IF(S169&lt;&gt;"",INDEX($P$2:$Q$441,MATCH($S169,$R$2:$R$441,0),COLUMNS($S$2:T169)),"")</f>
        <v/>
      </c>
      <c r="AE169" s="1">
        <f>Table2[[#This Row],[Year]]</f>
        <v>2008</v>
      </c>
      <c r="AF169" s="1">
        <f>Table2[[#This Row],['#]]</f>
        <v>8</v>
      </c>
      <c r="AG169" s="1" t="str">
        <f>Table2[[#This Row],[Team]]</f>
        <v>Tottenham Hotspur</v>
      </c>
      <c r="AH169" s="1">
        <f>Table2[[#This Row],[Pl]]</f>
        <v>38</v>
      </c>
      <c r="AI169" s="1">
        <f>Table2[[#This Row],[W]]</f>
        <v>14</v>
      </c>
      <c r="AJ169" s="1">
        <f>Table2[[#This Row],[D]]</f>
        <v>9</v>
      </c>
      <c r="AK169" s="1">
        <f>Table2[[#This Row],[L]]</f>
        <v>15</v>
      </c>
      <c r="AL169" s="1">
        <f>Table2[[#This Row],[F]]</f>
        <v>45</v>
      </c>
      <c r="AM169" s="1">
        <f>Table2[[#This Row],[A]]</f>
        <v>45</v>
      </c>
      <c r="AN169" s="1">
        <f>Table2[[#This Row],[GD]]</f>
        <v>0</v>
      </c>
      <c r="AO169" s="1">
        <f>Table2[[#This Row],[Pts]]</f>
        <v>51</v>
      </c>
      <c r="AP169" s="1">
        <f>Table2[[#This Row],[Column1]]</f>
        <v>8</v>
      </c>
      <c r="AR169" t="b">
        <f t="shared" si="6"/>
        <v>1</v>
      </c>
      <c r="AS169">
        <f>IF(AR169,ROWS($AR$2:AR169),"")</f>
        <v>168</v>
      </c>
      <c r="AT169">
        <f>IFERROR(SMALL($AS$2:$AS$440,ROWS($AS$2:AS169)),"")</f>
        <v>168</v>
      </c>
      <c r="AU169">
        <f>IF(AT169&lt;&gt;"",INDEX($AE$2:$AP$440,MATCH($AT169,$AS$2:$AS$440,0),COLUMNS($AT$2:AT169)),"")</f>
        <v>2008</v>
      </c>
      <c r="AV169">
        <f>IF(AU169&lt;&gt;"",INDEX($AE$2:$AP$440,MATCH($AT169,$AS$2:$AS$440,0),COLUMNS($AT$2:AU169)),"")</f>
        <v>8</v>
      </c>
      <c r="AW169" t="str">
        <f>IF(AV169&lt;&gt;"",INDEX($AE$2:$AP$440,MATCH($AT169,$AS$2:$AS$440,0),COLUMNS($AT$2:AV169)),"")</f>
        <v>Tottenham Hotspur</v>
      </c>
      <c r="AX169">
        <f>IF(AW169&lt;&gt;"",INDEX($AE$2:$AP$440,MATCH($AT169,$AS$2:$AS$440,0),COLUMNS($AT$2:AW169)),"")</f>
        <v>38</v>
      </c>
      <c r="AY169">
        <f>IF(AX169&lt;&gt;"",INDEX($AE$2:$AP$440,MATCH($AT169,$AS$2:$AS$440,0),COLUMNS($AT$2:AX169)),"")</f>
        <v>14</v>
      </c>
      <c r="AZ169">
        <f>IF(AY169&lt;&gt;"",INDEX($AE$2:$AP$440,MATCH($AT169,$AS$2:$AS$440,0),COLUMNS($AT$2:AY169)),"")</f>
        <v>9</v>
      </c>
      <c r="BA169">
        <f>IF(AZ169&lt;&gt;"",INDEX($AE$2:$AP$440,MATCH($AT169,$AS$2:$AS$440,0),COLUMNS($AT$2:AZ169)),"")</f>
        <v>15</v>
      </c>
      <c r="BB169">
        <f>IF(BA169&lt;&gt;"",INDEX($AE$2:$AP$440,MATCH($AT169,$AS$2:$AS$440,0),COLUMNS($AT$2:BA169)),"")</f>
        <v>45</v>
      </c>
      <c r="BC169">
        <f>IF(BB169&lt;&gt;"",INDEX($AE$2:$AP$440,MATCH($AT169,$AS$2:$AS$440,0),COLUMNS($AT$2:BB169)),"")</f>
        <v>45</v>
      </c>
      <c r="BD169">
        <f>IF(BC169&lt;&gt;"",INDEX($AE$2:$AP$440,MATCH($AT169,$AS$2:$AS$440,0),COLUMNS($AT$2:BC169)),"")</f>
        <v>0</v>
      </c>
      <c r="BE169">
        <f>IF(BD169&lt;&gt;"",INDEX($AE$2:$AP$440,MATCH($AT169,$AS$2:$AS$440,0),COLUMNS($AT$2:BD169)),"")</f>
        <v>51</v>
      </c>
      <c r="BF169">
        <f>IF(BE169&lt;&gt;"",INDEX($AE$2:$AP$440,MATCH($AT169,$AS$2:$AS$440,0),COLUMNS($AT$2:BE169)),"")</f>
        <v>8</v>
      </c>
    </row>
    <row r="170" spans="1:58" x14ac:dyDescent="0.25">
      <c r="A170" s="3">
        <v>2008</v>
      </c>
      <c r="B170" s="3">
        <v>9</v>
      </c>
      <c r="C170" s="4" t="s">
        <v>25</v>
      </c>
      <c r="D170" s="3">
        <v>38</v>
      </c>
      <c r="E170" s="3">
        <v>14</v>
      </c>
      <c r="F170" s="3">
        <v>9</v>
      </c>
      <c r="G170" s="3">
        <v>15</v>
      </c>
      <c r="H170" s="3">
        <v>42</v>
      </c>
      <c r="I170" s="3">
        <v>45</v>
      </c>
      <c r="J170" s="3">
        <v>-3</v>
      </c>
      <c r="K170" s="3">
        <v>51</v>
      </c>
      <c r="L170" s="5">
        <f>IF(Table2[[#This Row],['#]]=1,"Champion", IF(Table2[[#This Row],['#]]&gt;=18,"Relegated",Table2[[#This Row],['#]]))</f>
        <v>9</v>
      </c>
      <c r="N170">
        <f>IF(COUNTIF($O$2:O170,O170)=1,N169+1,N169)</f>
        <v>33</v>
      </c>
      <c r="O170" s="4" t="str">
        <f>Table2[[#This Row],[Team]]</f>
        <v>West Ham United</v>
      </c>
      <c r="P170" s="1" t="str">
        <f>IFERROR(VLOOKUP(ROWS($O$2:O170),$N$2:$O$441,2,0),"")</f>
        <v/>
      </c>
      <c r="Q170" s="1" t="str">
        <f>IF(P170&lt;&gt;"",SUMPRODUCT(--(Table2[Team]=P170)),"")</f>
        <v/>
      </c>
      <c r="R170" s="11" t="str">
        <f>IF(Q170&lt;&gt;"",Q170+ROWS($Q$2:Q170)/100,"")</f>
        <v/>
      </c>
      <c r="S170" t="str">
        <f>IF(R170&lt;&gt;"",LARGE($R$2:$R$441,ROWS($R$2:R170)),"")</f>
        <v/>
      </c>
      <c r="T170" s="1" t="str">
        <f>IF(R170&lt;&gt;"",INDEX($P$2:$Q$441,MATCH($S170,$R$2:$R$441,0),COLUMNS($S$2:S170)),"")</f>
        <v/>
      </c>
      <c r="U170" s="1" t="str">
        <f>IF(S170&lt;&gt;"",INDEX($P$2:$Q$441,MATCH($S170,$R$2:$R$441,0),COLUMNS($S$2:T170)),"")</f>
        <v/>
      </c>
      <c r="AE170" s="1">
        <f>Table2[[#This Row],[Year]]</f>
        <v>2008</v>
      </c>
      <c r="AF170" s="1">
        <f>Table2[[#This Row],['#]]</f>
        <v>9</v>
      </c>
      <c r="AG170" s="1" t="str">
        <f>Table2[[#This Row],[Team]]</f>
        <v>West Ham United</v>
      </c>
      <c r="AH170" s="1">
        <f>Table2[[#This Row],[Pl]]</f>
        <v>38</v>
      </c>
      <c r="AI170" s="1">
        <f>Table2[[#This Row],[W]]</f>
        <v>14</v>
      </c>
      <c r="AJ170" s="1">
        <f>Table2[[#This Row],[D]]</f>
        <v>9</v>
      </c>
      <c r="AK170" s="1">
        <f>Table2[[#This Row],[L]]</f>
        <v>15</v>
      </c>
      <c r="AL170" s="1">
        <f>Table2[[#This Row],[F]]</f>
        <v>42</v>
      </c>
      <c r="AM170" s="1">
        <f>Table2[[#This Row],[A]]</f>
        <v>45</v>
      </c>
      <c r="AN170" s="1">
        <f>Table2[[#This Row],[GD]]</f>
        <v>-3</v>
      </c>
      <c r="AO170" s="1">
        <f>Table2[[#This Row],[Pts]]</f>
        <v>51</v>
      </c>
      <c r="AP170" s="1">
        <f>Table2[[#This Row],[Column1]]</f>
        <v>9</v>
      </c>
      <c r="AR170" t="b">
        <f t="shared" si="6"/>
        <v>1</v>
      </c>
      <c r="AS170">
        <f>IF(AR170,ROWS($AR$2:AR170),"")</f>
        <v>169</v>
      </c>
      <c r="AT170">
        <f>IFERROR(SMALL($AS$2:$AS$440,ROWS($AS$2:AS170)),"")</f>
        <v>169</v>
      </c>
      <c r="AU170">
        <f>IF(AT170&lt;&gt;"",INDEX($AE$2:$AP$440,MATCH($AT170,$AS$2:$AS$440,0),COLUMNS($AT$2:AT170)),"")</f>
        <v>2008</v>
      </c>
      <c r="AV170">
        <f>IF(AU170&lt;&gt;"",INDEX($AE$2:$AP$440,MATCH($AT170,$AS$2:$AS$440,0),COLUMNS($AT$2:AU170)),"")</f>
        <v>9</v>
      </c>
      <c r="AW170" t="str">
        <f>IF(AV170&lt;&gt;"",INDEX($AE$2:$AP$440,MATCH($AT170,$AS$2:$AS$440,0),COLUMNS($AT$2:AV170)),"")</f>
        <v>West Ham United</v>
      </c>
      <c r="AX170">
        <f>IF(AW170&lt;&gt;"",INDEX($AE$2:$AP$440,MATCH($AT170,$AS$2:$AS$440,0),COLUMNS($AT$2:AW170)),"")</f>
        <v>38</v>
      </c>
      <c r="AY170">
        <f>IF(AX170&lt;&gt;"",INDEX($AE$2:$AP$440,MATCH($AT170,$AS$2:$AS$440,0),COLUMNS($AT$2:AX170)),"")</f>
        <v>14</v>
      </c>
      <c r="AZ170">
        <f>IF(AY170&lt;&gt;"",INDEX($AE$2:$AP$440,MATCH($AT170,$AS$2:$AS$440,0),COLUMNS($AT$2:AY170)),"")</f>
        <v>9</v>
      </c>
      <c r="BA170">
        <f>IF(AZ170&lt;&gt;"",INDEX($AE$2:$AP$440,MATCH($AT170,$AS$2:$AS$440,0),COLUMNS($AT$2:AZ170)),"")</f>
        <v>15</v>
      </c>
      <c r="BB170">
        <f>IF(BA170&lt;&gt;"",INDEX($AE$2:$AP$440,MATCH($AT170,$AS$2:$AS$440,0),COLUMNS($AT$2:BA170)),"")</f>
        <v>42</v>
      </c>
      <c r="BC170">
        <f>IF(BB170&lt;&gt;"",INDEX($AE$2:$AP$440,MATCH($AT170,$AS$2:$AS$440,0),COLUMNS($AT$2:BB170)),"")</f>
        <v>45</v>
      </c>
      <c r="BD170">
        <f>IF(BC170&lt;&gt;"",INDEX($AE$2:$AP$440,MATCH($AT170,$AS$2:$AS$440,0),COLUMNS($AT$2:BC170)),"")</f>
        <v>-3</v>
      </c>
      <c r="BE170">
        <f>IF(BD170&lt;&gt;"",INDEX($AE$2:$AP$440,MATCH($AT170,$AS$2:$AS$440,0),COLUMNS($AT$2:BD170)),"")</f>
        <v>51</v>
      </c>
      <c r="BF170">
        <f>IF(BE170&lt;&gt;"",INDEX($AE$2:$AP$440,MATCH($AT170,$AS$2:$AS$440,0),COLUMNS($AT$2:BE170)),"")</f>
        <v>9</v>
      </c>
    </row>
    <row r="171" spans="1:58" x14ac:dyDescent="0.25">
      <c r="A171" s="5">
        <v>2008</v>
      </c>
      <c r="B171" s="5">
        <v>10</v>
      </c>
      <c r="C171" s="6" t="s">
        <v>28</v>
      </c>
      <c r="D171" s="5">
        <v>38</v>
      </c>
      <c r="E171" s="5">
        <v>15</v>
      </c>
      <c r="F171" s="5">
        <v>5</v>
      </c>
      <c r="G171" s="5">
        <v>18</v>
      </c>
      <c r="H171" s="5">
        <v>58</v>
      </c>
      <c r="I171" s="5">
        <v>50</v>
      </c>
      <c r="J171" s="5">
        <v>8</v>
      </c>
      <c r="K171" s="5">
        <v>50</v>
      </c>
      <c r="L171" s="5">
        <f>IF(Table2[[#This Row],['#]]=1,"Champion", IF(Table2[[#This Row],['#]]&gt;=18,"Relegated",Table2[[#This Row],['#]]))</f>
        <v>10</v>
      </c>
      <c r="N171">
        <f>IF(COUNTIF($O$2:O171,O171)=1,N170+1,N170)</f>
        <v>33</v>
      </c>
      <c r="O171" s="4" t="str">
        <f>Table2[[#This Row],[Team]]</f>
        <v>Manchester City</v>
      </c>
      <c r="P171" s="1" t="str">
        <f>IFERROR(VLOOKUP(ROWS($O$2:O171),$N$2:$O$441,2,0),"")</f>
        <v/>
      </c>
      <c r="Q171" s="1" t="str">
        <f>IF(P171&lt;&gt;"",SUMPRODUCT(--(Table2[Team]=P171)),"")</f>
        <v/>
      </c>
      <c r="R171" s="11" t="str">
        <f>IF(Q171&lt;&gt;"",Q171+ROWS($Q$2:Q171)/100,"")</f>
        <v/>
      </c>
      <c r="S171" t="str">
        <f>IF(R171&lt;&gt;"",LARGE($R$2:$R$441,ROWS($R$2:R171)),"")</f>
        <v/>
      </c>
      <c r="T171" s="1" t="str">
        <f>IF(R171&lt;&gt;"",INDEX($P$2:$Q$441,MATCH($S171,$R$2:$R$441,0),COLUMNS($S$2:S171)),"")</f>
        <v/>
      </c>
      <c r="U171" s="1" t="str">
        <f>IF(S171&lt;&gt;"",INDEX($P$2:$Q$441,MATCH($S171,$R$2:$R$441,0),COLUMNS($S$2:T171)),"")</f>
        <v/>
      </c>
      <c r="AE171" s="1">
        <f>Table2[[#This Row],[Year]]</f>
        <v>2008</v>
      </c>
      <c r="AF171" s="1">
        <f>Table2[[#This Row],['#]]</f>
        <v>10</v>
      </c>
      <c r="AG171" s="1" t="str">
        <f>Table2[[#This Row],[Team]]</f>
        <v>Manchester City</v>
      </c>
      <c r="AH171" s="1">
        <f>Table2[[#This Row],[Pl]]</f>
        <v>38</v>
      </c>
      <c r="AI171" s="1">
        <f>Table2[[#This Row],[W]]</f>
        <v>15</v>
      </c>
      <c r="AJ171" s="1">
        <f>Table2[[#This Row],[D]]</f>
        <v>5</v>
      </c>
      <c r="AK171" s="1">
        <f>Table2[[#This Row],[L]]</f>
        <v>18</v>
      </c>
      <c r="AL171" s="1">
        <f>Table2[[#This Row],[F]]</f>
        <v>58</v>
      </c>
      <c r="AM171" s="1">
        <f>Table2[[#This Row],[A]]</f>
        <v>50</v>
      </c>
      <c r="AN171" s="1">
        <f>Table2[[#This Row],[GD]]</f>
        <v>8</v>
      </c>
      <c r="AO171" s="1">
        <f>Table2[[#This Row],[Pts]]</f>
        <v>50</v>
      </c>
      <c r="AP171" s="1">
        <f>Table2[[#This Row],[Column1]]</f>
        <v>10</v>
      </c>
      <c r="AR171" t="b">
        <f t="shared" si="6"/>
        <v>1</v>
      </c>
      <c r="AS171">
        <f>IF(AR171,ROWS($AR$2:AR171),"")</f>
        <v>170</v>
      </c>
      <c r="AT171">
        <f>IFERROR(SMALL($AS$2:$AS$440,ROWS($AS$2:AS171)),"")</f>
        <v>170</v>
      </c>
      <c r="AU171">
        <f>IF(AT171&lt;&gt;"",INDEX($AE$2:$AP$440,MATCH($AT171,$AS$2:$AS$440,0),COLUMNS($AT$2:AT171)),"")</f>
        <v>2008</v>
      </c>
      <c r="AV171">
        <f>IF(AU171&lt;&gt;"",INDEX($AE$2:$AP$440,MATCH($AT171,$AS$2:$AS$440,0),COLUMNS($AT$2:AU171)),"")</f>
        <v>10</v>
      </c>
      <c r="AW171" t="str">
        <f>IF(AV171&lt;&gt;"",INDEX($AE$2:$AP$440,MATCH($AT171,$AS$2:$AS$440,0),COLUMNS($AT$2:AV171)),"")</f>
        <v>Manchester City</v>
      </c>
      <c r="AX171">
        <f>IF(AW171&lt;&gt;"",INDEX($AE$2:$AP$440,MATCH($AT171,$AS$2:$AS$440,0),COLUMNS($AT$2:AW171)),"")</f>
        <v>38</v>
      </c>
      <c r="AY171">
        <f>IF(AX171&lt;&gt;"",INDEX($AE$2:$AP$440,MATCH($AT171,$AS$2:$AS$440,0),COLUMNS($AT$2:AX171)),"")</f>
        <v>15</v>
      </c>
      <c r="AZ171">
        <f>IF(AY171&lt;&gt;"",INDEX($AE$2:$AP$440,MATCH($AT171,$AS$2:$AS$440,0),COLUMNS($AT$2:AY171)),"")</f>
        <v>5</v>
      </c>
      <c r="BA171">
        <f>IF(AZ171&lt;&gt;"",INDEX($AE$2:$AP$440,MATCH($AT171,$AS$2:$AS$440,0),COLUMNS($AT$2:AZ171)),"")</f>
        <v>18</v>
      </c>
      <c r="BB171">
        <f>IF(BA171&lt;&gt;"",INDEX($AE$2:$AP$440,MATCH($AT171,$AS$2:$AS$440,0),COLUMNS($AT$2:BA171)),"")</f>
        <v>58</v>
      </c>
      <c r="BC171">
        <f>IF(BB171&lt;&gt;"",INDEX($AE$2:$AP$440,MATCH($AT171,$AS$2:$AS$440,0),COLUMNS($AT$2:BB171)),"")</f>
        <v>50</v>
      </c>
      <c r="BD171">
        <f>IF(BC171&lt;&gt;"",INDEX($AE$2:$AP$440,MATCH($AT171,$AS$2:$AS$440,0),COLUMNS($AT$2:BC171)),"")</f>
        <v>8</v>
      </c>
      <c r="BE171">
        <f>IF(BD171&lt;&gt;"",INDEX($AE$2:$AP$440,MATCH($AT171,$AS$2:$AS$440,0),COLUMNS($AT$2:BD171)),"")</f>
        <v>50</v>
      </c>
      <c r="BF171">
        <f>IF(BE171&lt;&gt;"",INDEX($AE$2:$AP$440,MATCH($AT171,$AS$2:$AS$440,0),COLUMNS($AT$2:BE171)),"")</f>
        <v>10</v>
      </c>
    </row>
    <row r="172" spans="1:58" x14ac:dyDescent="0.25">
      <c r="A172" s="3">
        <v>2008</v>
      </c>
      <c r="B172" s="3">
        <v>11</v>
      </c>
      <c r="C172" s="4" t="s">
        <v>40</v>
      </c>
      <c r="D172" s="3">
        <v>38</v>
      </c>
      <c r="E172" s="3">
        <v>12</v>
      </c>
      <c r="F172" s="3">
        <v>9</v>
      </c>
      <c r="G172" s="3">
        <v>17</v>
      </c>
      <c r="H172" s="3">
        <v>34</v>
      </c>
      <c r="I172" s="3">
        <v>45</v>
      </c>
      <c r="J172" s="3">
        <v>-11</v>
      </c>
      <c r="K172" s="3">
        <v>45</v>
      </c>
      <c r="L172" s="5">
        <f>IF(Table2[[#This Row],['#]]=1,"Champion", IF(Table2[[#This Row],['#]]&gt;=18,"Relegated",Table2[[#This Row],['#]]))</f>
        <v>11</v>
      </c>
      <c r="N172">
        <f>IF(COUNTIF($O$2:O172,O172)=1,N171+1,N171)</f>
        <v>33</v>
      </c>
      <c r="O172" s="4" t="str">
        <f>Table2[[#This Row],[Team]]</f>
        <v>Wigan Athletic</v>
      </c>
      <c r="P172" s="1" t="str">
        <f>IFERROR(VLOOKUP(ROWS($O$2:O172),$N$2:$O$441,2,0),"")</f>
        <v/>
      </c>
      <c r="Q172" s="1" t="str">
        <f>IF(P172&lt;&gt;"",SUMPRODUCT(--(Table2[Team]=P172)),"")</f>
        <v/>
      </c>
      <c r="R172" s="11" t="str">
        <f>IF(Q172&lt;&gt;"",Q172+ROWS($Q$2:Q172)/100,"")</f>
        <v/>
      </c>
      <c r="S172" t="str">
        <f>IF(R172&lt;&gt;"",LARGE($R$2:$R$441,ROWS($R$2:R172)),"")</f>
        <v/>
      </c>
      <c r="T172" s="1" t="str">
        <f>IF(R172&lt;&gt;"",INDEX($P$2:$Q$441,MATCH($S172,$R$2:$R$441,0),COLUMNS($S$2:S172)),"")</f>
        <v/>
      </c>
      <c r="U172" s="1" t="str">
        <f>IF(S172&lt;&gt;"",INDEX($P$2:$Q$441,MATCH($S172,$R$2:$R$441,0),COLUMNS($S$2:T172)),"")</f>
        <v/>
      </c>
      <c r="AE172" s="1">
        <f>Table2[[#This Row],[Year]]</f>
        <v>2008</v>
      </c>
      <c r="AF172" s="1">
        <f>Table2[[#This Row],['#]]</f>
        <v>11</v>
      </c>
      <c r="AG172" s="1" t="str">
        <f>Table2[[#This Row],[Team]]</f>
        <v>Wigan Athletic</v>
      </c>
      <c r="AH172" s="1">
        <f>Table2[[#This Row],[Pl]]</f>
        <v>38</v>
      </c>
      <c r="AI172" s="1">
        <f>Table2[[#This Row],[W]]</f>
        <v>12</v>
      </c>
      <c r="AJ172" s="1">
        <f>Table2[[#This Row],[D]]</f>
        <v>9</v>
      </c>
      <c r="AK172" s="1">
        <f>Table2[[#This Row],[L]]</f>
        <v>17</v>
      </c>
      <c r="AL172" s="1">
        <f>Table2[[#This Row],[F]]</f>
        <v>34</v>
      </c>
      <c r="AM172" s="1">
        <f>Table2[[#This Row],[A]]</f>
        <v>45</v>
      </c>
      <c r="AN172" s="1">
        <f>Table2[[#This Row],[GD]]</f>
        <v>-11</v>
      </c>
      <c r="AO172" s="1">
        <f>Table2[[#This Row],[Pts]]</f>
        <v>45</v>
      </c>
      <c r="AP172" s="1">
        <f>Table2[[#This Row],[Column1]]</f>
        <v>11</v>
      </c>
      <c r="AR172" t="b">
        <f t="shared" si="6"/>
        <v>1</v>
      </c>
      <c r="AS172">
        <f>IF(AR172,ROWS($AR$2:AR172),"")</f>
        <v>171</v>
      </c>
      <c r="AT172">
        <f>IFERROR(SMALL($AS$2:$AS$440,ROWS($AS$2:AS172)),"")</f>
        <v>171</v>
      </c>
      <c r="AU172">
        <f>IF(AT172&lt;&gt;"",INDEX($AE$2:$AP$440,MATCH($AT172,$AS$2:$AS$440,0),COLUMNS($AT$2:AT172)),"")</f>
        <v>2008</v>
      </c>
      <c r="AV172">
        <f>IF(AU172&lt;&gt;"",INDEX($AE$2:$AP$440,MATCH($AT172,$AS$2:$AS$440,0),COLUMNS($AT$2:AU172)),"")</f>
        <v>11</v>
      </c>
      <c r="AW172" t="str">
        <f>IF(AV172&lt;&gt;"",INDEX($AE$2:$AP$440,MATCH($AT172,$AS$2:$AS$440,0),COLUMNS($AT$2:AV172)),"")</f>
        <v>Wigan Athletic</v>
      </c>
      <c r="AX172">
        <f>IF(AW172&lt;&gt;"",INDEX($AE$2:$AP$440,MATCH($AT172,$AS$2:$AS$440,0),COLUMNS($AT$2:AW172)),"")</f>
        <v>38</v>
      </c>
      <c r="AY172">
        <f>IF(AX172&lt;&gt;"",INDEX($AE$2:$AP$440,MATCH($AT172,$AS$2:$AS$440,0),COLUMNS($AT$2:AX172)),"")</f>
        <v>12</v>
      </c>
      <c r="AZ172">
        <f>IF(AY172&lt;&gt;"",INDEX($AE$2:$AP$440,MATCH($AT172,$AS$2:$AS$440,0),COLUMNS($AT$2:AY172)),"")</f>
        <v>9</v>
      </c>
      <c r="BA172">
        <f>IF(AZ172&lt;&gt;"",INDEX($AE$2:$AP$440,MATCH($AT172,$AS$2:$AS$440,0),COLUMNS($AT$2:AZ172)),"")</f>
        <v>17</v>
      </c>
      <c r="BB172">
        <f>IF(BA172&lt;&gt;"",INDEX($AE$2:$AP$440,MATCH($AT172,$AS$2:$AS$440,0),COLUMNS($AT$2:BA172)),"")</f>
        <v>34</v>
      </c>
      <c r="BC172">
        <f>IF(BB172&lt;&gt;"",INDEX($AE$2:$AP$440,MATCH($AT172,$AS$2:$AS$440,0),COLUMNS($AT$2:BB172)),"")</f>
        <v>45</v>
      </c>
      <c r="BD172">
        <f>IF(BC172&lt;&gt;"",INDEX($AE$2:$AP$440,MATCH($AT172,$AS$2:$AS$440,0),COLUMNS($AT$2:BC172)),"")</f>
        <v>-11</v>
      </c>
      <c r="BE172">
        <f>IF(BD172&lt;&gt;"",INDEX($AE$2:$AP$440,MATCH($AT172,$AS$2:$AS$440,0),COLUMNS($AT$2:BD172)),"")</f>
        <v>45</v>
      </c>
      <c r="BF172">
        <f>IF(BE172&lt;&gt;"",INDEX($AE$2:$AP$440,MATCH($AT172,$AS$2:$AS$440,0),COLUMNS($AT$2:BE172)),"")</f>
        <v>11</v>
      </c>
    </row>
    <row r="173" spans="1:58" x14ac:dyDescent="0.25">
      <c r="A173" s="5">
        <v>2008</v>
      </c>
      <c r="B173" s="5">
        <v>12</v>
      </c>
      <c r="C173" s="6" t="s">
        <v>44</v>
      </c>
      <c r="D173" s="5">
        <v>38</v>
      </c>
      <c r="E173" s="5">
        <v>12</v>
      </c>
      <c r="F173" s="5">
        <v>9</v>
      </c>
      <c r="G173" s="5">
        <v>17</v>
      </c>
      <c r="H173" s="5">
        <v>38</v>
      </c>
      <c r="I173" s="5">
        <v>55</v>
      </c>
      <c r="J173" s="5">
        <v>-17</v>
      </c>
      <c r="K173" s="5">
        <v>45</v>
      </c>
      <c r="L173" s="5">
        <f>IF(Table2[[#This Row],['#]]=1,"Champion", IF(Table2[[#This Row],['#]]&gt;=18,"Relegated",Table2[[#This Row],['#]]))</f>
        <v>12</v>
      </c>
      <c r="N173">
        <f>IF(COUNTIF($O$2:O173,O173)=1,N172+1,N172)</f>
        <v>34</v>
      </c>
      <c r="O173" s="4" t="str">
        <f>Table2[[#This Row],[Team]]</f>
        <v>Stoke City</v>
      </c>
      <c r="P173" s="1" t="str">
        <f>IFERROR(VLOOKUP(ROWS($O$2:O173),$N$2:$O$441,2,0),"")</f>
        <v/>
      </c>
      <c r="Q173" s="1" t="str">
        <f>IF(P173&lt;&gt;"",SUMPRODUCT(--(Table2[Team]=P173)),"")</f>
        <v/>
      </c>
      <c r="R173" s="11" t="str">
        <f>IF(Q173&lt;&gt;"",Q173+ROWS($Q$2:Q173)/100,"")</f>
        <v/>
      </c>
      <c r="S173" t="str">
        <f>IF(R173&lt;&gt;"",LARGE($R$2:$R$441,ROWS($R$2:R173)),"")</f>
        <v/>
      </c>
      <c r="T173" s="1" t="str">
        <f>IF(R173&lt;&gt;"",INDEX($P$2:$Q$441,MATCH($S173,$R$2:$R$441,0),COLUMNS($S$2:S173)),"")</f>
        <v/>
      </c>
      <c r="U173" s="1" t="str">
        <f>IF(S173&lt;&gt;"",INDEX($P$2:$Q$441,MATCH($S173,$R$2:$R$441,0),COLUMNS($S$2:T173)),"")</f>
        <v/>
      </c>
      <c r="AE173" s="1">
        <f>Table2[[#This Row],[Year]]</f>
        <v>2008</v>
      </c>
      <c r="AF173" s="1">
        <f>Table2[[#This Row],['#]]</f>
        <v>12</v>
      </c>
      <c r="AG173" s="1" t="str">
        <f>Table2[[#This Row],[Team]]</f>
        <v>Stoke City</v>
      </c>
      <c r="AH173" s="1">
        <f>Table2[[#This Row],[Pl]]</f>
        <v>38</v>
      </c>
      <c r="AI173" s="1">
        <f>Table2[[#This Row],[W]]</f>
        <v>12</v>
      </c>
      <c r="AJ173" s="1">
        <f>Table2[[#This Row],[D]]</f>
        <v>9</v>
      </c>
      <c r="AK173" s="1">
        <f>Table2[[#This Row],[L]]</f>
        <v>17</v>
      </c>
      <c r="AL173" s="1">
        <f>Table2[[#This Row],[F]]</f>
        <v>38</v>
      </c>
      <c r="AM173" s="1">
        <f>Table2[[#This Row],[A]]</f>
        <v>55</v>
      </c>
      <c r="AN173" s="1">
        <f>Table2[[#This Row],[GD]]</f>
        <v>-17</v>
      </c>
      <c r="AO173" s="1">
        <f>Table2[[#This Row],[Pts]]</f>
        <v>45</v>
      </c>
      <c r="AP173" s="1">
        <f>Table2[[#This Row],[Column1]]</f>
        <v>12</v>
      </c>
      <c r="AR173" t="b">
        <f t="shared" si="6"/>
        <v>1</v>
      </c>
      <c r="AS173">
        <f>IF(AR173,ROWS($AR$2:AR173),"")</f>
        <v>172</v>
      </c>
      <c r="AT173">
        <f>IFERROR(SMALL($AS$2:$AS$440,ROWS($AS$2:AS173)),"")</f>
        <v>172</v>
      </c>
      <c r="AU173">
        <f>IF(AT173&lt;&gt;"",INDEX($AE$2:$AP$440,MATCH($AT173,$AS$2:$AS$440,0),COLUMNS($AT$2:AT173)),"")</f>
        <v>2008</v>
      </c>
      <c r="AV173">
        <f>IF(AU173&lt;&gt;"",INDEX($AE$2:$AP$440,MATCH($AT173,$AS$2:$AS$440,0),COLUMNS($AT$2:AU173)),"")</f>
        <v>12</v>
      </c>
      <c r="AW173" t="str">
        <f>IF(AV173&lt;&gt;"",INDEX($AE$2:$AP$440,MATCH($AT173,$AS$2:$AS$440,0),COLUMNS($AT$2:AV173)),"")</f>
        <v>Stoke City</v>
      </c>
      <c r="AX173">
        <f>IF(AW173&lt;&gt;"",INDEX($AE$2:$AP$440,MATCH($AT173,$AS$2:$AS$440,0),COLUMNS($AT$2:AW173)),"")</f>
        <v>38</v>
      </c>
      <c r="AY173">
        <f>IF(AX173&lt;&gt;"",INDEX($AE$2:$AP$440,MATCH($AT173,$AS$2:$AS$440,0),COLUMNS($AT$2:AX173)),"")</f>
        <v>12</v>
      </c>
      <c r="AZ173">
        <f>IF(AY173&lt;&gt;"",INDEX($AE$2:$AP$440,MATCH($AT173,$AS$2:$AS$440,0),COLUMNS($AT$2:AY173)),"")</f>
        <v>9</v>
      </c>
      <c r="BA173">
        <f>IF(AZ173&lt;&gt;"",INDEX($AE$2:$AP$440,MATCH($AT173,$AS$2:$AS$440,0),COLUMNS($AT$2:AZ173)),"")</f>
        <v>17</v>
      </c>
      <c r="BB173">
        <f>IF(BA173&lt;&gt;"",INDEX($AE$2:$AP$440,MATCH($AT173,$AS$2:$AS$440,0),COLUMNS($AT$2:BA173)),"")</f>
        <v>38</v>
      </c>
      <c r="BC173">
        <f>IF(BB173&lt;&gt;"",INDEX($AE$2:$AP$440,MATCH($AT173,$AS$2:$AS$440,0),COLUMNS($AT$2:BB173)),"")</f>
        <v>55</v>
      </c>
      <c r="BD173">
        <f>IF(BC173&lt;&gt;"",INDEX($AE$2:$AP$440,MATCH($AT173,$AS$2:$AS$440,0),COLUMNS($AT$2:BC173)),"")</f>
        <v>-17</v>
      </c>
      <c r="BE173">
        <f>IF(BD173&lt;&gt;"",INDEX($AE$2:$AP$440,MATCH($AT173,$AS$2:$AS$440,0),COLUMNS($AT$2:BD173)),"")</f>
        <v>45</v>
      </c>
      <c r="BF173">
        <f>IF(BE173&lt;&gt;"",INDEX($AE$2:$AP$440,MATCH($AT173,$AS$2:$AS$440,0),COLUMNS($AT$2:BE173)),"")</f>
        <v>12</v>
      </c>
    </row>
    <row r="174" spans="1:58" x14ac:dyDescent="0.25">
      <c r="A174" s="3">
        <v>2008</v>
      </c>
      <c r="B174" s="3">
        <v>13</v>
      </c>
      <c r="C174" s="4" t="s">
        <v>33</v>
      </c>
      <c r="D174" s="3">
        <v>38</v>
      </c>
      <c r="E174" s="3">
        <v>11</v>
      </c>
      <c r="F174" s="3">
        <v>8</v>
      </c>
      <c r="G174" s="3">
        <v>19</v>
      </c>
      <c r="H174" s="3">
        <v>41</v>
      </c>
      <c r="I174" s="3">
        <v>53</v>
      </c>
      <c r="J174" s="3">
        <v>-12</v>
      </c>
      <c r="K174" s="3">
        <v>41</v>
      </c>
      <c r="L174" s="5">
        <f>IF(Table2[[#This Row],['#]]=1,"Champion", IF(Table2[[#This Row],['#]]&gt;=18,"Relegated",Table2[[#This Row],['#]]))</f>
        <v>13</v>
      </c>
      <c r="N174">
        <f>IF(COUNTIF($O$2:O174,O174)=1,N173+1,N173)</f>
        <v>34</v>
      </c>
      <c r="O174" s="4" t="str">
        <f>Table2[[#This Row],[Team]]</f>
        <v>Bolton Wanderers</v>
      </c>
      <c r="P174" s="1" t="str">
        <f>IFERROR(VLOOKUP(ROWS($O$2:O174),$N$2:$O$441,2,0),"")</f>
        <v/>
      </c>
      <c r="Q174" s="1" t="str">
        <f>IF(P174&lt;&gt;"",SUMPRODUCT(--(Table2[Team]=P174)),"")</f>
        <v/>
      </c>
      <c r="R174" s="11" t="str">
        <f>IF(Q174&lt;&gt;"",Q174+ROWS($Q$2:Q174)/100,"")</f>
        <v/>
      </c>
      <c r="S174" t="str">
        <f>IF(R174&lt;&gt;"",LARGE($R$2:$R$441,ROWS($R$2:R174)),"")</f>
        <v/>
      </c>
      <c r="T174" s="1" t="str">
        <f>IF(R174&lt;&gt;"",INDEX($P$2:$Q$441,MATCH($S174,$R$2:$R$441,0),COLUMNS($S$2:S174)),"")</f>
        <v/>
      </c>
      <c r="U174" s="1" t="str">
        <f>IF(S174&lt;&gt;"",INDEX($P$2:$Q$441,MATCH($S174,$R$2:$R$441,0),COLUMNS($S$2:T174)),"")</f>
        <v/>
      </c>
      <c r="AE174" s="1">
        <f>Table2[[#This Row],[Year]]</f>
        <v>2008</v>
      </c>
      <c r="AF174" s="1">
        <f>Table2[[#This Row],['#]]</f>
        <v>13</v>
      </c>
      <c r="AG174" s="1" t="str">
        <f>Table2[[#This Row],[Team]]</f>
        <v>Bolton Wanderers</v>
      </c>
      <c r="AH174" s="1">
        <f>Table2[[#This Row],[Pl]]</f>
        <v>38</v>
      </c>
      <c r="AI174" s="1">
        <f>Table2[[#This Row],[W]]</f>
        <v>11</v>
      </c>
      <c r="AJ174" s="1">
        <f>Table2[[#This Row],[D]]</f>
        <v>8</v>
      </c>
      <c r="AK174" s="1">
        <f>Table2[[#This Row],[L]]</f>
        <v>19</v>
      </c>
      <c r="AL174" s="1">
        <f>Table2[[#This Row],[F]]</f>
        <v>41</v>
      </c>
      <c r="AM174" s="1">
        <f>Table2[[#This Row],[A]]</f>
        <v>53</v>
      </c>
      <c r="AN174" s="1">
        <f>Table2[[#This Row],[GD]]</f>
        <v>-12</v>
      </c>
      <c r="AO174" s="1">
        <f>Table2[[#This Row],[Pts]]</f>
        <v>41</v>
      </c>
      <c r="AP174" s="1">
        <f>Table2[[#This Row],[Column1]]</f>
        <v>13</v>
      </c>
      <c r="AR174" t="b">
        <f t="shared" si="6"/>
        <v>1</v>
      </c>
      <c r="AS174">
        <f>IF(AR174,ROWS($AR$2:AR174),"")</f>
        <v>173</v>
      </c>
      <c r="AT174">
        <f>IFERROR(SMALL($AS$2:$AS$440,ROWS($AS$2:AS174)),"")</f>
        <v>173</v>
      </c>
      <c r="AU174">
        <f>IF(AT174&lt;&gt;"",INDEX($AE$2:$AP$440,MATCH($AT174,$AS$2:$AS$440,0),COLUMNS($AT$2:AT174)),"")</f>
        <v>2008</v>
      </c>
      <c r="AV174">
        <f>IF(AU174&lt;&gt;"",INDEX($AE$2:$AP$440,MATCH($AT174,$AS$2:$AS$440,0),COLUMNS($AT$2:AU174)),"")</f>
        <v>13</v>
      </c>
      <c r="AW174" t="str">
        <f>IF(AV174&lt;&gt;"",INDEX($AE$2:$AP$440,MATCH($AT174,$AS$2:$AS$440,0),COLUMNS($AT$2:AV174)),"")</f>
        <v>Bolton Wanderers</v>
      </c>
      <c r="AX174">
        <f>IF(AW174&lt;&gt;"",INDEX($AE$2:$AP$440,MATCH($AT174,$AS$2:$AS$440,0),COLUMNS($AT$2:AW174)),"")</f>
        <v>38</v>
      </c>
      <c r="AY174">
        <f>IF(AX174&lt;&gt;"",INDEX($AE$2:$AP$440,MATCH($AT174,$AS$2:$AS$440,0),COLUMNS($AT$2:AX174)),"")</f>
        <v>11</v>
      </c>
      <c r="AZ174">
        <f>IF(AY174&lt;&gt;"",INDEX($AE$2:$AP$440,MATCH($AT174,$AS$2:$AS$440,0),COLUMNS($AT$2:AY174)),"")</f>
        <v>8</v>
      </c>
      <c r="BA174">
        <f>IF(AZ174&lt;&gt;"",INDEX($AE$2:$AP$440,MATCH($AT174,$AS$2:$AS$440,0),COLUMNS($AT$2:AZ174)),"")</f>
        <v>19</v>
      </c>
      <c r="BB174">
        <f>IF(BA174&lt;&gt;"",INDEX($AE$2:$AP$440,MATCH($AT174,$AS$2:$AS$440,0),COLUMNS($AT$2:BA174)),"")</f>
        <v>41</v>
      </c>
      <c r="BC174">
        <f>IF(BB174&lt;&gt;"",INDEX($AE$2:$AP$440,MATCH($AT174,$AS$2:$AS$440,0),COLUMNS($AT$2:BB174)),"")</f>
        <v>53</v>
      </c>
      <c r="BD174">
        <f>IF(BC174&lt;&gt;"",INDEX($AE$2:$AP$440,MATCH($AT174,$AS$2:$AS$440,0),COLUMNS($AT$2:BC174)),"")</f>
        <v>-12</v>
      </c>
      <c r="BE174">
        <f>IF(BD174&lt;&gt;"",INDEX($AE$2:$AP$440,MATCH($AT174,$AS$2:$AS$440,0),COLUMNS($AT$2:BD174)),"")</f>
        <v>41</v>
      </c>
      <c r="BF174">
        <f>IF(BE174&lt;&gt;"",INDEX($AE$2:$AP$440,MATCH($AT174,$AS$2:$AS$440,0),COLUMNS($AT$2:BE174)),"")</f>
        <v>13</v>
      </c>
    </row>
    <row r="175" spans="1:58" x14ac:dyDescent="0.25">
      <c r="A175" s="5">
        <v>2008</v>
      </c>
      <c r="B175" s="5">
        <v>14</v>
      </c>
      <c r="C175" s="6" t="s">
        <v>36</v>
      </c>
      <c r="D175" s="5">
        <v>38</v>
      </c>
      <c r="E175" s="5">
        <v>10</v>
      </c>
      <c r="F175" s="5">
        <v>11</v>
      </c>
      <c r="G175" s="5">
        <v>17</v>
      </c>
      <c r="H175" s="5">
        <v>38</v>
      </c>
      <c r="I175" s="5">
        <v>57</v>
      </c>
      <c r="J175" s="5">
        <v>-19</v>
      </c>
      <c r="K175" s="5">
        <v>41</v>
      </c>
      <c r="L175" s="5">
        <f>IF(Table2[[#This Row],['#]]=1,"Champion", IF(Table2[[#This Row],['#]]&gt;=18,"Relegated",Table2[[#This Row],['#]]))</f>
        <v>14</v>
      </c>
      <c r="N175">
        <f>IF(COUNTIF($O$2:O175,O175)=1,N174+1,N174)</f>
        <v>34</v>
      </c>
      <c r="O175" s="4" t="str">
        <f>Table2[[#This Row],[Team]]</f>
        <v>Portsmouth</v>
      </c>
      <c r="P175" s="1" t="str">
        <f>IFERROR(VLOOKUP(ROWS($O$2:O175),$N$2:$O$441,2,0),"")</f>
        <v/>
      </c>
      <c r="Q175" s="1" t="str">
        <f>IF(P175&lt;&gt;"",SUMPRODUCT(--(Table2[Team]=P175)),"")</f>
        <v/>
      </c>
      <c r="R175" s="11" t="str">
        <f>IF(Q175&lt;&gt;"",Q175+ROWS($Q$2:Q175)/100,"")</f>
        <v/>
      </c>
      <c r="S175" t="str">
        <f>IF(R175&lt;&gt;"",LARGE($R$2:$R$441,ROWS($R$2:R175)),"")</f>
        <v/>
      </c>
      <c r="T175" s="1" t="str">
        <f>IF(R175&lt;&gt;"",INDEX($P$2:$Q$441,MATCH($S175,$R$2:$R$441,0),COLUMNS($S$2:S175)),"")</f>
        <v/>
      </c>
      <c r="U175" s="1" t="str">
        <f>IF(S175&lt;&gt;"",INDEX($P$2:$Q$441,MATCH($S175,$R$2:$R$441,0),COLUMNS($S$2:T175)),"")</f>
        <v/>
      </c>
      <c r="AE175" s="1">
        <f>Table2[[#This Row],[Year]]</f>
        <v>2008</v>
      </c>
      <c r="AF175" s="1">
        <f>Table2[[#This Row],['#]]</f>
        <v>14</v>
      </c>
      <c r="AG175" s="1" t="str">
        <f>Table2[[#This Row],[Team]]</f>
        <v>Portsmouth</v>
      </c>
      <c r="AH175" s="1">
        <f>Table2[[#This Row],[Pl]]</f>
        <v>38</v>
      </c>
      <c r="AI175" s="1">
        <f>Table2[[#This Row],[W]]</f>
        <v>10</v>
      </c>
      <c r="AJ175" s="1">
        <f>Table2[[#This Row],[D]]</f>
        <v>11</v>
      </c>
      <c r="AK175" s="1">
        <f>Table2[[#This Row],[L]]</f>
        <v>17</v>
      </c>
      <c r="AL175" s="1">
        <f>Table2[[#This Row],[F]]</f>
        <v>38</v>
      </c>
      <c r="AM175" s="1">
        <f>Table2[[#This Row],[A]]</f>
        <v>57</v>
      </c>
      <c r="AN175" s="1">
        <f>Table2[[#This Row],[GD]]</f>
        <v>-19</v>
      </c>
      <c r="AO175" s="1">
        <f>Table2[[#This Row],[Pts]]</f>
        <v>41</v>
      </c>
      <c r="AP175" s="1">
        <f>Table2[[#This Row],[Column1]]</f>
        <v>14</v>
      </c>
      <c r="AR175" t="b">
        <f t="shared" si="6"/>
        <v>1</v>
      </c>
      <c r="AS175">
        <f>IF(AR175,ROWS($AR$2:AR175),"")</f>
        <v>174</v>
      </c>
      <c r="AT175">
        <f>IFERROR(SMALL($AS$2:$AS$440,ROWS($AS$2:AS175)),"")</f>
        <v>174</v>
      </c>
      <c r="AU175">
        <f>IF(AT175&lt;&gt;"",INDEX($AE$2:$AP$440,MATCH($AT175,$AS$2:$AS$440,0),COLUMNS($AT$2:AT175)),"")</f>
        <v>2008</v>
      </c>
      <c r="AV175">
        <f>IF(AU175&lt;&gt;"",INDEX($AE$2:$AP$440,MATCH($AT175,$AS$2:$AS$440,0),COLUMNS($AT$2:AU175)),"")</f>
        <v>14</v>
      </c>
      <c r="AW175" t="str">
        <f>IF(AV175&lt;&gt;"",INDEX($AE$2:$AP$440,MATCH($AT175,$AS$2:$AS$440,0),COLUMNS($AT$2:AV175)),"")</f>
        <v>Portsmouth</v>
      </c>
      <c r="AX175">
        <f>IF(AW175&lt;&gt;"",INDEX($AE$2:$AP$440,MATCH($AT175,$AS$2:$AS$440,0),COLUMNS($AT$2:AW175)),"")</f>
        <v>38</v>
      </c>
      <c r="AY175">
        <f>IF(AX175&lt;&gt;"",INDEX($AE$2:$AP$440,MATCH($AT175,$AS$2:$AS$440,0),COLUMNS($AT$2:AX175)),"")</f>
        <v>10</v>
      </c>
      <c r="AZ175">
        <f>IF(AY175&lt;&gt;"",INDEX($AE$2:$AP$440,MATCH($AT175,$AS$2:$AS$440,0),COLUMNS($AT$2:AY175)),"")</f>
        <v>11</v>
      </c>
      <c r="BA175">
        <f>IF(AZ175&lt;&gt;"",INDEX($AE$2:$AP$440,MATCH($AT175,$AS$2:$AS$440,0),COLUMNS($AT$2:AZ175)),"")</f>
        <v>17</v>
      </c>
      <c r="BB175">
        <f>IF(BA175&lt;&gt;"",INDEX($AE$2:$AP$440,MATCH($AT175,$AS$2:$AS$440,0),COLUMNS($AT$2:BA175)),"")</f>
        <v>38</v>
      </c>
      <c r="BC175">
        <f>IF(BB175&lt;&gt;"",INDEX($AE$2:$AP$440,MATCH($AT175,$AS$2:$AS$440,0),COLUMNS($AT$2:BB175)),"")</f>
        <v>57</v>
      </c>
      <c r="BD175">
        <f>IF(BC175&lt;&gt;"",INDEX($AE$2:$AP$440,MATCH($AT175,$AS$2:$AS$440,0),COLUMNS($AT$2:BC175)),"")</f>
        <v>-19</v>
      </c>
      <c r="BE175">
        <f>IF(BD175&lt;&gt;"",INDEX($AE$2:$AP$440,MATCH($AT175,$AS$2:$AS$440,0),COLUMNS($AT$2:BD175)),"")</f>
        <v>41</v>
      </c>
      <c r="BF175">
        <f>IF(BE175&lt;&gt;"",INDEX($AE$2:$AP$440,MATCH($AT175,$AS$2:$AS$440,0),COLUMNS($AT$2:BE175)),"")</f>
        <v>14</v>
      </c>
    </row>
    <row r="176" spans="1:58" x14ac:dyDescent="0.25">
      <c r="A176" s="3">
        <v>2008</v>
      </c>
      <c r="B176" s="3">
        <v>15</v>
      </c>
      <c r="C176" s="4" t="s">
        <v>31</v>
      </c>
      <c r="D176" s="3">
        <v>38</v>
      </c>
      <c r="E176" s="3">
        <v>10</v>
      </c>
      <c r="F176" s="3">
        <v>11</v>
      </c>
      <c r="G176" s="3">
        <v>17</v>
      </c>
      <c r="H176" s="3">
        <v>40</v>
      </c>
      <c r="I176" s="3">
        <v>60</v>
      </c>
      <c r="J176" s="3">
        <v>-20</v>
      </c>
      <c r="K176" s="3">
        <v>41</v>
      </c>
      <c r="L176" s="5">
        <f>IF(Table2[[#This Row],['#]]=1,"Champion", IF(Table2[[#This Row],['#]]&gt;=18,"Relegated",Table2[[#This Row],['#]]))</f>
        <v>15</v>
      </c>
      <c r="N176">
        <f>IF(COUNTIF($O$2:O176,O176)=1,N175+1,N175)</f>
        <v>34</v>
      </c>
      <c r="O176" s="4" t="str">
        <f>Table2[[#This Row],[Team]]</f>
        <v>Blackburn Rovers</v>
      </c>
      <c r="P176" s="1" t="str">
        <f>IFERROR(VLOOKUP(ROWS($O$2:O176),$N$2:$O$441,2,0),"")</f>
        <v/>
      </c>
      <c r="Q176" s="1" t="str">
        <f>IF(P176&lt;&gt;"",SUMPRODUCT(--(Table2[Team]=P176)),"")</f>
        <v/>
      </c>
      <c r="R176" s="11" t="str">
        <f>IF(Q176&lt;&gt;"",Q176+ROWS($Q$2:Q176)/100,"")</f>
        <v/>
      </c>
      <c r="S176" t="str">
        <f>IF(R176&lt;&gt;"",LARGE($R$2:$R$441,ROWS($R$2:R176)),"")</f>
        <v/>
      </c>
      <c r="T176" s="1" t="str">
        <f>IF(R176&lt;&gt;"",INDEX($P$2:$Q$441,MATCH($S176,$R$2:$R$441,0),COLUMNS($S$2:S176)),"")</f>
        <v/>
      </c>
      <c r="U176" s="1" t="str">
        <f>IF(S176&lt;&gt;"",INDEX($P$2:$Q$441,MATCH($S176,$R$2:$R$441,0),COLUMNS($S$2:T176)),"")</f>
        <v/>
      </c>
      <c r="AE176" s="1">
        <f>Table2[[#This Row],[Year]]</f>
        <v>2008</v>
      </c>
      <c r="AF176" s="1">
        <f>Table2[[#This Row],['#]]</f>
        <v>15</v>
      </c>
      <c r="AG176" s="1" t="str">
        <f>Table2[[#This Row],[Team]]</f>
        <v>Blackburn Rovers</v>
      </c>
      <c r="AH176" s="1">
        <f>Table2[[#This Row],[Pl]]</f>
        <v>38</v>
      </c>
      <c r="AI176" s="1">
        <f>Table2[[#This Row],[W]]</f>
        <v>10</v>
      </c>
      <c r="AJ176" s="1">
        <f>Table2[[#This Row],[D]]</f>
        <v>11</v>
      </c>
      <c r="AK176" s="1">
        <f>Table2[[#This Row],[L]]</f>
        <v>17</v>
      </c>
      <c r="AL176" s="1">
        <f>Table2[[#This Row],[F]]</f>
        <v>40</v>
      </c>
      <c r="AM176" s="1">
        <f>Table2[[#This Row],[A]]</f>
        <v>60</v>
      </c>
      <c r="AN176" s="1">
        <f>Table2[[#This Row],[GD]]</f>
        <v>-20</v>
      </c>
      <c r="AO176" s="1">
        <f>Table2[[#This Row],[Pts]]</f>
        <v>41</v>
      </c>
      <c r="AP176" s="1">
        <f>Table2[[#This Row],[Column1]]</f>
        <v>15</v>
      </c>
      <c r="AR176" t="b">
        <f t="shared" si="6"/>
        <v>1</v>
      </c>
      <c r="AS176">
        <f>IF(AR176,ROWS($AR$2:AR176),"")</f>
        <v>175</v>
      </c>
      <c r="AT176">
        <f>IFERROR(SMALL($AS$2:$AS$440,ROWS($AS$2:AS176)),"")</f>
        <v>175</v>
      </c>
      <c r="AU176">
        <f>IF(AT176&lt;&gt;"",INDEX($AE$2:$AP$440,MATCH($AT176,$AS$2:$AS$440,0),COLUMNS($AT$2:AT176)),"")</f>
        <v>2008</v>
      </c>
      <c r="AV176">
        <f>IF(AU176&lt;&gt;"",INDEX($AE$2:$AP$440,MATCH($AT176,$AS$2:$AS$440,0),COLUMNS($AT$2:AU176)),"")</f>
        <v>15</v>
      </c>
      <c r="AW176" t="str">
        <f>IF(AV176&lt;&gt;"",INDEX($AE$2:$AP$440,MATCH($AT176,$AS$2:$AS$440,0),COLUMNS($AT$2:AV176)),"")</f>
        <v>Blackburn Rovers</v>
      </c>
      <c r="AX176">
        <f>IF(AW176&lt;&gt;"",INDEX($AE$2:$AP$440,MATCH($AT176,$AS$2:$AS$440,0),COLUMNS($AT$2:AW176)),"")</f>
        <v>38</v>
      </c>
      <c r="AY176">
        <f>IF(AX176&lt;&gt;"",INDEX($AE$2:$AP$440,MATCH($AT176,$AS$2:$AS$440,0),COLUMNS($AT$2:AX176)),"")</f>
        <v>10</v>
      </c>
      <c r="AZ176">
        <f>IF(AY176&lt;&gt;"",INDEX($AE$2:$AP$440,MATCH($AT176,$AS$2:$AS$440,0),COLUMNS($AT$2:AY176)),"")</f>
        <v>11</v>
      </c>
      <c r="BA176">
        <f>IF(AZ176&lt;&gt;"",INDEX($AE$2:$AP$440,MATCH($AT176,$AS$2:$AS$440,0),COLUMNS($AT$2:AZ176)),"")</f>
        <v>17</v>
      </c>
      <c r="BB176">
        <f>IF(BA176&lt;&gt;"",INDEX($AE$2:$AP$440,MATCH($AT176,$AS$2:$AS$440,0),COLUMNS($AT$2:BA176)),"")</f>
        <v>40</v>
      </c>
      <c r="BC176">
        <f>IF(BB176&lt;&gt;"",INDEX($AE$2:$AP$440,MATCH($AT176,$AS$2:$AS$440,0),COLUMNS($AT$2:BB176)),"")</f>
        <v>60</v>
      </c>
      <c r="BD176">
        <f>IF(BC176&lt;&gt;"",INDEX($AE$2:$AP$440,MATCH($AT176,$AS$2:$AS$440,0),COLUMNS($AT$2:BC176)),"")</f>
        <v>-20</v>
      </c>
      <c r="BE176">
        <f>IF(BD176&lt;&gt;"",INDEX($AE$2:$AP$440,MATCH($AT176,$AS$2:$AS$440,0),COLUMNS($AT$2:BD176)),"")</f>
        <v>41</v>
      </c>
      <c r="BF176">
        <f>IF(BE176&lt;&gt;"",INDEX($AE$2:$AP$440,MATCH($AT176,$AS$2:$AS$440,0),COLUMNS($AT$2:BE176)),"")</f>
        <v>15</v>
      </c>
    </row>
    <row r="177" spans="1:58" x14ac:dyDescent="0.25">
      <c r="A177" s="5">
        <v>2008</v>
      </c>
      <c r="B177" s="5">
        <v>16</v>
      </c>
      <c r="C177" s="6" t="s">
        <v>17</v>
      </c>
      <c r="D177" s="5">
        <v>38</v>
      </c>
      <c r="E177" s="5">
        <v>9</v>
      </c>
      <c r="F177" s="5">
        <v>9</v>
      </c>
      <c r="G177" s="5">
        <v>20</v>
      </c>
      <c r="H177" s="5">
        <v>34</v>
      </c>
      <c r="I177" s="5">
        <v>54</v>
      </c>
      <c r="J177" s="5">
        <v>-20</v>
      </c>
      <c r="K177" s="5">
        <v>36</v>
      </c>
      <c r="L177" s="5">
        <f>IF(Table2[[#This Row],['#]]=1,"Champion", IF(Table2[[#This Row],['#]]&gt;=18,"Relegated",Table2[[#This Row],['#]]))</f>
        <v>16</v>
      </c>
      <c r="N177">
        <f>IF(COUNTIF($O$2:O177,O177)=1,N176+1,N176)</f>
        <v>34</v>
      </c>
      <c r="O177" s="4" t="str">
        <f>Table2[[#This Row],[Team]]</f>
        <v>Sunderland</v>
      </c>
      <c r="P177" s="1" t="str">
        <f>IFERROR(VLOOKUP(ROWS($O$2:O177),$N$2:$O$441,2,0),"")</f>
        <v/>
      </c>
      <c r="Q177" s="1" t="str">
        <f>IF(P177&lt;&gt;"",SUMPRODUCT(--(Table2[Team]=P177)),"")</f>
        <v/>
      </c>
      <c r="R177" s="11" t="str">
        <f>IF(Q177&lt;&gt;"",Q177+ROWS($Q$2:Q177)/100,"")</f>
        <v/>
      </c>
      <c r="S177" t="str">
        <f>IF(R177&lt;&gt;"",LARGE($R$2:$R$441,ROWS($R$2:R177)),"")</f>
        <v/>
      </c>
      <c r="T177" s="1" t="str">
        <f>IF(R177&lt;&gt;"",INDEX($P$2:$Q$441,MATCH($S177,$R$2:$R$441,0),COLUMNS($S$2:S177)),"")</f>
        <v/>
      </c>
      <c r="U177" s="1" t="str">
        <f>IF(S177&lt;&gt;"",INDEX($P$2:$Q$441,MATCH($S177,$R$2:$R$441,0),COLUMNS($S$2:T177)),"")</f>
        <v/>
      </c>
      <c r="AE177" s="1">
        <f>Table2[[#This Row],[Year]]</f>
        <v>2008</v>
      </c>
      <c r="AF177" s="1">
        <f>Table2[[#This Row],['#]]</f>
        <v>16</v>
      </c>
      <c r="AG177" s="1" t="str">
        <f>Table2[[#This Row],[Team]]</f>
        <v>Sunderland</v>
      </c>
      <c r="AH177" s="1">
        <f>Table2[[#This Row],[Pl]]</f>
        <v>38</v>
      </c>
      <c r="AI177" s="1">
        <f>Table2[[#This Row],[W]]</f>
        <v>9</v>
      </c>
      <c r="AJ177" s="1">
        <f>Table2[[#This Row],[D]]</f>
        <v>9</v>
      </c>
      <c r="AK177" s="1">
        <f>Table2[[#This Row],[L]]</f>
        <v>20</v>
      </c>
      <c r="AL177" s="1">
        <f>Table2[[#This Row],[F]]</f>
        <v>34</v>
      </c>
      <c r="AM177" s="1">
        <f>Table2[[#This Row],[A]]</f>
        <v>54</v>
      </c>
      <c r="AN177" s="1">
        <f>Table2[[#This Row],[GD]]</f>
        <v>-20</v>
      </c>
      <c r="AO177" s="1">
        <f>Table2[[#This Row],[Pts]]</f>
        <v>36</v>
      </c>
      <c r="AP177" s="1">
        <f>Table2[[#This Row],[Column1]]</f>
        <v>16</v>
      </c>
      <c r="AR177" t="b">
        <f t="shared" si="6"/>
        <v>1</v>
      </c>
      <c r="AS177">
        <f>IF(AR177,ROWS($AR$2:AR177),"")</f>
        <v>176</v>
      </c>
      <c r="AT177">
        <f>IFERROR(SMALL($AS$2:$AS$440,ROWS($AS$2:AS177)),"")</f>
        <v>176</v>
      </c>
      <c r="AU177">
        <f>IF(AT177&lt;&gt;"",INDEX($AE$2:$AP$440,MATCH($AT177,$AS$2:$AS$440,0),COLUMNS($AT$2:AT177)),"")</f>
        <v>2008</v>
      </c>
      <c r="AV177">
        <f>IF(AU177&lt;&gt;"",INDEX($AE$2:$AP$440,MATCH($AT177,$AS$2:$AS$440,0),COLUMNS($AT$2:AU177)),"")</f>
        <v>16</v>
      </c>
      <c r="AW177" t="str">
        <f>IF(AV177&lt;&gt;"",INDEX($AE$2:$AP$440,MATCH($AT177,$AS$2:$AS$440,0),COLUMNS($AT$2:AV177)),"")</f>
        <v>Sunderland</v>
      </c>
      <c r="AX177">
        <f>IF(AW177&lt;&gt;"",INDEX($AE$2:$AP$440,MATCH($AT177,$AS$2:$AS$440,0),COLUMNS($AT$2:AW177)),"")</f>
        <v>38</v>
      </c>
      <c r="AY177">
        <f>IF(AX177&lt;&gt;"",INDEX($AE$2:$AP$440,MATCH($AT177,$AS$2:$AS$440,0),COLUMNS($AT$2:AX177)),"")</f>
        <v>9</v>
      </c>
      <c r="AZ177">
        <f>IF(AY177&lt;&gt;"",INDEX($AE$2:$AP$440,MATCH($AT177,$AS$2:$AS$440,0),COLUMNS($AT$2:AY177)),"")</f>
        <v>9</v>
      </c>
      <c r="BA177">
        <f>IF(AZ177&lt;&gt;"",INDEX($AE$2:$AP$440,MATCH($AT177,$AS$2:$AS$440,0),COLUMNS($AT$2:AZ177)),"")</f>
        <v>20</v>
      </c>
      <c r="BB177">
        <f>IF(BA177&lt;&gt;"",INDEX($AE$2:$AP$440,MATCH($AT177,$AS$2:$AS$440,0),COLUMNS($AT$2:BA177)),"")</f>
        <v>34</v>
      </c>
      <c r="BC177">
        <f>IF(BB177&lt;&gt;"",INDEX($AE$2:$AP$440,MATCH($AT177,$AS$2:$AS$440,0),COLUMNS($AT$2:BB177)),"")</f>
        <v>54</v>
      </c>
      <c r="BD177">
        <f>IF(BC177&lt;&gt;"",INDEX($AE$2:$AP$440,MATCH($AT177,$AS$2:$AS$440,0),COLUMNS($AT$2:BC177)),"")</f>
        <v>-20</v>
      </c>
      <c r="BE177">
        <f>IF(BD177&lt;&gt;"",INDEX($AE$2:$AP$440,MATCH($AT177,$AS$2:$AS$440,0),COLUMNS($AT$2:BD177)),"")</f>
        <v>36</v>
      </c>
      <c r="BF177">
        <f>IF(BE177&lt;&gt;"",INDEX($AE$2:$AP$440,MATCH($AT177,$AS$2:$AS$440,0),COLUMNS($AT$2:BE177)),"")</f>
        <v>16</v>
      </c>
    </row>
    <row r="178" spans="1:58" x14ac:dyDescent="0.25">
      <c r="A178" s="3">
        <v>2008</v>
      </c>
      <c r="B178" s="3">
        <v>17</v>
      </c>
      <c r="C178" s="4" t="s">
        <v>45</v>
      </c>
      <c r="D178" s="3">
        <v>38</v>
      </c>
      <c r="E178" s="3">
        <v>8</v>
      </c>
      <c r="F178" s="3">
        <v>11</v>
      </c>
      <c r="G178" s="3">
        <v>19</v>
      </c>
      <c r="H178" s="3">
        <v>39</v>
      </c>
      <c r="I178" s="3">
        <v>64</v>
      </c>
      <c r="J178" s="3">
        <v>-25</v>
      </c>
      <c r="K178" s="3">
        <v>35</v>
      </c>
      <c r="L178" s="5">
        <f>IF(Table2[[#This Row],['#]]=1,"Champion", IF(Table2[[#This Row],['#]]&gt;=18,"Relegated",Table2[[#This Row],['#]]))</f>
        <v>17</v>
      </c>
      <c r="N178">
        <f>IF(COUNTIF($O$2:O178,O178)=1,N177+1,N177)</f>
        <v>35</v>
      </c>
      <c r="O178" s="4" t="str">
        <f>Table2[[#This Row],[Team]]</f>
        <v>Hull City</v>
      </c>
      <c r="P178" s="1" t="str">
        <f>IFERROR(VLOOKUP(ROWS($O$2:O178),$N$2:$O$441,2,0),"")</f>
        <v/>
      </c>
      <c r="Q178" s="1" t="str">
        <f>IF(P178&lt;&gt;"",SUMPRODUCT(--(Table2[Team]=P178)),"")</f>
        <v/>
      </c>
      <c r="R178" s="11" t="str">
        <f>IF(Q178&lt;&gt;"",Q178+ROWS($Q$2:Q178)/100,"")</f>
        <v/>
      </c>
      <c r="S178" t="str">
        <f>IF(R178&lt;&gt;"",LARGE($R$2:$R$441,ROWS($R$2:R178)),"")</f>
        <v/>
      </c>
      <c r="T178" s="1" t="str">
        <f>IF(R178&lt;&gt;"",INDEX($P$2:$Q$441,MATCH($S178,$R$2:$R$441,0),COLUMNS($S$2:S178)),"")</f>
        <v/>
      </c>
      <c r="U178" s="1" t="str">
        <f>IF(S178&lt;&gt;"",INDEX($P$2:$Q$441,MATCH($S178,$R$2:$R$441,0),COLUMNS($S$2:T178)),"")</f>
        <v/>
      </c>
      <c r="AE178" s="1">
        <f>Table2[[#This Row],[Year]]</f>
        <v>2008</v>
      </c>
      <c r="AF178" s="1">
        <f>Table2[[#This Row],['#]]</f>
        <v>17</v>
      </c>
      <c r="AG178" s="1" t="str">
        <f>Table2[[#This Row],[Team]]</f>
        <v>Hull City</v>
      </c>
      <c r="AH178" s="1">
        <f>Table2[[#This Row],[Pl]]</f>
        <v>38</v>
      </c>
      <c r="AI178" s="1">
        <f>Table2[[#This Row],[W]]</f>
        <v>8</v>
      </c>
      <c r="AJ178" s="1">
        <f>Table2[[#This Row],[D]]</f>
        <v>11</v>
      </c>
      <c r="AK178" s="1">
        <f>Table2[[#This Row],[L]]</f>
        <v>19</v>
      </c>
      <c r="AL178" s="1">
        <f>Table2[[#This Row],[F]]</f>
        <v>39</v>
      </c>
      <c r="AM178" s="1">
        <f>Table2[[#This Row],[A]]</f>
        <v>64</v>
      </c>
      <c r="AN178" s="1">
        <f>Table2[[#This Row],[GD]]</f>
        <v>-25</v>
      </c>
      <c r="AO178" s="1">
        <f>Table2[[#This Row],[Pts]]</f>
        <v>35</v>
      </c>
      <c r="AP178" s="1">
        <f>Table2[[#This Row],[Column1]]</f>
        <v>17</v>
      </c>
      <c r="AR178" t="b">
        <f t="shared" si="6"/>
        <v>1</v>
      </c>
      <c r="AS178">
        <f>IF(AR178,ROWS($AR$2:AR178),"")</f>
        <v>177</v>
      </c>
      <c r="AT178">
        <f>IFERROR(SMALL($AS$2:$AS$440,ROWS($AS$2:AS178)),"")</f>
        <v>177</v>
      </c>
      <c r="AU178">
        <f>IF(AT178&lt;&gt;"",INDEX($AE$2:$AP$440,MATCH($AT178,$AS$2:$AS$440,0),COLUMNS($AT$2:AT178)),"")</f>
        <v>2008</v>
      </c>
      <c r="AV178">
        <f>IF(AU178&lt;&gt;"",INDEX($AE$2:$AP$440,MATCH($AT178,$AS$2:$AS$440,0),COLUMNS($AT$2:AU178)),"")</f>
        <v>17</v>
      </c>
      <c r="AW178" t="str">
        <f>IF(AV178&lt;&gt;"",INDEX($AE$2:$AP$440,MATCH($AT178,$AS$2:$AS$440,0),COLUMNS($AT$2:AV178)),"")</f>
        <v>Hull City</v>
      </c>
      <c r="AX178">
        <f>IF(AW178&lt;&gt;"",INDEX($AE$2:$AP$440,MATCH($AT178,$AS$2:$AS$440,0),COLUMNS($AT$2:AW178)),"")</f>
        <v>38</v>
      </c>
      <c r="AY178">
        <f>IF(AX178&lt;&gt;"",INDEX($AE$2:$AP$440,MATCH($AT178,$AS$2:$AS$440,0),COLUMNS($AT$2:AX178)),"")</f>
        <v>8</v>
      </c>
      <c r="AZ178">
        <f>IF(AY178&lt;&gt;"",INDEX($AE$2:$AP$440,MATCH($AT178,$AS$2:$AS$440,0),COLUMNS($AT$2:AY178)),"")</f>
        <v>11</v>
      </c>
      <c r="BA178">
        <f>IF(AZ178&lt;&gt;"",INDEX($AE$2:$AP$440,MATCH($AT178,$AS$2:$AS$440,0),COLUMNS($AT$2:AZ178)),"")</f>
        <v>19</v>
      </c>
      <c r="BB178">
        <f>IF(BA178&lt;&gt;"",INDEX($AE$2:$AP$440,MATCH($AT178,$AS$2:$AS$440,0),COLUMNS($AT$2:BA178)),"")</f>
        <v>39</v>
      </c>
      <c r="BC178">
        <f>IF(BB178&lt;&gt;"",INDEX($AE$2:$AP$440,MATCH($AT178,$AS$2:$AS$440,0),COLUMNS($AT$2:BB178)),"")</f>
        <v>64</v>
      </c>
      <c r="BD178">
        <f>IF(BC178&lt;&gt;"",INDEX($AE$2:$AP$440,MATCH($AT178,$AS$2:$AS$440,0),COLUMNS($AT$2:BC178)),"")</f>
        <v>-25</v>
      </c>
      <c r="BE178">
        <f>IF(BD178&lt;&gt;"",INDEX($AE$2:$AP$440,MATCH($AT178,$AS$2:$AS$440,0),COLUMNS($AT$2:BD178)),"")</f>
        <v>35</v>
      </c>
      <c r="BF178">
        <f>IF(BE178&lt;&gt;"",INDEX($AE$2:$AP$440,MATCH($AT178,$AS$2:$AS$440,0),COLUMNS($AT$2:BE178)),"")</f>
        <v>17</v>
      </c>
    </row>
    <row r="179" spans="1:58" x14ac:dyDescent="0.25">
      <c r="A179" s="5">
        <v>2008</v>
      </c>
      <c r="B179" s="5">
        <v>18</v>
      </c>
      <c r="C179" s="6" t="s">
        <v>21</v>
      </c>
      <c r="D179" s="5">
        <v>38</v>
      </c>
      <c r="E179" s="5">
        <v>7</v>
      </c>
      <c r="F179" s="5">
        <v>13</v>
      </c>
      <c r="G179" s="5">
        <v>18</v>
      </c>
      <c r="H179" s="5">
        <v>40</v>
      </c>
      <c r="I179" s="5">
        <v>59</v>
      </c>
      <c r="J179" s="5">
        <v>-19</v>
      </c>
      <c r="K179" s="5">
        <v>34</v>
      </c>
      <c r="L179" s="5" t="str">
        <f>IF(Table2[[#This Row],['#]]=1,"Champion", IF(Table2[[#This Row],['#]]&gt;=18,"Relegated",Table2[[#This Row],['#]]))</f>
        <v>Relegated</v>
      </c>
      <c r="N179">
        <f>IF(COUNTIF($O$2:O179,O179)=1,N178+1,N178)</f>
        <v>35</v>
      </c>
      <c r="O179" s="4" t="str">
        <f>Table2[[#This Row],[Team]]</f>
        <v>Newcastle United</v>
      </c>
      <c r="P179" s="1" t="str">
        <f>IFERROR(VLOOKUP(ROWS($O$2:O179),$N$2:$O$441,2,0),"")</f>
        <v/>
      </c>
      <c r="Q179" s="1" t="str">
        <f>IF(P179&lt;&gt;"",SUMPRODUCT(--(Table2[Team]=P179)),"")</f>
        <v/>
      </c>
      <c r="R179" s="11" t="str">
        <f>IF(Q179&lt;&gt;"",Q179+ROWS($Q$2:Q179)/100,"")</f>
        <v/>
      </c>
      <c r="S179" t="str">
        <f>IF(R179&lt;&gt;"",LARGE($R$2:$R$441,ROWS($R$2:R179)),"")</f>
        <v/>
      </c>
      <c r="T179" s="1" t="str">
        <f>IF(R179&lt;&gt;"",INDEX($P$2:$Q$441,MATCH($S179,$R$2:$R$441,0),COLUMNS($S$2:S179)),"")</f>
        <v/>
      </c>
      <c r="U179" s="1" t="str">
        <f>IF(S179&lt;&gt;"",INDEX($P$2:$Q$441,MATCH($S179,$R$2:$R$441,0),COLUMNS($S$2:T179)),"")</f>
        <v/>
      </c>
      <c r="AE179" s="1">
        <f>Table2[[#This Row],[Year]]</f>
        <v>2008</v>
      </c>
      <c r="AF179" s="1">
        <f>Table2[[#This Row],['#]]</f>
        <v>18</v>
      </c>
      <c r="AG179" s="1" t="str">
        <f>Table2[[#This Row],[Team]]</f>
        <v>Newcastle United</v>
      </c>
      <c r="AH179" s="1">
        <f>Table2[[#This Row],[Pl]]</f>
        <v>38</v>
      </c>
      <c r="AI179" s="1">
        <f>Table2[[#This Row],[W]]</f>
        <v>7</v>
      </c>
      <c r="AJ179" s="1">
        <f>Table2[[#This Row],[D]]</f>
        <v>13</v>
      </c>
      <c r="AK179" s="1">
        <f>Table2[[#This Row],[L]]</f>
        <v>18</v>
      </c>
      <c r="AL179" s="1">
        <f>Table2[[#This Row],[F]]</f>
        <v>40</v>
      </c>
      <c r="AM179" s="1">
        <f>Table2[[#This Row],[A]]</f>
        <v>59</v>
      </c>
      <c r="AN179" s="1">
        <f>Table2[[#This Row],[GD]]</f>
        <v>-19</v>
      </c>
      <c r="AO179" s="1">
        <f>Table2[[#This Row],[Pts]]</f>
        <v>34</v>
      </c>
      <c r="AP179" s="1" t="str">
        <f>Table2[[#This Row],[Column1]]</f>
        <v>Relegated</v>
      </c>
      <c r="AR179" t="b">
        <f t="shared" si="6"/>
        <v>1</v>
      </c>
      <c r="AS179">
        <f>IF(AR179,ROWS($AR$2:AR179),"")</f>
        <v>178</v>
      </c>
      <c r="AT179">
        <f>IFERROR(SMALL($AS$2:$AS$440,ROWS($AS$2:AS179)),"")</f>
        <v>178</v>
      </c>
      <c r="AU179">
        <f>IF(AT179&lt;&gt;"",INDEX($AE$2:$AP$440,MATCH($AT179,$AS$2:$AS$440,0),COLUMNS($AT$2:AT179)),"")</f>
        <v>2008</v>
      </c>
      <c r="AV179">
        <f>IF(AU179&lt;&gt;"",INDEX($AE$2:$AP$440,MATCH($AT179,$AS$2:$AS$440,0),COLUMNS($AT$2:AU179)),"")</f>
        <v>18</v>
      </c>
      <c r="AW179" t="str">
        <f>IF(AV179&lt;&gt;"",INDEX($AE$2:$AP$440,MATCH($AT179,$AS$2:$AS$440,0),COLUMNS($AT$2:AV179)),"")</f>
        <v>Newcastle United</v>
      </c>
      <c r="AX179">
        <f>IF(AW179&lt;&gt;"",INDEX($AE$2:$AP$440,MATCH($AT179,$AS$2:$AS$440,0),COLUMNS($AT$2:AW179)),"")</f>
        <v>38</v>
      </c>
      <c r="AY179">
        <f>IF(AX179&lt;&gt;"",INDEX($AE$2:$AP$440,MATCH($AT179,$AS$2:$AS$440,0),COLUMNS($AT$2:AX179)),"")</f>
        <v>7</v>
      </c>
      <c r="AZ179">
        <f>IF(AY179&lt;&gt;"",INDEX($AE$2:$AP$440,MATCH($AT179,$AS$2:$AS$440,0),COLUMNS($AT$2:AY179)),"")</f>
        <v>13</v>
      </c>
      <c r="BA179">
        <f>IF(AZ179&lt;&gt;"",INDEX($AE$2:$AP$440,MATCH($AT179,$AS$2:$AS$440,0),COLUMNS($AT$2:AZ179)),"")</f>
        <v>18</v>
      </c>
      <c r="BB179">
        <f>IF(BA179&lt;&gt;"",INDEX($AE$2:$AP$440,MATCH($AT179,$AS$2:$AS$440,0),COLUMNS($AT$2:BA179)),"")</f>
        <v>40</v>
      </c>
      <c r="BC179">
        <f>IF(BB179&lt;&gt;"",INDEX($AE$2:$AP$440,MATCH($AT179,$AS$2:$AS$440,0),COLUMNS($AT$2:BB179)),"")</f>
        <v>59</v>
      </c>
      <c r="BD179">
        <f>IF(BC179&lt;&gt;"",INDEX($AE$2:$AP$440,MATCH($AT179,$AS$2:$AS$440,0),COLUMNS($AT$2:BC179)),"")</f>
        <v>-19</v>
      </c>
      <c r="BE179">
        <f>IF(BD179&lt;&gt;"",INDEX($AE$2:$AP$440,MATCH($AT179,$AS$2:$AS$440,0),COLUMNS($AT$2:BD179)),"")</f>
        <v>34</v>
      </c>
      <c r="BF179" t="str">
        <f>IF(BE179&lt;&gt;"",INDEX($AE$2:$AP$440,MATCH($AT179,$AS$2:$AS$440,0),COLUMNS($AT$2:BE179)),"")</f>
        <v>Relegated</v>
      </c>
    </row>
    <row r="180" spans="1:58" x14ac:dyDescent="0.25">
      <c r="A180" s="3">
        <v>2008</v>
      </c>
      <c r="B180" s="3">
        <v>19</v>
      </c>
      <c r="C180" s="4" t="s">
        <v>24</v>
      </c>
      <c r="D180" s="3">
        <v>38</v>
      </c>
      <c r="E180" s="3">
        <v>7</v>
      </c>
      <c r="F180" s="3">
        <v>11</v>
      </c>
      <c r="G180" s="3">
        <v>20</v>
      </c>
      <c r="H180" s="3">
        <v>28</v>
      </c>
      <c r="I180" s="3">
        <v>57</v>
      </c>
      <c r="J180" s="3">
        <v>-29</v>
      </c>
      <c r="K180" s="3">
        <v>32</v>
      </c>
      <c r="L180" s="5" t="str">
        <f>IF(Table2[[#This Row],['#]]=1,"Champion", IF(Table2[[#This Row],['#]]&gt;=18,"Relegated",Table2[[#This Row],['#]]))</f>
        <v>Relegated</v>
      </c>
      <c r="N180">
        <f>IF(COUNTIF($O$2:O180,O180)=1,N179+1,N179)</f>
        <v>35</v>
      </c>
      <c r="O180" s="4" t="str">
        <f>Table2[[#This Row],[Team]]</f>
        <v>Middlesbrough</v>
      </c>
      <c r="P180" s="1" t="str">
        <f>IFERROR(VLOOKUP(ROWS($O$2:O180),$N$2:$O$441,2,0),"")</f>
        <v/>
      </c>
      <c r="Q180" s="1" t="str">
        <f>IF(P180&lt;&gt;"",SUMPRODUCT(--(Table2[Team]=P180)),"")</f>
        <v/>
      </c>
      <c r="R180" s="11" t="str">
        <f>IF(Q180&lt;&gt;"",Q180+ROWS($Q$2:Q180)/100,"")</f>
        <v/>
      </c>
      <c r="S180" t="str">
        <f>IF(R180&lt;&gt;"",LARGE($R$2:$R$441,ROWS($R$2:R180)),"")</f>
        <v/>
      </c>
      <c r="T180" s="1" t="str">
        <f>IF(R180&lt;&gt;"",INDEX($P$2:$Q$441,MATCH($S180,$R$2:$R$441,0),COLUMNS($S$2:S180)),"")</f>
        <v/>
      </c>
      <c r="U180" s="1" t="str">
        <f>IF(S180&lt;&gt;"",INDEX($P$2:$Q$441,MATCH($S180,$R$2:$R$441,0),COLUMNS($S$2:T180)),"")</f>
        <v/>
      </c>
      <c r="AE180" s="1">
        <f>Table2[[#This Row],[Year]]</f>
        <v>2008</v>
      </c>
      <c r="AF180" s="1">
        <f>Table2[[#This Row],['#]]</f>
        <v>19</v>
      </c>
      <c r="AG180" s="1" t="str">
        <f>Table2[[#This Row],[Team]]</f>
        <v>Middlesbrough</v>
      </c>
      <c r="AH180" s="1">
        <f>Table2[[#This Row],[Pl]]</f>
        <v>38</v>
      </c>
      <c r="AI180" s="1">
        <f>Table2[[#This Row],[W]]</f>
        <v>7</v>
      </c>
      <c r="AJ180" s="1">
        <f>Table2[[#This Row],[D]]</f>
        <v>11</v>
      </c>
      <c r="AK180" s="1">
        <f>Table2[[#This Row],[L]]</f>
        <v>20</v>
      </c>
      <c r="AL180" s="1">
        <f>Table2[[#This Row],[F]]</f>
        <v>28</v>
      </c>
      <c r="AM180" s="1">
        <f>Table2[[#This Row],[A]]</f>
        <v>57</v>
      </c>
      <c r="AN180" s="1">
        <f>Table2[[#This Row],[GD]]</f>
        <v>-29</v>
      </c>
      <c r="AO180" s="1">
        <f>Table2[[#This Row],[Pts]]</f>
        <v>32</v>
      </c>
      <c r="AP180" s="1" t="str">
        <f>Table2[[#This Row],[Column1]]</f>
        <v>Relegated</v>
      </c>
      <c r="AR180" t="b">
        <f t="shared" si="6"/>
        <v>1</v>
      </c>
      <c r="AS180">
        <f>IF(AR180,ROWS($AR$2:AR180),"")</f>
        <v>179</v>
      </c>
      <c r="AT180">
        <f>IFERROR(SMALL($AS$2:$AS$440,ROWS($AS$2:AS180)),"")</f>
        <v>179</v>
      </c>
      <c r="AU180">
        <f>IF(AT180&lt;&gt;"",INDEX($AE$2:$AP$440,MATCH($AT180,$AS$2:$AS$440,0),COLUMNS($AT$2:AT180)),"")</f>
        <v>2008</v>
      </c>
      <c r="AV180">
        <f>IF(AU180&lt;&gt;"",INDEX($AE$2:$AP$440,MATCH($AT180,$AS$2:$AS$440,0),COLUMNS($AT$2:AU180)),"")</f>
        <v>19</v>
      </c>
      <c r="AW180" t="str">
        <f>IF(AV180&lt;&gt;"",INDEX($AE$2:$AP$440,MATCH($AT180,$AS$2:$AS$440,0),COLUMNS($AT$2:AV180)),"")</f>
        <v>Middlesbrough</v>
      </c>
      <c r="AX180">
        <f>IF(AW180&lt;&gt;"",INDEX($AE$2:$AP$440,MATCH($AT180,$AS$2:$AS$440,0),COLUMNS($AT$2:AW180)),"")</f>
        <v>38</v>
      </c>
      <c r="AY180">
        <f>IF(AX180&lt;&gt;"",INDEX($AE$2:$AP$440,MATCH($AT180,$AS$2:$AS$440,0),COLUMNS($AT$2:AX180)),"")</f>
        <v>7</v>
      </c>
      <c r="AZ180">
        <f>IF(AY180&lt;&gt;"",INDEX($AE$2:$AP$440,MATCH($AT180,$AS$2:$AS$440,0),COLUMNS($AT$2:AY180)),"")</f>
        <v>11</v>
      </c>
      <c r="BA180">
        <f>IF(AZ180&lt;&gt;"",INDEX($AE$2:$AP$440,MATCH($AT180,$AS$2:$AS$440,0),COLUMNS($AT$2:AZ180)),"")</f>
        <v>20</v>
      </c>
      <c r="BB180">
        <f>IF(BA180&lt;&gt;"",INDEX($AE$2:$AP$440,MATCH($AT180,$AS$2:$AS$440,0),COLUMNS($AT$2:BA180)),"")</f>
        <v>28</v>
      </c>
      <c r="BC180">
        <f>IF(BB180&lt;&gt;"",INDEX($AE$2:$AP$440,MATCH($AT180,$AS$2:$AS$440,0),COLUMNS($AT$2:BB180)),"")</f>
        <v>57</v>
      </c>
      <c r="BD180">
        <f>IF(BC180&lt;&gt;"",INDEX($AE$2:$AP$440,MATCH($AT180,$AS$2:$AS$440,0),COLUMNS($AT$2:BC180)),"")</f>
        <v>-29</v>
      </c>
      <c r="BE180">
        <f>IF(BD180&lt;&gt;"",INDEX($AE$2:$AP$440,MATCH($AT180,$AS$2:$AS$440,0),COLUMNS($AT$2:BD180)),"")</f>
        <v>32</v>
      </c>
      <c r="BF180" t="str">
        <f>IF(BE180&lt;&gt;"",INDEX($AE$2:$AP$440,MATCH($AT180,$AS$2:$AS$440,0),COLUMNS($AT$2:BE180)),"")</f>
        <v>Relegated</v>
      </c>
    </row>
    <row r="181" spans="1:58" x14ac:dyDescent="0.25">
      <c r="A181" s="5">
        <v>2008</v>
      </c>
      <c r="B181" s="5">
        <v>20</v>
      </c>
      <c r="C181" s="6" t="s">
        <v>35</v>
      </c>
      <c r="D181" s="5">
        <v>38</v>
      </c>
      <c r="E181" s="5">
        <v>8</v>
      </c>
      <c r="F181" s="5">
        <v>8</v>
      </c>
      <c r="G181" s="5">
        <v>22</v>
      </c>
      <c r="H181" s="5">
        <v>36</v>
      </c>
      <c r="I181" s="5">
        <v>67</v>
      </c>
      <c r="J181" s="5">
        <v>-31</v>
      </c>
      <c r="K181" s="5">
        <v>32</v>
      </c>
      <c r="L181" s="5" t="str">
        <f>IF(Table2[[#This Row],['#]]=1,"Champion", IF(Table2[[#This Row],['#]]&gt;=18,"Relegated",Table2[[#This Row],['#]]))</f>
        <v>Relegated</v>
      </c>
      <c r="N181">
        <f>IF(COUNTIF($O$2:O181,O181)=1,N180+1,N180)</f>
        <v>35</v>
      </c>
      <c r="O181" s="4" t="str">
        <f>Table2[[#This Row],[Team]]</f>
        <v>West Bromwich Albion</v>
      </c>
      <c r="P181" s="1" t="str">
        <f>IFERROR(VLOOKUP(ROWS($O$2:O181),$N$2:$O$441,2,0),"")</f>
        <v/>
      </c>
      <c r="Q181" s="1" t="str">
        <f>IF(P181&lt;&gt;"",SUMPRODUCT(--(Table2[Team]=P181)),"")</f>
        <v/>
      </c>
      <c r="R181" s="11" t="str">
        <f>IF(Q181&lt;&gt;"",Q181+ROWS($Q$2:Q181)/100,"")</f>
        <v/>
      </c>
      <c r="S181" t="str">
        <f>IF(R181&lt;&gt;"",LARGE($R$2:$R$441,ROWS($R$2:R181)),"")</f>
        <v/>
      </c>
      <c r="T181" s="1" t="str">
        <f>IF(R181&lt;&gt;"",INDEX($P$2:$Q$441,MATCH($S181,$R$2:$R$441,0),COLUMNS($S$2:S181)),"")</f>
        <v/>
      </c>
      <c r="U181" s="1" t="str">
        <f>IF(S181&lt;&gt;"",INDEX($P$2:$Q$441,MATCH($S181,$R$2:$R$441,0),COLUMNS($S$2:T181)),"")</f>
        <v/>
      </c>
      <c r="AE181" s="1">
        <f>Table2[[#This Row],[Year]]</f>
        <v>2008</v>
      </c>
      <c r="AF181" s="1">
        <f>Table2[[#This Row],['#]]</f>
        <v>20</v>
      </c>
      <c r="AG181" s="1" t="str">
        <f>Table2[[#This Row],[Team]]</f>
        <v>West Bromwich Albion</v>
      </c>
      <c r="AH181" s="1">
        <f>Table2[[#This Row],[Pl]]</f>
        <v>38</v>
      </c>
      <c r="AI181" s="1">
        <f>Table2[[#This Row],[W]]</f>
        <v>8</v>
      </c>
      <c r="AJ181" s="1">
        <f>Table2[[#This Row],[D]]</f>
        <v>8</v>
      </c>
      <c r="AK181" s="1">
        <f>Table2[[#This Row],[L]]</f>
        <v>22</v>
      </c>
      <c r="AL181" s="1">
        <f>Table2[[#This Row],[F]]</f>
        <v>36</v>
      </c>
      <c r="AM181" s="1">
        <f>Table2[[#This Row],[A]]</f>
        <v>67</v>
      </c>
      <c r="AN181" s="1">
        <f>Table2[[#This Row],[GD]]</f>
        <v>-31</v>
      </c>
      <c r="AO181" s="1">
        <f>Table2[[#This Row],[Pts]]</f>
        <v>32</v>
      </c>
      <c r="AP181" s="1" t="str">
        <f>Table2[[#This Row],[Column1]]</f>
        <v>Relegated</v>
      </c>
      <c r="AR181" t="b">
        <f t="shared" si="6"/>
        <v>1</v>
      </c>
      <c r="AS181">
        <f>IF(AR181,ROWS($AR$2:AR181),"")</f>
        <v>180</v>
      </c>
      <c r="AT181">
        <f>IFERROR(SMALL($AS$2:$AS$440,ROWS($AS$2:AS181)),"")</f>
        <v>180</v>
      </c>
      <c r="AU181">
        <f>IF(AT181&lt;&gt;"",INDEX($AE$2:$AP$440,MATCH($AT181,$AS$2:$AS$440,0),COLUMNS($AT$2:AT181)),"")</f>
        <v>2008</v>
      </c>
      <c r="AV181">
        <f>IF(AU181&lt;&gt;"",INDEX($AE$2:$AP$440,MATCH($AT181,$AS$2:$AS$440,0),COLUMNS($AT$2:AU181)),"")</f>
        <v>20</v>
      </c>
      <c r="AW181" t="str">
        <f>IF(AV181&lt;&gt;"",INDEX($AE$2:$AP$440,MATCH($AT181,$AS$2:$AS$440,0),COLUMNS($AT$2:AV181)),"")</f>
        <v>West Bromwich Albion</v>
      </c>
      <c r="AX181">
        <f>IF(AW181&lt;&gt;"",INDEX($AE$2:$AP$440,MATCH($AT181,$AS$2:$AS$440,0),COLUMNS($AT$2:AW181)),"")</f>
        <v>38</v>
      </c>
      <c r="AY181">
        <f>IF(AX181&lt;&gt;"",INDEX($AE$2:$AP$440,MATCH($AT181,$AS$2:$AS$440,0),COLUMNS($AT$2:AX181)),"")</f>
        <v>8</v>
      </c>
      <c r="AZ181">
        <f>IF(AY181&lt;&gt;"",INDEX($AE$2:$AP$440,MATCH($AT181,$AS$2:$AS$440,0),COLUMNS($AT$2:AY181)),"")</f>
        <v>8</v>
      </c>
      <c r="BA181">
        <f>IF(AZ181&lt;&gt;"",INDEX($AE$2:$AP$440,MATCH($AT181,$AS$2:$AS$440,0),COLUMNS($AT$2:AZ181)),"")</f>
        <v>22</v>
      </c>
      <c r="BB181">
        <f>IF(BA181&lt;&gt;"",INDEX($AE$2:$AP$440,MATCH($AT181,$AS$2:$AS$440,0),COLUMNS($AT$2:BA181)),"")</f>
        <v>36</v>
      </c>
      <c r="BC181">
        <f>IF(BB181&lt;&gt;"",INDEX($AE$2:$AP$440,MATCH($AT181,$AS$2:$AS$440,0),COLUMNS($AT$2:BB181)),"")</f>
        <v>67</v>
      </c>
      <c r="BD181">
        <f>IF(BC181&lt;&gt;"",INDEX($AE$2:$AP$440,MATCH($AT181,$AS$2:$AS$440,0),COLUMNS($AT$2:BC181)),"")</f>
        <v>-31</v>
      </c>
      <c r="BE181">
        <f>IF(BD181&lt;&gt;"",INDEX($AE$2:$AP$440,MATCH($AT181,$AS$2:$AS$440,0),COLUMNS($AT$2:BD181)),"")</f>
        <v>32</v>
      </c>
      <c r="BF181" t="str">
        <f>IF(BE181&lt;&gt;"",INDEX($AE$2:$AP$440,MATCH($AT181,$AS$2:$AS$440,0),COLUMNS($AT$2:BE181)),"")</f>
        <v>Relegated</v>
      </c>
    </row>
    <row r="182" spans="1:58" x14ac:dyDescent="0.25">
      <c r="A182" s="3">
        <v>2009</v>
      </c>
      <c r="B182" s="3">
        <v>1</v>
      </c>
      <c r="C182" s="4" t="s">
        <v>16</v>
      </c>
      <c r="D182" s="3">
        <v>38</v>
      </c>
      <c r="E182" s="3">
        <v>27</v>
      </c>
      <c r="F182" s="3">
        <v>5</v>
      </c>
      <c r="G182" s="3">
        <v>6</v>
      </c>
      <c r="H182" s="3">
        <v>103</v>
      </c>
      <c r="I182" s="3">
        <v>32</v>
      </c>
      <c r="J182" s="3">
        <v>71</v>
      </c>
      <c r="K182" s="3">
        <v>86</v>
      </c>
      <c r="L182" s="5" t="str">
        <f>IF(Table2[[#This Row],['#]]=1,"Champion", IF(Table2[[#This Row],['#]]&gt;=18,"Relegated",Table2[[#This Row],['#]]))</f>
        <v>Champion</v>
      </c>
      <c r="N182">
        <f>IF(COUNTIF($O$2:O182,O182)=1,N181+1,N181)</f>
        <v>35</v>
      </c>
      <c r="O182" s="4" t="str">
        <f>Table2[[#This Row],[Team]]</f>
        <v>Chelsea</v>
      </c>
      <c r="P182" s="1" t="str">
        <f>IFERROR(VLOOKUP(ROWS($O$2:O182),$N$2:$O$441,2,0),"")</f>
        <v/>
      </c>
      <c r="Q182" s="1" t="str">
        <f>IF(P182&lt;&gt;"",SUMPRODUCT(--(Table2[Team]=P182)),"")</f>
        <v/>
      </c>
      <c r="R182" s="11" t="str">
        <f>IF(Q182&lt;&gt;"",Q182+ROWS($Q$2:Q182)/100,"")</f>
        <v/>
      </c>
      <c r="S182" t="str">
        <f>IF(R182&lt;&gt;"",LARGE($R$2:$R$441,ROWS($R$2:R182)),"")</f>
        <v/>
      </c>
      <c r="T182" s="1" t="str">
        <f>IF(R182&lt;&gt;"",INDEX($P$2:$Q$441,MATCH($S182,$R$2:$R$441,0),COLUMNS($S$2:S182)),"")</f>
        <v/>
      </c>
      <c r="U182" s="1" t="str">
        <f>IF(S182&lt;&gt;"",INDEX($P$2:$Q$441,MATCH($S182,$R$2:$R$441,0),COLUMNS($S$2:T182)),"")</f>
        <v/>
      </c>
      <c r="AE182" s="1">
        <f>Table2[[#This Row],[Year]]</f>
        <v>2009</v>
      </c>
      <c r="AF182" s="1">
        <f>Table2[[#This Row],['#]]</f>
        <v>1</v>
      </c>
      <c r="AG182" s="1" t="str">
        <f>Table2[[#This Row],[Team]]</f>
        <v>Chelsea</v>
      </c>
      <c r="AH182" s="1">
        <f>Table2[[#This Row],[Pl]]</f>
        <v>38</v>
      </c>
      <c r="AI182" s="1">
        <f>Table2[[#This Row],[W]]</f>
        <v>27</v>
      </c>
      <c r="AJ182" s="1">
        <f>Table2[[#This Row],[D]]</f>
        <v>5</v>
      </c>
      <c r="AK182" s="1">
        <f>Table2[[#This Row],[L]]</f>
        <v>6</v>
      </c>
      <c r="AL182" s="1">
        <f>Table2[[#This Row],[F]]</f>
        <v>103</v>
      </c>
      <c r="AM182" s="1">
        <f>Table2[[#This Row],[A]]</f>
        <v>32</v>
      </c>
      <c r="AN182" s="1">
        <f>Table2[[#This Row],[GD]]</f>
        <v>71</v>
      </c>
      <c r="AO182" s="1">
        <f>Table2[[#This Row],[Pts]]</f>
        <v>86</v>
      </c>
      <c r="AP182" s="1" t="str">
        <f>Table2[[#This Row],[Column1]]</f>
        <v>Champion</v>
      </c>
      <c r="AR182" t="b">
        <f t="shared" si="6"/>
        <v>1</v>
      </c>
      <c r="AS182">
        <f>IF(AR182,ROWS($AR$2:AR182),"")</f>
        <v>181</v>
      </c>
      <c r="AT182">
        <f>IFERROR(SMALL($AS$2:$AS$440,ROWS($AS$2:AS182)),"")</f>
        <v>181</v>
      </c>
      <c r="AU182">
        <f>IF(AT182&lt;&gt;"",INDEX($AE$2:$AP$440,MATCH($AT182,$AS$2:$AS$440,0),COLUMNS($AT$2:AT182)),"")</f>
        <v>2009</v>
      </c>
      <c r="AV182">
        <f>IF(AU182&lt;&gt;"",INDEX($AE$2:$AP$440,MATCH($AT182,$AS$2:$AS$440,0),COLUMNS($AT$2:AU182)),"")</f>
        <v>1</v>
      </c>
      <c r="AW182" t="str">
        <f>IF(AV182&lt;&gt;"",INDEX($AE$2:$AP$440,MATCH($AT182,$AS$2:$AS$440,0),COLUMNS($AT$2:AV182)),"")</f>
        <v>Chelsea</v>
      </c>
      <c r="AX182">
        <f>IF(AW182&lt;&gt;"",INDEX($AE$2:$AP$440,MATCH($AT182,$AS$2:$AS$440,0),COLUMNS($AT$2:AW182)),"")</f>
        <v>38</v>
      </c>
      <c r="AY182">
        <f>IF(AX182&lt;&gt;"",INDEX($AE$2:$AP$440,MATCH($AT182,$AS$2:$AS$440,0),COLUMNS($AT$2:AX182)),"")</f>
        <v>27</v>
      </c>
      <c r="AZ182">
        <f>IF(AY182&lt;&gt;"",INDEX($AE$2:$AP$440,MATCH($AT182,$AS$2:$AS$440,0),COLUMNS($AT$2:AY182)),"")</f>
        <v>5</v>
      </c>
      <c r="BA182">
        <f>IF(AZ182&lt;&gt;"",INDEX($AE$2:$AP$440,MATCH($AT182,$AS$2:$AS$440,0),COLUMNS($AT$2:AZ182)),"")</f>
        <v>6</v>
      </c>
      <c r="BB182">
        <f>IF(BA182&lt;&gt;"",INDEX($AE$2:$AP$440,MATCH($AT182,$AS$2:$AS$440,0),COLUMNS($AT$2:BA182)),"")</f>
        <v>103</v>
      </c>
      <c r="BC182">
        <f>IF(BB182&lt;&gt;"",INDEX($AE$2:$AP$440,MATCH($AT182,$AS$2:$AS$440,0),COLUMNS($AT$2:BB182)),"")</f>
        <v>32</v>
      </c>
      <c r="BD182">
        <f>IF(BC182&lt;&gt;"",INDEX($AE$2:$AP$440,MATCH($AT182,$AS$2:$AS$440,0),COLUMNS($AT$2:BC182)),"")</f>
        <v>71</v>
      </c>
      <c r="BE182">
        <f>IF(BD182&lt;&gt;"",INDEX($AE$2:$AP$440,MATCH($AT182,$AS$2:$AS$440,0),COLUMNS($AT$2:BD182)),"")</f>
        <v>86</v>
      </c>
      <c r="BF182" t="str">
        <f>IF(BE182&lt;&gt;"",INDEX($AE$2:$AP$440,MATCH($AT182,$AS$2:$AS$440,0),COLUMNS($AT$2:BE182)),"")</f>
        <v>Champion</v>
      </c>
    </row>
    <row r="183" spans="1:58" x14ac:dyDescent="0.25">
      <c r="A183" s="5">
        <v>2009</v>
      </c>
      <c r="B183" s="5">
        <v>2</v>
      </c>
      <c r="C183" s="6" t="s">
        <v>11</v>
      </c>
      <c r="D183" s="5">
        <v>38</v>
      </c>
      <c r="E183" s="5">
        <v>27</v>
      </c>
      <c r="F183" s="5">
        <v>4</v>
      </c>
      <c r="G183" s="5">
        <v>7</v>
      </c>
      <c r="H183" s="5">
        <v>86</v>
      </c>
      <c r="I183" s="5">
        <v>28</v>
      </c>
      <c r="J183" s="5">
        <v>58</v>
      </c>
      <c r="K183" s="5">
        <v>85</v>
      </c>
      <c r="L183" s="5">
        <f>IF(Table2[[#This Row],['#]]=1,"Champion", IF(Table2[[#This Row],['#]]&gt;=18,"Relegated",Table2[[#This Row],['#]]))</f>
        <v>2</v>
      </c>
      <c r="N183">
        <f>IF(COUNTIF($O$2:O183,O183)=1,N182+1,N182)</f>
        <v>35</v>
      </c>
      <c r="O183" s="4" t="str">
        <f>Table2[[#This Row],[Team]]</f>
        <v>Manchester United</v>
      </c>
      <c r="P183" s="1" t="str">
        <f>IFERROR(VLOOKUP(ROWS($O$2:O183),$N$2:$O$441,2,0),"")</f>
        <v/>
      </c>
      <c r="Q183" s="1" t="str">
        <f>IF(P183&lt;&gt;"",SUMPRODUCT(--(Table2[Team]=P183)),"")</f>
        <v/>
      </c>
      <c r="R183" s="11" t="str">
        <f>IF(Q183&lt;&gt;"",Q183+ROWS($Q$2:Q183)/100,"")</f>
        <v/>
      </c>
      <c r="S183" t="str">
        <f>IF(R183&lt;&gt;"",LARGE($R$2:$R$441,ROWS($R$2:R183)),"")</f>
        <v/>
      </c>
      <c r="T183" s="1" t="str">
        <f>IF(R183&lt;&gt;"",INDEX($P$2:$Q$441,MATCH($S183,$R$2:$R$441,0),COLUMNS($S$2:S183)),"")</f>
        <v/>
      </c>
      <c r="U183" s="1" t="str">
        <f>IF(S183&lt;&gt;"",INDEX($P$2:$Q$441,MATCH($S183,$R$2:$R$441,0),COLUMNS($S$2:T183)),"")</f>
        <v/>
      </c>
      <c r="AE183" s="1">
        <f>Table2[[#This Row],[Year]]</f>
        <v>2009</v>
      </c>
      <c r="AF183" s="1">
        <f>Table2[[#This Row],['#]]</f>
        <v>2</v>
      </c>
      <c r="AG183" s="1" t="str">
        <f>Table2[[#This Row],[Team]]</f>
        <v>Manchester United</v>
      </c>
      <c r="AH183" s="1">
        <f>Table2[[#This Row],[Pl]]</f>
        <v>38</v>
      </c>
      <c r="AI183" s="1">
        <f>Table2[[#This Row],[W]]</f>
        <v>27</v>
      </c>
      <c r="AJ183" s="1">
        <f>Table2[[#This Row],[D]]</f>
        <v>4</v>
      </c>
      <c r="AK183" s="1">
        <f>Table2[[#This Row],[L]]</f>
        <v>7</v>
      </c>
      <c r="AL183" s="1">
        <f>Table2[[#This Row],[F]]</f>
        <v>86</v>
      </c>
      <c r="AM183" s="1">
        <f>Table2[[#This Row],[A]]</f>
        <v>28</v>
      </c>
      <c r="AN183" s="1">
        <f>Table2[[#This Row],[GD]]</f>
        <v>58</v>
      </c>
      <c r="AO183" s="1">
        <f>Table2[[#This Row],[Pts]]</f>
        <v>85</v>
      </c>
      <c r="AP183" s="1">
        <f>Table2[[#This Row],[Column1]]</f>
        <v>2</v>
      </c>
      <c r="AR183" t="b">
        <f t="shared" si="6"/>
        <v>1</v>
      </c>
      <c r="AS183">
        <f>IF(AR183,ROWS($AR$2:AR183),"")</f>
        <v>182</v>
      </c>
      <c r="AT183">
        <f>IFERROR(SMALL($AS$2:$AS$440,ROWS($AS$2:AS183)),"")</f>
        <v>182</v>
      </c>
      <c r="AU183">
        <f>IF(AT183&lt;&gt;"",INDEX($AE$2:$AP$440,MATCH($AT183,$AS$2:$AS$440,0),COLUMNS($AT$2:AT183)),"")</f>
        <v>2009</v>
      </c>
      <c r="AV183">
        <f>IF(AU183&lt;&gt;"",INDEX($AE$2:$AP$440,MATCH($AT183,$AS$2:$AS$440,0),COLUMNS($AT$2:AU183)),"")</f>
        <v>2</v>
      </c>
      <c r="AW183" t="str">
        <f>IF(AV183&lt;&gt;"",INDEX($AE$2:$AP$440,MATCH($AT183,$AS$2:$AS$440,0),COLUMNS($AT$2:AV183)),"")</f>
        <v>Manchester United</v>
      </c>
      <c r="AX183">
        <f>IF(AW183&lt;&gt;"",INDEX($AE$2:$AP$440,MATCH($AT183,$AS$2:$AS$440,0),COLUMNS($AT$2:AW183)),"")</f>
        <v>38</v>
      </c>
      <c r="AY183">
        <f>IF(AX183&lt;&gt;"",INDEX($AE$2:$AP$440,MATCH($AT183,$AS$2:$AS$440,0),COLUMNS($AT$2:AX183)),"")</f>
        <v>27</v>
      </c>
      <c r="AZ183">
        <f>IF(AY183&lt;&gt;"",INDEX($AE$2:$AP$440,MATCH($AT183,$AS$2:$AS$440,0),COLUMNS($AT$2:AY183)),"")</f>
        <v>4</v>
      </c>
      <c r="BA183">
        <f>IF(AZ183&lt;&gt;"",INDEX($AE$2:$AP$440,MATCH($AT183,$AS$2:$AS$440,0),COLUMNS($AT$2:AZ183)),"")</f>
        <v>7</v>
      </c>
      <c r="BB183">
        <f>IF(BA183&lt;&gt;"",INDEX($AE$2:$AP$440,MATCH($AT183,$AS$2:$AS$440,0),COLUMNS($AT$2:BA183)),"")</f>
        <v>86</v>
      </c>
      <c r="BC183">
        <f>IF(BB183&lt;&gt;"",INDEX($AE$2:$AP$440,MATCH($AT183,$AS$2:$AS$440,0),COLUMNS($AT$2:BB183)),"")</f>
        <v>28</v>
      </c>
      <c r="BD183">
        <f>IF(BC183&lt;&gt;"",INDEX($AE$2:$AP$440,MATCH($AT183,$AS$2:$AS$440,0),COLUMNS($AT$2:BC183)),"")</f>
        <v>58</v>
      </c>
      <c r="BE183">
        <f>IF(BD183&lt;&gt;"",INDEX($AE$2:$AP$440,MATCH($AT183,$AS$2:$AS$440,0),COLUMNS($AT$2:BD183)),"")</f>
        <v>85</v>
      </c>
      <c r="BF183">
        <f>IF(BE183&lt;&gt;"",INDEX($AE$2:$AP$440,MATCH($AT183,$AS$2:$AS$440,0),COLUMNS($AT$2:BE183)),"")</f>
        <v>2</v>
      </c>
    </row>
    <row r="184" spans="1:58" x14ac:dyDescent="0.25">
      <c r="A184" s="3">
        <v>2009</v>
      </c>
      <c r="B184" s="3">
        <v>3</v>
      </c>
      <c r="C184" s="6" t="s">
        <v>12</v>
      </c>
      <c r="D184" s="3">
        <v>38</v>
      </c>
      <c r="E184" s="3">
        <v>23</v>
      </c>
      <c r="F184" s="3">
        <v>6</v>
      </c>
      <c r="G184" s="3">
        <v>9</v>
      </c>
      <c r="H184" s="3">
        <v>83</v>
      </c>
      <c r="I184" s="3">
        <v>41</v>
      </c>
      <c r="J184" s="3">
        <v>42</v>
      </c>
      <c r="K184" s="3">
        <v>75</v>
      </c>
      <c r="L184" s="5">
        <f>IF(Table2[[#This Row],['#]]=1,"Champion", IF(Table2[[#This Row],['#]]&gt;=18,"Relegated",Table2[[#This Row],['#]]))</f>
        <v>3</v>
      </c>
      <c r="N184">
        <f>IF(COUNTIF($O$2:O184,O184)=1,N183+1,N183)</f>
        <v>35</v>
      </c>
      <c r="O184" s="4" t="str">
        <f>Table2[[#This Row],[Team]]</f>
        <v>Arsenal</v>
      </c>
      <c r="P184" s="1" t="str">
        <f>IFERROR(VLOOKUP(ROWS($O$2:O184),$N$2:$O$441,2,0),"")</f>
        <v/>
      </c>
      <c r="Q184" s="1" t="str">
        <f>IF(P184&lt;&gt;"",SUMPRODUCT(--(Table2[Team]=P184)),"")</f>
        <v/>
      </c>
      <c r="R184" s="11" t="str">
        <f>IF(Q184&lt;&gt;"",Q184+ROWS($Q$2:Q184)/100,"")</f>
        <v/>
      </c>
      <c r="S184" t="str">
        <f>IF(R184&lt;&gt;"",LARGE($R$2:$R$441,ROWS($R$2:R184)),"")</f>
        <v/>
      </c>
      <c r="T184" s="1" t="str">
        <f>IF(R184&lt;&gt;"",INDEX($P$2:$Q$441,MATCH($S184,$R$2:$R$441,0),COLUMNS($S$2:S184)),"")</f>
        <v/>
      </c>
      <c r="U184" s="1" t="str">
        <f>IF(S184&lt;&gt;"",INDEX($P$2:$Q$441,MATCH($S184,$R$2:$R$441,0),COLUMNS($S$2:T184)),"")</f>
        <v/>
      </c>
      <c r="AE184" s="1">
        <f>Table2[[#This Row],[Year]]</f>
        <v>2009</v>
      </c>
      <c r="AF184" s="1">
        <f>Table2[[#This Row],['#]]</f>
        <v>3</v>
      </c>
      <c r="AG184" s="1" t="str">
        <f>Table2[[#This Row],[Team]]</f>
        <v>Arsenal</v>
      </c>
      <c r="AH184" s="1">
        <f>Table2[[#This Row],[Pl]]</f>
        <v>38</v>
      </c>
      <c r="AI184" s="1">
        <f>Table2[[#This Row],[W]]</f>
        <v>23</v>
      </c>
      <c r="AJ184" s="1">
        <f>Table2[[#This Row],[D]]</f>
        <v>6</v>
      </c>
      <c r="AK184" s="1">
        <f>Table2[[#This Row],[L]]</f>
        <v>9</v>
      </c>
      <c r="AL184" s="1">
        <f>Table2[[#This Row],[F]]</f>
        <v>83</v>
      </c>
      <c r="AM184" s="1">
        <f>Table2[[#This Row],[A]]</f>
        <v>41</v>
      </c>
      <c r="AN184" s="1">
        <f>Table2[[#This Row],[GD]]</f>
        <v>42</v>
      </c>
      <c r="AO184" s="1">
        <f>Table2[[#This Row],[Pts]]</f>
        <v>75</v>
      </c>
      <c r="AP184" s="1">
        <f>Table2[[#This Row],[Column1]]</f>
        <v>3</v>
      </c>
      <c r="AR184" t="b">
        <f t="shared" si="6"/>
        <v>1</v>
      </c>
      <c r="AS184">
        <f>IF(AR184,ROWS($AR$2:AR184),"")</f>
        <v>183</v>
      </c>
      <c r="AT184">
        <f>IFERROR(SMALL($AS$2:$AS$440,ROWS($AS$2:AS184)),"")</f>
        <v>183</v>
      </c>
      <c r="AU184">
        <f>IF(AT184&lt;&gt;"",INDEX($AE$2:$AP$440,MATCH($AT184,$AS$2:$AS$440,0),COLUMNS($AT$2:AT184)),"")</f>
        <v>2009</v>
      </c>
      <c r="AV184">
        <f>IF(AU184&lt;&gt;"",INDEX($AE$2:$AP$440,MATCH($AT184,$AS$2:$AS$440,0),COLUMNS($AT$2:AU184)),"")</f>
        <v>3</v>
      </c>
      <c r="AW184" t="str">
        <f>IF(AV184&lt;&gt;"",INDEX($AE$2:$AP$440,MATCH($AT184,$AS$2:$AS$440,0),COLUMNS($AT$2:AV184)),"")</f>
        <v>Arsenal</v>
      </c>
      <c r="AX184">
        <f>IF(AW184&lt;&gt;"",INDEX($AE$2:$AP$440,MATCH($AT184,$AS$2:$AS$440,0),COLUMNS($AT$2:AW184)),"")</f>
        <v>38</v>
      </c>
      <c r="AY184">
        <f>IF(AX184&lt;&gt;"",INDEX($AE$2:$AP$440,MATCH($AT184,$AS$2:$AS$440,0),COLUMNS($AT$2:AX184)),"")</f>
        <v>23</v>
      </c>
      <c r="AZ184">
        <f>IF(AY184&lt;&gt;"",INDEX($AE$2:$AP$440,MATCH($AT184,$AS$2:$AS$440,0),COLUMNS($AT$2:AY184)),"")</f>
        <v>6</v>
      </c>
      <c r="BA184">
        <f>IF(AZ184&lt;&gt;"",INDEX($AE$2:$AP$440,MATCH($AT184,$AS$2:$AS$440,0),COLUMNS($AT$2:AZ184)),"")</f>
        <v>9</v>
      </c>
      <c r="BB184">
        <f>IF(BA184&lt;&gt;"",INDEX($AE$2:$AP$440,MATCH($AT184,$AS$2:$AS$440,0),COLUMNS($AT$2:BA184)),"")</f>
        <v>83</v>
      </c>
      <c r="BC184">
        <f>IF(BB184&lt;&gt;"",INDEX($AE$2:$AP$440,MATCH($AT184,$AS$2:$AS$440,0),COLUMNS($AT$2:BB184)),"")</f>
        <v>41</v>
      </c>
      <c r="BD184">
        <f>IF(BC184&lt;&gt;"",INDEX($AE$2:$AP$440,MATCH($AT184,$AS$2:$AS$440,0),COLUMNS($AT$2:BC184)),"")</f>
        <v>42</v>
      </c>
      <c r="BE184">
        <f>IF(BD184&lt;&gt;"",INDEX($AE$2:$AP$440,MATCH($AT184,$AS$2:$AS$440,0),COLUMNS($AT$2:BD184)),"")</f>
        <v>75</v>
      </c>
      <c r="BF184">
        <f>IF(BE184&lt;&gt;"",INDEX($AE$2:$AP$440,MATCH($AT184,$AS$2:$AS$440,0),COLUMNS($AT$2:BE184)),"")</f>
        <v>3</v>
      </c>
    </row>
    <row r="185" spans="1:58" x14ac:dyDescent="0.25">
      <c r="A185" s="5">
        <v>2009</v>
      </c>
      <c r="B185" s="5">
        <v>4</v>
      </c>
      <c r="C185" s="6" t="s">
        <v>22</v>
      </c>
      <c r="D185" s="5">
        <v>38</v>
      </c>
      <c r="E185" s="5">
        <v>21</v>
      </c>
      <c r="F185" s="5">
        <v>7</v>
      </c>
      <c r="G185" s="5">
        <v>10</v>
      </c>
      <c r="H185" s="5">
        <v>67</v>
      </c>
      <c r="I185" s="5">
        <v>41</v>
      </c>
      <c r="J185" s="5">
        <v>26</v>
      </c>
      <c r="K185" s="5">
        <v>70</v>
      </c>
      <c r="L185" s="5">
        <f>IF(Table2[[#This Row],['#]]=1,"Champion", IF(Table2[[#This Row],['#]]&gt;=18,"Relegated",Table2[[#This Row],['#]]))</f>
        <v>4</v>
      </c>
      <c r="N185">
        <f>IF(COUNTIF($O$2:O185,O185)=1,N184+1,N184)</f>
        <v>35</v>
      </c>
      <c r="O185" s="4" t="str">
        <f>Table2[[#This Row],[Team]]</f>
        <v>Tottenham Hotspur</v>
      </c>
      <c r="P185" s="1" t="str">
        <f>IFERROR(VLOOKUP(ROWS($O$2:O185),$N$2:$O$441,2,0),"")</f>
        <v/>
      </c>
      <c r="Q185" s="1" t="str">
        <f>IF(P185&lt;&gt;"",SUMPRODUCT(--(Table2[Team]=P185)),"")</f>
        <v/>
      </c>
      <c r="R185" s="11" t="str">
        <f>IF(Q185&lt;&gt;"",Q185+ROWS($Q$2:Q185)/100,"")</f>
        <v/>
      </c>
      <c r="S185" t="str">
        <f>IF(R185&lt;&gt;"",LARGE($R$2:$R$441,ROWS($R$2:R185)),"")</f>
        <v/>
      </c>
      <c r="T185" s="1" t="str">
        <f>IF(R185&lt;&gt;"",INDEX($P$2:$Q$441,MATCH($S185,$R$2:$R$441,0),COLUMNS($S$2:S185)),"")</f>
        <v/>
      </c>
      <c r="U185" s="1" t="str">
        <f>IF(S185&lt;&gt;"",INDEX($P$2:$Q$441,MATCH($S185,$R$2:$R$441,0),COLUMNS($S$2:T185)),"")</f>
        <v/>
      </c>
      <c r="AE185" s="1">
        <f>Table2[[#This Row],[Year]]</f>
        <v>2009</v>
      </c>
      <c r="AF185" s="1">
        <f>Table2[[#This Row],['#]]</f>
        <v>4</v>
      </c>
      <c r="AG185" s="1" t="str">
        <f>Table2[[#This Row],[Team]]</f>
        <v>Tottenham Hotspur</v>
      </c>
      <c r="AH185" s="1">
        <f>Table2[[#This Row],[Pl]]</f>
        <v>38</v>
      </c>
      <c r="AI185" s="1">
        <f>Table2[[#This Row],[W]]</f>
        <v>21</v>
      </c>
      <c r="AJ185" s="1">
        <f>Table2[[#This Row],[D]]</f>
        <v>7</v>
      </c>
      <c r="AK185" s="1">
        <f>Table2[[#This Row],[L]]</f>
        <v>10</v>
      </c>
      <c r="AL185" s="1">
        <f>Table2[[#This Row],[F]]</f>
        <v>67</v>
      </c>
      <c r="AM185" s="1">
        <f>Table2[[#This Row],[A]]</f>
        <v>41</v>
      </c>
      <c r="AN185" s="1">
        <f>Table2[[#This Row],[GD]]</f>
        <v>26</v>
      </c>
      <c r="AO185" s="1">
        <f>Table2[[#This Row],[Pts]]</f>
        <v>70</v>
      </c>
      <c r="AP185" s="1">
        <f>Table2[[#This Row],[Column1]]</f>
        <v>4</v>
      </c>
      <c r="AR185" t="b">
        <f t="shared" si="6"/>
        <v>1</v>
      </c>
      <c r="AS185">
        <f>IF(AR185,ROWS($AR$2:AR185),"")</f>
        <v>184</v>
      </c>
      <c r="AT185">
        <f>IFERROR(SMALL($AS$2:$AS$440,ROWS($AS$2:AS185)),"")</f>
        <v>184</v>
      </c>
      <c r="AU185">
        <f>IF(AT185&lt;&gt;"",INDEX($AE$2:$AP$440,MATCH($AT185,$AS$2:$AS$440,0),COLUMNS($AT$2:AT185)),"")</f>
        <v>2009</v>
      </c>
      <c r="AV185">
        <f>IF(AU185&lt;&gt;"",INDEX($AE$2:$AP$440,MATCH($AT185,$AS$2:$AS$440,0),COLUMNS($AT$2:AU185)),"")</f>
        <v>4</v>
      </c>
      <c r="AW185" t="str">
        <f>IF(AV185&lt;&gt;"",INDEX($AE$2:$AP$440,MATCH($AT185,$AS$2:$AS$440,0),COLUMNS($AT$2:AV185)),"")</f>
        <v>Tottenham Hotspur</v>
      </c>
      <c r="AX185">
        <f>IF(AW185&lt;&gt;"",INDEX($AE$2:$AP$440,MATCH($AT185,$AS$2:$AS$440,0),COLUMNS($AT$2:AW185)),"")</f>
        <v>38</v>
      </c>
      <c r="AY185">
        <f>IF(AX185&lt;&gt;"",INDEX($AE$2:$AP$440,MATCH($AT185,$AS$2:$AS$440,0),COLUMNS($AT$2:AX185)),"")</f>
        <v>21</v>
      </c>
      <c r="AZ185">
        <f>IF(AY185&lt;&gt;"",INDEX($AE$2:$AP$440,MATCH($AT185,$AS$2:$AS$440,0),COLUMNS($AT$2:AY185)),"")</f>
        <v>7</v>
      </c>
      <c r="BA185">
        <f>IF(AZ185&lt;&gt;"",INDEX($AE$2:$AP$440,MATCH($AT185,$AS$2:$AS$440,0),COLUMNS($AT$2:AZ185)),"")</f>
        <v>10</v>
      </c>
      <c r="BB185">
        <f>IF(BA185&lt;&gt;"",INDEX($AE$2:$AP$440,MATCH($AT185,$AS$2:$AS$440,0),COLUMNS($AT$2:BA185)),"")</f>
        <v>67</v>
      </c>
      <c r="BC185">
        <f>IF(BB185&lt;&gt;"",INDEX($AE$2:$AP$440,MATCH($AT185,$AS$2:$AS$440,0),COLUMNS($AT$2:BB185)),"")</f>
        <v>41</v>
      </c>
      <c r="BD185">
        <f>IF(BC185&lt;&gt;"",INDEX($AE$2:$AP$440,MATCH($AT185,$AS$2:$AS$440,0),COLUMNS($AT$2:BC185)),"")</f>
        <v>26</v>
      </c>
      <c r="BE185">
        <f>IF(BD185&lt;&gt;"",INDEX($AE$2:$AP$440,MATCH($AT185,$AS$2:$AS$440,0),COLUMNS($AT$2:BD185)),"")</f>
        <v>70</v>
      </c>
      <c r="BF185">
        <f>IF(BE185&lt;&gt;"",INDEX($AE$2:$AP$440,MATCH($AT185,$AS$2:$AS$440,0),COLUMNS($AT$2:BE185)),"")</f>
        <v>4</v>
      </c>
    </row>
    <row r="186" spans="1:58" x14ac:dyDescent="0.25">
      <c r="A186" s="3">
        <v>2009</v>
      </c>
      <c r="B186" s="3">
        <v>5</v>
      </c>
      <c r="C186" s="4" t="s">
        <v>28</v>
      </c>
      <c r="D186" s="3">
        <v>38</v>
      </c>
      <c r="E186" s="3">
        <v>18</v>
      </c>
      <c r="F186" s="3">
        <v>13</v>
      </c>
      <c r="G186" s="3">
        <v>7</v>
      </c>
      <c r="H186" s="3">
        <v>73</v>
      </c>
      <c r="I186" s="3">
        <v>45</v>
      </c>
      <c r="J186" s="3">
        <v>28</v>
      </c>
      <c r="K186" s="3">
        <v>67</v>
      </c>
      <c r="L186" s="5">
        <f>IF(Table2[[#This Row],['#]]=1,"Champion", IF(Table2[[#This Row],['#]]&gt;=18,"Relegated",Table2[[#This Row],['#]]))</f>
        <v>5</v>
      </c>
      <c r="N186">
        <f>IF(COUNTIF($O$2:O186,O186)=1,N185+1,N185)</f>
        <v>35</v>
      </c>
      <c r="O186" s="4" t="str">
        <f>Table2[[#This Row],[Team]]</f>
        <v>Manchester City</v>
      </c>
      <c r="P186" s="1" t="str">
        <f>IFERROR(VLOOKUP(ROWS($O$2:O186),$N$2:$O$441,2,0),"")</f>
        <v/>
      </c>
      <c r="Q186" s="1" t="str">
        <f>IF(P186&lt;&gt;"",SUMPRODUCT(--(Table2[Team]=P186)),"")</f>
        <v/>
      </c>
      <c r="R186" s="11" t="str">
        <f>IF(Q186&lt;&gt;"",Q186+ROWS($Q$2:Q186)/100,"")</f>
        <v/>
      </c>
      <c r="S186" t="str">
        <f>IF(R186&lt;&gt;"",LARGE($R$2:$R$441,ROWS($R$2:R186)),"")</f>
        <v/>
      </c>
      <c r="T186" s="1" t="str">
        <f>IF(R186&lt;&gt;"",INDEX($P$2:$Q$441,MATCH($S186,$R$2:$R$441,0),COLUMNS($S$2:S186)),"")</f>
        <v/>
      </c>
      <c r="U186" s="1" t="str">
        <f>IF(S186&lt;&gt;"",INDEX($P$2:$Q$441,MATCH($S186,$R$2:$R$441,0),COLUMNS($S$2:T186)),"")</f>
        <v/>
      </c>
      <c r="AE186" s="1">
        <f>Table2[[#This Row],[Year]]</f>
        <v>2009</v>
      </c>
      <c r="AF186" s="1">
        <f>Table2[[#This Row],['#]]</f>
        <v>5</v>
      </c>
      <c r="AG186" s="1" t="str">
        <f>Table2[[#This Row],[Team]]</f>
        <v>Manchester City</v>
      </c>
      <c r="AH186" s="1">
        <f>Table2[[#This Row],[Pl]]</f>
        <v>38</v>
      </c>
      <c r="AI186" s="1">
        <f>Table2[[#This Row],[W]]</f>
        <v>18</v>
      </c>
      <c r="AJ186" s="1">
        <f>Table2[[#This Row],[D]]</f>
        <v>13</v>
      </c>
      <c r="AK186" s="1">
        <f>Table2[[#This Row],[L]]</f>
        <v>7</v>
      </c>
      <c r="AL186" s="1">
        <f>Table2[[#This Row],[F]]</f>
        <v>73</v>
      </c>
      <c r="AM186" s="1">
        <f>Table2[[#This Row],[A]]</f>
        <v>45</v>
      </c>
      <c r="AN186" s="1">
        <f>Table2[[#This Row],[GD]]</f>
        <v>28</v>
      </c>
      <c r="AO186" s="1">
        <f>Table2[[#This Row],[Pts]]</f>
        <v>67</v>
      </c>
      <c r="AP186" s="1">
        <f>Table2[[#This Row],[Column1]]</f>
        <v>5</v>
      </c>
      <c r="AR186" t="b">
        <f t="shared" si="6"/>
        <v>1</v>
      </c>
      <c r="AS186">
        <f>IF(AR186,ROWS($AR$2:AR186),"")</f>
        <v>185</v>
      </c>
      <c r="AT186">
        <f>IFERROR(SMALL($AS$2:$AS$440,ROWS($AS$2:AS186)),"")</f>
        <v>185</v>
      </c>
      <c r="AU186">
        <f>IF(AT186&lt;&gt;"",INDEX($AE$2:$AP$440,MATCH($AT186,$AS$2:$AS$440,0),COLUMNS($AT$2:AT186)),"")</f>
        <v>2009</v>
      </c>
      <c r="AV186">
        <f>IF(AU186&lt;&gt;"",INDEX($AE$2:$AP$440,MATCH($AT186,$AS$2:$AS$440,0),COLUMNS($AT$2:AU186)),"")</f>
        <v>5</v>
      </c>
      <c r="AW186" t="str">
        <f>IF(AV186&lt;&gt;"",INDEX($AE$2:$AP$440,MATCH($AT186,$AS$2:$AS$440,0),COLUMNS($AT$2:AV186)),"")</f>
        <v>Manchester City</v>
      </c>
      <c r="AX186">
        <f>IF(AW186&lt;&gt;"",INDEX($AE$2:$AP$440,MATCH($AT186,$AS$2:$AS$440,0),COLUMNS($AT$2:AW186)),"")</f>
        <v>38</v>
      </c>
      <c r="AY186">
        <f>IF(AX186&lt;&gt;"",INDEX($AE$2:$AP$440,MATCH($AT186,$AS$2:$AS$440,0),COLUMNS($AT$2:AX186)),"")</f>
        <v>18</v>
      </c>
      <c r="AZ186">
        <f>IF(AY186&lt;&gt;"",INDEX($AE$2:$AP$440,MATCH($AT186,$AS$2:$AS$440,0),COLUMNS($AT$2:AY186)),"")</f>
        <v>13</v>
      </c>
      <c r="BA186">
        <f>IF(AZ186&lt;&gt;"",INDEX($AE$2:$AP$440,MATCH($AT186,$AS$2:$AS$440,0),COLUMNS($AT$2:AZ186)),"")</f>
        <v>7</v>
      </c>
      <c r="BB186">
        <f>IF(BA186&lt;&gt;"",INDEX($AE$2:$AP$440,MATCH($AT186,$AS$2:$AS$440,0),COLUMNS($AT$2:BA186)),"")</f>
        <v>73</v>
      </c>
      <c r="BC186">
        <f>IF(BB186&lt;&gt;"",INDEX($AE$2:$AP$440,MATCH($AT186,$AS$2:$AS$440,0),COLUMNS($AT$2:BB186)),"")</f>
        <v>45</v>
      </c>
      <c r="BD186">
        <f>IF(BC186&lt;&gt;"",INDEX($AE$2:$AP$440,MATCH($AT186,$AS$2:$AS$440,0),COLUMNS($AT$2:BC186)),"")</f>
        <v>28</v>
      </c>
      <c r="BE186">
        <f>IF(BD186&lt;&gt;"",INDEX($AE$2:$AP$440,MATCH($AT186,$AS$2:$AS$440,0),COLUMNS($AT$2:BD186)),"")</f>
        <v>67</v>
      </c>
      <c r="BF186">
        <f>IF(BE186&lt;&gt;"",INDEX($AE$2:$AP$440,MATCH($AT186,$AS$2:$AS$440,0),COLUMNS($AT$2:BE186)),"")</f>
        <v>5</v>
      </c>
    </row>
    <row r="187" spans="1:58" x14ac:dyDescent="0.25">
      <c r="A187" s="5">
        <v>2009</v>
      </c>
      <c r="B187" s="5">
        <v>6</v>
      </c>
      <c r="C187" s="6" t="s">
        <v>18</v>
      </c>
      <c r="D187" s="5">
        <v>38</v>
      </c>
      <c r="E187" s="5">
        <v>17</v>
      </c>
      <c r="F187" s="5">
        <v>13</v>
      </c>
      <c r="G187" s="5">
        <v>8</v>
      </c>
      <c r="H187" s="5">
        <v>52</v>
      </c>
      <c r="I187" s="5">
        <v>39</v>
      </c>
      <c r="J187" s="5">
        <v>13</v>
      </c>
      <c r="K187" s="5">
        <v>64</v>
      </c>
      <c r="L187" s="5">
        <f>IF(Table2[[#This Row],['#]]=1,"Champion", IF(Table2[[#This Row],['#]]&gt;=18,"Relegated",Table2[[#This Row],['#]]))</f>
        <v>6</v>
      </c>
      <c r="N187">
        <f>IF(COUNTIF($O$2:O187,O187)=1,N186+1,N186)</f>
        <v>35</v>
      </c>
      <c r="O187" s="4" t="str">
        <f>Table2[[#This Row],[Team]]</f>
        <v>Aston Villa</v>
      </c>
      <c r="P187" s="1" t="str">
        <f>IFERROR(VLOOKUP(ROWS($O$2:O187),$N$2:$O$441,2,0),"")</f>
        <v/>
      </c>
      <c r="Q187" s="1" t="str">
        <f>IF(P187&lt;&gt;"",SUMPRODUCT(--(Table2[Team]=P187)),"")</f>
        <v/>
      </c>
      <c r="R187" s="11" t="str">
        <f>IF(Q187&lt;&gt;"",Q187+ROWS($Q$2:Q187)/100,"")</f>
        <v/>
      </c>
      <c r="S187" t="str">
        <f>IF(R187&lt;&gt;"",LARGE($R$2:$R$441,ROWS($R$2:R187)),"")</f>
        <v/>
      </c>
      <c r="T187" s="1" t="str">
        <f>IF(R187&lt;&gt;"",INDEX($P$2:$Q$441,MATCH($S187,$R$2:$R$441,0),COLUMNS($S$2:S187)),"")</f>
        <v/>
      </c>
      <c r="U187" s="1" t="str">
        <f>IF(S187&lt;&gt;"",INDEX($P$2:$Q$441,MATCH($S187,$R$2:$R$441,0),COLUMNS($S$2:T187)),"")</f>
        <v/>
      </c>
      <c r="AE187" s="1">
        <f>Table2[[#This Row],[Year]]</f>
        <v>2009</v>
      </c>
      <c r="AF187" s="1">
        <f>Table2[[#This Row],['#]]</f>
        <v>6</v>
      </c>
      <c r="AG187" s="1" t="str">
        <f>Table2[[#This Row],[Team]]</f>
        <v>Aston Villa</v>
      </c>
      <c r="AH187" s="1">
        <f>Table2[[#This Row],[Pl]]</f>
        <v>38</v>
      </c>
      <c r="AI187" s="1">
        <f>Table2[[#This Row],[W]]</f>
        <v>17</v>
      </c>
      <c r="AJ187" s="1">
        <f>Table2[[#This Row],[D]]</f>
        <v>13</v>
      </c>
      <c r="AK187" s="1">
        <f>Table2[[#This Row],[L]]</f>
        <v>8</v>
      </c>
      <c r="AL187" s="1">
        <f>Table2[[#This Row],[F]]</f>
        <v>52</v>
      </c>
      <c r="AM187" s="1">
        <f>Table2[[#This Row],[A]]</f>
        <v>39</v>
      </c>
      <c r="AN187" s="1">
        <f>Table2[[#This Row],[GD]]</f>
        <v>13</v>
      </c>
      <c r="AO187" s="1">
        <f>Table2[[#This Row],[Pts]]</f>
        <v>64</v>
      </c>
      <c r="AP187" s="1">
        <f>Table2[[#This Row],[Column1]]</f>
        <v>6</v>
      </c>
      <c r="AR187" t="b">
        <f t="shared" si="6"/>
        <v>1</v>
      </c>
      <c r="AS187">
        <f>IF(AR187,ROWS($AR$2:AR187),"")</f>
        <v>186</v>
      </c>
      <c r="AT187">
        <f>IFERROR(SMALL($AS$2:$AS$440,ROWS($AS$2:AS187)),"")</f>
        <v>186</v>
      </c>
      <c r="AU187">
        <f>IF(AT187&lt;&gt;"",INDEX($AE$2:$AP$440,MATCH($AT187,$AS$2:$AS$440,0),COLUMNS($AT$2:AT187)),"")</f>
        <v>2009</v>
      </c>
      <c r="AV187">
        <f>IF(AU187&lt;&gt;"",INDEX($AE$2:$AP$440,MATCH($AT187,$AS$2:$AS$440,0),COLUMNS($AT$2:AU187)),"")</f>
        <v>6</v>
      </c>
      <c r="AW187" t="str">
        <f>IF(AV187&lt;&gt;"",INDEX($AE$2:$AP$440,MATCH($AT187,$AS$2:$AS$440,0),COLUMNS($AT$2:AV187)),"")</f>
        <v>Aston Villa</v>
      </c>
      <c r="AX187">
        <f>IF(AW187&lt;&gt;"",INDEX($AE$2:$AP$440,MATCH($AT187,$AS$2:$AS$440,0),COLUMNS($AT$2:AW187)),"")</f>
        <v>38</v>
      </c>
      <c r="AY187">
        <f>IF(AX187&lt;&gt;"",INDEX($AE$2:$AP$440,MATCH($AT187,$AS$2:$AS$440,0),COLUMNS($AT$2:AX187)),"")</f>
        <v>17</v>
      </c>
      <c r="AZ187">
        <f>IF(AY187&lt;&gt;"",INDEX($AE$2:$AP$440,MATCH($AT187,$AS$2:$AS$440,0),COLUMNS($AT$2:AY187)),"")</f>
        <v>13</v>
      </c>
      <c r="BA187">
        <f>IF(AZ187&lt;&gt;"",INDEX($AE$2:$AP$440,MATCH($AT187,$AS$2:$AS$440,0),COLUMNS($AT$2:AZ187)),"")</f>
        <v>8</v>
      </c>
      <c r="BB187">
        <f>IF(BA187&lt;&gt;"",INDEX($AE$2:$AP$440,MATCH($AT187,$AS$2:$AS$440,0),COLUMNS($AT$2:BA187)),"")</f>
        <v>52</v>
      </c>
      <c r="BC187">
        <f>IF(BB187&lt;&gt;"",INDEX($AE$2:$AP$440,MATCH($AT187,$AS$2:$AS$440,0),COLUMNS($AT$2:BB187)),"")</f>
        <v>39</v>
      </c>
      <c r="BD187">
        <f>IF(BC187&lt;&gt;"",INDEX($AE$2:$AP$440,MATCH($AT187,$AS$2:$AS$440,0),COLUMNS($AT$2:BC187)),"")</f>
        <v>13</v>
      </c>
      <c r="BE187">
        <f>IF(BD187&lt;&gt;"",INDEX($AE$2:$AP$440,MATCH($AT187,$AS$2:$AS$440,0),COLUMNS($AT$2:BD187)),"")</f>
        <v>64</v>
      </c>
      <c r="BF187">
        <f>IF(BE187&lt;&gt;"",INDEX($AE$2:$AP$440,MATCH($AT187,$AS$2:$AS$440,0),COLUMNS($AT$2:BE187)),"")</f>
        <v>6</v>
      </c>
    </row>
    <row r="188" spans="1:58" x14ac:dyDescent="0.25">
      <c r="A188" s="3">
        <v>2009</v>
      </c>
      <c r="B188" s="3">
        <v>7</v>
      </c>
      <c r="C188" s="4" t="s">
        <v>13</v>
      </c>
      <c r="D188" s="3">
        <v>38</v>
      </c>
      <c r="E188" s="3">
        <v>18</v>
      </c>
      <c r="F188" s="3">
        <v>9</v>
      </c>
      <c r="G188" s="3">
        <v>11</v>
      </c>
      <c r="H188" s="3">
        <v>61</v>
      </c>
      <c r="I188" s="3">
        <v>35</v>
      </c>
      <c r="J188" s="3">
        <v>26</v>
      </c>
      <c r="K188" s="3">
        <v>63</v>
      </c>
      <c r="L188" s="5">
        <f>IF(Table2[[#This Row],['#]]=1,"Champion", IF(Table2[[#This Row],['#]]&gt;=18,"Relegated",Table2[[#This Row],['#]]))</f>
        <v>7</v>
      </c>
      <c r="N188">
        <f>IF(COUNTIF($O$2:O188,O188)=1,N187+1,N187)</f>
        <v>35</v>
      </c>
      <c r="O188" s="4" t="str">
        <f>Table2[[#This Row],[Team]]</f>
        <v>Liverpool</v>
      </c>
      <c r="P188" s="1" t="str">
        <f>IFERROR(VLOOKUP(ROWS($O$2:O188),$N$2:$O$441,2,0),"")</f>
        <v/>
      </c>
      <c r="Q188" s="1" t="str">
        <f>IF(P188&lt;&gt;"",SUMPRODUCT(--(Table2[Team]=P188)),"")</f>
        <v/>
      </c>
      <c r="R188" s="11" t="str">
        <f>IF(Q188&lt;&gt;"",Q188+ROWS($Q$2:Q188)/100,"")</f>
        <v/>
      </c>
      <c r="S188" t="str">
        <f>IF(R188&lt;&gt;"",LARGE($R$2:$R$441,ROWS($R$2:R188)),"")</f>
        <v/>
      </c>
      <c r="T188" s="1" t="str">
        <f>IF(R188&lt;&gt;"",INDEX($P$2:$Q$441,MATCH($S188,$R$2:$R$441,0),COLUMNS($S$2:S188)),"")</f>
        <v/>
      </c>
      <c r="U188" s="1" t="str">
        <f>IF(S188&lt;&gt;"",INDEX($P$2:$Q$441,MATCH($S188,$R$2:$R$441,0),COLUMNS($S$2:T188)),"")</f>
        <v/>
      </c>
      <c r="AE188" s="1">
        <f>Table2[[#This Row],[Year]]</f>
        <v>2009</v>
      </c>
      <c r="AF188" s="1">
        <f>Table2[[#This Row],['#]]</f>
        <v>7</v>
      </c>
      <c r="AG188" s="1" t="str">
        <f>Table2[[#This Row],[Team]]</f>
        <v>Liverpool</v>
      </c>
      <c r="AH188" s="1">
        <f>Table2[[#This Row],[Pl]]</f>
        <v>38</v>
      </c>
      <c r="AI188" s="1">
        <f>Table2[[#This Row],[W]]</f>
        <v>18</v>
      </c>
      <c r="AJ188" s="1">
        <f>Table2[[#This Row],[D]]</f>
        <v>9</v>
      </c>
      <c r="AK188" s="1">
        <f>Table2[[#This Row],[L]]</f>
        <v>11</v>
      </c>
      <c r="AL188" s="1">
        <f>Table2[[#This Row],[F]]</f>
        <v>61</v>
      </c>
      <c r="AM188" s="1">
        <f>Table2[[#This Row],[A]]</f>
        <v>35</v>
      </c>
      <c r="AN188" s="1">
        <f>Table2[[#This Row],[GD]]</f>
        <v>26</v>
      </c>
      <c r="AO188" s="1">
        <f>Table2[[#This Row],[Pts]]</f>
        <v>63</v>
      </c>
      <c r="AP188" s="1">
        <f>Table2[[#This Row],[Column1]]</f>
        <v>7</v>
      </c>
      <c r="AR188" t="b">
        <f t="shared" si="6"/>
        <v>1</v>
      </c>
      <c r="AS188">
        <f>IF(AR188,ROWS($AR$2:AR188),"")</f>
        <v>187</v>
      </c>
      <c r="AT188">
        <f>IFERROR(SMALL($AS$2:$AS$440,ROWS($AS$2:AS188)),"")</f>
        <v>187</v>
      </c>
      <c r="AU188">
        <f>IF(AT188&lt;&gt;"",INDEX($AE$2:$AP$440,MATCH($AT188,$AS$2:$AS$440,0),COLUMNS($AT$2:AT188)),"")</f>
        <v>2009</v>
      </c>
      <c r="AV188">
        <f>IF(AU188&lt;&gt;"",INDEX($AE$2:$AP$440,MATCH($AT188,$AS$2:$AS$440,0),COLUMNS($AT$2:AU188)),"")</f>
        <v>7</v>
      </c>
      <c r="AW188" t="str">
        <f>IF(AV188&lt;&gt;"",INDEX($AE$2:$AP$440,MATCH($AT188,$AS$2:$AS$440,0),COLUMNS($AT$2:AV188)),"")</f>
        <v>Liverpool</v>
      </c>
      <c r="AX188">
        <f>IF(AW188&lt;&gt;"",INDEX($AE$2:$AP$440,MATCH($AT188,$AS$2:$AS$440,0),COLUMNS($AT$2:AW188)),"")</f>
        <v>38</v>
      </c>
      <c r="AY188">
        <f>IF(AX188&lt;&gt;"",INDEX($AE$2:$AP$440,MATCH($AT188,$AS$2:$AS$440,0),COLUMNS($AT$2:AX188)),"")</f>
        <v>18</v>
      </c>
      <c r="AZ188">
        <f>IF(AY188&lt;&gt;"",INDEX($AE$2:$AP$440,MATCH($AT188,$AS$2:$AS$440,0),COLUMNS($AT$2:AY188)),"")</f>
        <v>9</v>
      </c>
      <c r="BA188">
        <f>IF(AZ188&lt;&gt;"",INDEX($AE$2:$AP$440,MATCH($AT188,$AS$2:$AS$440,0),COLUMNS($AT$2:AZ188)),"")</f>
        <v>11</v>
      </c>
      <c r="BB188">
        <f>IF(BA188&lt;&gt;"",INDEX($AE$2:$AP$440,MATCH($AT188,$AS$2:$AS$440,0),COLUMNS($AT$2:BA188)),"")</f>
        <v>61</v>
      </c>
      <c r="BC188">
        <f>IF(BB188&lt;&gt;"",INDEX($AE$2:$AP$440,MATCH($AT188,$AS$2:$AS$440,0),COLUMNS($AT$2:BB188)),"")</f>
        <v>35</v>
      </c>
      <c r="BD188">
        <f>IF(BC188&lt;&gt;"",INDEX($AE$2:$AP$440,MATCH($AT188,$AS$2:$AS$440,0),COLUMNS($AT$2:BC188)),"")</f>
        <v>26</v>
      </c>
      <c r="BE188">
        <f>IF(BD188&lt;&gt;"",INDEX($AE$2:$AP$440,MATCH($AT188,$AS$2:$AS$440,0),COLUMNS($AT$2:BD188)),"")</f>
        <v>63</v>
      </c>
      <c r="BF188">
        <f>IF(BE188&lt;&gt;"",INDEX($AE$2:$AP$440,MATCH($AT188,$AS$2:$AS$440,0),COLUMNS($AT$2:BE188)),"")</f>
        <v>7</v>
      </c>
    </row>
    <row r="189" spans="1:58" x14ac:dyDescent="0.25">
      <c r="A189" s="5">
        <v>2009</v>
      </c>
      <c r="B189" s="5">
        <v>8</v>
      </c>
      <c r="C189" s="6" t="s">
        <v>26</v>
      </c>
      <c r="D189" s="5">
        <v>38</v>
      </c>
      <c r="E189" s="5">
        <v>16</v>
      </c>
      <c r="F189" s="5">
        <v>13</v>
      </c>
      <c r="G189" s="5">
        <v>9</v>
      </c>
      <c r="H189" s="5">
        <v>60</v>
      </c>
      <c r="I189" s="5">
        <v>49</v>
      </c>
      <c r="J189" s="5">
        <v>11</v>
      </c>
      <c r="K189" s="5">
        <v>61</v>
      </c>
      <c r="L189" s="5">
        <f>IF(Table2[[#This Row],['#]]=1,"Champion", IF(Table2[[#This Row],['#]]&gt;=18,"Relegated",Table2[[#This Row],['#]]))</f>
        <v>8</v>
      </c>
      <c r="N189">
        <f>IF(COUNTIF($O$2:O189,O189)=1,N188+1,N188)</f>
        <v>35</v>
      </c>
      <c r="O189" s="4" t="str">
        <f>Table2[[#This Row],[Team]]</f>
        <v>Everton</v>
      </c>
      <c r="P189" s="1" t="str">
        <f>IFERROR(VLOOKUP(ROWS($O$2:O189),$N$2:$O$441,2,0),"")</f>
        <v/>
      </c>
      <c r="Q189" s="1" t="str">
        <f>IF(P189&lt;&gt;"",SUMPRODUCT(--(Table2[Team]=P189)),"")</f>
        <v/>
      </c>
      <c r="R189" s="11" t="str">
        <f>IF(Q189&lt;&gt;"",Q189+ROWS($Q$2:Q189)/100,"")</f>
        <v/>
      </c>
      <c r="S189" t="str">
        <f>IF(R189&lt;&gt;"",LARGE($R$2:$R$441,ROWS($R$2:R189)),"")</f>
        <v/>
      </c>
      <c r="T189" s="1" t="str">
        <f>IF(R189&lt;&gt;"",INDEX($P$2:$Q$441,MATCH($S189,$R$2:$R$441,0),COLUMNS($S$2:S189)),"")</f>
        <v/>
      </c>
      <c r="U189" s="1" t="str">
        <f>IF(S189&lt;&gt;"",INDEX($P$2:$Q$441,MATCH($S189,$R$2:$R$441,0),COLUMNS($S$2:T189)),"")</f>
        <v/>
      </c>
      <c r="AE189" s="1">
        <f>Table2[[#This Row],[Year]]</f>
        <v>2009</v>
      </c>
      <c r="AF189" s="1">
        <f>Table2[[#This Row],['#]]</f>
        <v>8</v>
      </c>
      <c r="AG189" s="1" t="str">
        <f>Table2[[#This Row],[Team]]</f>
        <v>Everton</v>
      </c>
      <c r="AH189" s="1">
        <f>Table2[[#This Row],[Pl]]</f>
        <v>38</v>
      </c>
      <c r="AI189" s="1">
        <f>Table2[[#This Row],[W]]</f>
        <v>16</v>
      </c>
      <c r="AJ189" s="1">
        <f>Table2[[#This Row],[D]]</f>
        <v>13</v>
      </c>
      <c r="AK189" s="1">
        <f>Table2[[#This Row],[L]]</f>
        <v>9</v>
      </c>
      <c r="AL189" s="1">
        <f>Table2[[#This Row],[F]]</f>
        <v>60</v>
      </c>
      <c r="AM189" s="1">
        <f>Table2[[#This Row],[A]]</f>
        <v>49</v>
      </c>
      <c r="AN189" s="1">
        <f>Table2[[#This Row],[GD]]</f>
        <v>11</v>
      </c>
      <c r="AO189" s="1">
        <f>Table2[[#This Row],[Pts]]</f>
        <v>61</v>
      </c>
      <c r="AP189" s="1">
        <f>Table2[[#This Row],[Column1]]</f>
        <v>8</v>
      </c>
      <c r="AR189" t="b">
        <f t="shared" si="6"/>
        <v>1</v>
      </c>
      <c r="AS189">
        <f>IF(AR189,ROWS($AR$2:AR189),"")</f>
        <v>188</v>
      </c>
      <c r="AT189">
        <f>IFERROR(SMALL($AS$2:$AS$440,ROWS($AS$2:AS189)),"")</f>
        <v>188</v>
      </c>
      <c r="AU189">
        <f>IF(AT189&lt;&gt;"",INDEX($AE$2:$AP$440,MATCH($AT189,$AS$2:$AS$440,0),COLUMNS($AT$2:AT189)),"")</f>
        <v>2009</v>
      </c>
      <c r="AV189">
        <f>IF(AU189&lt;&gt;"",INDEX($AE$2:$AP$440,MATCH($AT189,$AS$2:$AS$440,0),COLUMNS($AT$2:AU189)),"")</f>
        <v>8</v>
      </c>
      <c r="AW189" t="str">
        <f>IF(AV189&lt;&gt;"",INDEX($AE$2:$AP$440,MATCH($AT189,$AS$2:$AS$440,0),COLUMNS($AT$2:AV189)),"")</f>
        <v>Everton</v>
      </c>
      <c r="AX189">
        <f>IF(AW189&lt;&gt;"",INDEX($AE$2:$AP$440,MATCH($AT189,$AS$2:$AS$440,0),COLUMNS($AT$2:AW189)),"")</f>
        <v>38</v>
      </c>
      <c r="AY189">
        <f>IF(AX189&lt;&gt;"",INDEX($AE$2:$AP$440,MATCH($AT189,$AS$2:$AS$440,0),COLUMNS($AT$2:AX189)),"")</f>
        <v>16</v>
      </c>
      <c r="AZ189">
        <f>IF(AY189&lt;&gt;"",INDEX($AE$2:$AP$440,MATCH($AT189,$AS$2:$AS$440,0),COLUMNS($AT$2:AY189)),"")</f>
        <v>13</v>
      </c>
      <c r="BA189">
        <f>IF(AZ189&lt;&gt;"",INDEX($AE$2:$AP$440,MATCH($AT189,$AS$2:$AS$440,0),COLUMNS($AT$2:AZ189)),"")</f>
        <v>9</v>
      </c>
      <c r="BB189">
        <f>IF(BA189&lt;&gt;"",INDEX($AE$2:$AP$440,MATCH($AT189,$AS$2:$AS$440,0),COLUMNS($AT$2:BA189)),"")</f>
        <v>60</v>
      </c>
      <c r="BC189">
        <f>IF(BB189&lt;&gt;"",INDEX($AE$2:$AP$440,MATCH($AT189,$AS$2:$AS$440,0),COLUMNS($AT$2:BB189)),"")</f>
        <v>49</v>
      </c>
      <c r="BD189">
        <f>IF(BC189&lt;&gt;"",INDEX($AE$2:$AP$440,MATCH($AT189,$AS$2:$AS$440,0),COLUMNS($AT$2:BC189)),"")</f>
        <v>11</v>
      </c>
      <c r="BE189">
        <f>IF(BD189&lt;&gt;"",INDEX($AE$2:$AP$440,MATCH($AT189,$AS$2:$AS$440,0),COLUMNS($AT$2:BD189)),"")</f>
        <v>61</v>
      </c>
      <c r="BF189">
        <f>IF(BE189&lt;&gt;"",INDEX($AE$2:$AP$440,MATCH($AT189,$AS$2:$AS$440,0),COLUMNS($AT$2:BE189)),"")</f>
        <v>8</v>
      </c>
    </row>
    <row r="190" spans="1:58" x14ac:dyDescent="0.25">
      <c r="A190" s="3">
        <v>2009</v>
      </c>
      <c r="B190" s="3">
        <v>9</v>
      </c>
      <c r="C190" s="4" t="s">
        <v>34</v>
      </c>
      <c r="D190" s="3">
        <v>38</v>
      </c>
      <c r="E190" s="3">
        <v>13</v>
      </c>
      <c r="F190" s="3">
        <v>11</v>
      </c>
      <c r="G190" s="3">
        <v>14</v>
      </c>
      <c r="H190" s="3">
        <v>38</v>
      </c>
      <c r="I190" s="3">
        <v>47</v>
      </c>
      <c r="J190" s="3">
        <v>-9</v>
      </c>
      <c r="K190" s="3">
        <v>50</v>
      </c>
      <c r="L190" s="5">
        <f>IF(Table2[[#This Row],['#]]=1,"Champion", IF(Table2[[#This Row],['#]]&gt;=18,"Relegated",Table2[[#This Row],['#]]))</f>
        <v>9</v>
      </c>
      <c r="N190">
        <f>IF(COUNTIF($O$2:O190,O190)=1,N189+1,N189)</f>
        <v>35</v>
      </c>
      <c r="O190" s="4" t="str">
        <f>Table2[[#This Row],[Team]]</f>
        <v>Birmingham City</v>
      </c>
      <c r="P190" s="1" t="str">
        <f>IFERROR(VLOOKUP(ROWS($O$2:O190),$N$2:$O$441,2,0),"")</f>
        <v/>
      </c>
      <c r="Q190" s="1" t="str">
        <f>IF(P190&lt;&gt;"",SUMPRODUCT(--(Table2[Team]=P190)),"")</f>
        <v/>
      </c>
      <c r="R190" s="11" t="str">
        <f>IF(Q190&lt;&gt;"",Q190+ROWS($Q$2:Q190)/100,"")</f>
        <v/>
      </c>
      <c r="S190" t="str">
        <f>IF(R190&lt;&gt;"",LARGE($R$2:$R$441,ROWS($R$2:R190)),"")</f>
        <v/>
      </c>
      <c r="T190" s="1" t="str">
        <f>IF(R190&lt;&gt;"",INDEX($P$2:$Q$441,MATCH($S190,$R$2:$R$441,0),COLUMNS($S$2:S190)),"")</f>
        <v/>
      </c>
      <c r="U190" s="1" t="str">
        <f>IF(S190&lt;&gt;"",INDEX($P$2:$Q$441,MATCH($S190,$R$2:$R$441,0),COLUMNS($S$2:T190)),"")</f>
        <v/>
      </c>
      <c r="AE190" s="1">
        <f>Table2[[#This Row],[Year]]</f>
        <v>2009</v>
      </c>
      <c r="AF190" s="1">
        <f>Table2[[#This Row],['#]]</f>
        <v>9</v>
      </c>
      <c r="AG190" s="1" t="str">
        <f>Table2[[#This Row],[Team]]</f>
        <v>Birmingham City</v>
      </c>
      <c r="AH190" s="1">
        <f>Table2[[#This Row],[Pl]]</f>
        <v>38</v>
      </c>
      <c r="AI190" s="1">
        <f>Table2[[#This Row],[W]]</f>
        <v>13</v>
      </c>
      <c r="AJ190" s="1">
        <f>Table2[[#This Row],[D]]</f>
        <v>11</v>
      </c>
      <c r="AK190" s="1">
        <f>Table2[[#This Row],[L]]</f>
        <v>14</v>
      </c>
      <c r="AL190" s="1">
        <f>Table2[[#This Row],[F]]</f>
        <v>38</v>
      </c>
      <c r="AM190" s="1">
        <f>Table2[[#This Row],[A]]</f>
        <v>47</v>
      </c>
      <c r="AN190" s="1">
        <f>Table2[[#This Row],[GD]]</f>
        <v>-9</v>
      </c>
      <c r="AO190" s="1">
        <f>Table2[[#This Row],[Pts]]</f>
        <v>50</v>
      </c>
      <c r="AP190" s="1">
        <f>Table2[[#This Row],[Column1]]</f>
        <v>9</v>
      </c>
      <c r="AR190" t="b">
        <f t="shared" si="6"/>
        <v>1</v>
      </c>
      <c r="AS190">
        <f>IF(AR190,ROWS($AR$2:AR190),"")</f>
        <v>189</v>
      </c>
      <c r="AT190">
        <f>IFERROR(SMALL($AS$2:$AS$440,ROWS($AS$2:AS190)),"")</f>
        <v>189</v>
      </c>
      <c r="AU190">
        <f>IF(AT190&lt;&gt;"",INDEX($AE$2:$AP$440,MATCH($AT190,$AS$2:$AS$440,0),COLUMNS($AT$2:AT190)),"")</f>
        <v>2009</v>
      </c>
      <c r="AV190">
        <f>IF(AU190&lt;&gt;"",INDEX($AE$2:$AP$440,MATCH($AT190,$AS$2:$AS$440,0),COLUMNS($AT$2:AU190)),"")</f>
        <v>9</v>
      </c>
      <c r="AW190" t="str">
        <f>IF(AV190&lt;&gt;"",INDEX($AE$2:$AP$440,MATCH($AT190,$AS$2:$AS$440,0),COLUMNS($AT$2:AV190)),"")</f>
        <v>Birmingham City</v>
      </c>
      <c r="AX190">
        <f>IF(AW190&lt;&gt;"",INDEX($AE$2:$AP$440,MATCH($AT190,$AS$2:$AS$440,0),COLUMNS($AT$2:AW190)),"")</f>
        <v>38</v>
      </c>
      <c r="AY190">
        <f>IF(AX190&lt;&gt;"",INDEX($AE$2:$AP$440,MATCH($AT190,$AS$2:$AS$440,0),COLUMNS($AT$2:AX190)),"")</f>
        <v>13</v>
      </c>
      <c r="AZ190">
        <f>IF(AY190&lt;&gt;"",INDEX($AE$2:$AP$440,MATCH($AT190,$AS$2:$AS$440,0),COLUMNS($AT$2:AY190)),"")</f>
        <v>11</v>
      </c>
      <c r="BA190">
        <f>IF(AZ190&lt;&gt;"",INDEX($AE$2:$AP$440,MATCH($AT190,$AS$2:$AS$440,0),COLUMNS($AT$2:AZ190)),"")</f>
        <v>14</v>
      </c>
      <c r="BB190">
        <f>IF(BA190&lt;&gt;"",INDEX($AE$2:$AP$440,MATCH($AT190,$AS$2:$AS$440,0),COLUMNS($AT$2:BA190)),"")</f>
        <v>38</v>
      </c>
      <c r="BC190">
        <f>IF(BB190&lt;&gt;"",INDEX($AE$2:$AP$440,MATCH($AT190,$AS$2:$AS$440,0),COLUMNS($AT$2:BB190)),"")</f>
        <v>47</v>
      </c>
      <c r="BD190">
        <f>IF(BC190&lt;&gt;"",INDEX($AE$2:$AP$440,MATCH($AT190,$AS$2:$AS$440,0),COLUMNS($AT$2:BC190)),"")</f>
        <v>-9</v>
      </c>
      <c r="BE190">
        <f>IF(BD190&lt;&gt;"",INDEX($AE$2:$AP$440,MATCH($AT190,$AS$2:$AS$440,0),COLUMNS($AT$2:BD190)),"")</f>
        <v>50</v>
      </c>
      <c r="BF190">
        <f>IF(BE190&lt;&gt;"",INDEX($AE$2:$AP$440,MATCH($AT190,$AS$2:$AS$440,0),COLUMNS($AT$2:BE190)),"")</f>
        <v>9</v>
      </c>
    </row>
    <row r="191" spans="1:58" x14ac:dyDescent="0.25">
      <c r="A191" s="5">
        <v>2009</v>
      </c>
      <c r="B191" s="5">
        <v>10</v>
      </c>
      <c r="C191" s="6" t="s">
        <v>31</v>
      </c>
      <c r="D191" s="5">
        <v>38</v>
      </c>
      <c r="E191" s="5">
        <v>13</v>
      </c>
      <c r="F191" s="5">
        <v>11</v>
      </c>
      <c r="G191" s="5">
        <v>14</v>
      </c>
      <c r="H191" s="5">
        <v>41</v>
      </c>
      <c r="I191" s="5">
        <v>55</v>
      </c>
      <c r="J191" s="5">
        <v>-14</v>
      </c>
      <c r="K191" s="5">
        <v>50</v>
      </c>
      <c r="L191" s="5">
        <f>IF(Table2[[#This Row],['#]]=1,"Champion", IF(Table2[[#This Row],['#]]&gt;=18,"Relegated",Table2[[#This Row],['#]]))</f>
        <v>10</v>
      </c>
      <c r="N191">
        <f>IF(COUNTIF($O$2:O191,O191)=1,N190+1,N190)</f>
        <v>35</v>
      </c>
      <c r="O191" s="4" t="str">
        <f>Table2[[#This Row],[Team]]</f>
        <v>Blackburn Rovers</v>
      </c>
      <c r="P191" s="1" t="str">
        <f>IFERROR(VLOOKUP(ROWS($O$2:O191),$N$2:$O$441,2,0),"")</f>
        <v/>
      </c>
      <c r="Q191" s="1" t="str">
        <f>IF(P191&lt;&gt;"",SUMPRODUCT(--(Table2[Team]=P191)),"")</f>
        <v/>
      </c>
      <c r="R191" s="11" t="str">
        <f>IF(Q191&lt;&gt;"",Q191+ROWS($Q$2:Q191)/100,"")</f>
        <v/>
      </c>
      <c r="S191" t="str">
        <f>IF(R191&lt;&gt;"",LARGE($R$2:$R$441,ROWS($R$2:R191)),"")</f>
        <v/>
      </c>
      <c r="T191" s="1" t="str">
        <f>IF(R191&lt;&gt;"",INDEX($P$2:$Q$441,MATCH($S191,$R$2:$R$441,0),COLUMNS($S$2:S191)),"")</f>
        <v/>
      </c>
      <c r="U191" s="1" t="str">
        <f>IF(S191&lt;&gt;"",INDEX($P$2:$Q$441,MATCH($S191,$R$2:$R$441,0),COLUMNS($S$2:T191)),"")</f>
        <v/>
      </c>
      <c r="AE191" s="1">
        <f>Table2[[#This Row],[Year]]</f>
        <v>2009</v>
      </c>
      <c r="AF191" s="1">
        <f>Table2[[#This Row],['#]]</f>
        <v>10</v>
      </c>
      <c r="AG191" s="1" t="str">
        <f>Table2[[#This Row],[Team]]</f>
        <v>Blackburn Rovers</v>
      </c>
      <c r="AH191" s="1">
        <f>Table2[[#This Row],[Pl]]</f>
        <v>38</v>
      </c>
      <c r="AI191" s="1">
        <f>Table2[[#This Row],[W]]</f>
        <v>13</v>
      </c>
      <c r="AJ191" s="1">
        <f>Table2[[#This Row],[D]]</f>
        <v>11</v>
      </c>
      <c r="AK191" s="1">
        <f>Table2[[#This Row],[L]]</f>
        <v>14</v>
      </c>
      <c r="AL191" s="1">
        <f>Table2[[#This Row],[F]]</f>
        <v>41</v>
      </c>
      <c r="AM191" s="1">
        <f>Table2[[#This Row],[A]]</f>
        <v>55</v>
      </c>
      <c r="AN191" s="1">
        <f>Table2[[#This Row],[GD]]</f>
        <v>-14</v>
      </c>
      <c r="AO191" s="1">
        <f>Table2[[#This Row],[Pts]]</f>
        <v>50</v>
      </c>
      <c r="AP191" s="1">
        <f>Table2[[#This Row],[Column1]]</f>
        <v>10</v>
      </c>
      <c r="AR191" t="b">
        <f t="shared" si="6"/>
        <v>1</v>
      </c>
      <c r="AS191">
        <f>IF(AR191,ROWS($AR$2:AR191),"")</f>
        <v>190</v>
      </c>
      <c r="AT191">
        <f>IFERROR(SMALL($AS$2:$AS$440,ROWS($AS$2:AS191)),"")</f>
        <v>190</v>
      </c>
      <c r="AU191">
        <f>IF(AT191&lt;&gt;"",INDEX($AE$2:$AP$440,MATCH($AT191,$AS$2:$AS$440,0),COLUMNS($AT$2:AT191)),"")</f>
        <v>2009</v>
      </c>
      <c r="AV191">
        <f>IF(AU191&lt;&gt;"",INDEX($AE$2:$AP$440,MATCH($AT191,$AS$2:$AS$440,0),COLUMNS($AT$2:AU191)),"")</f>
        <v>10</v>
      </c>
      <c r="AW191" t="str">
        <f>IF(AV191&lt;&gt;"",INDEX($AE$2:$AP$440,MATCH($AT191,$AS$2:$AS$440,0),COLUMNS($AT$2:AV191)),"")</f>
        <v>Blackburn Rovers</v>
      </c>
      <c r="AX191">
        <f>IF(AW191&lt;&gt;"",INDEX($AE$2:$AP$440,MATCH($AT191,$AS$2:$AS$440,0),COLUMNS($AT$2:AW191)),"")</f>
        <v>38</v>
      </c>
      <c r="AY191">
        <f>IF(AX191&lt;&gt;"",INDEX($AE$2:$AP$440,MATCH($AT191,$AS$2:$AS$440,0),COLUMNS($AT$2:AX191)),"")</f>
        <v>13</v>
      </c>
      <c r="AZ191">
        <f>IF(AY191&lt;&gt;"",INDEX($AE$2:$AP$440,MATCH($AT191,$AS$2:$AS$440,0),COLUMNS($AT$2:AY191)),"")</f>
        <v>11</v>
      </c>
      <c r="BA191">
        <f>IF(AZ191&lt;&gt;"",INDEX($AE$2:$AP$440,MATCH($AT191,$AS$2:$AS$440,0),COLUMNS($AT$2:AZ191)),"")</f>
        <v>14</v>
      </c>
      <c r="BB191">
        <f>IF(BA191&lt;&gt;"",INDEX($AE$2:$AP$440,MATCH($AT191,$AS$2:$AS$440,0),COLUMNS($AT$2:BA191)),"")</f>
        <v>41</v>
      </c>
      <c r="BC191">
        <f>IF(BB191&lt;&gt;"",INDEX($AE$2:$AP$440,MATCH($AT191,$AS$2:$AS$440,0),COLUMNS($AT$2:BB191)),"")</f>
        <v>55</v>
      </c>
      <c r="BD191">
        <f>IF(BC191&lt;&gt;"",INDEX($AE$2:$AP$440,MATCH($AT191,$AS$2:$AS$440,0),COLUMNS($AT$2:BC191)),"")</f>
        <v>-14</v>
      </c>
      <c r="BE191">
        <f>IF(BD191&lt;&gt;"",INDEX($AE$2:$AP$440,MATCH($AT191,$AS$2:$AS$440,0),COLUMNS($AT$2:BD191)),"")</f>
        <v>50</v>
      </c>
      <c r="BF191">
        <f>IF(BE191&lt;&gt;"",INDEX($AE$2:$AP$440,MATCH($AT191,$AS$2:$AS$440,0),COLUMNS($AT$2:BE191)),"")</f>
        <v>10</v>
      </c>
    </row>
    <row r="192" spans="1:58" x14ac:dyDescent="0.25">
      <c r="A192" s="3">
        <v>2009</v>
      </c>
      <c r="B192" s="3">
        <v>11</v>
      </c>
      <c r="C192" s="4" t="s">
        <v>44</v>
      </c>
      <c r="D192" s="3">
        <v>38</v>
      </c>
      <c r="E192" s="3">
        <v>11</v>
      </c>
      <c r="F192" s="3">
        <v>14</v>
      </c>
      <c r="G192" s="3">
        <v>13</v>
      </c>
      <c r="H192" s="3">
        <v>34</v>
      </c>
      <c r="I192" s="3">
        <v>48</v>
      </c>
      <c r="J192" s="3">
        <v>-14</v>
      </c>
      <c r="K192" s="3">
        <v>47</v>
      </c>
      <c r="L192" s="5">
        <f>IF(Table2[[#This Row],['#]]=1,"Champion", IF(Table2[[#This Row],['#]]&gt;=18,"Relegated",Table2[[#This Row],['#]]))</f>
        <v>11</v>
      </c>
      <c r="N192">
        <f>IF(COUNTIF($O$2:O192,O192)=1,N191+1,N191)</f>
        <v>35</v>
      </c>
      <c r="O192" s="4" t="str">
        <f>Table2[[#This Row],[Team]]</f>
        <v>Stoke City</v>
      </c>
      <c r="P192" s="1" t="str">
        <f>IFERROR(VLOOKUP(ROWS($O$2:O192),$N$2:$O$441,2,0),"")</f>
        <v/>
      </c>
      <c r="Q192" s="1" t="str">
        <f>IF(P192&lt;&gt;"",SUMPRODUCT(--(Table2[Team]=P192)),"")</f>
        <v/>
      </c>
      <c r="R192" s="11" t="str">
        <f>IF(Q192&lt;&gt;"",Q192+ROWS($Q$2:Q192)/100,"")</f>
        <v/>
      </c>
      <c r="S192" t="str">
        <f>IF(R192&lt;&gt;"",LARGE($R$2:$R$441,ROWS($R$2:R192)),"")</f>
        <v/>
      </c>
      <c r="T192" s="1" t="str">
        <f>IF(R192&lt;&gt;"",INDEX($P$2:$Q$441,MATCH($S192,$R$2:$R$441,0),COLUMNS($S$2:S192)),"")</f>
        <v/>
      </c>
      <c r="U192" s="1" t="str">
        <f>IF(S192&lt;&gt;"",INDEX($P$2:$Q$441,MATCH($S192,$R$2:$R$441,0),COLUMNS($S$2:T192)),"")</f>
        <v/>
      </c>
      <c r="AE192" s="1">
        <f>Table2[[#This Row],[Year]]</f>
        <v>2009</v>
      </c>
      <c r="AF192" s="1">
        <f>Table2[[#This Row],['#]]</f>
        <v>11</v>
      </c>
      <c r="AG192" s="1" t="str">
        <f>Table2[[#This Row],[Team]]</f>
        <v>Stoke City</v>
      </c>
      <c r="AH192" s="1">
        <f>Table2[[#This Row],[Pl]]</f>
        <v>38</v>
      </c>
      <c r="AI192" s="1">
        <f>Table2[[#This Row],[W]]</f>
        <v>11</v>
      </c>
      <c r="AJ192" s="1">
        <f>Table2[[#This Row],[D]]</f>
        <v>14</v>
      </c>
      <c r="AK192" s="1">
        <f>Table2[[#This Row],[L]]</f>
        <v>13</v>
      </c>
      <c r="AL192" s="1">
        <f>Table2[[#This Row],[F]]</f>
        <v>34</v>
      </c>
      <c r="AM192" s="1">
        <f>Table2[[#This Row],[A]]</f>
        <v>48</v>
      </c>
      <c r="AN192" s="1">
        <f>Table2[[#This Row],[GD]]</f>
        <v>-14</v>
      </c>
      <c r="AO192" s="1">
        <f>Table2[[#This Row],[Pts]]</f>
        <v>47</v>
      </c>
      <c r="AP192" s="1">
        <f>Table2[[#This Row],[Column1]]</f>
        <v>11</v>
      </c>
      <c r="AR192" t="b">
        <f t="shared" si="6"/>
        <v>1</v>
      </c>
      <c r="AS192">
        <f>IF(AR192,ROWS($AR$2:AR192),"")</f>
        <v>191</v>
      </c>
      <c r="AT192">
        <f>IFERROR(SMALL($AS$2:$AS$440,ROWS($AS$2:AS192)),"")</f>
        <v>191</v>
      </c>
      <c r="AU192">
        <f>IF(AT192&lt;&gt;"",INDEX($AE$2:$AP$440,MATCH($AT192,$AS$2:$AS$440,0),COLUMNS($AT$2:AT192)),"")</f>
        <v>2009</v>
      </c>
      <c r="AV192">
        <f>IF(AU192&lt;&gt;"",INDEX($AE$2:$AP$440,MATCH($AT192,$AS$2:$AS$440,0),COLUMNS($AT$2:AU192)),"")</f>
        <v>11</v>
      </c>
      <c r="AW192" t="str">
        <f>IF(AV192&lt;&gt;"",INDEX($AE$2:$AP$440,MATCH($AT192,$AS$2:$AS$440,0),COLUMNS($AT$2:AV192)),"")</f>
        <v>Stoke City</v>
      </c>
      <c r="AX192">
        <f>IF(AW192&lt;&gt;"",INDEX($AE$2:$AP$440,MATCH($AT192,$AS$2:$AS$440,0),COLUMNS($AT$2:AW192)),"")</f>
        <v>38</v>
      </c>
      <c r="AY192">
        <f>IF(AX192&lt;&gt;"",INDEX($AE$2:$AP$440,MATCH($AT192,$AS$2:$AS$440,0),COLUMNS($AT$2:AX192)),"")</f>
        <v>11</v>
      </c>
      <c r="AZ192">
        <f>IF(AY192&lt;&gt;"",INDEX($AE$2:$AP$440,MATCH($AT192,$AS$2:$AS$440,0),COLUMNS($AT$2:AY192)),"")</f>
        <v>14</v>
      </c>
      <c r="BA192">
        <f>IF(AZ192&lt;&gt;"",INDEX($AE$2:$AP$440,MATCH($AT192,$AS$2:$AS$440,0),COLUMNS($AT$2:AZ192)),"")</f>
        <v>13</v>
      </c>
      <c r="BB192">
        <f>IF(BA192&lt;&gt;"",INDEX($AE$2:$AP$440,MATCH($AT192,$AS$2:$AS$440,0),COLUMNS($AT$2:BA192)),"")</f>
        <v>34</v>
      </c>
      <c r="BC192">
        <f>IF(BB192&lt;&gt;"",INDEX($AE$2:$AP$440,MATCH($AT192,$AS$2:$AS$440,0),COLUMNS($AT$2:BB192)),"")</f>
        <v>48</v>
      </c>
      <c r="BD192">
        <f>IF(BC192&lt;&gt;"",INDEX($AE$2:$AP$440,MATCH($AT192,$AS$2:$AS$440,0),COLUMNS($AT$2:BC192)),"")</f>
        <v>-14</v>
      </c>
      <c r="BE192">
        <f>IF(BD192&lt;&gt;"",INDEX($AE$2:$AP$440,MATCH($AT192,$AS$2:$AS$440,0),COLUMNS($AT$2:BD192)),"")</f>
        <v>47</v>
      </c>
      <c r="BF192">
        <f>IF(BE192&lt;&gt;"",INDEX($AE$2:$AP$440,MATCH($AT192,$AS$2:$AS$440,0),COLUMNS($AT$2:BE192)),"")</f>
        <v>11</v>
      </c>
    </row>
    <row r="193" spans="1:58" x14ac:dyDescent="0.25">
      <c r="A193" s="5">
        <v>2009</v>
      </c>
      <c r="B193" s="5">
        <v>12</v>
      </c>
      <c r="C193" s="6" t="s">
        <v>32</v>
      </c>
      <c r="D193" s="5">
        <v>38</v>
      </c>
      <c r="E193" s="5">
        <v>12</v>
      </c>
      <c r="F193" s="5">
        <v>10</v>
      </c>
      <c r="G193" s="5">
        <v>16</v>
      </c>
      <c r="H193" s="5">
        <v>39</v>
      </c>
      <c r="I193" s="5">
        <v>46</v>
      </c>
      <c r="J193" s="5">
        <v>-7</v>
      </c>
      <c r="K193" s="5">
        <v>46</v>
      </c>
      <c r="L193" s="5">
        <f>IF(Table2[[#This Row],['#]]=1,"Champion", IF(Table2[[#This Row],['#]]&gt;=18,"Relegated",Table2[[#This Row],['#]]))</f>
        <v>12</v>
      </c>
      <c r="N193">
        <f>IF(COUNTIF($O$2:O193,O193)=1,N192+1,N192)</f>
        <v>35</v>
      </c>
      <c r="O193" s="4" t="str">
        <f>Table2[[#This Row],[Team]]</f>
        <v>Fulham</v>
      </c>
      <c r="P193" s="1" t="str">
        <f>IFERROR(VLOOKUP(ROWS($O$2:O193),$N$2:$O$441,2,0),"")</f>
        <v/>
      </c>
      <c r="Q193" s="1" t="str">
        <f>IF(P193&lt;&gt;"",SUMPRODUCT(--(Table2[Team]=P193)),"")</f>
        <v/>
      </c>
      <c r="R193" s="11" t="str">
        <f>IF(Q193&lt;&gt;"",Q193+ROWS($Q$2:Q193)/100,"")</f>
        <v/>
      </c>
      <c r="S193" t="str">
        <f>IF(R193&lt;&gt;"",LARGE($R$2:$R$441,ROWS($R$2:R193)),"")</f>
        <v/>
      </c>
      <c r="T193" s="1" t="str">
        <f>IF(R193&lt;&gt;"",INDEX($P$2:$Q$441,MATCH($S193,$R$2:$R$441,0),COLUMNS($S$2:S193)),"")</f>
        <v/>
      </c>
      <c r="U193" s="1" t="str">
        <f>IF(S193&lt;&gt;"",INDEX($P$2:$Q$441,MATCH($S193,$R$2:$R$441,0),COLUMNS($S$2:T193)),"")</f>
        <v/>
      </c>
      <c r="AE193" s="1">
        <f>Table2[[#This Row],[Year]]</f>
        <v>2009</v>
      </c>
      <c r="AF193" s="1">
        <f>Table2[[#This Row],['#]]</f>
        <v>12</v>
      </c>
      <c r="AG193" s="1" t="str">
        <f>Table2[[#This Row],[Team]]</f>
        <v>Fulham</v>
      </c>
      <c r="AH193" s="1">
        <f>Table2[[#This Row],[Pl]]</f>
        <v>38</v>
      </c>
      <c r="AI193" s="1">
        <f>Table2[[#This Row],[W]]</f>
        <v>12</v>
      </c>
      <c r="AJ193" s="1">
        <f>Table2[[#This Row],[D]]</f>
        <v>10</v>
      </c>
      <c r="AK193" s="1">
        <f>Table2[[#This Row],[L]]</f>
        <v>16</v>
      </c>
      <c r="AL193" s="1">
        <f>Table2[[#This Row],[F]]</f>
        <v>39</v>
      </c>
      <c r="AM193" s="1">
        <f>Table2[[#This Row],[A]]</f>
        <v>46</v>
      </c>
      <c r="AN193" s="1">
        <f>Table2[[#This Row],[GD]]</f>
        <v>-7</v>
      </c>
      <c r="AO193" s="1">
        <f>Table2[[#This Row],[Pts]]</f>
        <v>46</v>
      </c>
      <c r="AP193" s="1">
        <f>Table2[[#This Row],[Column1]]</f>
        <v>12</v>
      </c>
      <c r="AR193" t="b">
        <f t="shared" si="6"/>
        <v>1</v>
      </c>
      <c r="AS193">
        <f>IF(AR193,ROWS($AR$2:AR193),"")</f>
        <v>192</v>
      </c>
      <c r="AT193">
        <f>IFERROR(SMALL($AS$2:$AS$440,ROWS($AS$2:AS193)),"")</f>
        <v>192</v>
      </c>
      <c r="AU193">
        <f>IF(AT193&lt;&gt;"",INDEX($AE$2:$AP$440,MATCH($AT193,$AS$2:$AS$440,0),COLUMNS($AT$2:AT193)),"")</f>
        <v>2009</v>
      </c>
      <c r="AV193">
        <f>IF(AU193&lt;&gt;"",INDEX($AE$2:$AP$440,MATCH($AT193,$AS$2:$AS$440,0),COLUMNS($AT$2:AU193)),"")</f>
        <v>12</v>
      </c>
      <c r="AW193" t="str">
        <f>IF(AV193&lt;&gt;"",INDEX($AE$2:$AP$440,MATCH($AT193,$AS$2:$AS$440,0),COLUMNS($AT$2:AV193)),"")</f>
        <v>Fulham</v>
      </c>
      <c r="AX193">
        <f>IF(AW193&lt;&gt;"",INDEX($AE$2:$AP$440,MATCH($AT193,$AS$2:$AS$440,0),COLUMNS($AT$2:AW193)),"")</f>
        <v>38</v>
      </c>
      <c r="AY193">
        <f>IF(AX193&lt;&gt;"",INDEX($AE$2:$AP$440,MATCH($AT193,$AS$2:$AS$440,0),COLUMNS($AT$2:AX193)),"")</f>
        <v>12</v>
      </c>
      <c r="AZ193">
        <f>IF(AY193&lt;&gt;"",INDEX($AE$2:$AP$440,MATCH($AT193,$AS$2:$AS$440,0),COLUMNS($AT$2:AY193)),"")</f>
        <v>10</v>
      </c>
      <c r="BA193">
        <f>IF(AZ193&lt;&gt;"",INDEX($AE$2:$AP$440,MATCH($AT193,$AS$2:$AS$440,0),COLUMNS($AT$2:AZ193)),"")</f>
        <v>16</v>
      </c>
      <c r="BB193">
        <f>IF(BA193&lt;&gt;"",INDEX($AE$2:$AP$440,MATCH($AT193,$AS$2:$AS$440,0),COLUMNS($AT$2:BA193)),"")</f>
        <v>39</v>
      </c>
      <c r="BC193">
        <f>IF(BB193&lt;&gt;"",INDEX($AE$2:$AP$440,MATCH($AT193,$AS$2:$AS$440,0),COLUMNS($AT$2:BB193)),"")</f>
        <v>46</v>
      </c>
      <c r="BD193">
        <f>IF(BC193&lt;&gt;"",INDEX($AE$2:$AP$440,MATCH($AT193,$AS$2:$AS$440,0),COLUMNS($AT$2:BC193)),"")</f>
        <v>-7</v>
      </c>
      <c r="BE193">
        <f>IF(BD193&lt;&gt;"",INDEX($AE$2:$AP$440,MATCH($AT193,$AS$2:$AS$440,0),COLUMNS($AT$2:BD193)),"")</f>
        <v>46</v>
      </c>
      <c r="BF193">
        <f>IF(BE193&lt;&gt;"",INDEX($AE$2:$AP$440,MATCH($AT193,$AS$2:$AS$440,0),COLUMNS($AT$2:BE193)),"")</f>
        <v>12</v>
      </c>
    </row>
    <row r="194" spans="1:58" x14ac:dyDescent="0.25">
      <c r="A194" s="3">
        <v>2009</v>
      </c>
      <c r="B194" s="3">
        <v>13</v>
      </c>
      <c r="C194" s="4" t="s">
        <v>17</v>
      </c>
      <c r="D194" s="3">
        <v>38</v>
      </c>
      <c r="E194" s="3">
        <v>11</v>
      </c>
      <c r="F194" s="3">
        <v>11</v>
      </c>
      <c r="G194" s="3">
        <v>16</v>
      </c>
      <c r="H194" s="3">
        <v>48</v>
      </c>
      <c r="I194" s="3">
        <v>56</v>
      </c>
      <c r="J194" s="3">
        <v>-8</v>
      </c>
      <c r="K194" s="3">
        <v>44</v>
      </c>
      <c r="L194" s="5">
        <f>IF(Table2[[#This Row],['#]]=1,"Champion", IF(Table2[[#This Row],['#]]&gt;=18,"Relegated",Table2[[#This Row],['#]]))</f>
        <v>13</v>
      </c>
      <c r="N194">
        <f>IF(COUNTIF($O$2:O194,O194)=1,N193+1,N193)</f>
        <v>35</v>
      </c>
      <c r="O194" s="4" t="str">
        <f>Table2[[#This Row],[Team]]</f>
        <v>Sunderland</v>
      </c>
      <c r="P194" s="1" t="str">
        <f>IFERROR(VLOOKUP(ROWS($O$2:O194),$N$2:$O$441,2,0),"")</f>
        <v/>
      </c>
      <c r="Q194" s="1" t="str">
        <f>IF(P194&lt;&gt;"",SUMPRODUCT(--(Table2[Team]=P194)),"")</f>
        <v/>
      </c>
      <c r="R194" s="11" t="str">
        <f>IF(Q194&lt;&gt;"",Q194+ROWS($Q$2:Q194)/100,"")</f>
        <v/>
      </c>
      <c r="S194" t="str">
        <f>IF(R194&lt;&gt;"",LARGE($R$2:$R$441,ROWS($R$2:R194)),"")</f>
        <v/>
      </c>
      <c r="T194" s="1" t="str">
        <f>IF(R194&lt;&gt;"",INDEX($P$2:$Q$441,MATCH($S194,$R$2:$R$441,0),COLUMNS($S$2:S194)),"")</f>
        <v/>
      </c>
      <c r="U194" s="1" t="str">
        <f>IF(S194&lt;&gt;"",INDEX($P$2:$Q$441,MATCH($S194,$R$2:$R$441,0),COLUMNS($S$2:T194)),"")</f>
        <v/>
      </c>
      <c r="AE194" s="1">
        <f>Table2[[#This Row],[Year]]</f>
        <v>2009</v>
      </c>
      <c r="AF194" s="1">
        <f>Table2[[#This Row],['#]]</f>
        <v>13</v>
      </c>
      <c r="AG194" s="1" t="str">
        <f>Table2[[#This Row],[Team]]</f>
        <v>Sunderland</v>
      </c>
      <c r="AH194" s="1">
        <f>Table2[[#This Row],[Pl]]</f>
        <v>38</v>
      </c>
      <c r="AI194" s="1">
        <f>Table2[[#This Row],[W]]</f>
        <v>11</v>
      </c>
      <c r="AJ194" s="1">
        <f>Table2[[#This Row],[D]]</f>
        <v>11</v>
      </c>
      <c r="AK194" s="1">
        <f>Table2[[#This Row],[L]]</f>
        <v>16</v>
      </c>
      <c r="AL194" s="1">
        <f>Table2[[#This Row],[F]]</f>
        <v>48</v>
      </c>
      <c r="AM194" s="1">
        <f>Table2[[#This Row],[A]]</f>
        <v>56</v>
      </c>
      <c r="AN194" s="1">
        <f>Table2[[#This Row],[GD]]</f>
        <v>-8</v>
      </c>
      <c r="AO194" s="1">
        <f>Table2[[#This Row],[Pts]]</f>
        <v>44</v>
      </c>
      <c r="AP194" s="1">
        <f>Table2[[#This Row],[Column1]]</f>
        <v>13</v>
      </c>
      <c r="AR194" t="b">
        <f t="shared" si="6"/>
        <v>1</v>
      </c>
      <c r="AS194">
        <f>IF(AR194,ROWS($AR$2:AR194),"")</f>
        <v>193</v>
      </c>
      <c r="AT194">
        <f>IFERROR(SMALL($AS$2:$AS$440,ROWS($AS$2:AS194)),"")</f>
        <v>193</v>
      </c>
      <c r="AU194">
        <f>IF(AT194&lt;&gt;"",INDEX($AE$2:$AP$440,MATCH($AT194,$AS$2:$AS$440,0),COLUMNS($AT$2:AT194)),"")</f>
        <v>2009</v>
      </c>
      <c r="AV194">
        <f>IF(AU194&lt;&gt;"",INDEX($AE$2:$AP$440,MATCH($AT194,$AS$2:$AS$440,0),COLUMNS($AT$2:AU194)),"")</f>
        <v>13</v>
      </c>
      <c r="AW194" t="str">
        <f>IF(AV194&lt;&gt;"",INDEX($AE$2:$AP$440,MATCH($AT194,$AS$2:$AS$440,0),COLUMNS($AT$2:AV194)),"")</f>
        <v>Sunderland</v>
      </c>
      <c r="AX194">
        <f>IF(AW194&lt;&gt;"",INDEX($AE$2:$AP$440,MATCH($AT194,$AS$2:$AS$440,0),COLUMNS($AT$2:AW194)),"")</f>
        <v>38</v>
      </c>
      <c r="AY194">
        <f>IF(AX194&lt;&gt;"",INDEX($AE$2:$AP$440,MATCH($AT194,$AS$2:$AS$440,0),COLUMNS($AT$2:AX194)),"")</f>
        <v>11</v>
      </c>
      <c r="AZ194">
        <f>IF(AY194&lt;&gt;"",INDEX($AE$2:$AP$440,MATCH($AT194,$AS$2:$AS$440,0),COLUMNS($AT$2:AY194)),"")</f>
        <v>11</v>
      </c>
      <c r="BA194">
        <f>IF(AZ194&lt;&gt;"",INDEX($AE$2:$AP$440,MATCH($AT194,$AS$2:$AS$440,0),COLUMNS($AT$2:AZ194)),"")</f>
        <v>16</v>
      </c>
      <c r="BB194">
        <f>IF(BA194&lt;&gt;"",INDEX($AE$2:$AP$440,MATCH($AT194,$AS$2:$AS$440,0),COLUMNS($AT$2:BA194)),"")</f>
        <v>48</v>
      </c>
      <c r="BC194">
        <f>IF(BB194&lt;&gt;"",INDEX($AE$2:$AP$440,MATCH($AT194,$AS$2:$AS$440,0),COLUMNS($AT$2:BB194)),"")</f>
        <v>56</v>
      </c>
      <c r="BD194">
        <f>IF(BC194&lt;&gt;"",INDEX($AE$2:$AP$440,MATCH($AT194,$AS$2:$AS$440,0),COLUMNS($AT$2:BC194)),"")</f>
        <v>-8</v>
      </c>
      <c r="BE194">
        <f>IF(BD194&lt;&gt;"",INDEX($AE$2:$AP$440,MATCH($AT194,$AS$2:$AS$440,0),COLUMNS($AT$2:BD194)),"")</f>
        <v>44</v>
      </c>
      <c r="BF194">
        <f>IF(BE194&lt;&gt;"",INDEX($AE$2:$AP$440,MATCH($AT194,$AS$2:$AS$440,0),COLUMNS($AT$2:BE194)),"")</f>
        <v>13</v>
      </c>
    </row>
    <row r="195" spans="1:58" x14ac:dyDescent="0.25">
      <c r="A195" s="5">
        <v>2009</v>
      </c>
      <c r="B195" s="5">
        <v>14</v>
      </c>
      <c r="C195" s="6" t="s">
        <v>33</v>
      </c>
      <c r="D195" s="5">
        <v>38</v>
      </c>
      <c r="E195" s="5">
        <v>10</v>
      </c>
      <c r="F195" s="5">
        <v>9</v>
      </c>
      <c r="G195" s="5">
        <v>19</v>
      </c>
      <c r="H195" s="5">
        <v>42</v>
      </c>
      <c r="I195" s="5">
        <v>67</v>
      </c>
      <c r="J195" s="5">
        <v>-25</v>
      </c>
      <c r="K195" s="5">
        <v>39</v>
      </c>
      <c r="L195" s="5">
        <f>IF(Table2[[#This Row],['#]]=1,"Champion", IF(Table2[[#This Row],['#]]&gt;=18,"Relegated",Table2[[#This Row],['#]]))</f>
        <v>14</v>
      </c>
      <c r="N195">
        <f>IF(COUNTIF($O$2:O195,O195)=1,N194+1,N194)</f>
        <v>35</v>
      </c>
      <c r="O195" s="4" t="str">
        <f>Table2[[#This Row],[Team]]</f>
        <v>Bolton Wanderers</v>
      </c>
      <c r="P195" s="1" t="str">
        <f>IFERROR(VLOOKUP(ROWS($O$2:O195),$N$2:$O$441,2,0),"")</f>
        <v/>
      </c>
      <c r="Q195" s="1" t="str">
        <f>IF(P195&lt;&gt;"",SUMPRODUCT(--(Table2[Team]=P195)),"")</f>
        <v/>
      </c>
      <c r="R195" s="11" t="str">
        <f>IF(Q195&lt;&gt;"",Q195+ROWS($Q$2:Q195)/100,"")</f>
        <v/>
      </c>
      <c r="S195" t="str">
        <f>IF(R195&lt;&gt;"",LARGE($R$2:$R$441,ROWS($R$2:R195)),"")</f>
        <v/>
      </c>
      <c r="T195" s="1" t="str">
        <f>IF(R195&lt;&gt;"",INDEX($P$2:$Q$441,MATCH($S195,$R$2:$R$441,0),COLUMNS($S$2:S195)),"")</f>
        <v/>
      </c>
      <c r="U195" s="1" t="str">
        <f>IF(S195&lt;&gt;"",INDEX($P$2:$Q$441,MATCH($S195,$R$2:$R$441,0),COLUMNS($S$2:T195)),"")</f>
        <v/>
      </c>
      <c r="AE195" s="1">
        <f>Table2[[#This Row],[Year]]</f>
        <v>2009</v>
      </c>
      <c r="AF195" s="1">
        <f>Table2[[#This Row],['#]]</f>
        <v>14</v>
      </c>
      <c r="AG195" s="1" t="str">
        <f>Table2[[#This Row],[Team]]</f>
        <v>Bolton Wanderers</v>
      </c>
      <c r="AH195" s="1">
        <f>Table2[[#This Row],[Pl]]</f>
        <v>38</v>
      </c>
      <c r="AI195" s="1">
        <f>Table2[[#This Row],[W]]</f>
        <v>10</v>
      </c>
      <c r="AJ195" s="1">
        <f>Table2[[#This Row],[D]]</f>
        <v>9</v>
      </c>
      <c r="AK195" s="1">
        <f>Table2[[#This Row],[L]]</f>
        <v>19</v>
      </c>
      <c r="AL195" s="1">
        <f>Table2[[#This Row],[F]]</f>
        <v>42</v>
      </c>
      <c r="AM195" s="1">
        <f>Table2[[#This Row],[A]]</f>
        <v>67</v>
      </c>
      <c r="AN195" s="1">
        <f>Table2[[#This Row],[GD]]</f>
        <v>-25</v>
      </c>
      <c r="AO195" s="1">
        <f>Table2[[#This Row],[Pts]]</f>
        <v>39</v>
      </c>
      <c r="AP195" s="1">
        <f>Table2[[#This Row],[Column1]]</f>
        <v>14</v>
      </c>
      <c r="AR195" t="b">
        <f t="shared" ref="AR195:AR258" si="7">IF($X$1="",TRUE,ISNUMBER(SEARCH($X$1,AG195)))</f>
        <v>1</v>
      </c>
      <c r="AS195">
        <f>IF(AR195,ROWS($AR$2:AR195),"")</f>
        <v>194</v>
      </c>
      <c r="AT195">
        <f>IFERROR(SMALL($AS$2:$AS$440,ROWS($AS$2:AS195)),"")</f>
        <v>194</v>
      </c>
      <c r="AU195">
        <f>IF(AT195&lt;&gt;"",INDEX($AE$2:$AP$440,MATCH($AT195,$AS$2:$AS$440,0),COLUMNS($AT$2:AT195)),"")</f>
        <v>2009</v>
      </c>
      <c r="AV195">
        <f>IF(AU195&lt;&gt;"",INDEX($AE$2:$AP$440,MATCH($AT195,$AS$2:$AS$440,0),COLUMNS($AT$2:AU195)),"")</f>
        <v>14</v>
      </c>
      <c r="AW195" t="str">
        <f>IF(AV195&lt;&gt;"",INDEX($AE$2:$AP$440,MATCH($AT195,$AS$2:$AS$440,0),COLUMNS($AT$2:AV195)),"")</f>
        <v>Bolton Wanderers</v>
      </c>
      <c r="AX195">
        <f>IF(AW195&lt;&gt;"",INDEX($AE$2:$AP$440,MATCH($AT195,$AS$2:$AS$440,0),COLUMNS($AT$2:AW195)),"")</f>
        <v>38</v>
      </c>
      <c r="AY195">
        <f>IF(AX195&lt;&gt;"",INDEX($AE$2:$AP$440,MATCH($AT195,$AS$2:$AS$440,0),COLUMNS($AT$2:AX195)),"")</f>
        <v>10</v>
      </c>
      <c r="AZ195">
        <f>IF(AY195&lt;&gt;"",INDEX($AE$2:$AP$440,MATCH($AT195,$AS$2:$AS$440,0),COLUMNS($AT$2:AY195)),"")</f>
        <v>9</v>
      </c>
      <c r="BA195">
        <f>IF(AZ195&lt;&gt;"",INDEX($AE$2:$AP$440,MATCH($AT195,$AS$2:$AS$440,0),COLUMNS($AT$2:AZ195)),"")</f>
        <v>19</v>
      </c>
      <c r="BB195">
        <f>IF(BA195&lt;&gt;"",INDEX($AE$2:$AP$440,MATCH($AT195,$AS$2:$AS$440,0),COLUMNS($AT$2:BA195)),"")</f>
        <v>42</v>
      </c>
      <c r="BC195">
        <f>IF(BB195&lt;&gt;"",INDEX($AE$2:$AP$440,MATCH($AT195,$AS$2:$AS$440,0),COLUMNS($AT$2:BB195)),"")</f>
        <v>67</v>
      </c>
      <c r="BD195">
        <f>IF(BC195&lt;&gt;"",INDEX($AE$2:$AP$440,MATCH($AT195,$AS$2:$AS$440,0),COLUMNS($AT$2:BC195)),"")</f>
        <v>-25</v>
      </c>
      <c r="BE195">
        <f>IF(BD195&lt;&gt;"",INDEX($AE$2:$AP$440,MATCH($AT195,$AS$2:$AS$440,0),COLUMNS($AT$2:BD195)),"")</f>
        <v>39</v>
      </c>
      <c r="BF195">
        <f>IF(BE195&lt;&gt;"",INDEX($AE$2:$AP$440,MATCH($AT195,$AS$2:$AS$440,0),COLUMNS($AT$2:BE195)),"")</f>
        <v>14</v>
      </c>
    </row>
    <row r="196" spans="1:58" x14ac:dyDescent="0.25">
      <c r="A196" s="3">
        <v>2009</v>
      </c>
      <c r="B196" s="3">
        <v>15</v>
      </c>
      <c r="C196" s="4" t="s">
        <v>37</v>
      </c>
      <c r="D196" s="3">
        <v>38</v>
      </c>
      <c r="E196" s="3">
        <v>9</v>
      </c>
      <c r="F196" s="3">
        <v>11</v>
      </c>
      <c r="G196" s="3">
        <v>18</v>
      </c>
      <c r="H196" s="3">
        <v>32</v>
      </c>
      <c r="I196" s="3">
        <v>56</v>
      </c>
      <c r="J196" s="3">
        <v>-24</v>
      </c>
      <c r="K196" s="3">
        <v>38</v>
      </c>
      <c r="L196" s="5">
        <f>IF(Table2[[#This Row],['#]]=1,"Champion", IF(Table2[[#This Row],['#]]&gt;=18,"Relegated",Table2[[#This Row],['#]]))</f>
        <v>15</v>
      </c>
      <c r="N196">
        <f>IF(COUNTIF($O$2:O196,O196)=1,N195+1,N195)</f>
        <v>35</v>
      </c>
      <c r="O196" s="4" t="str">
        <f>Table2[[#This Row],[Team]]</f>
        <v>Wolverhampton Wanderers</v>
      </c>
      <c r="P196" s="1" t="str">
        <f>IFERROR(VLOOKUP(ROWS($O$2:O196),$N$2:$O$441,2,0),"")</f>
        <v/>
      </c>
      <c r="Q196" s="1" t="str">
        <f>IF(P196&lt;&gt;"",SUMPRODUCT(--(Table2[Team]=P196)),"")</f>
        <v/>
      </c>
      <c r="R196" s="11" t="str">
        <f>IF(Q196&lt;&gt;"",Q196+ROWS($Q$2:Q196)/100,"")</f>
        <v/>
      </c>
      <c r="S196" t="str">
        <f>IF(R196&lt;&gt;"",LARGE($R$2:$R$441,ROWS($R$2:R196)),"")</f>
        <v/>
      </c>
      <c r="T196" s="1" t="str">
        <f>IF(R196&lt;&gt;"",INDEX($P$2:$Q$441,MATCH($S196,$R$2:$R$441,0),COLUMNS($S$2:S196)),"")</f>
        <v/>
      </c>
      <c r="U196" s="1" t="str">
        <f>IF(S196&lt;&gt;"",INDEX($P$2:$Q$441,MATCH($S196,$R$2:$R$441,0),COLUMNS($S$2:T196)),"")</f>
        <v/>
      </c>
      <c r="AE196" s="1">
        <f>Table2[[#This Row],[Year]]</f>
        <v>2009</v>
      </c>
      <c r="AF196" s="1">
        <f>Table2[[#This Row],['#]]</f>
        <v>15</v>
      </c>
      <c r="AG196" s="1" t="str">
        <f>Table2[[#This Row],[Team]]</f>
        <v>Wolverhampton Wanderers</v>
      </c>
      <c r="AH196" s="1">
        <f>Table2[[#This Row],[Pl]]</f>
        <v>38</v>
      </c>
      <c r="AI196" s="1">
        <f>Table2[[#This Row],[W]]</f>
        <v>9</v>
      </c>
      <c r="AJ196" s="1">
        <f>Table2[[#This Row],[D]]</f>
        <v>11</v>
      </c>
      <c r="AK196" s="1">
        <f>Table2[[#This Row],[L]]</f>
        <v>18</v>
      </c>
      <c r="AL196" s="1">
        <f>Table2[[#This Row],[F]]</f>
        <v>32</v>
      </c>
      <c r="AM196" s="1">
        <f>Table2[[#This Row],[A]]</f>
        <v>56</v>
      </c>
      <c r="AN196" s="1">
        <f>Table2[[#This Row],[GD]]</f>
        <v>-24</v>
      </c>
      <c r="AO196" s="1">
        <f>Table2[[#This Row],[Pts]]</f>
        <v>38</v>
      </c>
      <c r="AP196" s="1">
        <f>Table2[[#This Row],[Column1]]</f>
        <v>15</v>
      </c>
      <c r="AR196" t="b">
        <f t="shared" si="7"/>
        <v>1</v>
      </c>
      <c r="AS196">
        <f>IF(AR196,ROWS($AR$2:AR196),"")</f>
        <v>195</v>
      </c>
      <c r="AT196">
        <f>IFERROR(SMALL($AS$2:$AS$440,ROWS($AS$2:AS196)),"")</f>
        <v>195</v>
      </c>
      <c r="AU196">
        <f>IF(AT196&lt;&gt;"",INDEX($AE$2:$AP$440,MATCH($AT196,$AS$2:$AS$440,0),COLUMNS($AT$2:AT196)),"")</f>
        <v>2009</v>
      </c>
      <c r="AV196">
        <f>IF(AU196&lt;&gt;"",INDEX($AE$2:$AP$440,MATCH($AT196,$AS$2:$AS$440,0),COLUMNS($AT$2:AU196)),"")</f>
        <v>15</v>
      </c>
      <c r="AW196" t="str">
        <f>IF(AV196&lt;&gt;"",INDEX($AE$2:$AP$440,MATCH($AT196,$AS$2:$AS$440,0),COLUMNS($AT$2:AV196)),"")</f>
        <v>Wolverhampton Wanderers</v>
      </c>
      <c r="AX196">
        <f>IF(AW196&lt;&gt;"",INDEX($AE$2:$AP$440,MATCH($AT196,$AS$2:$AS$440,0),COLUMNS($AT$2:AW196)),"")</f>
        <v>38</v>
      </c>
      <c r="AY196">
        <f>IF(AX196&lt;&gt;"",INDEX($AE$2:$AP$440,MATCH($AT196,$AS$2:$AS$440,0),COLUMNS($AT$2:AX196)),"")</f>
        <v>9</v>
      </c>
      <c r="AZ196">
        <f>IF(AY196&lt;&gt;"",INDEX($AE$2:$AP$440,MATCH($AT196,$AS$2:$AS$440,0),COLUMNS($AT$2:AY196)),"")</f>
        <v>11</v>
      </c>
      <c r="BA196">
        <f>IF(AZ196&lt;&gt;"",INDEX($AE$2:$AP$440,MATCH($AT196,$AS$2:$AS$440,0),COLUMNS($AT$2:AZ196)),"")</f>
        <v>18</v>
      </c>
      <c r="BB196">
        <f>IF(BA196&lt;&gt;"",INDEX($AE$2:$AP$440,MATCH($AT196,$AS$2:$AS$440,0),COLUMNS($AT$2:BA196)),"")</f>
        <v>32</v>
      </c>
      <c r="BC196">
        <f>IF(BB196&lt;&gt;"",INDEX($AE$2:$AP$440,MATCH($AT196,$AS$2:$AS$440,0),COLUMNS($AT$2:BB196)),"")</f>
        <v>56</v>
      </c>
      <c r="BD196">
        <f>IF(BC196&lt;&gt;"",INDEX($AE$2:$AP$440,MATCH($AT196,$AS$2:$AS$440,0),COLUMNS($AT$2:BC196)),"")</f>
        <v>-24</v>
      </c>
      <c r="BE196">
        <f>IF(BD196&lt;&gt;"",INDEX($AE$2:$AP$440,MATCH($AT196,$AS$2:$AS$440,0),COLUMNS($AT$2:BD196)),"")</f>
        <v>38</v>
      </c>
      <c r="BF196">
        <f>IF(BE196&lt;&gt;"",INDEX($AE$2:$AP$440,MATCH($AT196,$AS$2:$AS$440,0),COLUMNS($AT$2:BE196)),"")</f>
        <v>15</v>
      </c>
    </row>
    <row r="197" spans="1:58" x14ac:dyDescent="0.25">
      <c r="A197" s="5">
        <v>2009</v>
      </c>
      <c r="B197" s="5">
        <v>16</v>
      </c>
      <c r="C197" s="6" t="s">
        <v>40</v>
      </c>
      <c r="D197" s="5">
        <v>38</v>
      </c>
      <c r="E197" s="5">
        <v>9</v>
      </c>
      <c r="F197" s="5">
        <v>9</v>
      </c>
      <c r="G197" s="5">
        <v>20</v>
      </c>
      <c r="H197" s="5">
        <v>37</v>
      </c>
      <c r="I197" s="5">
        <v>79</v>
      </c>
      <c r="J197" s="5">
        <v>-42</v>
      </c>
      <c r="K197" s="5">
        <v>36</v>
      </c>
      <c r="L197" s="5">
        <f>IF(Table2[[#This Row],['#]]=1,"Champion", IF(Table2[[#This Row],['#]]&gt;=18,"Relegated",Table2[[#This Row],['#]]))</f>
        <v>16</v>
      </c>
      <c r="N197">
        <f>IF(COUNTIF($O$2:O197,O197)=1,N196+1,N196)</f>
        <v>35</v>
      </c>
      <c r="O197" s="4" t="str">
        <f>Table2[[#This Row],[Team]]</f>
        <v>Wigan Athletic</v>
      </c>
      <c r="P197" s="1" t="str">
        <f>IFERROR(VLOOKUP(ROWS($O$2:O197),$N$2:$O$441,2,0),"")</f>
        <v/>
      </c>
      <c r="Q197" s="1" t="str">
        <f>IF(P197&lt;&gt;"",SUMPRODUCT(--(Table2[Team]=P197)),"")</f>
        <v/>
      </c>
      <c r="R197" s="11" t="str">
        <f>IF(Q197&lt;&gt;"",Q197+ROWS($Q$2:Q197)/100,"")</f>
        <v/>
      </c>
      <c r="S197" t="str">
        <f>IF(R197&lt;&gt;"",LARGE($R$2:$R$441,ROWS($R$2:R197)),"")</f>
        <v/>
      </c>
      <c r="T197" s="1" t="str">
        <f>IF(R197&lt;&gt;"",INDEX($P$2:$Q$441,MATCH($S197,$R$2:$R$441,0),COLUMNS($S$2:S197)),"")</f>
        <v/>
      </c>
      <c r="U197" s="1" t="str">
        <f>IF(S197&lt;&gt;"",INDEX($P$2:$Q$441,MATCH($S197,$R$2:$R$441,0),COLUMNS($S$2:T197)),"")</f>
        <v/>
      </c>
      <c r="AE197" s="1">
        <f>Table2[[#This Row],[Year]]</f>
        <v>2009</v>
      </c>
      <c r="AF197" s="1">
        <f>Table2[[#This Row],['#]]</f>
        <v>16</v>
      </c>
      <c r="AG197" s="1" t="str">
        <f>Table2[[#This Row],[Team]]</f>
        <v>Wigan Athletic</v>
      </c>
      <c r="AH197" s="1">
        <f>Table2[[#This Row],[Pl]]</f>
        <v>38</v>
      </c>
      <c r="AI197" s="1">
        <f>Table2[[#This Row],[W]]</f>
        <v>9</v>
      </c>
      <c r="AJ197" s="1">
        <f>Table2[[#This Row],[D]]</f>
        <v>9</v>
      </c>
      <c r="AK197" s="1">
        <f>Table2[[#This Row],[L]]</f>
        <v>20</v>
      </c>
      <c r="AL197" s="1">
        <f>Table2[[#This Row],[F]]</f>
        <v>37</v>
      </c>
      <c r="AM197" s="1">
        <f>Table2[[#This Row],[A]]</f>
        <v>79</v>
      </c>
      <c r="AN197" s="1">
        <f>Table2[[#This Row],[GD]]</f>
        <v>-42</v>
      </c>
      <c r="AO197" s="1">
        <f>Table2[[#This Row],[Pts]]</f>
        <v>36</v>
      </c>
      <c r="AP197" s="1">
        <f>Table2[[#This Row],[Column1]]</f>
        <v>16</v>
      </c>
      <c r="AR197" t="b">
        <f t="shared" si="7"/>
        <v>1</v>
      </c>
      <c r="AS197">
        <f>IF(AR197,ROWS($AR$2:AR197),"")</f>
        <v>196</v>
      </c>
      <c r="AT197">
        <f>IFERROR(SMALL($AS$2:$AS$440,ROWS($AS$2:AS197)),"")</f>
        <v>196</v>
      </c>
      <c r="AU197">
        <f>IF(AT197&lt;&gt;"",INDEX($AE$2:$AP$440,MATCH($AT197,$AS$2:$AS$440,0),COLUMNS($AT$2:AT197)),"")</f>
        <v>2009</v>
      </c>
      <c r="AV197">
        <f>IF(AU197&lt;&gt;"",INDEX($AE$2:$AP$440,MATCH($AT197,$AS$2:$AS$440,0),COLUMNS($AT$2:AU197)),"")</f>
        <v>16</v>
      </c>
      <c r="AW197" t="str">
        <f>IF(AV197&lt;&gt;"",INDEX($AE$2:$AP$440,MATCH($AT197,$AS$2:$AS$440,0),COLUMNS($AT$2:AV197)),"")</f>
        <v>Wigan Athletic</v>
      </c>
      <c r="AX197">
        <f>IF(AW197&lt;&gt;"",INDEX($AE$2:$AP$440,MATCH($AT197,$AS$2:$AS$440,0),COLUMNS($AT$2:AW197)),"")</f>
        <v>38</v>
      </c>
      <c r="AY197">
        <f>IF(AX197&lt;&gt;"",INDEX($AE$2:$AP$440,MATCH($AT197,$AS$2:$AS$440,0),COLUMNS($AT$2:AX197)),"")</f>
        <v>9</v>
      </c>
      <c r="AZ197">
        <f>IF(AY197&lt;&gt;"",INDEX($AE$2:$AP$440,MATCH($AT197,$AS$2:$AS$440,0),COLUMNS($AT$2:AY197)),"")</f>
        <v>9</v>
      </c>
      <c r="BA197">
        <f>IF(AZ197&lt;&gt;"",INDEX($AE$2:$AP$440,MATCH($AT197,$AS$2:$AS$440,0),COLUMNS($AT$2:AZ197)),"")</f>
        <v>20</v>
      </c>
      <c r="BB197">
        <f>IF(BA197&lt;&gt;"",INDEX($AE$2:$AP$440,MATCH($AT197,$AS$2:$AS$440,0),COLUMNS($AT$2:BA197)),"")</f>
        <v>37</v>
      </c>
      <c r="BC197">
        <f>IF(BB197&lt;&gt;"",INDEX($AE$2:$AP$440,MATCH($AT197,$AS$2:$AS$440,0),COLUMNS($AT$2:BB197)),"")</f>
        <v>79</v>
      </c>
      <c r="BD197">
        <f>IF(BC197&lt;&gt;"",INDEX($AE$2:$AP$440,MATCH($AT197,$AS$2:$AS$440,0),COLUMNS($AT$2:BC197)),"")</f>
        <v>-42</v>
      </c>
      <c r="BE197">
        <f>IF(BD197&lt;&gt;"",INDEX($AE$2:$AP$440,MATCH($AT197,$AS$2:$AS$440,0),COLUMNS($AT$2:BD197)),"")</f>
        <v>36</v>
      </c>
      <c r="BF197">
        <f>IF(BE197&lt;&gt;"",INDEX($AE$2:$AP$440,MATCH($AT197,$AS$2:$AS$440,0),COLUMNS($AT$2:BE197)),"")</f>
        <v>16</v>
      </c>
    </row>
    <row r="198" spans="1:58" x14ac:dyDescent="0.25">
      <c r="A198" s="3">
        <v>2009</v>
      </c>
      <c r="B198" s="3">
        <v>17</v>
      </c>
      <c r="C198" s="4" t="s">
        <v>25</v>
      </c>
      <c r="D198" s="3">
        <v>38</v>
      </c>
      <c r="E198" s="3">
        <v>8</v>
      </c>
      <c r="F198" s="3">
        <v>11</v>
      </c>
      <c r="G198" s="3">
        <v>19</v>
      </c>
      <c r="H198" s="3">
        <v>47</v>
      </c>
      <c r="I198" s="3">
        <v>66</v>
      </c>
      <c r="J198" s="3">
        <v>-19</v>
      </c>
      <c r="K198" s="3">
        <v>35</v>
      </c>
      <c r="L198" s="5">
        <f>IF(Table2[[#This Row],['#]]=1,"Champion", IF(Table2[[#This Row],['#]]&gt;=18,"Relegated",Table2[[#This Row],['#]]))</f>
        <v>17</v>
      </c>
      <c r="N198">
        <f>IF(COUNTIF($O$2:O198,O198)=1,N197+1,N197)</f>
        <v>35</v>
      </c>
      <c r="O198" s="4" t="str">
        <f>Table2[[#This Row],[Team]]</f>
        <v>West Ham United</v>
      </c>
      <c r="P198" s="1" t="str">
        <f>IFERROR(VLOOKUP(ROWS($O$2:O198),$N$2:$O$441,2,0),"")</f>
        <v/>
      </c>
      <c r="Q198" s="1" t="str">
        <f>IF(P198&lt;&gt;"",SUMPRODUCT(--(Table2[Team]=P198)),"")</f>
        <v/>
      </c>
      <c r="R198" s="11" t="str">
        <f>IF(Q198&lt;&gt;"",Q198+ROWS($Q$2:Q198)/100,"")</f>
        <v/>
      </c>
      <c r="S198" t="str">
        <f>IF(R198&lt;&gt;"",LARGE($R$2:$R$441,ROWS($R$2:R198)),"")</f>
        <v/>
      </c>
      <c r="T198" s="1" t="str">
        <f>IF(R198&lt;&gt;"",INDEX($P$2:$Q$441,MATCH($S198,$R$2:$R$441,0),COLUMNS($S$2:S198)),"")</f>
        <v/>
      </c>
      <c r="U198" s="1" t="str">
        <f>IF(S198&lt;&gt;"",INDEX($P$2:$Q$441,MATCH($S198,$R$2:$R$441,0),COLUMNS($S$2:T198)),"")</f>
        <v/>
      </c>
      <c r="AE198" s="1">
        <f>Table2[[#This Row],[Year]]</f>
        <v>2009</v>
      </c>
      <c r="AF198" s="1">
        <f>Table2[[#This Row],['#]]</f>
        <v>17</v>
      </c>
      <c r="AG198" s="1" t="str">
        <f>Table2[[#This Row],[Team]]</f>
        <v>West Ham United</v>
      </c>
      <c r="AH198" s="1">
        <f>Table2[[#This Row],[Pl]]</f>
        <v>38</v>
      </c>
      <c r="AI198" s="1">
        <f>Table2[[#This Row],[W]]</f>
        <v>8</v>
      </c>
      <c r="AJ198" s="1">
        <f>Table2[[#This Row],[D]]</f>
        <v>11</v>
      </c>
      <c r="AK198" s="1">
        <f>Table2[[#This Row],[L]]</f>
        <v>19</v>
      </c>
      <c r="AL198" s="1">
        <f>Table2[[#This Row],[F]]</f>
        <v>47</v>
      </c>
      <c r="AM198" s="1">
        <f>Table2[[#This Row],[A]]</f>
        <v>66</v>
      </c>
      <c r="AN198" s="1">
        <f>Table2[[#This Row],[GD]]</f>
        <v>-19</v>
      </c>
      <c r="AO198" s="1">
        <f>Table2[[#This Row],[Pts]]</f>
        <v>35</v>
      </c>
      <c r="AP198" s="1">
        <f>Table2[[#This Row],[Column1]]</f>
        <v>17</v>
      </c>
      <c r="AR198" t="b">
        <f t="shared" si="7"/>
        <v>1</v>
      </c>
      <c r="AS198">
        <f>IF(AR198,ROWS($AR$2:AR198),"")</f>
        <v>197</v>
      </c>
      <c r="AT198">
        <f>IFERROR(SMALL($AS$2:$AS$440,ROWS($AS$2:AS198)),"")</f>
        <v>197</v>
      </c>
      <c r="AU198">
        <f>IF(AT198&lt;&gt;"",INDEX($AE$2:$AP$440,MATCH($AT198,$AS$2:$AS$440,0),COLUMNS($AT$2:AT198)),"")</f>
        <v>2009</v>
      </c>
      <c r="AV198">
        <f>IF(AU198&lt;&gt;"",INDEX($AE$2:$AP$440,MATCH($AT198,$AS$2:$AS$440,0),COLUMNS($AT$2:AU198)),"")</f>
        <v>17</v>
      </c>
      <c r="AW198" t="str">
        <f>IF(AV198&lt;&gt;"",INDEX($AE$2:$AP$440,MATCH($AT198,$AS$2:$AS$440,0),COLUMNS($AT$2:AV198)),"")</f>
        <v>West Ham United</v>
      </c>
      <c r="AX198">
        <f>IF(AW198&lt;&gt;"",INDEX($AE$2:$AP$440,MATCH($AT198,$AS$2:$AS$440,0),COLUMNS($AT$2:AW198)),"")</f>
        <v>38</v>
      </c>
      <c r="AY198">
        <f>IF(AX198&lt;&gt;"",INDEX($AE$2:$AP$440,MATCH($AT198,$AS$2:$AS$440,0),COLUMNS($AT$2:AX198)),"")</f>
        <v>8</v>
      </c>
      <c r="AZ198">
        <f>IF(AY198&lt;&gt;"",INDEX($AE$2:$AP$440,MATCH($AT198,$AS$2:$AS$440,0),COLUMNS($AT$2:AY198)),"")</f>
        <v>11</v>
      </c>
      <c r="BA198">
        <f>IF(AZ198&lt;&gt;"",INDEX($AE$2:$AP$440,MATCH($AT198,$AS$2:$AS$440,0),COLUMNS($AT$2:AZ198)),"")</f>
        <v>19</v>
      </c>
      <c r="BB198">
        <f>IF(BA198&lt;&gt;"",INDEX($AE$2:$AP$440,MATCH($AT198,$AS$2:$AS$440,0),COLUMNS($AT$2:BA198)),"")</f>
        <v>47</v>
      </c>
      <c r="BC198">
        <f>IF(BB198&lt;&gt;"",INDEX($AE$2:$AP$440,MATCH($AT198,$AS$2:$AS$440,0),COLUMNS($AT$2:BB198)),"")</f>
        <v>66</v>
      </c>
      <c r="BD198">
        <f>IF(BC198&lt;&gt;"",INDEX($AE$2:$AP$440,MATCH($AT198,$AS$2:$AS$440,0),COLUMNS($AT$2:BC198)),"")</f>
        <v>-19</v>
      </c>
      <c r="BE198">
        <f>IF(BD198&lt;&gt;"",INDEX($AE$2:$AP$440,MATCH($AT198,$AS$2:$AS$440,0),COLUMNS($AT$2:BD198)),"")</f>
        <v>35</v>
      </c>
      <c r="BF198">
        <f>IF(BE198&lt;&gt;"",INDEX($AE$2:$AP$440,MATCH($AT198,$AS$2:$AS$440,0),COLUMNS($AT$2:BE198)),"")</f>
        <v>17</v>
      </c>
    </row>
    <row r="199" spans="1:58" x14ac:dyDescent="0.25">
      <c r="A199" s="5">
        <v>2009</v>
      </c>
      <c r="B199" s="5">
        <v>18</v>
      </c>
      <c r="C199" s="6" t="s">
        <v>46</v>
      </c>
      <c r="D199" s="5">
        <v>38</v>
      </c>
      <c r="E199" s="5">
        <v>8</v>
      </c>
      <c r="F199" s="5">
        <v>6</v>
      </c>
      <c r="G199" s="5">
        <v>24</v>
      </c>
      <c r="H199" s="5">
        <v>42</v>
      </c>
      <c r="I199" s="5">
        <v>82</v>
      </c>
      <c r="J199" s="5">
        <v>-40</v>
      </c>
      <c r="K199" s="5">
        <v>30</v>
      </c>
      <c r="L199" s="5" t="str">
        <f>IF(Table2[[#This Row],['#]]=1,"Champion", IF(Table2[[#This Row],['#]]&gt;=18,"Relegated",Table2[[#This Row],['#]]))</f>
        <v>Relegated</v>
      </c>
      <c r="N199">
        <f>IF(COUNTIF($O$2:O199,O199)=1,N198+1,N198)</f>
        <v>36</v>
      </c>
      <c r="O199" s="4" t="str">
        <f>Table2[[#This Row],[Team]]</f>
        <v>Burnley</v>
      </c>
      <c r="P199" s="1" t="str">
        <f>IFERROR(VLOOKUP(ROWS($O$2:O199),$N$2:$O$441,2,0),"")</f>
        <v/>
      </c>
      <c r="Q199" s="1" t="str">
        <f>IF(P199&lt;&gt;"",SUMPRODUCT(--(Table2[Team]=P199)),"")</f>
        <v/>
      </c>
      <c r="R199" s="11" t="str">
        <f>IF(Q199&lt;&gt;"",Q199+ROWS($Q$2:Q199)/100,"")</f>
        <v/>
      </c>
      <c r="S199" t="str">
        <f>IF(R199&lt;&gt;"",LARGE($R$2:$R$441,ROWS($R$2:R199)),"")</f>
        <v/>
      </c>
      <c r="T199" s="1" t="str">
        <f>IF(R199&lt;&gt;"",INDEX($P$2:$Q$441,MATCH($S199,$R$2:$R$441,0),COLUMNS($S$2:S199)),"")</f>
        <v/>
      </c>
      <c r="U199" s="1" t="str">
        <f>IF(S199&lt;&gt;"",INDEX($P$2:$Q$441,MATCH($S199,$R$2:$R$441,0),COLUMNS($S$2:T199)),"")</f>
        <v/>
      </c>
      <c r="AE199" s="1">
        <f>Table2[[#This Row],[Year]]</f>
        <v>2009</v>
      </c>
      <c r="AF199" s="1">
        <f>Table2[[#This Row],['#]]</f>
        <v>18</v>
      </c>
      <c r="AG199" s="1" t="str">
        <f>Table2[[#This Row],[Team]]</f>
        <v>Burnley</v>
      </c>
      <c r="AH199" s="1">
        <f>Table2[[#This Row],[Pl]]</f>
        <v>38</v>
      </c>
      <c r="AI199" s="1">
        <f>Table2[[#This Row],[W]]</f>
        <v>8</v>
      </c>
      <c r="AJ199" s="1">
        <f>Table2[[#This Row],[D]]</f>
        <v>6</v>
      </c>
      <c r="AK199" s="1">
        <f>Table2[[#This Row],[L]]</f>
        <v>24</v>
      </c>
      <c r="AL199" s="1">
        <f>Table2[[#This Row],[F]]</f>
        <v>42</v>
      </c>
      <c r="AM199" s="1">
        <f>Table2[[#This Row],[A]]</f>
        <v>82</v>
      </c>
      <c r="AN199" s="1">
        <f>Table2[[#This Row],[GD]]</f>
        <v>-40</v>
      </c>
      <c r="AO199" s="1">
        <f>Table2[[#This Row],[Pts]]</f>
        <v>30</v>
      </c>
      <c r="AP199" s="1" t="str">
        <f>Table2[[#This Row],[Column1]]</f>
        <v>Relegated</v>
      </c>
      <c r="AR199" t="b">
        <f t="shared" si="7"/>
        <v>1</v>
      </c>
      <c r="AS199">
        <f>IF(AR199,ROWS($AR$2:AR199),"")</f>
        <v>198</v>
      </c>
      <c r="AT199">
        <f>IFERROR(SMALL($AS$2:$AS$440,ROWS($AS$2:AS199)),"")</f>
        <v>198</v>
      </c>
      <c r="AU199">
        <f>IF(AT199&lt;&gt;"",INDEX($AE$2:$AP$440,MATCH($AT199,$AS$2:$AS$440,0),COLUMNS($AT$2:AT199)),"")</f>
        <v>2009</v>
      </c>
      <c r="AV199">
        <f>IF(AU199&lt;&gt;"",INDEX($AE$2:$AP$440,MATCH($AT199,$AS$2:$AS$440,0),COLUMNS($AT$2:AU199)),"")</f>
        <v>18</v>
      </c>
      <c r="AW199" t="str">
        <f>IF(AV199&lt;&gt;"",INDEX($AE$2:$AP$440,MATCH($AT199,$AS$2:$AS$440,0),COLUMNS($AT$2:AV199)),"")</f>
        <v>Burnley</v>
      </c>
      <c r="AX199">
        <f>IF(AW199&lt;&gt;"",INDEX($AE$2:$AP$440,MATCH($AT199,$AS$2:$AS$440,0),COLUMNS($AT$2:AW199)),"")</f>
        <v>38</v>
      </c>
      <c r="AY199">
        <f>IF(AX199&lt;&gt;"",INDEX($AE$2:$AP$440,MATCH($AT199,$AS$2:$AS$440,0),COLUMNS($AT$2:AX199)),"")</f>
        <v>8</v>
      </c>
      <c r="AZ199">
        <f>IF(AY199&lt;&gt;"",INDEX($AE$2:$AP$440,MATCH($AT199,$AS$2:$AS$440,0),COLUMNS($AT$2:AY199)),"")</f>
        <v>6</v>
      </c>
      <c r="BA199">
        <f>IF(AZ199&lt;&gt;"",INDEX($AE$2:$AP$440,MATCH($AT199,$AS$2:$AS$440,0),COLUMNS($AT$2:AZ199)),"")</f>
        <v>24</v>
      </c>
      <c r="BB199">
        <f>IF(BA199&lt;&gt;"",INDEX($AE$2:$AP$440,MATCH($AT199,$AS$2:$AS$440,0),COLUMNS($AT$2:BA199)),"")</f>
        <v>42</v>
      </c>
      <c r="BC199">
        <f>IF(BB199&lt;&gt;"",INDEX($AE$2:$AP$440,MATCH($AT199,$AS$2:$AS$440,0),COLUMNS($AT$2:BB199)),"")</f>
        <v>82</v>
      </c>
      <c r="BD199">
        <f>IF(BC199&lt;&gt;"",INDEX($AE$2:$AP$440,MATCH($AT199,$AS$2:$AS$440,0),COLUMNS($AT$2:BC199)),"")</f>
        <v>-40</v>
      </c>
      <c r="BE199">
        <f>IF(BD199&lt;&gt;"",INDEX($AE$2:$AP$440,MATCH($AT199,$AS$2:$AS$440,0),COLUMNS($AT$2:BD199)),"")</f>
        <v>30</v>
      </c>
      <c r="BF199" t="str">
        <f>IF(BE199&lt;&gt;"",INDEX($AE$2:$AP$440,MATCH($AT199,$AS$2:$AS$440,0),COLUMNS($AT$2:BE199)),"")</f>
        <v>Relegated</v>
      </c>
    </row>
    <row r="200" spans="1:58" x14ac:dyDescent="0.25">
      <c r="A200" s="3">
        <v>2009</v>
      </c>
      <c r="B200" s="3">
        <v>19</v>
      </c>
      <c r="C200" s="4" t="s">
        <v>45</v>
      </c>
      <c r="D200" s="3">
        <v>38</v>
      </c>
      <c r="E200" s="3">
        <v>6</v>
      </c>
      <c r="F200" s="3">
        <v>12</v>
      </c>
      <c r="G200" s="3">
        <v>20</v>
      </c>
      <c r="H200" s="3">
        <v>34</v>
      </c>
      <c r="I200" s="3">
        <v>75</v>
      </c>
      <c r="J200" s="3">
        <v>-41</v>
      </c>
      <c r="K200" s="3">
        <v>30</v>
      </c>
      <c r="L200" s="5" t="str">
        <f>IF(Table2[[#This Row],['#]]=1,"Champion", IF(Table2[[#This Row],['#]]&gt;=18,"Relegated",Table2[[#This Row],['#]]))</f>
        <v>Relegated</v>
      </c>
      <c r="N200">
        <f>IF(COUNTIF($O$2:O200,O200)=1,N199+1,N199)</f>
        <v>36</v>
      </c>
      <c r="O200" s="4" t="str">
        <f>Table2[[#This Row],[Team]]</f>
        <v>Hull City</v>
      </c>
      <c r="P200" s="1" t="str">
        <f>IFERROR(VLOOKUP(ROWS($O$2:O200),$N$2:$O$441,2,0),"")</f>
        <v/>
      </c>
      <c r="Q200" s="1" t="str">
        <f>IF(P200&lt;&gt;"",SUMPRODUCT(--(Table2[Team]=P200)),"")</f>
        <v/>
      </c>
      <c r="R200" s="11" t="str">
        <f>IF(Q200&lt;&gt;"",Q200+ROWS($Q$2:Q200)/100,"")</f>
        <v/>
      </c>
      <c r="S200" t="str">
        <f>IF(R200&lt;&gt;"",LARGE($R$2:$R$441,ROWS($R$2:R200)),"")</f>
        <v/>
      </c>
      <c r="T200" s="1" t="str">
        <f>IF(R200&lt;&gt;"",INDEX($P$2:$Q$441,MATCH($S200,$R$2:$R$441,0),COLUMNS($S$2:S200)),"")</f>
        <v/>
      </c>
      <c r="U200" s="1" t="str">
        <f>IF(S200&lt;&gt;"",INDEX($P$2:$Q$441,MATCH($S200,$R$2:$R$441,0),COLUMNS($S$2:T200)),"")</f>
        <v/>
      </c>
      <c r="AE200" s="1">
        <f>Table2[[#This Row],[Year]]</f>
        <v>2009</v>
      </c>
      <c r="AF200" s="1">
        <f>Table2[[#This Row],['#]]</f>
        <v>19</v>
      </c>
      <c r="AG200" s="1" t="str">
        <f>Table2[[#This Row],[Team]]</f>
        <v>Hull City</v>
      </c>
      <c r="AH200" s="1">
        <f>Table2[[#This Row],[Pl]]</f>
        <v>38</v>
      </c>
      <c r="AI200" s="1">
        <f>Table2[[#This Row],[W]]</f>
        <v>6</v>
      </c>
      <c r="AJ200" s="1">
        <f>Table2[[#This Row],[D]]</f>
        <v>12</v>
      </c>
      <c r="AK200" s="1">
        <f>Table2[[#This Row],[L]]</f>
        <v>20</v>
      </c>
      <c r="AL200" s="1">
        <f>Table2[[#This Row],[F]]</f>
        <v>34</v>
      </c>
      <c r="AM200" s="1">
        <f>Table2[[#This Row],[A]]</f>
        <v>75</v>
      </c>
      <c r="AN200" s="1">
        <f>Table2[[#This Row],[GD]]</f>
        <v>-41</v>
      </c>
      <c r="AO200" s="1">
        <f>Table2[[#This Row],[Pts]]</f>
        <v>30</v>
      </c>
      <c r="AP200" s="1" t="str">
        <f>Table2[[#This Row],[Column1]]</f>
        <v>Relegated</v>
      </c>
      <c r="AR200" t="b">
        <f t="shared" si="7"/>
        <v>1</v>
      </c>
      <c r="AS200">
        <f>IF(AR200,ROWS($AR$2:AR200),"")</f>
        <v>199</v>
      </c>
      <c r="AT200">
        <f>IFERROR(SMALL($AS$2:$AS$440,ROWS($AS$2:AS200)),"")</f>
        <v>199</v>
      </c>
      <c r="AU200">
        <f>IF(AT200&lt;&gt;"",INDEX($AE$2:$AP$440,MATCH($AT200,$AS$2:$AS$440,0),COLUMNS($AT$2:AT200)),"")</f>
        <v>2009</v>
      </c>
      <c r="AV200">
        <f>IF(AU200&lt;&gt;"",INDEX($AE$2:$AP$440,MATCH($AT200,$AS$2:$AS$440,0),COLUMNS($AT$2:AU200)),"")</f>
        <v>19</v>
      </c>
      <c r="AW200" t="str">
        <f>IF(AV200&lt;&gt;"",INDEX($AE$2:$AP$440,MATCH($AT200,$AS$2:$AS$440,0),COLUMNS($AT$2:AV200)),"")</f>
        <v>Hull City</v>
      </c>
      <c r="AX200">
        <f>IF(AW200&lt;&gt;"",INDEX($AE$2:$AP$440,MATCH($AT200,$AS$2:$AS$440,0),COLUMNS($AT$2:AW200)),"")</f>
        <v>38</v>
      </c>
      <c r="AY200">
        <f>IF(AX200&lt;&gt;"",INDEX($AE$2:$AP$440,MATCH($AT200,$AS$2:$AS$440,0),COLUMNS($AT$2:AX200)),"")</f>
        <v>6</v>
      </c>
      <c r="AZ200">
        <f>IF(AY200&lt;&gt;"",INDEX($AE$2:$AP$440,MATCH($AT200,$AS$2:$AS$440,0),COLUMNS($AT$2:AY200)),"")</f>
        <v>12</v>
      </c>
      <c r="BA200">
        <f>IF(AZ200&lt;&gt;"",INDEX($AE$2:$AP$440,MATCH($AT200,$AS$2:$AS$440,0),COLUMNS($AT$2:AZ200)),"")</f>
        <v>20</v>
      </c>
      <c r="BB200">
        <f>IF(BA200&lt;&gt;"",INDEX($AE$2:$AP$440,MATCH($AT200,$AS$2:$AS$440,0),COLUMNS($AT$2:BA200)),"")</f>
        <v>34</v>
      </c>
      <c r="BC200">
        <f>IF(BB200&lt;&gt;"",INDEX($AE$2:$AP$440,MATCH($AT200,$AS$2:$AS$440,0),COLUMNS($AT$2:BB200)),"")</f>
        <v>75</v>
      </c>
      <c r="BD200">
        <f>IF(BC200&lt;&gt;"",INDEX($AE$2:$AP$440,MATCH($AT200,$AS$2:$AS$440,0),COLUMNS($AT$2:BC200)),"")</f>
        <v>-41</v>
      </c>
      <c r="BE200">
        <f>IF(BD200&lt;&gt;"",INDEX($AE$2:$AP$440,MATCH($AT200,$AS$2:$AS$440,0),COLUMNS($AT$2:BD200)),"")</f>
        <v>30</v>
      </c>
      <c r="BF200" t="str">
        <f>IF(BE200&lt;&gt;"",INDEX($AE$2:$AP$440,MATCH($AT200,$AS$2:$AS$440,0),COLUMNS($AT$2:BE200)),"")</f>
        <v>Relegated</v>
      </c>
    </row>
    <row r="201" spans="1:58" x14ac:dyDescent="0.25">
      <c r="A201" s="5">
        <v>2009</v>
      </c>
      <c r="B201" s="5">
        <v>20</v>
      </c>
      <c r="C201" s="6" t="s">
        <v>36</v>
      </c>
      <c r="D201" s="5">
        <v>38</v>
      </c>
      <c r="E201" s="5">
        <v>7</v>
      </c>
      <c r="F201" s="5">
        <v>7</v>
      </c>
      <c r="G201" s="5">
        <v>24</v>
      </c>
      <c r="H201" s="5">
        <v>34</v>
      </c>
      <c r="I201" s="5">
        <v>66</v>
      </c>
      <c r="J201" s="5">
        <v>-32</v>
      </c>
      <c r="K201" s="5">
        <v>19</v>
      </c>
      <c r="L201" s="5" t="str">
        <f>IF(Table2[[#This Row],['#]]=1,"Champion", IF(Table2[[#This Row],['#]]&gt;=18,"Relegated",Table2[[#This Row],['#]]))</f>
        <v>Relegated</v>
      </c>
      <c r="N201">
        <f>IF(COUNTIF($O$2:O201,O201)=1,N200+1,N200)</f>
        <v>36</v>
      </c>
      <c r="O201" s="4" t="str">
        <f>Table2[[#This Row],[Team]]</f>
        <v>Portsmouth</v>
      </c>
      <c r="P201" s="1" t="str">
        <f>IFERROR(VLOOKUP(ROWS($O$2:O201),$N$2:$O$441,2,0),"")</f>
        <v/>
      </c>
      <c r="Q201" s="1" t="str">
        <f>IF(P201&lt;&gt;"",SUMPRODUCT(--(Table2[Team]=P201)),"")</f>
        <v/>
      </c>
      <c r="R201" s="11" t="str">
        <f>IF(Q201&lt;&gt;"",Q201+ROWS($Q$2:Q201)/100,"")</f>
        <v/>
      </c>
      <c r="S201" t="str">
        <f>IF(R201&lt;&gt;"",LARGE($R$2:$R$441,ROWS($R$2:R201)),"")</f>
        <v/>
      </c>
      <c r="T201" s="1" t="str">
        <f>IF(R201&lt;&gt;"",INDEX($P$2:$Q$441,MATCH($S201,$R$2:$R$441,0),COLUMNS($S$2:S201)),"")</f>
        <v/>
      </c>
      <c r="U201" s="1" t="str">
        <f>IF(S201&lt;&gt;"",INDEX($P$2:$Q$441,MATCH($S201,$R$2:$R$441,0),COLUMNS($S$2:T201)),"")</f>
        <v/>
      </c>
      <c r="AE201" s="1">
        <f>Table2[[#This Row],[Year]]</f>
        <v>2009</v>
      </c>
      <c r="AF201" s="1">
        <f>Table2[[#This Row],['#]]</f>
        <v>20</v>
      </c>
      <c r="AG201" s="1" t="str">
        <f>Table2[[#This Row],[Team]]</f>
        <v>Portsmouth</v>
      </c>
      <c r="AH201" s="1">
        <f>Table2[[#This Row],[Pl]]</f>
        <v>38</v>
      </c>
      <c r="AI201" s="1">
        <f>Table2[[#This Row],[W]]</f>
        <v>7</v>
      </c>
      <c r="AJ201" s="1">
        <f>Table2[[#This Row],[D]]</f>
        <v>7</v>
      </c>
      <c r="AK201" s="1">
        <f>Table2[[#This Row],[L]]</f>
        <v>24</v>
      </c>
      <c r="AL201" s="1">
        <f>Table2[[#This Row],[F]]</f>
        <v>34</v>
      </c>
      <c r="AM201" s="1">
        <f>Table2[[#This Row],[A]]</f>
        <v>66</v>
      </c>
      <c r="AN201" s="1">
        <f>Table2[[#This Row],[GD]]</f>
        <v>-32</v>
      </c>
      <c r="AO201" s="1">
        <f>Table2[[#This Row],[Pts]]</f>
        <v>19</v>
      </c>
      <c r="AP201" s="1" t="str">
        <f>Table2[[#This Row],[Column1]]</f>
        <v>Relegated</v>
      </c>
      <c r="AR201" t="b">
        <f t="shared" si="7"/>
        <v>1</v>
      </c>
      <c r="AS201">
        <f>IF(AR201,ROWS($AR$2:AR201),"")</f>
        <v>200</v>
      </c>
      <c r="AT201">
        <f>IFERROR(SMALL($AS$2:$AS$440,ROWS($AS$2:AS201)),"")</f>
        <v>200</v>
      </c>
      <c r="AU201">
        <f>IF(AT201&lt;&gt;"",INDEX($AE$2:$AP$440,MATCH($AT201,$AS$2:$AS$440,0),COLUMNS($AT$2:AT201)),"")</f>
        <v>2009</v>
      </c>
      <c r="AV201">
        <f>IF(AU201&lt;&gt;"",INDEX($AE$2:$AP$440,MATCH($AT201,$AS$2:$AS$440,0),COLUMNS($AT$2:AU201)),"")</f>
        <v>20</v>
      </c>
      <c r="AW201" t="str">
        <f>IF(AV201&lt;&gt;"",INDEX($AE$2:$AP$440,MATCH($AT201,$AS$2:$AS$440,0),COLUMNS($AT$2:AV201)),"")</f>
        <v>Portsmouth</v>
      </c>
      <c r="AX201">
        <f>IF(AW201&lt;&gt;"",INDEX($AE$2:$AP$440,MATCH($AT201,$AS$2:$AS$440,0),COLUMNS($AT$2:AW201)),"")</f>
        <v>38</v>
      </c>
      <c r="AY201">
        <f>IF(AX201&lt;&gt;"",INDEX($AE$2:$AP$440,MATCH($AT201,$AS$2:$AS$440,0),COLUMNS($AT$2:AX201)),"")</f>
        <v>7</v>
      </c>
      <c r="AZ201">
        <f>IF(AY201&lt;&gt;"",INDEX($AE$2:$AP$440,MATCH($AT201,$AS$2:$AS$440,0),COLUMNS($AT$2:AY201)),"")</f>
        <v>7</v>
      </c>
      <c r="BA201">
        <f>IF(AZ201&lt;&gt;"",INDEX($AE$2:$AP$440,MATCH($AT201,$AS$2:$AS$440,0),COLUMNS($AT$2:AZ201)),"")</f>
        <v>24</v>
      </c>
      <c r="BB201">
        <f>IF(BA201&lt;&gt;"",INDEX($AE$2:$AP$440,MATCH($AT201,$AS$2:$AS$440,0),COLUMNS($AT$2:BA201)),"")</f>
        <v>34</v>
      </c>
      <c r="BC201">
        <f>IF(BB201&lt;&gt;"",INDEX($AE$2:$AP$440,MATCH($AT201,$AS$2:$AS$440,0),COLUMNS($AT$2:BB201)),"")</f>
        <v>66</v>
      </c>
      <c r="BD201">
        <f>IF(BC201&lt;&gt;"",INDEX($AE$2:$AP$440,MATCH($AT201,$AS$2:$AS$440,0),COLUMNS($AT$2:BC201)),"")</f>
        <v>-32</v>
      </c>
      <c r="BE201">
        <f>IF(BD201&lt;&gt;"",INDEX($AE$2:$AP$440,MATCH($AT201,$AS$2:$AS$440,0),COLUMNS($AT$2:BD201)),"")</f>
        <v>19</v>
      </c>
      <c r="BF201" t="str">
        <f>IF(BE201&lt;&gt;"",INDEX($AE$2:$AP$440,MATCH($AT201,$AS$2:$AS$440,0),COLUMNS($AT$2:BE201)),"")</f>
        <v>Relegated</v>
      </c>
    </row>
    <row r="202" spans="1:58" x14ac:dyDescent="0.25">
      <c r="A202" s="3">
        <v>2010</v>
      </c>
      <c r="B202" s="3">
        <v>1</v>
      </c>
      <c r="C202" s="4" t="s">
        <v>11</v>
      </c>
      <c r="D202" s="3">
        <v>38</v>
      </c>
      <c r="E202" s="3">
        <v>23</v>
      </c>
      <c r="F202" s="3">
        <v>11</v>
      </c>
      <c r="G202" s="3">
        <v>4</v>
      </c>
      <c r="H202" s="3">
        <v>78</v>
      </c>
      <c r="I202" s="3">
        <v>37</v>
      </c>
      <c r="J202" s="3">
        <v>41</v>
      </c>
      <c r="K202" s="3">
        <v>80</v>
      </c>
      <c r="L202" s="5" t="str">
        <f>IF(Table2[[#This Row],['#]]=1,"Champion", IF(Table2[[#This Row],['#]]&gt;=18,"Relegated",Table2[[#This Row],['#]]))</f>
        <v>Champion</v>
      </c>
      <c r="N202">
        <f>IF(COUNTIF($O$2:O202,O202)=1,N201+1,N201)</f>
        <v>36</v>
      </c>
      <c r="O202" s="4" t="str">
        <f>Table2[[#This Row],[Team]]</f>
        <v>Manchester United</v>
      </c>
      <c r="P202" s="1" t="str">
        <f>IFERROR(VLOOKUP(ROWS($O$2:O202),$N$2:$O$441,2,0),"")</f>
        <v/>
      </c>
      <c r="Q202" s="1" t="str">
        <f>IF(P202&lt;&gt;"",SUMPRODUCT(--(Table2[Team]=P202)),"")</f>
        <v/>
      </c>
      <c r="R202" s="11" t="str">
        <f>IF(Q202&lt;&gt;"",Q202+ROWS($Q$2:Q202)/100,"")</f>
        <v/>
      </c>
      <c r="S202" t="str">
        <f>IF(R202&lt;&gt;"",LARGE($R$2:$R$441,ROWS($R$2:R202)),"")</f>
        <v/>
      </c>
      <c r="T202" s="1" t="str">
        <f>IF(R202&lt;&gt;"",INDEX($P$2:$Q$441,MATCH($S202,$R$2:$R$441,0),COLUMNS($S$2:S202)),"")</f>
        <v/>
      </c>
      <c r="U202" s="1" t="str">
        <f>IF(S202&lt;&gt;"",INDEX($P$2:$Q$441,MATCH($S202,$R$2:$R$441,0),COLUMNS($S$2:T202)),"")</f>
        <v/>
      </c>
      <c r="AE202" s="1">
        <f>Table2[[#This Row],[Year]]</f>
        <v>2010</v>
      </c>
      <c r="AF202" s="1">
        <f>Table2[[#This Row],['#]]</f>
        <v>1</v>
      </c>
      <c r="AG202" s="1" t="str">
        <f>Table2[[#This Row],[Team]]</f>
        <v>Manchester United</v>
      </c>
      <c r="AH202" s="1">
        <f>Table2[[#This Row],[Pl]]</f>
        <v>38</v>
      </c>
      <c r="AI202" s="1">
        <f>Table2[[#This Row],[W]]</f>
        <v>23</v>
      </c>
      <c r="AJ202" s="1">
        <f>Table2[[#This Row],[D]]</f>
        <v>11</v>
      </c>
      <c r="AK202" s="1">
        <f>Table2[[#This Row],[L]]</f>
        <v>4</v>
      </c>
      <c r="AL202" s="1">
        <f>Table2[[#This Row],[F]]</f>
        <v>78</v>
      </c>
      <c r="AM202" s="1">
        <f>Table2[[#This Row],[A]]</f>
        <v>37</v>
      </c>
      <c r="AN202" s="1">
        <f>Table2[[#This Row],[GD]]</f>
        <v>41</v>
      </c>
      <c r="AO202" s="1">
        <f>Table2[[#This Row],[Pts]]</f>
        <v>80</v>
      </c>
      <c r="AP202" s="1" t="str">
        <f>Table2[[#This Row],[Column1]]</f>
        <v>Champion</v>
      </c>
      <c r="AR202" t="b">
        <f t="shared" si="7"/>
        <v>1</v>
      </c>
      <c r="AS202">
        <f>IF(AR202,ROWS($AR$2:AR202),"")</f>
        <v>201</v>
      </c>
      <c r="AT202">
        <f>IFERROR(SMALL($AS$2:$AS$440,ROWS($AS$2:AS202)),"")</f>
        <v>201</v>
      </c>
      <c r="AU202">
        <f>IF(AT202&lt;&gt;"",INDEX($AE$2:$AP$440,MATCH($AT202,$AS$2:$AS$440,0),COLUMNS($AT$2:AT202)),"")</f>
        <v>2010</v>
      </c>
      <c r="AV202">
        <f>IF(AU202&lt;&gt;"",INDEX($AE$2:$AP$440,MATCH($AT202,$AS$2:$AS$440,0),COLUMNS($AT$2:AU202)),"")</f>
        <v>1</v>
      </c>
      <c r="AW202" t="str">
        <f>IF(AV202&lt;&gt;"",INDEX($AE$2:$AP$440,MATCH($AT202,$AS$2:$AS$440,0),COLUMNS($AT$2:AV202)),"")</f>
        <v>Manchester United</v>
      </c>
      <c r="AX202">
        <f>IF(AW202&lt;&gt;"",INDEX($AE$2:$AP$440,MATCH($AT202,$AS$2:$AS$440,0),COLUMNS($AT$2:AW202)),"")</f>
        <v>38</v>
      </c>
      <c r="AY202">
        <f>IF(AX202&lt;&gt;"",INDEX($AE$2:$AP$440,MATCH($AT202,$AS$2:$AS$440,0),COLUMNS($AT$2:AX202)),"")</f>
        <v>23</v>
      </c>
      <c r="AZ202">
        <f>IF(AY202&lt;&gt;"",INDEX($AE$2:$AP$440,MATCH($AT202,$AS$2:$AS$440,0),COLUMNS($AT$2:AY202)),"")</f>
        <v>11</v>
      </c>
      <c r="BA202">
        <f>IF(AZ202&lt;&gt;"",INDEX($AE$2:$AP$440,MATCH($AT202,$AS$2:$AS$440,0),COLUMNS($AT$2:AZ202)),"")</f>
        <v>4</v>
      </c>
      <c r="BB202">
        <f>IF(BA202&lt;&gt;"",INDEX($AE$2:$AP$440,MATCH($AT202,$AS$2:$AS$440,0),COLUMNS($AT$2:BA202)),"")</f>
        <v>78</v>
      </c>
      <c r="BC202">
        <f>IF(BB202&lt;&gt;"",INDEX($AE$2:$AP$440,MATCH($AT202,$AS$2:$AS$440,0),COLUMNS($AT$2:BB202)),"")</f>
        <v>37</v>
      </c>
      <c r="BD202">
        <f>IF(BC202&lt;&gt;"",INDEX($AE$2:$AP$440,MATCH($AT202,$AS$2:$AS$440,0),COLUMNS($AT$2:BC202)),"")</f>
        <v>41</v>
      </c>
      <c r="BE202">
        <f>IF(BD202&lt;&gt;"",INDEX($AE$2:$AP$440,MATCH($AT202,$AS$2:$AS$440,0),COLUMNS($AT$2:BD202)),"")</f>
        <v>80</v>
      </c>
      <c r="BF202" t="str">
        <f>IF(BE202&lt;&gt;"",INDEX($AE$2:$AP$440,MATCH($AT202,$AS$2:$AS$440,0),COLUMNS($AT$2:BE202)),"")</f>
        <v>Champion</v>
      </c>
    </row>
    <row r="203" spans="1:58" x14ac:dyDescent="0.25">
      <c r="A203" s="5">
        <v>2010</v>
      </c>
      <c r="B203" s="5">
        <v>2</v>
      </c>
      <c r="C203" s="6" t="s">
        <v>16</v>
      </c>
      <c r="D203" s="5">
        <v>38</v>
      </c>
      <c r="E203" s="5">
        <v>21</v>
      </c>
      <c r="F203" s="5">
        <v>8</v>
      </c>
      <c r="G203" s="5">
        <v>9</v>
      </c>
      <c r="H203" s="5">
        <v>69</v>
      </c>
      <c r="I203" s="5">
        <v>33</v>
      </c>
      <c r="J203" s="5">
        <v>36</v>
      </c>
      <c r="K203" s="5">
        <v>71</v>
      </c>
      <c r="L203" s="5">
        <f>IF(Table2[[#This Row],['#]]=1,"Champion", IF(Table2[[#This Row],['#]]&gt;=18,"Relegated",Table2[[#This Row],['#]]))</f>
        <v>2</v>
      </c>
      <c r="N203">
        <f>IF(COUNTIF($O$2:O203,O203)=1,N202+1,N202)</f>
        <v>36</v>
      </c>
      <c r="O203" s="4" t="str">
        <f>Table2[[#This Row],[Team]]</f>
        <v>Chelsea</v>
      </c>
      <c r="P203" s="1" t="str">
        <f>IFERROR(VLOOKUP(ROWS($O$2:O203),$N$2:$O$441,2,0),"")</f>
        <v/>
      </c>
      <c r="Q203" s="1" t="str">
        <f>IF(P203&lt;&gt;"",SUMPRODUCT(--(Table2[Team]=P203)),"")</f>
        <v/>
      </c>
      <c r="R203" s="11" t="str">
        <f>IF(Q203&lt;&gt;"",Q203+ROWS($Q$2:Q203)/100,"")</f>
        <v/>
      </c>
      <c r="S203" t="str">
        <f>IF(R203&lt;&gt;"",LARGE($R$2:$R$441,ROWS($R$2:R203)),"")</f>
        <v/>
      </c>
      <c r="T203" s="1" t="str">
        <f>IF(R203&lt;&gt;"",INDEX($P$2:$Q$441,MATCH($S203,$R$2:$R$441,0),COLUMNS($S$2:S203)),"")</f>
        <v/>
      </c>
      <c r="U203" s="1" t="str">
        <f>IF(S203&lt;&gt;"",INDEX($P$2:$Q$441,MATCH($S203,$R$2:$R$441,0),COLUMNS($S$2:T203)),"")</f>
        <v/>
      </c>
      <c r="AE203" s="1">
        <f>Table2[[#This Row],[Year]]</f>
        <v>2010</v>
      </c>
      <c r="AF203" s="1">
        <f>Table2[[#This Row],['#]]</f>
        <v>2</v>
      </c>
      <c r="AG203" s="1" t="str">
        <f>Table2[[#This Row],[Team]]</f>
        <v>Chelsea</v>
      </c>
      <c r="AH203" s="1">
        <f>Table2[[#This Row],[Pl]]</f>
        <v>38</v>
      </c>
      <c r="AI203" s="1">
        <f>Table2[[#This Row],[W]]</f>
        <v>21</v>
      </c>
      <c r="AJ203" s="1">
        <f>Table2[[#This Row],[D]]</f>
        <v>8</v>
      </c>
      <c r="AK203" s="1">
        <f>Table2[[#This Row],[L]]</f>
        <v>9</v>
      </c>
      <c r="AL203" s="1">
        <f>Table2[[#This Row],[F]]</f>
        <v>69</v>
      </c>
      <c r="AM203" s="1">
        <f>Table2[[#This Row],[A]]</f>
        <v>33</v>
      </c>
      <c r="AN203" s="1">
        <f>Table2[[#This Row],[GD]]</f>
        <v>36</v>
      </c>
      <c r="AO203" s="1">
        <f>Table2[[#This Row],[Pts]]</f>
        <v>71</v>
      </c>
      <c r="AP203" s="1">
        <f>Table2[[#This Row],[Column1]]</f>
        <v>2</v>
      </c>
      <c r="AR203" t="b">
        <f t="shared" si="7"/>
        <v>1</v>
      </c>
      <c r="AS203">
        <f>IF(AR203,ROWS($AR$2:AR203),"")</f>
        <v>202</v>
      </c>
      <c r="AT203">
        <f>IFERROR(SMALL($AS$2:$AS$440,ROWS($AS$2:AS203)),"")</f>
        <v>202</v>
      </c>
      <c r="AU203">
        <f>IF(AT203&lt;&gt;"",INDEX($AE$2:$AP$440,MATCH($AT203,$AS$2:$AS$440,0),COLUMNS($AT$2:AT203)),"")</f>
        <v>2010</v>
      </c>
      <c r="AV203">
        <f>IF(AU203&lt;&gt;"",INDEX($AE$2:$AP$440,MATCH($AT203,$AS$2:$AS$440,0),COLUMNS($AT$2:AU203)),"")</f>
        <v>2</v>
      </c>
      <c r="AW203" t="str">
        <f>IF(AV203&lt;&gt;"",INDEX($AE$2:$AP$440,MATCH($AT203,$AS$2:$AS$440,0),COLUMNS($AT$2:AV203)),"")</f>
        <v>Chelsea</v>
      </c>
      <c r="AX203">
        <f>IF(AW203&lt;&gt;"",INDEX($AE$2:$AP$440,MATCH($AT203,$AS$2:$AS$440,0),COLUMNS($AT$2:AW203)),"")</f>
        <v>38</v>
      </c>
      <c r="AY203">
        <f>IF(AX203&lt;&gt;"",INDEX($AE$2:$AP$440,MATCH($AT203,$AS$2:$AS$440,0),COLUMNS($AT$2:AX203)),"")</f>
        <v>21</v>
      </c>
      <c r="AZ203">
        <f>IF(AY203&lt;&gt;"",INDEX($AE$2:$AP$440,MATCH($AT203,$AS$2:$AS$440,0),COLUMNS($AT$2:AY203)),"")</f>
        <v>8</v>
      </c>
      <c r="BA203">
        <f>IF(AZ203&lt;&gt;"",INDEX($AE$2:$AP$440,MATCH($AT203,$AS$2:$AS$440,0),COLUMNS($AT$2:AZ203)),"")</f>
        <v>9</v>
      </c>
      <c r="BB203">
        <f>IF(BA203&lt;&gt;"",INDEX($AE$2:$AP$440,MATCH($AT203,$AS$2:$AS$440,0),COLUMNS($AT$2:BA203)),"")</f>
        <v>69</v>
      </c>
      <c r="BC203">
        <f>IF(BB203&lt;&gt;"",INDEX($AE$2:$AP$440,MATCH($AT203,$AS$2:$AS$440,0),COLUMNS($AT$2:BB203)),"")</f>
        <v>33</v>
      </c>
      <c r="BD203">
        <f>IF(BC203&lt;&gt;"",INDEX($AE$2:$AP$440,MATCH($AT203,$AS$2:$AS$440,0),COLUMNS($AT$2:BC203)),"")</f>
        <v>36</v>
      </c>
      <c r="BE203">
        <f>IF(BD203&lt;&gt;"",INDEX($AE$2:$AP$440,MATCH($AT203,$AS$2:$AS$440,0),COLUMNS($AT$2:BD203)),"")</f>
        <v>71</v>
      </c>
      <c r="BF203">
        <f>IF(BE203&lt;&gt;"",INDEX($AE$2:$AP$440,MATCH($AT203,$AS$2:$AS$440,0),COLUMNS($AT$2:BE203)),"")</f>
        <v>2</v>
      </c>
    </row>
    <row r="204" spans="1:58" x14ac:dyDescent="0.25">
      <c r="A204" s="3">
        <v>2010</v>
      </c>
      <c r="B204" s="3">
        <v>3</v>
      </c>
      <c r="C204" s="4" t="s">
        <v>28</v>
      </c>
      <c r="D204" s="3">
        <v>38</v>
      </c>
      <c r="E204" s="3">
        <v>21</v>
      </c>
      <c r="F204" s="3">
        <v>8</v>
      </c>
      <c r="G204" s="3">
        <v>9</v>
      </c>
      <c r="H204" s="3">
        <v>60</v>
      </c>
      <c r="I204" s="3">
        <v>33</v>
      </c>
      <c r="J204" s="3">
        <v>27</v>
      </c>
      <c r="K204" s="3">
        <v>71</v>
      </c>
      <c r="L204" s="5">
        <f>IF(Table2[[#This Row],['#]]=1,"Champion", IF(Table2[[#This Row],['#]]&gt;=18,"Relegated",Table2[[#This Row],['#]]))</f>
        <v>3</v>
      </c>
      <c r="N204">
        <f>IF(COUNTIF($O$2:O204,O204)=1,N203+1,N203)</f>
        <v>36</v>
      </c>
      <c r="O204" s="4" t="str">
        <f>Table2[[#This Row],[Team]]</f>
        <v>Manchester City</v>
      </c>
      <c r="P204" s="1" t="str">
        <f>IFERROR(VLOOKUP(ROWS($O$2:O204),$N$2:$O$441,2,0),"")</f>
        <v/>
      </c>
      <c r="Q204" s="1" t="str">
        <f>IF(P204&lt;&gt;"",SUMPRODUCT(--(Table2[Team]=P204)),"")</f>
        <v/>
      </c>
      <c r="R204" s="11" t="str">
        <f>IF(Q204&lt;&gt;"",Q204+ROWS($Q$2:Q204)/100,"")</f>
        <v/>
      </c>
      <c r="S204" t="str">
        <f>IF(R204&lt;&gt;"",LARGE($R$2:$R$441,ROWS($R$2:R204)),"")</f>
        <v/>
      </c>
      <c r="T204" s="1" t="str">
        <f>IF(R204&lt;&gt;"",INDEX($P$2:$Q$441,MATCH($S204,$R$2:$R$441,0),COLUMNS($S$2:S204)),"")</f>
        <v/>
      </c>
      <c r="U204" s="1" t="str">
        <f>IF(S204&lt;&gt;"",INDEX($P$2:$Q$441,MATCH($S204,$R$2:$R$441,0),COLUMNS($S$2:T204)),"")</f>
        <v/>
      </c>
      <c r="AE204" s="1">
        <f>Table2[[#This Row],[Year]]</f>
        <v>2010</v>
      </c>
      <c r="AF204" s="1">
        <f>Table2[[#This Row],['#]]</f>
        <v>3</v>
      </c>
      <c r="AG204" s="1" t="str">
        <f>Table2[[#This Row],[Team]]</f>
        <v>Manchester City</v>
      </c>
      <c r="AH204" s="1">
        <f>Table2[[#This Row],[Pl]]</f>
        <v>38</v>
      </c>
      <c r="AI204" s="1">
        <f>Table2[[#This Row],[W]]</f>
        <v>21</v>
      </c>
      <c r="AJ204" s="1">
        <f>Table2[[#This Row],[D]]</f>
        <v>8</v>
      </c>
      <c r="AK204" s="1">
        <f>Table2[[#This Row],[L]]</f>
        <v>9</v>
      </c>
      <c r="AL204" s="1">
        <f>Table2[[#This Row],[F]]</f>
        <v>60</v>
      </c>
      <c r="AM204" s="1">
        <f>Table2[[#This Row],[A]]</f>
        <v>33</v>
      </c>
      <c r="AN204" s="1">
        <f>Table2[[#This Row],[GD]]</f>
        <v>27</v>
      </c>
      <c r="AO204" s="1">
        <f>Table2[[#This Row],[Pts]]</f>
        <v>71</v>
      </c>
      <c r="AP204" s="1">
        <f>Table2[[#This Row],[Column1]]</f>
        <v>3</v>
      </c>
      <c r="AR204" t="b">
        <f t="shared" si="7"/>
        <v>1</v>
      </c>
      <c r="AS204">
        <f>IF(AR204,ROWS($AR$2:AR204),"")</f>
        <v>203</v>
      </c>
      <c r="AT204">
        <f>IFERROR(SMALL($AS$2:$AS$440,ROWS($AS$2:AS204)),"")</f>
        <v>203</v>
      </c>
      <c r="AU204">
        <f>IF(AT204&lt;&gt;"",INDEX($AE$2:$AP$440,MATCH($AT204,$AS$2:$AS$440,0),COLUMNS($AT$2:AT204)),"")</f>
        <v>2010</v>
      </c>
      <c r="AV204">
        <f>IF(AU204&lt;&gt;"",INDEX($AE$2:$AP$440,MATCH($AT204,$AS$2:$AS$440,0),COLUMNS($AT$2:AU204)),"")</f>
        <v>3</v>
      </c>
      <c r="AW204" t="str">
        <f>IF(AV204&lt;&gt;"",INDEX($AE$2:$AP$440,MATCH($AT204,$AS$2:$AS$440,0),COLUMNS($AT$2:AV204)),"")</f>
        <v>Manchester City</v>
      </c>
      <c r="AX204">
        <f>IF(AW204&lt;&gt;"",INDEX($AE$2:$AP$440,MATCH($AT204,$AS$2:$AS$440,0),COLUMNS($AT$2:AW204)),"")</f>
        <v>38</v>
      </c>
      <c r="AY204">
        <f>IF(AX204&lt;&gt;"",INDEX($AE$2:$AP$440,MATCH($AT204,$AS$2:$AS$440,0),COLUMNS($AT$2:AX204)),"")</f>
        <v>21</v>
      </c>
      <c r="AZ204">
        <f>IF(AY204&lt;&gt;"",INDEX($AE$2:$AP$440,MATCH($AT204,$AS$2:$AS$440,0),COLUMNS($AT$2:AY204)),"")</f>
        <v>8</v>
      </c>
      <c r="BA204">
        <f>IF(AZ204&lt;&gt;"",INDEX($AE$2:$AP$440,MATCH($AT204,$AS$2:$AS$440,0),COLUMNS($AT$2:AZ204)),"")</f>
        <v>9</v>
      </c>
      <c r="BB204">
        <f>IF(BA204&lt;&gt;"",INDEX($AE$2:$AP$440,MATCH($AT204,$AS$2:$AS$440,0),COLUMNS($AT$2:BA204)),"")</f>
        <v>60</v>
      </c>
      <c r="BC204">
        <f>IF(BB204&lt;&gt;"",INDEX($AE$2:$AP$440,MATCH($AT204,$AS$2:$AS$440,0),COLUMNS($AT$2:BB204)),"")</f>
        <v>33</v>
      </c>
      <c r="BD204">
        <f>IF(BC204&lt;&gt;"",INDEX($AE$2:$AP$440,MATCH($AT204,$AS$2:$AS$440,0),COLUMNS($AT$2:BC204)),"")</f>
        <v>27</v>
      </c>
      <c r="BE204">
        <f>IF(BD204&lt;&gt;"",INDEX($AE$2:$AP$440,MATCH($AT204,$AS$2:$AS$440,0),COLUMNS($AT$2:BD204)),"")</f>
        <v>71</v>
      </c>
      <c r="BF204">
        <f>IF(BE204&lt;&gt;"",INDEX($AE$2:$AP$440,MATCH($AT204,$AS$2:$AS$440,0),COLUMNS($AT$2:BE204)),"")</f>
        <v>3</v>
      </c>
    </row>
    <row r="205" spans="1:58" x14ac:dyDescent="0.25">
      <c r="A205" s="5">
        <v>2010</v>
      </c>
      <c r="B205" s="5">
        <v>4</v>
      </c>
      <c r="C205" s="6" t="s">
        <v>12</v>
      </c>
      <c r="D205" s="5">
        <v>38</v>
      </c>
      <c r="E205" s="5">
        <v>19</v>
      </c>
      <c r="F205" s="5">
        <v>11</v>
      </c>
      <c r="G205" s="5">
        <v>8</v>
      </c>
      <c r="H205" s="5">
        <v>72</v>
      </c>
      <c r="I205" s="5">
        <v>43</v>
      </c>
      <c r="J205" s="5">
        <v>29</v>
      </c>
      <c r="K205" s="5">
        <v>68</v>
      </c>
      <c r="L205" s="5">
        <f>IF(Table2[[#This Row],['#]]=1,"Champion", IF(Table2[[#This Row],['#]]&gt;=18,"Relegated",Table2[[#This Row],['#]]))</f>
        <v>4</v>
      </c>
      <c r="N205">
        <f>IF(COUNTIF($O$2:O205,O205)=1,N204+1,N204)</f>
        <v>36</v>
      </c>
      <c r="O205" s="4" t="str">
        <f>Table2[[#This Row],[Team]]</f>
        <v>Arsenal</v>
      </c>
      <c r="P205" s="1" t="str">
        <f>IFERROR(VLOOKUP(ROWS($O$2:O205),$N$2:$O$441,2,0),"")</f>
        <v/>
      </c>
      <c r="Q205" s="1" t="str">
        <f>IF(P205&lt;&gt;"",SUMPRODUCT(--(Table2[Team]=P205)),"")</f>
        <v/>
      </c>
      <c r="R205" s="11" t="str">
        <f>IF(Q205&lt;&gt;"",Q205+ROWS($Q$2:Q205)/100,"")</f>
        <v/>
      </c>
      <c r="S205" t="str">
        <f>IF(R205&lt;&gt;"",LARGE($R$2:$R$441,ROWS($R$2:R205)),"")</f>
        <v/>
      </c>
      <c r="T205" s="1" t="str">
        <f>IF(R205&lt;&gt;"",INDEX($P$2:$Q$441,MATCH($S205,$R$2:$R$441,0),COLUMNS($S$2:S205)),"")</f>
        <v/>
      </c>
      <c r="U205" s="1" t="str">
        <f>IF(S205&lt;&gt;"",INDEX($P$2:$Q$441,MATCH($S205,$R$2:$R$441,0),COLUMNS($S$2:T205)),"")</f>
        <v/>
      </c>
      <c r="AE205" s="1">
        <f>Table2[[#This Row],[Year]]</f>
        <v>2010</v>
      </c>
      <c r="AF205" s="1">
        <f>Table2[[#This Row],['#]]</f>
        <v>4</v>
      </c>
      <c r="AG205" s="1" t="str">
        <f>Table2[[#This Row],[Team]]</f>
        <v>Arsenal</v>
      </c>
      <c r="AH205" s="1">
        <f>Table2[[#This Row],[Pl]]</f>
        <v>38</v>
      </c>
      <c r="AI205" s="1">
        <f>Table2[[#This Row],[W]]</f>
        <v>19</v>
      </c>
      <c r="AJ205" s="1">
        <f>Table2[[#This Row],[D]]</f>
        <v>11</v>
      </c>
      <c r="AK205" s="1">
        <f>Table2[[#This Row],[L]]</f>
        <v>8</v>
      </c>
      <c r="AL205" s="1">
        <f>Table2[[#This Row],[F]]</f>
        <v>72</v>
      </c>
      <c r="AM205" s="1">
        <f>Table2[[#This Row],[A]]</f>
        <v>43</v>
      </c>
      <c r="AN205" s="1">
        <f>Table2[[#This Row],[GD]]</f>
        <v>29</v>
      </c>
      <c r="AO205" s="1">
        <f>Table2[[#This Row],[Pts]]</f>
        <v>68</v>
      </c>
      <c r="AP205" s="1">
        <f>Table2[[#This Row],[Column1]]</f>
        <v>4</v>
      </c>
      <c r="AR205" t="b">
        <f t="shared" si="7"/>
        <v>1</v>
      </c>
      <c r="AS205">
        <f>IF(AR205,ROWS($AR$2:AR205),"")</f>
        <v>204</v>
      </c>
      <c r="AT205">
        <f>IFERROR(SMALL($AS$2:$AS$440,ROWS($AS$2:AS205)),"")</f>
        <v>204</v>
      </c>
      <c r="AU205">
        <f>IF(AT205&lt;&gt;"",INDEX($AE$2:$AP$440,MATCH($AT205,$AS$2:$AS$440,0),COLUMNS($AT$2:AT205)),"")</f>
        <v>2010</v>
      </c>
      <c r="AV205">
        <f>IF(AU205&lt;&gt;"",INDEX($AE$2:$AP$440,MATCH($AT205,$AS$2:$AS$440,0),COLUMNS($AT$2:AU205)),"")</f>
        <v>4</v>
      </c>
      <c r="AW205" t="str">
        <f>IF(AV205&lt;&gt;"",INDEX($AE$2:$AP$440,MATCH($AT205,$AS$2:$AS$440,0),COLUMNS($AT$2:AV205)),"")</f>
        <v>Arsenal</v>
      </c>
      <c r="AX205">
        <f>IF(AW205&lt;&gt;"",INDEX($AE$2:$AP$440,MATCH($AT205,$AS$2:$AS$440,0),COLUMNS($AT$2:AW205)),"")</f>
        <v>38</v>
      </c>
      <c r="AY205">
        <f>IF(AX205&lt;&gt;"",INDEX($AE$2:$AP$440,MATCH($AT205,$AS$2:$AS$440,0),COLUMNS($AT$2:AX205)),"")</f>
        <v>19</v>
      </c>
      <c r="AZ205">
        <f>IF(AY205&lt;&gt;"",INDEX($AE$2:$AP$440,MATCH($AT205,$AS$2:$AS$440,0),COLUMNS($AT$2:AY205)),"")</f>
        <v>11</v>
      </c>
      <c r="BA205">
        <f>IF(AZ205&lt;&gt;"",INDEX($AE$2:$AP$440,MATCH($AT205,$AS$2:$AS$440,0),COLUMNS($AT$2:AZ205)),"")</f>
        <v>8</v>
      </c>
      <c r="BB205">
        <f>IF(BA205&lt;&gt;"",INDEX($AE$2:$AP$440,MATCH($AT205,$AS$2:$AS$440,0),COLUMNS($AT$2:BA205)),"")</f>
        <v>72</v>
      </c>
      <c r="BC205">
        <f>IF(BB205&lt;&gt;"",INDEX($AE$2:$AP$440,MATCH($AT205,$AS$2:$AS$440,0),COLUMNS($AT$2:BB205)),"")</f>
        <v>43</v>
      </c>
      <c r="BD205">
        <f>IF(BC205&lt;&gt;"",INDEX($AE$2:$AP$440,MATCH($AT205,$AS$2:$AS$440,0),COLUMNS($AT$2:BC205)),"")</f>
        <v>29</v>
      </c>
      <c r="BE205">
        <f>IF(BD205&lt;&gt;"",INDEX($AE$2:$AP$440,MATCH($AT205,$AS$2:$AS$440,0),COLUMNS($AT$2:BD205)),"")</f>
        <v>68</v>
      </c>
      <c r="BF205">
        <f>IF(BE205&lt;&gt;"",INDEX($AE$2:$AP$440,MATCH($AT205,$AS$2:$AS$440,0),COLUMNS($AT$2:BE205)),"")</f>
        <v>4</v>
      </c>
    </row>
    <row r="206" spans="1:58" x14ac:dyDescent="0.25">
      <c r="A206" s="3">
        <v>2010</v>
      </c>
      <c r="B206" s="3">
        <v>5</v>
      </c>
      <c r="C206" s="4" t="s">
        <v>22</v>
      </c>
      <c r="D206" s="3">
        <v>38</v>
      </c>
      <c r="E206" s="3">
        <v>16</v>
      </c>
      <c r="F206" s="3">
        <v>14</v>
      </c>
      <c r="G206" s="3">
        <v>8</v>
      </c>
      <c r="H206" s="3">
        <v>55</v>
      </c>
      <c r="I206" s="3">
        <v>46</v>
      </c>
      <c r="J206" s="3">
        <v>9</v>
      </c>
      <c r="K206" s="3">
        <v>62</v>
      </c>
      <c r="L206" s="5">
        <f>IF(Table2[[#This Row],['#]]=1,"Champion", IF(Table2[[#This Row],['#]]&gt;=18,"Relegated",Table2[[#This Row],['#]]))</f>
        <v>5</v>
      </c>
      <c r="N206">
        <f>IF(COUNTIF($O$2:O206,O206)=1,N205+1,N205)</f>
        <v>36</v>
      </c>
      <c r="O206" s="4" t="str">
        <f>Table2[[#This Row],[Team]]</f>
        <v>Tottenham Hotspur</v>
      </c>
      <c r="P206" s="1" t="str">
        <f>IFERROR(VLOOKUP(ROWS($O$2:O206),$N$2:$O$441,2,0),"")</f>
        <v/>
      </c>
      <c r="Q206" s="1" t="str">
        <f>IF(P206&lt;&gt;"",SUMPRODUCT(--(Table2[Team]=P206)),"")</f>
        <v/>
      </c>
      <c r="R206" s="11" t="str">
        <f>IF(Q206&lt;&gt;"",Q206+ROWS($Q$2:Q206)/100,"")</f>
        <v/>
      </c>
      <c r="S206" t="str">
        <f>IF(R206&lt;&gt;"",LARGE($R$2:$R$441,ROWS($R$2:R206)),"")</f>
        <v/>
      </c>
      <c r="T206" s="1" t="str">
        <f>IF(R206&lt;&gt;"",INDEX($P$2:$Q$441,MATCH($S206,$R$2:$R$441,0),COLUMNS($S$2:S206)),"")</f>
        <v/>
      </c>
      <c r="U206" s="1" t="str">
        <f>IF(S206&lt;&gt;"",INDEX($P$2:$Q$441,MATCH($S206,$R$2:$R$441,0),COLUMNS($S$2:T206)),"")</f>
        <v/>
      </c>
      <c r="AE206" s="1">
        <f>Table2[[#This Row],[Year]]</f>
        <v>2010</v>
      </c>
      <c r="AF206" s="1">
        <f>Table2[[#This Row],['#]]</f>
        <v>5</v>
      </c>
      <c r="AG206" s="1" t="str">
        <f>Table2[[#This Row],[Team]]</f>
        <v>Tottenham Hotspur</v>
      </c>
      <c r="AH206" s="1">
        <f>Table2[[#This Row],[Pl]]</f>
        <v>38</v>
      </c>
      <c r="AI206" s="1">
        <f>Table2[[#This Row],[W]]</f>
        <v>16</v>
      </c>
      <c r="AJ206" s="1">
        <f>Table2[[#This Row],[D]]</f>
        <v>14</v>
      </c>
      <c r="AK206" s="1">
        <f>Table2[[#This Row],[L]]</f>
        <v>8</v>
      </c>
      <c r="AL206" s="1">
        <f>Table2[[#This Row],[F]]</f>
        <v>55</v>
      </c>
      <c r="AM206" s="1">
        <f>Table2[[#This Row],[A]]</f>
        <v>46</v>
      </c>
      <c r="AN206" s="1">
        <f>Table2[[#This Row],[GD]]</f>
        <v>9</v>
      </c>
      <c r="AO206" s="1">
        <f>Table2[[#This Row],[Pts]]</f>
        <v>62</v>
      </c>
      <c r="AP206" s="1">
        <f>Table2[[#This Row],[Column1]]</f>
        <v>5</v>
      </c>
      <c r="AR206" t="b">
        <f t="shared" si="7"/>
        <v>1</v>
      </c>
      <c r="AS206">
        <f>IF(AR206,ROWS($AR$2:AR206),"")</f>
        <v>205</v>
      </c>
      <c r="AT206">
        <f>IFERROR(SMALL($AS$2:$AS$440,ROWS($AS$2:AS206)),"")</f>
        <v>205</v>
      </c>
      <c r="AU206">
        <f>IF(AT206&lt;&gt;"",INDEX($AE$2:$AP$440,MATCH($AT206,$AS$2:$AS$440,0),COLUMNS($AT$2:AT206)),"")</f>
        <v>2010</v>
      </c>
      <c r="AV206">
        <f>IF(AU206&lt;&gt;"",INDEX($AE$2:$AP$440,MATCH($AT206,$AS$2:$AS$440,0),COLUMNS($AT$2:AU206)),"")</f>
        <v>5</v>
      </c>
      <c r="AW206" t="str">
        <f>IF(AV206&lt;&gt;"",INDEX($AE$2:$AP$440,MATCH($AT206,$AS$2:$AS$440,0),COLUMNS($AT$2:AV206)),"")</f>
        <v>Tottenham Hotspur</v>
      </c>
      <c r="AX206">
        <f>IF(AW206&lt;&gt;"",INDEX($AE$2:$AP$440,MATCH($AT206,$AS$2:$AS$440,0),COLUMNS($AT$2:AW206)),"")</f>
        <v>38</v>
      </c>
      <c r="AY206">
        <f>IF(AX206&lt;&gt;"",INDEX($AE$2:$AP$440,MATCH($AT206,$AS$2:$AS$440,0),COLUMNS($AT$2:AX206)),"")</f>
        <v>16</v>
      </c>
      <c r="AZ206">
        <f>IF(AY206&lt;&gt;"",INDEX($AE$2:$AP$440,MATCH($AT206,$AS$2:$AS$440,0),COLUMNS($AT$2:AY206)),"")</f>
        <v>14</v>
      </c>
      <c r="BA206">
        <f>IF(AZ206&lt;&gt;"",INDEX($AE$2:$AP$440,MATCH($AT206,$AS$2:$AS$440,0),COLUMNS($AT$2:AZ206)),"")</f>
        <v>8</v>
      </c>
      <c r="BB206">
        <f>IF(BA206&lt;&gt;"",INDEX($AE$2:$AP$440,MATCH($AT206,$AS$2:$AS$440,0),COLUMNS($AT$2:BA206)),"")</f>
        <v>55</v>
      </c>
      <c r="BC206">
        <f>IF(BB206&lt;&gt;"",INDEX($AE$2:$AP$440,MATCH($AT206,$AS$2:$AS$440,0),COLUMNS($AT$2:BB206)),"")</f>
        <v>46</v>
      </c>
      <c r="BD206">
        <f>IF(BC206&lt;&gt;"",INDEX($AE$2:$AP$440,MATCH($AT206,$AS$2:$AS$440,0),COLUMNS($AT$2:BC206)),"")</f>
        <v>9</v>
      </c>
      <c r="BE206">
        <f>IF(BD206&lt;&gt;"",INDEX($AE$2:$AP$440,MATCH($AT206,$AS$2:$AS$440,0),COLUMNS($AT$2:BD206)),"")</f>
        <v>62</v>
      </c>
      <c r="BF206">
        <f>IF(BE206&lt;&gt;"",INDEX($AE$2:$AP$440,MATCH($AT206,$AS$2:$AS$440,0),COLUMNS($AT$2:BE206)),"")</f>
        <v>5</v>
      </c>
    </row>
    <row r="207" spans="1:58" x14ac:dyDescent="0.25">
      <c r="A207" s="5">
        <v>2010</v>
      </c>
      <c r="B207" s="5">
        <v>6</v>
      </c>
      <c r="C207" s="4" t="s">
        <v>13</v>
      </c>
      <c r="D207" s="5">
        <v>38</v>
      </c>
      <c r="E207" s="5">
        <v>17</v>
      </c>
      <c r="F207" s="5">
        <v>7</v>
      </c>
      <c r="G207" s="5">
        <v>14</v>
      </c>
      <c r="H207" s="5">
        <v>59</v>
      </c>
      <c r="I207" s="5">
        <v>44</v>
      </c>
      <c r="J207" s="5">
        <v>15</v>
      </c>
      <c r="K207" s="5">
        <v>58</v>
      </c>
      <c r="L207" s="5">
        <f>IF(Table2[[#This Row],['#]]=1,"Champion", IF(Table2[[#This Row],['#]]&gt;=18,"Relegated",Table2[[#This Row],['#]]))</f>
        <v>6</v>
      </c>
      <c r="N207">
        <f>IF(COUNTIF($O$2:O207,O207)=1,N206+1,N206)</f>
        <v>36</v>
      </c>
      <c r="O207" s="4" t="str">
        <f>Table2[[#This Row],[Team]]</f>
        <v>Liverpool</v>
      </c>
      <c r="P207" s="1" t="str">
        <f>IFERROR(VLOOKUP(ROWS($O$2:O207),$N$2:$O$441,2,0),"")</f>
        <v/>
      </c>
      <c r="Q207" s="1" t="str">
        <f>IF(P207&lt;&gt;"",SUMPRODUCT(--(Table2[Team]=P207)),"")</f>
        <v/>
      </c>
      <c r="R207" s="11" t="str">
        <f>IF(Q207&lt;&gt;"",Q207+ROWS($Q$2:Q207)/100,"")</f>
        <v/>
      </c>
      <c r="S207" t="str">
        <f>IF(R207&lt;&gt;"",LARGE($R$2:$R$441,ROWS($R$2:R207)),"")</f>
        <v/>
      </c>
      <c r="T207" s="1" t="str">
        <f>IF(R207&lt;&gt;"",INDEX($P$2:$Q$441,MATCH($S207,$R$2:$R$441,0),COLUMNS($S$2:S207)),"")</f>
        <v/>
      </c>
      <c r="U207" s="1" t="str">
        <f>IF(S207&lt;&gt;"",INDEX($P$2:$Q$441,MATCH($S207,$R$2:$R$441,0),COLUMNS($S$2:T207)),"")</f>
        <v/>
      </c>
      <c r="AE207" s="1">
        <f>Table2[[#This Row],[Year]]</f>
        <v>2010</v>
      </c>
      <c r="AF207" s="1">
        <f>Table2[[#This Row],['#]]</f>
        <v>6</v>
      </c>
      <c r="AG207" s="1" t="str">
        <f>Table2[[#This Row],[Team]]</f>
        <v>Liverpool</v>
      </c>
      <c r="AH207" s="1">
        <f>Table2[[#This Row],[Pl]]</f>
        <v>38</v>
      </c>
      <c r="AI207" s="1">
        <f>Table2[[#This Row],[W]]</f>
        <v>17</v>
      </c>
      <c r="AJ207" s="1">
        <f>Table2[[#This Row],[D]]</f>
        <v>7</v>
      </c>
      <c r="AK207" s="1">
        <f>Table2[[#This Row],[L]]</f>
        <v>14</v>
      </c>
      <c r="AL207" s="1">
        <f>Table2[[#This Row],[F]]</f>
        <v>59</v>
      </c>
      <c r="AM207" s="1">
        <f>Table2[[#This Row],[A]]</f>
        <v>44</v>
      </c>
      <c r="AN207" s="1">
        <f>Table2[[#This Row],[GD]]</f>
        <v>15</v>
      </c>
      <c r="AO207" s="1">
        <f>Table2[[#This Row],[Pts]]</f>
        <v>58</v>
      </c>
      <c r="AP207" s="1">
        <f>Table2[[#This Row],[Column1]]</f>
        <v>6</v>
      </c>
      <c r="AR207" t="b">
        <f t="shared" si="7"/>
        <v>1</v>
      </c>
      <c r="AS207">
        <f>IF(AR207,ROWS($AR$2:AR207),"")</f>
        <v>206</v>
      </c>
      <c r="AT207">
        <f>IFERROR(SMALL($AS$2:$AS$440,ROWS($AS$2:AS207)),"")</f>
        <v>206</v>
      </c>
      <c r="AU207">
        <f>IF(AT207&lt;&gt;"",INDEX($AE$2:$AP$440,MATCH($AT207,$AS$2:$AS$440,0),COLUMNS($AT$2:AT207)),"")</f>
        <v>2010</v>
      </c>
      <c r="AV207">
        <f>IF(AU207&lt;&gt;"",INDEX($AE$2:$AP$440,MATCH($AT207,$AS$2:$AS$440,0),COLUMNS($AT$2:AU207)),"")</f>
        <v>6</v>
      </c>
      <c r="AW207" t="str">
        <f>IF(AV207&lt;&gt;"",INDEX($AE$2:$AP$440,MATCH($AT207,$AS$2:$AS$440,0),COLUMNS($AT$2:AV207)),"")</f>
        <v>Liverpool</v>
      </c>
      <c r="AX207">
        <f>IF(AW207&lt;&gt;"",INDEX($AE$2:$AP$440,MATCH($AT207,$AS$2:$AS$440,0),COLUMNS($AT$2:AW207)),"")</f>
        <v>38</v>
      </c>
      <c r="AY207">
        <f>IF(AX207&lt;&gt;"",INDEX($AE$2:$AP$440,MATCH($AT207,$AS$2:$AS$440,0),COLUMNS($AT$2:AX207)),"")</f>
        <v>17</v>
      </c>
      <c r="AZ207">
        <f>IF(AY207&lt;&gt;"",INDEX($AE$2:$AP$440,MATCH($AT207,$AS$2:$AS$440,0),COLUMNS($AT$2:AY207)),"")</f>
        <v>7</v>
      </c>
      <c r="BA207">
        <f>IF(AZ207&lt;&gt;"",INDEX($AE$2:$AP$440,MATCH($AT207,$AS$2:$AS$440,0),COLUMNS($AT$2:AZ207)),"")</f>
        <v>14</v>
      </c>
      <c r="BB207">
        <f>IF(BA207&lt;&gt;"",INDEX($AE$2:$AP$440,MATCH($AT207,$AS$2:$AS$440,0),COLUMNS($AT$2:BA207)),"")</f>
        <v>59</v>
      </c>
      <c r="BC207">
        <f>IF(BB207&lt;&gt;"",INDEX($AE$2:$AP$440,MATCH($AT207,$AS$2:$AS$440,0),COLUMNS($AT$2:BB207)),"")</f>
        <v>44</v>
      </c>
      <c r="BD207">
        <f>IF(BC207&lt;&gt;"",INDEX($AE$2:$AP$440,MATCH($AT207,$AS$2:$AS$440,0),COLUMNS($AT$2:BC207)),"")</f>
        <v>15</v>
      </c>
      <c r="BE207">
        <f>IF(BD207&lt;&gt;"",INDEX($AE$2:$AP$440,MATCH($AT207,$AS$2:$AS$440,0),COLUMNS($AT$2:BD207)),"")</f>
        <v>58</v>
      </c>
      <c r="BF207">
        <f>IF(BE207&lt;&gt;"",INDEX($AE$2:$AP$440,MATCH($AT207,$AS$2:$AS$440,0),COLUMNS($AT$2:BE207)),"")</f>
        <v>6</v>
      </c>
    </row>
    <row r="208" spans="1:58" x14ac:dyDescent="0.25">
      <c r="A208" s="3">
        <v>2010</v>
      </c>
      <c r="B208" s="3">
        <v>7</v>
      </c>
      <c r="C208" s="4" t="s">
        <v>26</v>
      </c>
      <c r="D208" s="3">
        <v>38</v>
      </c>
      <c r="E208" s="3">
        <v>13</v>
      </c>
      <c r="F208" s="3">
        <v>15</v>
      </c>
      <c r="G208" s="3">
        <v>10</v>
      </c>
      <c r="H208" s="3">
        <v>51</v>
      </c>
      <c r="I208" s="3">
        <v>45</v>
      </c>
      <c r="J208" s="3">
        <v>6</v>
      </c>
      <c r="K208" s="3">
        <v>54</v>
      </c>
      <c r="L208" s="5">
        <f>IF(Table2[[#This Row],['#]]=1,"Champion", IF(Table2[[#This Row],['#]]&gt;=18,"Relegated",Table2[[#This Row],['#]]))</f>
        <v>7</v>
      </c>
      <c r="N208">
        <f>IF(COUNTIF($O$2:O208,O208)=1,N207+1,N207)</f>
        <v>36</v>
      </c>
      <c r="O208" s="4" t="str">
        <f>Table2[[#This Row],[Team]]</f>
        <v>Everton</v>
      </c>
      <c r="P208" s="1" t="str">
        <f>IFERROR(VLOOKUP(ROWS($O$2:O208),$N$2:$O$441,2,0),"")</f>
        <v/>
      </c>
      <c r="Q208" s="1" t="str">
        <f>IF(P208&lt;&gt;"",SUMPRODUCT(--(Table2[Team]=P208)),"")</f>
        <v/>
      </c>
      <c r="R208" s="11" t="str">
        <f>IF(Q208&lt;&gt;"",Q208+ROWS($Q$2:Q208)/100,"")</f>
        <v/>
      </c>
      <c r="S208" t="str">
        <f>IF(R208&lt;&gt;"",LARGE($R$2:$R$441,ROWS($R$2:R208)),"")</f>
        <v/>
      </c>
      <c r="T208" s="1" t="str">
        <f>IF(R208&lt;&gt;"",INDEX($P$2:$Q$441,MATCH($S208,$R$2:$R$441,0),COLUMNS($S$2:S208)),"")</f>
        <v/>
      </c>
      <c r="U208" s="1" t="str">
        <f>IF(S208&lt;&gt;"",INDEX($P$2:$Q$441,MATCH($S208,$R$2:$R$441,0),COLUMNS($S$2:T208)),"")</f>
        <v/>
      </c>
      <c r="AE208" s="1">
        <f>Table2[[#This Row],[Year]]</f>
        <v>2010</v>
      </c>
      <c r="AF208" s="1">
        <f>Table2[[#This Row],['#]]</f>
        <v>7</v>
      </c>
      <c r="AG208" s="1" t="str">
        <f>Table2[[#This Row],[Team]]</f>
        <v>Everton</v>
      </c>
      <c r="AH208" s="1">
        <f>Table2[[#This Row],[Pl]]</f>
        <v>38</v>
      </c>
      <c r="AI208" s="1">
        <f>Table2[[#This Row],[W]]</f>
        <v>13</v>
      </c>
      <c r="AJ208" s="1">
        <f>Table2[[#This Row],[D]]</f>
        <v>15</v>
      </c>
      <c r="AK208" s="1">
        <f>Table2[[#This Row],[L]]</f>
        <v>10</v>
      </c>
      <c r="AL208" s="1">
        <f>Table2[[#This Row],[F]]</f>
        <v>51</v>
      </c>
      <c r="AM208" s="1">
        <f>Table2[[#This Row],[A]]</f>
        <v>45</v>
      </c>
      <c r="AN208" s="1">
        <f>Table2[[#This Row],[GD]]</f>
        <v>6</v>
      </c>
      <c r="AO208" s="1">
        <f>Table2[[#This Row],[Pts]]</f>
        <v>54</v>
      </c>
      <c r="AP208" s="1">
        <f>Table2[[#This Row],[Column1]]</f>
        <v>7</v>
      </c>
      <c r="AR208" t="b">
        <f t="shared" si="7"/>
        <v>1</v>
      </c>
      <c r="AS208">
        <f>IF(AR208,ROWS($AR$2:AR208),"")</f>
        <v>207</v>
      </c>
      <c r="AT208">
        <f>IFERROR(SMALL($AS$2:$AS$440,ROWS($AS$2:AS208)),"")</f>
        <v>207</v>
      </c>
      <c r="AU208">
        <f>IF(AT208&lt;&gt;"",INDEX($AE$2:$AP$440,MATCH($AT208,$AS$2:$AS$440,0),COLUMNS($AT$2:AT208)),"")</f>
        <v>2010</v>
      </c>
      <c r="AV208">
        <f>IF(AU208&lt;&gt;"",INDEX($AE$2:$AP$440,MATCH($AT208,$AS$2:$AS$440,0),COLUMNS($AT$2:AU208)),"")</f>
        <v>7</v>
      </c>
      <c r="AW208" t="str">
        <f>IF(AV208&lt;&gt;"",INDEX($AE$2:$AP$440,MATCH($AT208,$AS$2:$AS$440,0),COLUMNS($AT$2:AV208)),"")</f>
        <v>Everton</v>
      </c>
      <c r="AX208">
        <f>IF(AW208&lt;&gt;"",INDEX($AE$2:$AP$440,MATCH($AT208,$AS$2:$AS$440,0),COLUMNS($AT$2:AW208)),"")</f>
        <v>38</v>
      </c>
      <c r="AY208">
        <f>IF(AX208&lt;&gt;"",INDEX($AE$2:$AP$440,MATCH($AT208,$AS$2:$AS$440,0),COLUMNS($AT$2:AX208)),"")</f>
        <v>13</v>
      </c>
      <c r="AZ208">
        <f>IF(AY208&lt;&gt;"",INDEX($AE$2:$AP$440,MATCH($AT208,$AS$2:$AS$440,0),COLUMNS($AT$2:AY208)),"")</f>
        <v>15</v>
      </c>
      <c r="BA208">
        <f>IF(AZ208&lt;&gt;"",INDEX($AE$2:$AP$440,MATCH($AT208,$AS$2:$AS$440,0),COLUMNS($AT$2:AZ208)),"")</f>
        <v>10</v>
      </c>
      <c r="BB208">
        <f>IF(BA208&lt;&gt;"",INDEX($AE$2:$AP$440,MATCH($AT208,$AS$2:$AS$440,0),COLUMNS($AT$2:BA208)),"")</f>
        <v>51</v>
      </c>
      <c r="BC208">
        <f>IF(BB208&lt;&gt;"",INDEX($AE$2:$AP$440,MATCH($AT208,$AS$2:$AS$440,0),COLUMNS($AT$2:BB208)),"")</f>
        <v>45</v>
      </c>
      <c r="BD208">
        <f>IF(BC208&lt;&gt;"",INDEX($AE$2:$AP$440,MATCH($AT208,$AS$2:$AS$440,0),COLUMNS($AT$2:BC208)),"")</f>
        <v>6</v>
      </c>
      <c r="BE208">
        <f>IF(BD208&lt;&gt;"",INDEX($AE$2:$AP$440,MATCH($AT208,$AS$2:$AS$440,0),COLUMNS($AT$2:BD208)),"")</f>
        <v>54</v>
      </c>
      <c r="BF208">
        <f>IF(BE208&lt;&gt;"",INDEX($AE$2:$AP$440,MATCH($AT208,$AS$2:$AS$440,0),COLUMNS($AT$2:BE208)),"")</f>
        <v>7</v>
      </c>
    </row>
    <row r="209" spans="1:58" x14ac:dyDescent="0.25">
      <c r="A209" s="5">
        <v>2010</v>
      </c>
      <c r="B209" s="5">
        <v>8</v>
      </c>
      <c r="C209" s="6" t="s">
        <v>32</v>
      </c>
      <c r="D209" s="5">
        <v>38</v>
      </c>
      <c r="E209" s="5">
        <v>11</v>
      </c>
      <c r="F209" s="5">
        <v>16</v>
      </c>
      <c r="G209" s="5">
        <v>11</v>
      </c>
      <c r="H209" s="5">
        <v>49</v>
      </c>
      <c r="I209" s="5">
        <v>43</v>
      </c>
      <c r="J209" s="5">
        <v>6</v>
      </c>
      <c r="K209" s="5">
        <v>49</v>
      </c>
      <c r="L209" s="5">
        <f>IF(Table2[[#This Row],['#]]=1,"Champion", IF(Table2[[#This Row],['#]]&gt;=18,"Relegated",Table2[[#This Row],['#]]))</f>
        <v>8</v>
      </c>
      <c r="N209">
        <f>IF(COUNTIF($O$2:O209,O209)=1,N208+1,N208)</f>
        <v>36</v>
      </c>
      <c r="O209" s="4" t="str">
        <f>Table2[[#This Row],[Team]]</f>
        <v>Fulham</v>
      </c>
      <c r="P209" s="1" t="str">
        <f>IFERROR(VLOOKUP(ROWS($O$2:O209),$N$2:$O$441,2,0),"")</f>
        <v/>
      </c>
      <c r="Q209" s="1" t="str">
        <f>IF(P209&lt;&gt;"",SUMPRODUCT(--(Table2[Team]=P209)),"")</f>
        <v/>
      </c>
      <c r="R209" s="11" t="str">
        <f>IF(Q209&lt;&gt;"",Q209+ROWS($Q$2:Q209)/100,"")</f>
        <v/>
      </c>
      <c r="S209" t="str">
        <f>IF(R209&lt;&gt;"",LARGE($R$2:$R$441,ROWS($R$2:R209)),"")</f>
        <v/>
      </c>
      <c r="T209" s="1" t="str">
        <f>IF(R209&lt;&gt;"",INDEX($P$2:$Q$441,MATCH($S209,$R$2:$R$441,0),COLUMNS($S$2:S209)),"")</f>
        <v/>
      </c>
      <c r="U209" s="1" t="str">
        <f>IF(S209&lt;&gt;"",INDEX($P$2:$Q$441,MATCH($S209,$R$2:$R$441,0),COLUMNS($S$2:T209)),"")</f>
        <v/>
      </c>
      <c r="AE209" s="1">
        <f>Table2[[#This Row],[Year]]</f>
        <v>2010</v>
      </c>
      <c r="AF209" s="1">
        <f>Table2[[#This Row],['#]]</f>
        <v>8</v>
      </c>
      <c r="AG209" s="1" t="str">
        <f>Table2[[#This Row],[Team]]</f>
        <v>Fulham</v>
      </c>
      <c r="AH209" s="1">
        <f>Table2[[#This Row],[Pl]]</f>
        <v>38</v>
      </c>
      <c r="AI209" s="1">
        <f>Table2[[#This Row],[W]]</f>
        <v>11</v>
      </c>
      <c r="AJ209" s="1">
        <f>Table2[[#This Row],[D]]</f>
        <v>16</v>
      </c>
      <c r="AK209" s="1">
        <f>Table2[[#This Row],[L]]</f>
        <v>11</v>
      </c>
      <c r="AL209" s="1">
        <f>Table2[[#This Row],[F]]</f>
        <v>49</v>
      </c>
      <c r="AM209" s="1">
        <f>Table2[[#This Row],[A]]</f>
        <v>43</v>
      </c>
      <c r="AN209" s="1">
        <f>Table2[[#This Row],[GD]]</f>
        <v>6</v>
      </c>
      <c r="AO209" s="1">
        <f>Table2[[#This Row],[Pts]]</f>
        <v>49</v>
      </c>
      <c r="AP209" s="1">
        <f>Table2[[#This Row],[Column1]]</f>
        <v>8</v>
      </c>
      <c r="AR209" t="b">
        <f t="shared" si="7"/>
        <v>1</v>
      </c>
      <c r="AS209">
        <f>IF(AR209,ROWS($AR$2:AR209),"")</f>
        <v>208</v>
      </c>
      <c r="AT209">
        <f>IFERROR(SMALL($AS$2:$AS$440,ROWS($AS$2:AS209)),"")</f>
        <v>208</v>
      </c>
      <c r="AU209">
        <f>IF(AT209&lt;&gt;"",INDEX($AE$2:$AP$440,MATCH($AT209,$AS$2:$AS$440,0),COLUMNS($AT$2:AT209)),"")</f>
        <v>2010</v>
      </c>
      <c r="AV209">
        <f>IF(AU209&lt;&gt;"",INDEX($AE$2:$AP$440,MATCH($AT209,$AS$2:$AS$440,0),COLUMNS($AT$2:AU209)),"")</f>
        <v>8</v>
      </c>
      <c r="AW209" t="str">
        <f>IF(AV209&lt;&gt;"",INDEX($AE$2:$AP$440,MATCH($AT209,$AS$2:$AS$440,0),COLUMNS($AT$2:AV209)),"")</f>
        <v>Fulham</v>
      </c>
      <c r="AX209">
        <f>IF(AW209&lt;&gt;"",INDEX($AE$2:$AP$440,MATCH($AT209,$AS$2:$AS$440,0),COLUMNS($AT$2:AW209)),"")</f>
        <v>38</v>
      </c>
      <c r="AY209">
        <f>IF(AX209&lt;&gt;"",INDEX($AE$2:$AP$440,MATCH($AT209,$AS$2:$AS$440,0),COLUMNS($AT$2:AX209)),"")</f>
        <v>11</v>
      </c>
      <c r="AZ209">
        <f>IF(AY209&lt;&gt;"",INDEX($AE$2:$AP$440,MATCH($AT209,$AS$2:$AS$440,0),COLUMNS($AT$2:AY209)),"")</f>
        <v>16</v>
      </c>
      <c r="BA209">
        <f>IF(AZ209&lt;&gt;"",INDEX($AE$2:$AP$440,MATCH($AT209,$AS$2:$AS$440,0),COLUMNS($AT$2:AZ209)),"")</f>
        <v>11</v>
      </c>
      <c r="BB209">
        <f>IF(BA209&lt;&gt;"",INDEX($AE$2:$AP$440,MATCH($AT209,$AS$2:$AS$440,0),COLUMNS($AT$2:BA209)),"")</f>
        <v>49</v>
      </c>
      <c r="BC209">
        <f>IF(BB209&lt;&gt;"",INDEX($AE$2:$AP$440,MATCH($AT209,$AS$2:$AS$440,0),COLUMNS($AT$2:BB209)),"")</f>
        <v>43</v>
      </c>
      <c r="BD209">
        <f>IF(BC209&lt;&gt;"",INDEX($AE$2:$AP$440,MATCH($AT209,$AS$2:$AS$440,0),COLUMNS($AT$2:BC209)),"")</f>
        <v>6</v>
      </c>
      <c r="BE209">
        <f>IF(BD209&lt;&gt;"",INDEX($AE$2:$AP$440,MATCH($AT209,$AS$2:$AS$440,0),COLUMNS($AT$2:BD209)),"")</f>
        <v>49</v>
      </c>
      <c r="BF209">
        <f>IF(BE209&lt;&gt;"",INDEX($AE$2:$AP$440,MATCH($AT209,$AS$2:$AS$440,0),COLUMNS($AT$2:BE209)),"")</f>
        <v>8</v>
      </c>
    </row>
    <row r="210" spans="1:58" x14ac:dyDescent="0.25">
      <c r="A210" s="3">
        <v>2010</v>
      </c>
      <c r="B210" s="3">
        <v>9</v>
      </c>
      <c r="C210" s="4" t="s">
        <v>18</v>
      </c>
      <c r="D210" s="3">
        <v>38</v>
      </c>
      <c r="E210" s="3">
        <v>12</v>
      </c>
      <c r="F210" s="3">
        <v>12</v>
      </c>
      <c r="G210" s="3">
        <v>14</v>
      </c>
      <c r="H210" s="3">
        <v>48</v>
      </c>
      <c r="I210" s="3">
        <v>59</v>
      </c>
      <c r="J210" s="3">
        <v>-11</v>
      </c>
      <c r="K210" s="3">
        <v>48</v>
      </c>
      <c r="L210" s="5">
        <f>IF(Table2[[#This Row],['#]]=1,"Champion", IF(Table2[[#This Row],['#]]&gt;=18,"Relegated",Table2[[#This Row],['#]]))</f>
        <v>9</v>
      </c>
      <c r="N210">
        <f>IF(COUNTIF($O$2:O210,O210)=1,N209+1,N209)</f>
        <v>36</v>
      </c>
      <c r="O210" s="4" t="str">
        <f>Table2[[#This Row],[Team]]</f>
        <v>Aston Villa</v>
      </c>
      <c r="P210" s="1" t="str">
        <f>IFERROR(VLOOKUP(ROWS($O$2:O210),$N$2:$O$441,2,0),"")</f>
        <v/>
      </c>
      <c r="Q210" s="1" t="str">
        <f>IF(P210&lt;&gt;"",SUMPRODUCT(--(Table2[Team]=P210)),"")</f>
        <v/>
      </c>
      <c r="R210" s="11" t="str">
        <f>IF(Q210&lt;&gt;"",Q210+ROWS($Q$2:Q210)/100,"")</f>
        <v/>
      </c>
      <c r="S210" t="str">
        <f>IF(R210&lt;&gt;"",LARGE($R$2:$R$441,ROWS($R$2:R210)),"")</f>
        <v/>
      </c>
      <c r="T210" s="1" t="str">
        <f>IF(R210&lt;&gt;"",INDEX($P$2:$Q$441,MATCH($S210,$R$2:$R$441,0),COLUMNS($S$2:S210)),"")</f>
        <v/>
      </c>
      <c r="U210" s="1" t="str">
        <f>IF(S210&lt;&gt;"",INDEX($P$2:$Q$441,MATCH($S210,$R$2:$R$441,0),COLUMNS($S$2:T210)),"")</f>
        <v/>
      </c>
      <c r="AE210" s="1">
        <f>Table2[[#This Row],[Year]]</f>
        <v>2010</v>
      </c>
      <c r="AF210" s="1">
        <f>Table2[[#This Row],['#]]</f>
        <v>9</v>
      </c>
      <c r="AG210" s="1" t="str">
        <f>Table2[[#This Row],[Team]]</f>
        <v>Aston Villa</v>
      </c>
      <c r="AH210" s="1">
        <f>Table2[[#This Row],[Pl]]</f>
        <v>38</v>
      </c>
      <c r="AI210" s="1">
        <f>Table2[[#This Row],[W]]</f>
        <v>12</v>
      </c>
      <c r="AJ210" s="1">
        <f>Table2[[#This Row],[D]]</f>
        <v>12</v>
      </c>
      <c r="AK210" s="1">
        <f>Table2[[#This Row],[L]]</f>
        <v>14</v>
      </c>
      <c r="AL210" s="1">
        <f>Table2[[#This Row],[F]]</f>
        <v>48</v>
      </c>
      <c r="AM210" s="1">
        <f>Table2[[#This Row],[A]]</f>
        <v>59</v>
      </c>
      <c r="AN210" s="1">
        <f>Table2[[#This Row],[GD]]</f>
        <v>-11</v>
      </c>
      <c r="AO210" s="1">
        <f>Table2[[#This Row],[Pts]]</f>
        <v>48</v>
      </c>
      <c r="AP210" s="1">
        <f>Table2[[#This Row],[Column1]]</f>
        <v>9</v>
      </c>
      <c r="AR210" t="b">
        <f t="shared" si="7"/>
        <v>1</v>
      </c>
      <c r="AS210">
        <f>IF(AR210,ROWS($AR$2:AR210),"")</f>
        <v>209</v>
      </c>
      <c r="AT210">
        <f>IFERROR(SMALL($AS$2:$AS$440,ROWS($AS$2:AS210)),"")</f>
        <v>209</v>
      </c>
      <c r="AU210">
        <f>IF(AT210&lt;&gt;"",INDEX($AE$2:$AP$440,MATCH($AT210,$AS$2:$AS$440,0),COLUMNS($AT$2:AT210)),"")</f>
        <v>2010</v>
      </c>
      <c r="AV210">
        <f>IF(AU210&lt;&gt;"",INDEX($AE$2:$AP$440,MATCH($AT210,$AS$2:$AS$440,0),COLUMNS($AT$2:AU210)),"")</f>
        <v>9</v>
      </c>
      <c r="AW210" t="str">
        <f>IF(AV210&lt;&gt;"",INDEX($AE$2:$AP$440,MATCH($AT210,$AS$2:$AS$440,0),COLUMNS($AT$2:AV210)),"")</f>
        <v>Aston Villa</v>
      </c>
      <c r="AX210">
        <f>IF(AW210&lt;&gt;"",INDEX($AE$2:$AP$440,MATCH($AT210,$AS$2:$AS$440,0),COLUMNS($AT$2:AW210)),"")</f>
        <v>38</v>
      </c>
      <c r="AY210">
        <f>IF(AX210&lt;&gt;"",INDEX($AE$2:$AP$440,MATCH($AT210,$AS$2:$AS$440,0),COLUMNS($AT$2:AX210)),"")</f>
        <v>12</v>
      </c>
      <c r="AZ210">
        <f>IF(AY210&lt;&gt;"",INDEX($AE$2:$AP$440,MATCH($AT210,$AS$2:$AS$440,0),COLUMNS($AT$2:AY210)),"")</f>
        <v>12</v>
      </c>
      <c r="BA210">
        <f>IF(AZ210&lt;&gt;"",INDEX($AE$2:$AP$440,MATCH($AT210,$AS$2:$AS$440,0),COLUMNS($AT$2:AZ210)),"")</f>
        <v>14</v>
      </c>
      <c r="BB210">
        <f>IF(BA210&lt;&gt;"",INDEX($AE$2:$AP$440,MATCH($AT210,$AS$2:$AS$440,0),COLUMNS($AT$2:BA210)),"")</f>
        <v>48</v>
      </c>
      <c r="BC210">
        <f>IF(BB210&lt;&gt;"",INDEX($AE$2:$AP$440,MATCH($AT210,$AS$2:$AS$440,0),COLUMNS($AT$2:BB210)),"")</f>
        <v>59</v>
      </c>
      <c r="BD210">
        <f>IF(BC210&lt;&gt;"",INDEX($AE$2:$AP$440,MATCH($AT210,$AS$2:$AS$440,0),COLUMNS($AT$2:BC210)),"")</f>
        <v>-11</v>
      </c>
      <c r="BE210">
        <f>IF(BD210&lt;&gt;"",INDEX($AE$2:$AP$440,MATCH($AT210,$AS$2:$AS$440,0),COLUMNS($AT$2:BD210)),"")</f>
        <v>48</v>
      </c>
      <c r="BF210">
        <f>IF(BE210&lt;&gt;"",INDEX($AE$2:$AP$440,MATCH($AT210,$AS$2:$AS$440,0),COLUMNS($AT$2:BE210)),"")</f>
        <v>9</v>
      </c>
    </row>
    <row r="211" spans="1:58" x14ac:dyDescent="0.25">
      <c r="A211" s="5">
        <v>2010</v>
      </c>
      <c r="B211" s="5">
        <v>10</v>
      </c>
      <c r="C211" s="6" t="s">
        <v>17</v>
      </c>
      <c r="D211" s="5">
        <v>38</v>
      </c>
      <c r="E211" s="5">
        <v>12</v>
      </c>
      <c r="F211" s="5">
        <v>11</v>
      </c>
      <c r="G211" s="5">
        <v>15</v>
      </c>
      <c r="H211" s="5">
        <v>45</v>
      </c>
      <c r="I211" s="5">
        <v>56</v>
      </c>
      <c r="J211" s="5">
        <v>-11</v>
      </c>
      <c r="K211" s="5">
        <v>47</v>
      </c>
      <c r="L211" s="5">
        <f>IF(Table2[[#This Row],['#]]=1,"Champion", IF(Table2[[#This Row],['#]]&gt;=18,"Relegated",Table2[[#This Row],['#]]))</f>
        <v>10</v>
      </c>
      <c r="N211">
        <f>IF(COUNTIF($O$2:O211,O211)=1,N210+1,N210)</f>
        <v>36</v>
      </c>
      <c r="O211" s="4" t="str">
        <f>Table2[[#This Row],[Team]]</f>
        <v>Sunderland</v>
      </c>
      <c r="P211" s="1" t="str">
        <f>IFERROR(VLOOKUP(ROWS($O$2:O211),$N$2:$O$441,2,0),"")</f>
        <v/>
      </c>
      <c r="Q211" s="1" t="str">
        <f>IF(P211&lt;&gt;"",SUMPRODUCT(--(Table2[Team]=P211)),"")</f>
        <v/>
      </c>
      <c r="R211" s="11" t="str">
        <f>IF(Q211&lt;&gt;"",Q211+ROWS($Q$2:Q211)/100,"")</f>
        <v/>
      </c>
      <c r="S211" t="str">
        <f>IF(R211&lt;&gt;"",LARGE($R$2:$R$441,ROWS($R$2:R211)),"")</f>
        <v/>
      </c>
      <c r="T211" s="1" t="str">
        <f>IF(R211&lt;&gt;"",INDEX($P$2:$Q$441,MATCH($S211,$R$2:$R$441,0),COLUMNS($S$2:S211)),"")</f>
        <v/>
      </c>
      <c r="U211" s="1" t="str">
        <f>IF(S211&lt;&gt;"",INDEX($P$2:$Q$441,MATCH($S211,$R$2:$R$441,0),COLUMNS($S$2:T211)),"")</f>
        <v/>
      </c>
      <c r="AE211" s="1">
        <f>Table2[[#This Row],[Year]]</f>
        <v>2010</v>
      </c>
      <c r="AF211" s="1">
        <f>Table2[[#This Row],['#]]</f>
        <v>10</v>
      </c>
      <c r="AG211" s="1" t="str">
        <f>Table2[[#This Row],[Team]]</f>
        <v>Sunderland</v>
      </c>
      <c r="AH211" s="1">
        <f>Table2[[#This Row],[Pl]]</f>
        <v>38</v>
      </c>
      <c r="AI211" s="1">
        <f>Table2[[#This Row],[W]]</f>
        <v>12</v>
      </c>
      <c r="AJ211" s="1">
        <f>Table2[[#This Row],[D]]</f>
        <v>11</v>
      </c>
      <c r="AK211" s="1">
        <f>Table2[[#This Row],[L]]</f>
        <v>15</v>
      </c>
      <c r="AL211" s="1">
        <f>Table2[[#This Row],[F]]</f>
        <v>45</v>
      </c>
      <c r="AM211" s="1">
        <f>Table2[[#This Row],[A]]</f>
        <v>56</v>
      </c>
      <c r="AN211" s="1">
        <f>Table2[[#This Row],[GD]]</f>
        <v>-11</v>
      </c>
      <c r="AO211" s="1">
        <f>Table2[[#This Row],[Pts]]</f>
        <v>47</v>
      </c>
      <c r="AP211" s="1">
        <f>Table2[[#This Row],[Column1]]</f>
        <v>10</v>
      </c>
      <c r="AR211" t="b">
        <f t="shared" si="7"/>
        <v>1</v>
      </c>
      <c r="AS211">
        <f>IF(AR211,ROWS($AR$2:AR211),"")</f>
        <v>210</v>
      </c>
      <c r="AT211">
        <f>IFERROR(SMALL($AS$2:$AS$440,ROWS($AS$2:AS211)),"")</f>
        <v>210</v>
      </c>
      <c r="AU211">
        <f>IF(AT211&lt;&gt;"",INDEX($AE$2:$AP$440,MATCH($AT211,$AS$2:$AS$440,0),COLUMNS($AT$2:AT211)),"")</f>
        <v>2010</v>
      </c>
      <c r="AV211">
        <f>IF(AU211&lt;&gt;"",INDEX($AE$2:$AP$440,MATCH($AT211,$AS$2:$AS$440,0),COLUMNS($AT$2:AU211)),"")</f>
        <v>10</v>
      </c>
      <c r="AW211" t="str">
        <f>IF(AV211&lt;&gt;"",INDEX($AE$2:$AP$440,MATCH($AT211,$AS$2:$AS$440,0),COLUMNS($AT$2:AV211)),"")</f>
        <v>Sunderland</v>
      </c>
      <c r="AX211">
        <f>IF(AW211&lt;&gt;"",INDEX($AE$2:$AP$440,MATCH($AT211,$AS$2:$AS$440,0),COLUMNS($AT$2:AW211)),"")</f>
        <v>38</v>
      </c>
      <c r="AY211">
        <f>IF(AX211&lt;&gt;"",INDEX($AE$2:$AP$440,MATCH($AT211,$AS$2:$AS$440,0),COLUMNS($AT$2:AX211)),"")</f>
        <v>12</v>
      </c>
      <c r="AZ211">
        <f>IF(AY211&lt;&gt;"",INDEX($AE$2:$AP$440,MATCH($AT211,$AS$2:$AS$440,0),COLUMNS($AT$2:AY211)),"")</f>
        <v>11</v>
      </c>
      <c r="BA211">
        <f>IF(AZ211&lt;&gt;"",INDEX($AE$2:$AP$440,MATCH($AT211,$AS$2:$AS$440,0),COLUMNS($AT$2:AZ211)),"")</f>
        <v>15</v>
      </c>
      <c r="BB211">
        <f>IF(BA211&lt;&gt;"",INDEX($AE$2:$AP$440,MATCH($AT211,$AS$2:$AS$440,0),COLUMNS($AT$2:BA211)),"")</f>
        <v>45</v>
      </c>
      <c r="BC211">
        <f>IF(BB211&lt;&gt;"",INDEX($AE$2:$AP$440,MATCH($AT211,$AS$2:$AS$440,0),COLUMNS($AT$2:BB211)),"")</f>
        <v>56</v>
      </c>
      <c r="BD211">
        <f>IF(BC211&lt;&gt;"",INDEX($AE$2:$AP$440,MATCH($AT211,$AS$2:$AS$440,0),COLUMNS($AT$2:BC211)),"")</f>
        <v>-11</v>
      </c>
      <c r="BE211">
        <f>IF(BD211&lt;&gt;"",INDEX($AE$2:$AP$440,MATCH($AT211,$AS$2:$AS$440,0),COLUMNS($AT$2:BD211)),"")</f>
        <v>47</v>
      </c>
      <c r="BF211">
        <f>IF(BE211&lt;&gt;"",INDEX($AE$2:$AP$440,MATCH($AT211,$AS$2:$AS$440,0),COLUMNS($AT$2:BE211)),"")</f>
        <v>10</v>
      </c>
    </row>
    <row r="212" spans="1:58" x14ac:dyDescent="0.25">
      <c r="A212" s="3">
        <v>2010</v>
      </c>
      <c r="B212" s="3">
        <v>11</v>
      </c>
      <c r="C212" s="4" t="s">
        <v>35</v>
      </c>
      <c r="D212" s="3">
        <v>38</v>
      </c>
      <c r="E212" s="3">
        <v>12</v>
      </c>
      <c r="F212" s="3">
        <v>11</v>
      </c>
      <c r="G212" s="3">
        <v>15</v>
      </c>
      <c r="H212" s="3">
        <v>56</v>
      </c>
      <c r="I212" s="3">
        <v>71</v>
      </c>
      <c r="J212" s="3">
        <v>-15</v>
      </c>
      <c r="K212" s="3">
        <v>47</v>
      </c>
      <c r="L212" s="5">
        <f>IF(Table2[[#This Row],['#]]=1,"Champion", IF(Table2[[#This Row],['#]]&gt;=18,"Relegated",Table2[[#This Row],['#]]))</f>
        <v>11</v>
      </c>
      <c r="N212">
        <f>IF(COUNTIF($O$2:O212,O212)=1,N211+1,N211)</f>
        <v>36</v>
      </c>
      <c r="O212" s="4" t="str">
        <f>Table2[[#This Row],[Team]]</f>
        <v>West Bromwich Albion</v>
      </c>
      <c r="P212" s="1" t="str">
        <f>IFERROR(VLOOKUP(ROWS($O$2:O212),$N$2:$O$441,2,0),"")</f>
        <v/>
      </c>
      <c r="Q212" s="1" t="str">
        <f>IF(P212&lt;&gt;"",SUMPRODUCT(--(Table2[Team]=P212)),"")</f>
        <v/>
      </c>
      <c r="R212" s="11" t="str">
        <f>IF(Q212&lt;&gt;"",Q212+ROWS($Q$2:Q212)/100,"")</f>
        <v/>
      </c>
      <c r="S212" t="str">
        <f>IF(R212&lt;&gt;"",LARGE($R$2:$R$441,ROWS($R$2:R212)),"")</f>
        <v/>
      </c>
      <c r="T212" s="1" t="str">
        <f>IF(R212&lt;&gt;"",INDEX($P$2:$Q$441,MATCH($S212,$R$2:$R$441,0),COLUMNS($S$2:S212)),"")</f>
        <v/>
      </c>
      <c r="U212" s="1" t="str">
        <f>IF(S212&lt;&gt;"",INDEX($P$2:$Q$441,MATCH($S212,$R$2:$R$441,0),COLUMNS($S$2:T212)),"")</f>
        <v/>
      </c>
      <c r="AE212" s="1">
        <f>Table2[[#This Row],[Year]]</f>
        <v>2010</v>
      </c>
      <c r="AF212" s="1">
        <f>Table2[[#This Row],['#]]</f>
        <v>11</v>
      </c>
      <c r="AG212" s="1" t="str">
        <f>Table2[[#This Row],[Team]]</f>
        <v>West Bromwich Albion</v>
      </c>
      <c r="AH212" s="1">
        <f>Table2[[#This Row],[Pl]]</f>
        <v>38</v>
      </c>
      <c r="AI212" s="1">
        <f>Table2[[#This Row],[W]]</f>
        <v>12</v>
      </c>
      <c r="AJ212" s="1">
        <f>Table2[[#This Row],[D]]</f>
        <v>11</v>
      </c>
      <c r="AK212" s="1">
        <f>Table2[[#This Row],[L]]</f>
        <v>15</v>
      </c>
      <c r="AL212" s="1">
        <f>Table2[[#This Row],[F]]</f>
        <v>56</v>
      </c>
      <c r="AM212" s="1">
        <f>Table2[[#This Row],[A]]</f>
        <v>71</v>
      </c>
      <c r="AN212" s="1">
        <f>Table2[[#This Row],[GD]]</f>
        <v>-15</v>
      </c>
      <c r="AO212" s="1">
        <f>Table2[[#This Row],[Pts]]</f>
        <v>47</v>
      </c>
      <c r="AP212" s="1">
        <f>Table2[[#This Row],[Column1]]</f>
        <v>11</v>
      </c>
      <c r="AR212" t="b">
        <f t="shared" si="7"/>
        <v>1</v>
      </c>
      <c r="AS212">
        <f>IF(AR212,ROWS($AR$2:AR212),"")</f>
        <v>211</v>
      </c>
      <c r="AT212">
        <f>IFERROR(SMALL($AS$2:$AS$440,ROWS($AS$2:AS212)),"")</f>
        <v>211</v>
      </c>
      <c r="AU212">
        <f>IF(AT212&lt;&gt;"",INDEX($AE$2:$AP$440,MATCH($AT212,$AS$2:$AS$440,0),COLUMNS($AT$2:AT212)),"")</f>
        <v>2010</v>
      </c>
      <c r="AV212">
        <f>IF(AU212&lt;&gt;"",INDEX($AE$2:$AP$440,MATCH($AT212,$AS$2:$AS$440,0),COLUMNS($AT$2:AU212)),"")</f>
        <v>11</v>
      </c>
      <c r="AW212" t="str">
        <f>IF(AV212&lt;&gt;"",INDEX($AE$2:$AP$440,MATCH($AT212,$AS$2:$AS$440,0),COLUMNS($AT$2:AV212)),"")</f>
        <v>West Bromwich Albion</v>
      </c>
      <c r="AX212">
        <f>IF(AW212&lt;&gt;"",INDEX($AE$2:$AP$440,MATCH($AT212,$AS$2:$AS$440,0),COLUMNS($AT$2:AW212)),"")</f>
        <v>38</v>
      </c>
      <c r="AY212">
        <f>IF(AX212&lt;&gt;"",INDEX($AE$2:$AP$440,MATCH($AT212,$AS$2:$AS$440,0),COLUMNS($AT$2:AX212)),"")</f>
        <v>12</v>
      </c>
      <c r="AZ212">
        <f>IF(AY212&lt;&gt;"",INDEX($AE$2:$AP$440,MATCH($AT212,$AS$2:$AS$440,0),COLUMNS($AT$2:AY212)),"")</f>
        <v>11</v>
      </c>
      <c r="BA212">
        <f>IF(AZ212&lt;&gt;"",INDEX($AE$2:$AP$440,MATCH($AT212,$AS$2:$AS$440,0),COLUMNS($AT$2:AZ212)),"")</f>
        <v>15</v>
      </c>
      <c r="BB212">
        <f>IF(BA212&lt;&gt;"",INDEX($AE$2:$AP$440,MATCH($AT212,$AS$2:$AS$440,0),COLUMNS($AT$2:BA212)),"")</f>
        <v>56</v>
      </c>
      <c r="BC212">
        <f>IF(BB212&lt;&gt;"",INDEX($AE$2:$AP$440,MATCH($AT212,$AS$2:$AS$440,0),COLUMNS($AT$2:BB212)),"")</f>
        <v>71</v>
      </c>
      <c r="BD212">
        <f>IF(BC212&lt;&gt;"",INDEX($AE$2:$AP$440,MATCH($AT212,$AS$2:$AS$440,0),COLUMNS($AT$2:BC212)),"")</f>
        <v>-15</v>
      </c>
      <c r="BE212">
        <f>IF(BD212&lt;&gt;"",INDEX($AE$2:$AP$440,MATCH($AT212,$AS$2:$AS$440,0),COLUMNS($AT$2:BD212)),"")</f>
        <v>47</v>
      </c>
      <c r="BF212">
        <f>IF(BE212&lt;&gt;"",INDEX($AE$2:$AP$440,MATCH($AT212,$AS$2:$AS$440,0),COLUMNS($AT$2:BE212)),"")</f>
        <v>11</v>
      </c>
    </row>
    <row r="213" spans="1:58" x14ac:dyDescent="0.25">
      <c r="A213" s="5">
        <v>2010</v>
      </c>
      <c r="B213" s="5">
        <v>12</v>
      </c>
      <c r="C213" s="6" t="s">
        <v>21</v>
      </c>
      <c r="D213" s="5">
        <v>38</v>
      </c>
      <c r="E213" s="5">
        <v>11</v>
      </c>
      <c r="F213" s="5">
        <v>13</v>
      </c>
      <c r="G213" s="5">
        <v>14</v>
      </c>
      <c r="H213" s="5">
        <v>56</v>
      </c>
      <c r="I213" s="5">
        <v>57</v>
      </c>
      <c r="J213" s="5">
        <v>-1</v>
      </c>
      <c r="K213" s="5">
        <v>46</v>
      </c>
      <c r="L213" s="5">
        <f>IF(Table2[[#This Row],['#]]=1,"Champion", IF(Table2[[#This Row],['#]]&gt;=18,"Relegated",Table2[[#This Row],['#]]))</f>
        <v>12</v>
      </c>
      <c r="N213">
        <f>IF(COUNTIF($O$2:O213,O213)=1,N212+1,N212)</f>
        <v>36</v>
      </c>
      <c r="O213" s="4" t="str">
        <f>Table2[[#This Row],[Team]]</f>
        <v>Newcastle United</v>
      </c>
      <c r="P213" s="1" t="str">
        <f>IFERROR(VLOOKUP(ROWS($O$2:O213),$N$2:$O$441,2,0),"")</f>
        <v/>
      </c>
      <c r="Q213" s="1" t="str">
        <f>IF(P213&lt;&gt;"",SUMPRODUCT(--(Table2[Team]=P213)),"")</f>
        <v/>
      </c>
      <c r="R213" s="11" t="str">
        <f>IF(Q213&lt;&gt;"",Q213+ROWS($Q$2:Q213)/100,"")</f>
        <v/>
      </c>
      <c r="S213" t="str">
        <f>IF(R213&lt;&gt;"",LARGE($R$2:$R$441,ROWS($R$2:R213)),"")</f>
        <v/>
      </c>
      <c r="T213" s="1" t="str">
        <f>IF(R213&lt;&gt;"",INDEX($P$2:$Q$441,MATCH($S213,$R$2:$R$441,0),COLUMNS($S$2:S213)),"")</f>
        <v/>
      </c>
      <c r="U213" s="1" t="str">
        <f>IF(S213&lt;&gt;"",INDEX($P$2:$Q$441,MATCH($S213,$R$2:$R$441,0),COLUMNS($S$2:T213)),"")</f>
        <v/>
      </c>
      <c r="AE213" s="1">
        <f>Table2[[#This Row],[Year]]</f>
        <v>2010</v>
      </c>
      <c r="AF213" s="1">
        <f>Table2[[#This Row],['#]]</f>
        <v>12</v>
      </c>
      <c r="AG213" s="1" t="str">
        <f>Table2[[#This Row],[Team]]</f>
        <v>Newcastle United</v>
      </c>
      <c r="AH213" s="1">
        <f>Table2[[#This Row],[Pl]]</f>
        <v>38</v>
      </c>
      <c r="AI213" s="1">
        <f>Table2[[#This Row],[W]]</f>
        <v>11</v>
      </c>
      <c r="AJ213" s="1">
        <f>Table2[[#This Row],[D]]</f>
        <v>13</v>
      </c>
      <c r="AK213" s="1">
        <f>Table2[[#This Row],[L]]</f>
        <v>14</v>
      </c>
      <c r="AL213" s="1">
        <f>Table2[[#This Row],[F]]</f>
        <v>56</v>
      </c>
      <c r="AM213" s="1">
        <f>Table2[[#This Row],[A]]</f>
        <v>57</v>
      </c>
      <c r="AN213" s="1">
        <f>Table2[[#This Row],[GD]]</f>
        <v>-1</v>
      </c>
      <c r="AO213" s="1">
        <f>Table2[[#This Row],[Pts]]</f>
        <v>46</v>
      </c>
      <c r="AP213" s="1">
        <f>Table2[[#This Row],[Column1]]</f>
        <v>12</v>
      </c>
      <c r="AR213" t="b">
        <f t="shared" si="7"/>
        <v>1</v>
      </c>
      <c r="AS213">
        <f>IF(AR213,ROWS($AR$2:AR213),"")</f>
        <v>212</v>
      </c>
      <c r="AT213">
        <f>IFERROR(SMALL($AS$2:$AS$440,ROWS($AS$2:AS213)),"")</f>
        <v>212</v>
      </c>
      <c r="AU213">
        <f>IF(AT213&lt;&gt;"",INDEX($AE$2:$AP$440,MATCH($AT213,$AS$2:$AS$440,0),COLUMNS($AT$2:AT213)),"")</f>
        <v>2010</v>
      </c>
      <c r="AV213">
        <f>IF(AU213&lt;&gt;"",INDEX($AE$2:$AP$440,MATCH($AT213,$AS$2:$AS$440,0),COLUMNS($AT$2:AU213)),"")</f>
        <v>12</v>
      </c>
      <c r="AW213" t="str">
        <f>IF(AV213&lt;&gt;"",INDEX($AE$2:$AP$440,MATCH($AT213,$AS$2:$AS$440,0),COLUMNS($AT$2:AV213)),"")</f>
        <v>Newcastle United</v>
      </c>
      <c r="AX213">
        <f>IF(AW213&lt;&gt;"",INDEX($AE$2:$AP$440,MATCH($AT213,$AS$2:$AS$440,0),COLUMNS($AT$2:AW213)),"")</f>
        <v>38</v>
      </c>
      <c r="AY213">
        <f>IF(AX213&lt;&gt;"",INDEX($AE$2:$AP$440,MATCH($AT213,$AS$2:$AS$440,0),COLUMNS($AT$2:AX213)),"")</f>
        <v>11</v>
      </c>
      <c r="AZ213">
        <f>IF(AY213&lt;&gt;"",INDEX($AE$2:$AP$440,MATCH($AT213,$AS$2:$AS$440,0),COLUMNS($AT$2:AY213)),"")</f>
        <v>13</v>
      </c>
      <c r="BA213">
        <f>IF(AZ213&lt;&gt;"",INDEX($AE$2:$AP$440,MATCH($AT213,$AS$2:$AS$440,0),COLUMNS($AT$2:AZ213)),"")</f>
        <v>14</v>
      </c>
      <c r="BB213">
        <f>IF(BA213&lt;&gt;"",INDEX($AE$2:$AP$440,MATCH($AT213,$AS$2:$AS$440,0),COLUMNS($AT$2:BA213)),"")</f>
        <v>56</v>
      </c>
      <c r="BC213">
        <f>IF(BB213&lt;&gt;"",INDEX($AE$2:$AP$440,MATCH($AT213,$AS$2:$AS$440,0),COLUMNS($AT$2:BB213)),"")</f>
        <v>57</v>
      </c>
      <c r="BD213">
        <f>IF(BC213&lt;&gt;"",INDEX($AE$2:$AP$440,MATCH($AT213,$AS$2:$AS$440,0),COLUMNS($AT$2:BC213)),"")</f>
        <v>-1</v>
      </c>
      <c r="BE213">
        <f>IF(BD213&lt;&gt;"",INDEX($AE$2:$AP$440,MATCH($AT213,$AS$2:$AS$440,0),COLUMNS($AT$2:BD213)),"")</f>
        <v>46</v>
      </c>
      <c r="BF213">
        <f>IF(BE213&lt;&gt;"",INDEX($AE$2:$AP$440,MATCH($AT213,$AS$2:$AS$440,0),COLUMNS($AT$2:BE213)),"")</f>
        <v>12</v>
      </c>
    </row>
    <row r="214" spans="1:58" x14ac:dyDescent="0.25">
      <c r="A214" s="3">
        <v>2010</v>
      </c>
      <c r="B214" s="3">
        <v>13</v>
      </c>
      <c r="C214" s="4" t="s">
        <v>44</v>
      </c>
      <c r="D214" s="3">
        <v>38</v>
      </c>
      <c r="E214" s="3">
        <v>13</v>
      </c>
      <c r="F214" s="3">
        <v>7</v>
      </c>
      <c r="G214" s="3">
        <v>18</v>
      </c>
      <c r="H214" s="3">
        <v>46</v>
      </c>
      <c r="I214" s="3">
        <v>48</v>
      </c>
      <c r="J214" s="3">
        <v>-2</v>
      </c>
      <c r="K214" s="3">
        <v>46</v>
      </c>
      <c r="L214" s="5">
        <f>IF(Table2[[#This Row],['#]]=1,"Champion", IF(Table2[[#This Row],['#]]&gt;=18,"Relegated",Table2[[#This Row],['#]]))</f>
        <v>13</v>
      </c>
      <c r="N214">
        <f>IF(COUNTIF($O$2:O214,O214)=1,N213+1,N213)</f>
        <v>36</v>
      </c>
      <c r="O214" s="4" t="str">
        <f>Table2[[#This Row],[Team]]</f>
        <v>Stoke City</v>
      </c>
      <c r="P214" s="1" t="str">
        <f>IFERROR(VLOOKUP(ROWS($O$2:O214),$N$2:$O$441,2,0),"")</f>
        <v/>
      </c>
      <c r="Q214" s="1" t="str">
        <f>IF(P214&lt;&gt;"",SUMPRODUCT(--(Table2[Team]=P214)),"")</f>
        <v/>
      </c>
      <c r="R214" s="11" t="str">
        <f>IF(Q214&lt;&gt;"",Q214+ROWS($Q$2:Q214)/100,"")</f>
        <v/>
      </c>
      <c r="S214" t="str">
        <f>IF(R214&lt;&gt;"",LARGE($R$2:$R$441,ROWS($R$2:R214)),"")</f>
        <v/>
      </c>
      <c r="T214" s="1" t="str">
        <f>IF(R214&lt;&gt;"",INDEX($P$2:$Q$441,MATCH($S214,$R$2:$R$441,0),COLUMNS($S$2:S214)),"")</f>
        <v/>
      </c>
      <c r="U214" s="1" t="str">
        <f>IF(S214&lt;&gt;"",INDEX($P$2:$Q$441,MATCH($S214,$R$2:$R$441,0),COLUMNS($S$2:T214)),"")</f>
        <v/>
      </c>
      <c r="AE214" s="1">
        <f>Table2[[#This Row],[Year]]</f>
        <v>2010</v>
      </c>
      <c r="AF214" s="1">
        <f>Table2[[#This Row],['#]]</f>
        <v>13</v>
      </c>
      <c r="AG214" s="1" t="str">
        <f>Table2[[#This Row],[Team]]</f>
        <v>Stoke City</v>
      </c>
      <c r="AH214" s="1">
        <f>Table2[[#This Row],[Pl]]</f>
        <v>38</v>
      </c>
      <c r="AI214" s="1">
        <f>Table2[[#This Row],[W]]</f>
        <v>13</v>
      </c>
      <c r="AJ214" s="1">
        <f>Table2[[#This Row],[D]]</f>
        <v>7</v>
      </c>
      <c r="AK214" s="1">
        <f>Table2[[#This Row],[L]]</f>
        <v>18</v>
      </c>
      <c r="AL214" s="1">
        <f>Table2[[#This Row],[F]]</f>
        <v>46</v>
      </c>
      <c r="AM214" s="1">
        <f>Table2[[#This Row],[A]]</f>
        <v>48</v>
      </c>
      <c r="AN214" s="1">
        <f>Table2[[#This Row],[GD]]</f>
        <v>-2</v>
      </c>
      <c r="AO214" s="1">
        <f>Table2[[#This Row],[Pts]]</f>
        <v>46</v>
      </c>
      <c r="AP214" s="1">
        <f>Table2[[#This Row],[Column1]]</f>
        <v>13</v>
      </c>
      <c r="AR214" t="b">
        <f t="shared" si="7"/>
        <v>1</v>
      </c>
      <c r="AS214">
        <f>IF(AR214,ROWS($AR$2:AR214),"")</f>
        <v>213</v>
      </c>
      <c r="AT214">
        <f>IFERROR(SMALL($AS$2:$AS$440,ROWS($AS$2:AS214)),"")</f>
        <v>213</v>
      </c>
      <c r="AU214">
        <f>IF(AT214&lt;&gt;"",INDEX($AE$2:$AP$440,MATCH($AT214,$AS$2:$AS$440,0),COLUMNS($AT$2:AT214)),"")</f>
        <v>2010</v>
      </c>
      <c r="AV214">
        <f>IF(AU214&lt;&gt;"",INDEX($AE$2:$AP$440,MATCH($AT214,$AS$2:$AS$440,0),COLUMNS($AT$2:AU214)),"")</f>
        <v>13</v>
      </c>
      <c r="AW214" t="str">
        <f>IF(AV214&lt;&gt;"",INDEX($AE$2:$AP$440,MATCH($AT214,$AS$2:$AS$440,0),COLUMNS($AT$2:AV214)),"")</f>
        <v>Stoke City</v>
      </c>
      <c r="AX214">
        <f>IF(AW214&lt;&gt;"",INDEX($AE$2:$AP$440,MATCH($AT214,$AS$2:$AS$440,0),COLUMNS($AT$2:AW214)),"")</f>
        <v>38</v>
      </c>
      <c r="AY214">
        <f>IF(AX214&lt;&gt;"",INDEX($AE$2:$AP$440,MATCH($AT214,$AS$2:$AS$440,0),COLUMNS($AT$2:AX214)),"")</f>
        <v>13</v>
      </c>
      <c r="AZ214">
        <f>IF(AY214&lt;&gt;"",INDEX($AE$2:$AP$440,MATCH($AT214,$AS$2:$AS$440,0),COLUMNS($AT$2:AY214)),"")</f>
        <v>7</v>
      </c>
      <c r="BA214">
        <f>IF(AZ214&lt;&gt;"",INDEX($AE$2:$AP$440,MATCH($AT214,$AS$2:$AS$440,0),COLUMNS($AT$2:AZ214)),"")</f>
        <v>18</v>
      </c>
      <c r="BB214">
        <f>IF(BA214&lt;&gt;"",INDEX($AE$2:$AP$440,MATCH($AT214,$AS$2:$AS$440,0),COLUMNS($AT$2:BA214)),"")</f>
        <v>46</v>
      </c>
      <c r="BC214">
        <f>IF(BB214&lt;&gt;"",INDEX($AE$2:$AP$440,MATCH($AT214,$AS$2:$AS$440,0),COLUMNS($AT$2:BB214)),"")</f>
        <v>48</v>
      </c>
      <c r="BD214">
        <f>IF(BC214&lt;&gt;"",INDEX($AE$2:$AP$440,MATCH($AT214,$AS$2:$AS$440,0),COLUMNS($AT$2:BC214)),"")</f>
        <v>-2</v>
      </c>
      <c r="BE214">
        <f>IF(BD214&lt;&gt;"",INDEX($AE$2:$AP$440,MATCH($AT214,$AS$2:$AS$440,0),COLUMNS($AT$2:BD214)),"")</f>
        <v>46</v>
      </c>
      <c r="BF214">
        <f>IF(BE214&lt;&gt;"",INDEX($AE$2:$AP$440,MATCH($AT214,$AS$2:$AS$440,0),COLUMNS($AT$2:BE214)),"")</f>
        <v>13</v>
      </c>
    </row>
    <row r="215" spans="1:58" x14ac:dyDescent="0.25">
      <c r="A215" s="5">
        <v>2010</v>
      </c>
      <c r="B215" s="5">
        <v>14</v>
      </c>
      <c r="C215" s="6" t="s">
        <v>33</v>
      </c>
      <c r="D215" s="5">
        <v>38</v>
      </c>
      <c r="E215" s="5">
        <v>12</v>
      </c>
      <c r="F215" s="5">
        <v>10</v>
      </c>
      <c r="G215" s="5">
        <v>16</v>
      </c>
      <c r="H215" s="5">
        <v>52</v>
      </c>
      <c r="I215" s="5">
        <v>56</v>
      </c>
      <c r="J215" s="5">
        <v>-4</v>
      </c>
      <c r="K215" s="5">
        <v>46</v>
      </c>
      <c r="L215" s="5">
        <f>IF(Table2[[#This Row],['#]]=1,"Champion", IF(Table2[[#This Row],['#]]&gt;=18,"Relegated",Table2[[#This Row],['#]]))</f>
        <v>14</v>
      </c>
      <c r="N215">
        <f>IF(COUNTIF($O$2:O215,O215)=1,N214+1,N214)</f>
        <v>36</v>
      </c>
      <c r="O215" s="4" t="str">
        <f>Table2[[#This Row],[Team]]</f>
        <v>Bolton Wanderers</v>
      </c>
      <c r="P215" s="1" t="str">
        <f>IFERROR(VLOOKUP(ROWS($O$2:O215),$N$2:$O$441,2,0),"")</f>
        <v/>
      </c>
      <c r="Q215" s="1" t="str">
        <f>IF(P215&lt;&gt;"",SUMPRODUCT(--(Table2[Team]=P215)),"")</f>
        <v/>
      </c>
      <c r="R215" s="11" t="str">
        <f>IF(Q215&lt;&gt;"",Q215+ROWS($Q$2:Q215)/100,"")</f>
        <v/>
      </c>
      <c r="S215" t="str">
        <f>IF(R215&lt;&gt;"",LARGE($R$2:$R$441,ROWS($R$2:R215)),"")</f>
        <v/>
      </c>
      <c r="T215" s="1" t="str">
        <f>IF(R215&lt;&gt;"",INDEX($P$2:$Q$441,MATCH($S215,$R$2:$R$441,0),COLUMNS($S$2:S215)),"")</f>
        <v/>
      </c>
      <c r="U215" s="1" t="str">
        <f>IF(S215&lt;&gt;"",INDEX($P$2:$Q$441,MATCH($S215,$R$2:$R$441,0),COLUMNS($S$2:T215)),"")</f>
        <v/>
      </c>
      <c r="AE215" s="1">
        <f>Table2[[#This Row],[Year]]</f>
        <v>2010</v>
      </c>
      <c r="AF215" s="1">
        <f>Table2[[#This Row],['#]]</f>
        <v>14</v>
      </c>
      <c r="AG215" s="1" t="str">
        <f>Table2[[#This Row],[Team]]</f>
        <v>Bolton Wanderers</v>
      </c>
      <c r="AH215" s="1">
        <f>Table2[[#This Row],[Pl]]</f>
        <v>38</v>
      </c>
      <c r="AI215" s="1">
        <f>Table2[[#This Row],[W]]</f>
        <v>12</v>
      </c>
      <c r="AJ215" s="1">
        <f>Table2[[#This Row],[D]]</f>
        <v>10</v>
      </c>
      <c r="AK215" s="1">
        <f>Table2[[#This Row],[L]]</f>
        <v>16</v>
      </c>
      <c r="AL215" s="1">
        <f>Table2[[#This Row],[F]]</f>
        <v>52</v>
      </c>
      <c r="AM215" s="1">
        <f>Table2[[#This Row],[A]]</f>
        <v>56</v>
      </c>
      <c r="AN215" s="1">
        <f>Table2[[#This Row],[GD]]</f>
        <v>-4</v>
      </c>
      <c r="AO215" s="1">
        <f>Table2[[#This Row],[Pts]]</f>
        <v>46</v>
      </c>
      <c r="AP215" s="1">
        <f>Table2[[#This Row],[Column1]]</f>
        <v>14</v>
      </c>
      <c r="AR215" t="b">
        <f t="shared" si="7"/>
        <v>1</v>
      </c>
      <c r="AS215">
        <f>IF(AR215,ROWS($AR$2:AR215),"")</f>
        <v>214</v>
      </c>
      <c r="AT215">
        <f>IFERROR(SMALL($AS$2:$AS$440,ROWS($AS$2:AS215)),"")</f>
        <v>214</v>
      </c>
      <c r="AU215">
        <f>IF(AT215&lt;&gt;"",INDEX($AE$2:$AP$440,MATCH($AT215,$AS$2:$AS$440,0),COLUMNS($AT$2:AT215)),"")</f>
        <v>2010</v>
      </c>
      <c r="AV215">
        <f>IF(AU215&lt;&gt;"",INDEX($AE$2:$AP$440,MATCH($AT215,$AS$2:$AS$440,0),COLUMNS($AT$2:AU215)),"")</f>
        <v>14</v>
      </c>
      <c r="AW215" t="str">
        <f>IF(AV215&lt;&gt;"",INDEX($AE$2:$AP$440,MATCH($AT215,$AS$2:$AS$440,0),COLUMNS($AT$2:AV215)),"")</f>
        <v>Bolton Wanderers</v>
      </c>
      <c r="AX215">
        <f>IF(AW215&lt;&gt;"",INDEX($AE$2:$AP$440,MATCH($AT215,$AS$2:$AS$440,0),COLUMNS($AT$2:AW215)),"")</f>
        <v>38</v>
      </c>
      <c r="AY215">
        <f>IF(AX215&lt;&gt;"",INDEX($AE$2:$AP$440,MATCH($AT215,$AS$2:$AS$440,0),COLUMNS($AT$2:AX215)),"")</f>
        <v>12</v>
      </c>
      <c r="AZ215">
        <f>IF(AY215&lt;&gt;"",INDEX($AE$2:$AP$440,MATCH($AT215,$AS$2:$AS$440,0),COLUMNS($AT$2:AY215)),"")</f>
        <v>10</v>
      </c>
      <c r="BA215">
        <f>IF(AZ215&lt;&gt;"",INDEX($AE$2:$AP$440,MATCH($AT215,$AS$2:$AS$440,0),COLUMNS($AT$2:AZ215)),"")</f>
        <v>16</v>
      </c>
      <c r="BB215">
        <f>IF(BA215&lt;&gt;"",INDEX($AE$2:$AP$440,MATCH($AT215,$AS$2:$AS$440,0),COLUMNS($AT$2:BA215)),"")</f>
        <v>52</v>
      </c>
      <c r="BC215">
        <f>IF(BB215&lt;&gt;"",INDEX($AE$2:$AP$440,MATCH($AT215,$AS$2:$AS$440,0),COLUMNS($AT$2:BB215)),"")</f>
        <v>56</v>
      </c>
      <c r="BD215">
        <f>IF(BC215&lt;&gt;"",INDEX($AE$2:$AP$440,MATCH($AT215,$AS$2:$AS$440,0),COLUMNS($AT$2:BC215)),"")</f>
        <v>-4</v>
      </c>
      <c r="BE215">
        <f>IF(BD215&lt;&gt;"",INDEX($AE$2:$AP$440,MATCH($AT215,$AS$2:$AS$440,0),COLUMNS($AT$2:BD215)),"")</f>
        <v>46</v>
      </c>
      <c r="BF215">
        <f>IF(BE215&lt;&gt;"",INDEX($AE$2:$AP$440,MATCH($AT215,$AS$2:$AS$440,0),COLUMNS($AT$2:BE215)),"")</f>
        <v>14</v>
      </c>
    </row>
    <row r="216" spans="1:58" x14ac:dyDescent="0.25">
      <c r="A216" s="3">
        <v>2010</v>
      </c>
      <c r="B216" s="3">
        <v>15</v>
      </c>
      <c r="C216" s="4" t="s">
        <v>31</v>
      </c>
      <c r="D216" s="3">
        <v>38</v>
      </c>
      <c r="E216" s="3">
        <v>11</v>
      </c>
      <c r="F216" s="3">
        <v>10</v>
      </c>
      <c r="G216" s="3">
        <v>17</v>
      </c>
      <c r="H216" s="3">
        <v>46</v>
      </c>
      <c r="I216" s="3">
        <v>59</v>
      </c>
      <c r="J216" s="3">
        <v>-13</v>
      </c>
      <c r="K216" s="3">
        <v>43</v>
      </c>
      <c r="L216" s="5">
        <f>IF(Table2[[#This Row],['#]]=1,"Champion", IF(Table2[[#This Row],['#]]&gt;=18,"Relegated",Table2[[#This Row],['#]]))</f>
        <v>15</v>
      </c>
      <c r="N216">
        <f>IF(COUNTIF($O$2:O216,O216)=1,N215+1,N215)</f>
        <v>36</v>
      </c>
      <c r="O216" s="4" t="str">
        <f>Table2[[#This Row],[Team]]</f>
        <v>Blackburn Rovers</v>
      </c>
      <c r="P216" s="1" t="str">
        <f>IFERROR(VLOOKUP(ROWS($O$2:O216),$N$2:$O$441,2,0),"")</f>
        <v/>
      </c>
      <c r="Q216" s="1" t="str">
        <f>IF(P216&lt;&gt;"",SUMPRODUCT(--(Table2[Team]=P216)),"")</f>
        <v/>
      </c>
      <c r="R216" s="11" t="str">
        <f>IF(Q216&lt;&gt;"",Q216+ROWS($Q$2:Q216)/100,"")</f>
        <v/>
      </c>
      <c r="S216" t="str">
        <f>IF(R216&lt;&gt;"",LARGE($R$2:$R$441,ROWS($R$2:R216)),"")</f>
        <v/>
      </c>
      <c r="T216" s="1" t="str">
        <f>IF(R216&lt;&gt;"",INDEX($P$2:$Q$441,MATCH($S216,$R$2:$R$441,0),COLUMNS($S$2:S216)),"")</f>
        <v/>
      </c>
      <c r="U216" s="1" t="str">
        <f>IF(S216&lt;&gt;"",INDEX($P$2:$Q$441,MATCH($S216,$R$2:$R$441,0),COLUMNS($S$2:T216)),"")</f>
        <v/>
      </c>
      <c r="AE216" s="1">
        <f>Table2[[#This Row],[Year]]</f>
        <v>2010</v>
      </c>
      <c r="AF216" s="1">
        <f>Table2[[#This Row],['#]]</f>
        <v>15</v>
      </c>
      <c r="AG216" s="1" t="str">
        <f>Table2[[#This Row],[Team]]</f>
        <v>Blackburn Rovers</v>
      </c>
      <c r="AH216" s="1">
        <f>Table2[[#This Row],[Pl]]</f>
        <v>38</v>
      </c>
      <c r="AI216" s="1">
        <f>Table2[[#This Row],[W]]</f>
        <v>11</v>
      </c>
      <c r="AJ216" s="1">
        <f>Table2[[#This Row],[D]]</f>
        <v>10</v>
      </c>
      <c r="AK216" s="1">
        <f>Table2[[#This Row],[L]]</f>
        <v>17</v>
      </c>
      <c r="AL216" s="1">
        <f>Table2[[#This Row],[F]]</f>
        <v>46</v>
      </c>
      <c r="AM216" s="1">
        <f>Table2[[#This Row],[A]]</f>
        <v>59</v>
      </c>
      <c r="AN216" s="1">
        <f>Table2[[#This Row],[GD]]</f>
        <v>-13</v>
      </c>
      <c r="AO216" s="1">
        <f>Table2[[#This Row],[Pts]]</f>
        <v>43</v>
      </c>
      <c r="AP216" s="1">
        <f>Table2[[#This Row],[Column1]]</f>
        <v>15</v>
      </c>
      <c r="AR216" t="b">
        <f t="shared" si="7"/>
        <v>1</v>
      </c>
      <c r="AS216">
        <f>IF(AR216,ROWS($AR$2:AR216),"")</f>
        <v>215</v>
      </c>
      <c r="AT216">
        <f>IFERROR(SMALL($AS$2:$AS$440,ROWS($AS$2:AS216)),"")</f>
        <v>215</v>
      </c>
      <c r="AU216">
        <f>IF(AT216&lt;&gt;"",INDEX($AE$2:$AP$440,MATCH($AT216,$AS$2:$AS$440,0),COLUMNS($AT$2:AT216)),"")</f>
        <v>2010</v>
      </c>
      <c r="AV216">
        <f>IF(AU216&lt;&gt;"",INDEX($AE$2:$AP$440,MATCH($AT216,$AS$2:$AS$440,0),COLUMNS($AT$2:AU216)),"")</f>
        <v>15</v>
      </c>
      <c r="AW216" t="str">
        <f>IF(AV216&lt;&gt;"",INDEX($AE$2:$AP$440,MATCH($AT216,$AS$2:$AS$440,0),COLUMNS($AT$2:AV216)),"")</f>
        <v>Blackburn Rovers</v>
      </c>
      <c r="AX216">
        <f>IF(AW216&lt;&gt;"",INDEX($AE$2:$AP$440,MATCH($AT216,$AS$2:$AS$440,0),COLUMNS($AT$2:AW216)),"")</f>
        <v>38</v>
      </c>
      <c r="AY216">
        <f>IF(AX216&lt;&gt;"",INDEX($AE$2:$AP$440,MATCH($AT216,$AS$2:$AS$440,0),COLUMNS($AT$2:AX216)),"")</f>
        <v>11</v>
      </c>
      <c r="AZ216">
        <f>IF(AY216&lt;&gt;"",INDEX($AE$2:$AP$440,MATCH($AT216,$AS$2:$AS$440,0),COLUMNS($AT$2:AY216)),"")</f>
        <v>10</v>
      </c>
      <c r="BA216">
        <f>IF(AZ216&lt;&gt;"",INDEX($AE$2:$AP$440,MATCH($AT216,$AS$2:$AS$440,0),COLUMNS($AT$2:AZ216)),"")</f>
        <v>17</v>
      </c>
      <c r="BB216">
        <f>IF(BA216&lt;&gt;"",INDEX($AE$2:$AP$440,MATCH($AT216,$AS$2:$AS$440,0),COLUMNS($AT$2:BA216)),"")</f>
        <v>46</v>
      </c>
      <c r="BC216">
        <f>IF(BB216&lt;&gt;"",INDEX($AE$2:$AP$440,MATCH($AT216,$AS$2:$AS$440,0),COLUMNS($AT$2:BB216)),"")</f>
        <v>59</v>
      </c>
      <c r="BD216">
        <f>IF(BC216&lt;&gt;"",INDEX($AE$2:$AP$440,MATCH($AT216,$AS$2:$AS$440,0),COLUMNS($AT$2:BC216)),"")</f>
        <v>-13</v>
      </c>
      <c r="BE216">
        <f>IF(BD216&lt;&gt;"",INDEX($AE$2:$AP$440,MATCH($AT216,$AS$2:$AS$440,0),COLUMNS($AT$2:BD216)),"")</f>
        <v>43</v>
      </c>
      <c r="BF216">
        <f>IF(BE216&lt;&gt;"",INDEX($AE$2:$AP$440,MATCH($AT216,$AS$2:$AS$440,0),COLUMNS($AT$2:BE216)),"")</f>
        <v>15</v>
      </c>
    </row>
    <row r="217" spans="1:58" x14ac:dyDescent="0.25">
      <c r="A217" s="5">
        <v>2010</v>
      </c>
      <c r="B217" s="5">
        <v>16</v>
      </c>
      <c r="C217" s="6" t="s">
        <v>40</v>
      </c>
      <c r="D217" s="5">
        <v>38</v>
      </c>
      <c r="E217" s="5">
        <v>9</v>
      </c>
      <c r="F217" s="5">
        <v>15</v>
      </c>
      <c r="G217" s="5">
        <v>14</v>
      </c>
      <c r="H217" s="5">
        <v>40</v>
      </c>
      <c r="I217" s="5">
        <v>61</v>
      </c>
      <c r="J217" s="5">
        <v>-21</v>
      </c>
      <c r="K217" s="5">
        <v>42</v>
      </c>
      <c r="L217" s="5">
        <f>IF(Table2[[#This Row],['#]]=1,"Champion", IF(Table2[[#This Row],['#]]&gt;=18,"Relegated",Table2[[#This Row],['#]]))</f>
        <v>16</v>
      </c>
      <c r="N217">
        <f>IF(COUNTIF($O$2:O217,O217)=1,N216+1,N216)</f>
        <v>36</v>
      </c>
      <c r="O217" s="4" t="str">
        <f>Table2[[#This Row],[Team]]</f>
        <v>Wigan Athletic</v>
      </c>
      <c r="P217" s="1" t="str">
        <f>IFERROR(VLOOKUP(ROWS($O$2:O217),$N$2:$O$441,2,0),"")</f>
        <v/>
      </c>
      <c r="Q217" s="1" t="str">
        <f>IF(P217&lt;&gt;"",SUMPRODUCT(--(Table2[Team]=P217)),"")</f>
        <v/>
      </c>
      <c r="R217" s="11" t="str">
        <f>IF(Q217&lt;&gt;"",Q217+ROWS($Q$2:Q217)/100,"")</f>
        <v/>
      </c>
      <c r="S217" t="str">
        <f>IF(R217&lt;&gt;"",LARGE($R$2:$R$441,ROWS($R$2:R217)),"")</f>
        <v/>
      </c>
      <c r="T217" s="1" t="str">
        <f>IF(R217&lt;&gt;"",INDEX($P$2:$Q$441,MATCH($S217,$R$2:$R$441,0),COLUMNS($S$2:S217)),"")</f>
        <v/>
      </c>
      <c r="U217" s="1" t="str">
        <f>IF(S217&lt;&gt;"",INDEX($P$2:$Q$441,MATCH($S217,$R$2:$R$441,0),COLUMNS($S$2:T217)),"")</f>
        <v/>
      </c>
      <c r="AE217" s="1">
        <f>Table2[[#This Row],[Year]]</f>
        <v>2010</v>
      </c>
      <c r="AF217" s="1">
        <f>Table2[[#This Row],['#]]</f>
        <v>16</v>
      </c>
      <c r="AG217" s="1" t="str">
        <f>Table2[[#This Row],[Team]]</f>
        <v>Wigan Athletic</v>
      </c>
      <c r="AH217" s="1">
        <f>Table2[[#This Row],[Pl]]</f>
        <v>38</v>
      </c>
      <c r="AI217" s="1">
        <f>Table2[[#This Row],[W]]</f>
        <v>9</v>
      </c>
      <c r="AJ217" s="1">
        <f>Table2[[#This Row],[D]]</f>
        <v>15</v>
      </c>
      <c r="AK217" s="1">
        <f>Table2[[#This Row],[L]]</f>
        <v>14</v>
      </c>
      <c r="AL217" s="1">
        <f>Table2[[#This Row],[F]]</f>
        <v>40</v>
      </c>
      <c r="AM217" s="1">
        <f>Table2[[#This Row],[A]]</f>
        <v>61</v>
      </c>
      <c r="AN217" s="1">
        <f>Table2[[#This Row],[GD]]</f>
        <v>-21</v>
      </c>
      <c r="AO217" s="1">
        <f>Table2[[#This Row],[Pts]]</f>
        <v>42</v>
      </c>
      <c r="AP217" s="1">
        <f>Table2[[#This Row],[Column1]]</f>
        <v>16</v>
      </c>
      <c r="AR217" t="b">
        <f t="shared" si="7"/>
        <v>1</v>
      </c>
      <c r="AS217">
        <f>IF(AR217,ROWS($AR$2:AR217),"")</f>
        <v>216</v>
      </c>
      <c r="AT217">
        <f>IFERROR(SMALL($AS$2:$AS$440,ROWS($AS$2:AS217)),"")</f>
        <v>216</v>
      </c>
      <c r="AU217">
        <f>IF(AT217&lt;&gt;"",INDEX($AE$2:$AP$440,MATCH($AT217,$AS$2:$AS$440,0),COLUMNS($AT$2:AT217)),"")</f>
        <v>2010</v>
      </c>
      <c r="AV217">
        <f>IF(AU217&lt;&gt;"",INDEX($AE$2:$AP$440,MATCH($AT217,$AS$2:$AS$440,0),COLUMNS($AT$2:AU217)),"")</f>
        <v>16</v>
      </c>
      <c r="AW217" t="str">
        <f>IF(AV217&lt;&gt;"",INDEX($AE$2:$AP$440,MATCH($AT217,$AS$2:$AS$440,0),COLUMNS($AT$2:AV217)),"")</f>
        <v>Wigan Athletic</v>
      </c>
      <c r="AX217">
        <f>IF(AW217&lt;&gt;"",INDEX($AE$2:$AP$440,MATCH($AT217,$AS$2:$AS$440,0),COLUMNS($AT$2:AW217)),"")</f>
        <v>38</v>
      </c>
      <c r="AY217">
        <f>IF(AX217&lt;&gt;"",INDEX($AE$2:$AP$440,MATCH($AT217,$AS$2:$AS$440,0),COLUMNS($AT$2:AX217)),"")</f>
        <v>9</v>
      </c>
      <c r="AZ217">
        <f>IF(AY217&lt;&gt;"",INDEX($AE$2:$AP$440,MATCH($AT217,$AS$2:$AS$440,0),COLUMNS($AT$2:AY217)),"")</f>
        <v>15</v>
      </c>
      <c r="BA217">
        <f>IF(AZ217&lt;&gt;"",INDEX($AE$2:$AP$440,MATCH($AT217,$AS$2:$AS$440,0),COLUMNS($AT$2:AZ217)),"")</f>
        <v>14</v>
      </c>
      <c r="BB217">
        <f>IF(BA217&lt;&gt;"",INDEX($AE$2:$AP$440,MATCH($AT217,$AS$2:$AS$440,0),COLUMNS($AT$2:BA217)),"")</f>
        <v>40</v>
      </c>
      <c r="BC217">
        <f>IF(BB217&lt;&gt;"",INDEX($AE$2:$AP$440,MATCH($AT217,$AS$2:$AS$440,0),COLUMNS($AT$2:BB217)),"")</f>
        <v>61</v>
      </c>
      <c r="BD217">
        <f>IF(BC217&lt;&gt;"",INDEX($AE$2:$AP$440,MATCH($AT217,$AS$2:$AS$440,0),COLUMNS($AT$2:BC217)),"")</f>
        <v>-21</v>
      </c>
      <c r="BE217">
        <f>IF(BD217&lt;&gt;"",INDEX($AE$2:$AP$440,MATCH($AT217,$AS$2:$AS$440,0),COLUMNS($AT$2:BD217)),"")</f>
        <v>42</v>
      </c>
      <c r="BF217">
        <f>IF(BE217&lt;&gt;"",INDEX($AE$2:$AP$440,MATCH($AT217,$AS$2:$AS$440,0),COLUMNS($AT$2:BE217)),"")</f>
        <v>16</v>
      </c>
    </row>
    <row r="218" spans="1:58" x14ac:dyDescent="0.25">
      <c r="A218" s="3">
        <v>2010</v>
      </c>
      <c r="B218" s="3">
        <v>17</v>
      </c>
      <c r="C218" s="4" t="s">
        <v>37</v>
      </c>
      <c r="D218" s="3">
        <v>38</v>
      </c>
      <c r="E218" s="3">
        <v>11</v>
      </c>
      <c r="F218" s="3">
        <v>7</v>
      </c>
      <c r="G218" s="3">
        <v>20</v>
      </c>
      <c r="H218" s="3">
        <v>46</v>
      </c>
      <c r="I218" s="3">
        <v>66</v>
      </c>
      <c r="J218" s="3">
        <v>-20</v>
      </c>
      <c r="K218" s="3">
        <v>40</v>
      </c>
      <c r="L218" s="5">
        <f>IF(Table2[[#This Row],['#]]=1,"Champion", IF(Table2[[#This Row],['#]]&gt;=18,"Relegated",Table2[[#This Row],['#]]))</f>
        <v>17</v>
      </c>
      <c r="N218">
        <f>IF(COUNTIF($O$2:O218,O218)=1,N217+1,N217)</f>
        <v>36</v>
      </c>
      <c r="O218" s="4" t="str">
        <f>Table2[[#This Row],[Team]]</f>
        <v>Wolverhampton Wanderers</v>
      </c>
      <c r="P218" s="1" t="str">
        <f>IFERROR(VLOOKUP(ROWS($O$2:O218),$N$2:$O$441,2,0),"")</f>
        <v/>
      </c>
      <c r="Q218" s="1" t="str">
        <f>IF(P218&lt;&gt;"",SUMPRODUCT(--(Table2[Team]=P218)),"")</f>
        <v/>
      </c>
      <c r="R218" s="11" t="str">
        <f>IF(Q218&lt;&gt;"",Q218+ROWS($Q$2:Q218)/100,"")</f>
        <v/>
      </c>
      <c r="S218" t="str">
        <f>IF(R218&lt;&gt;"",LARGE($R$2:$R$441,ROWS($R$2:R218)),"")</f>
        <v/>
      </c>
      <c r="T218" s="1" t="str">
        <f>IF(R218&lt;&gt;"",INDEX($P$2:$Q$441,MATCH($S218,$R$2:$R$441,0),COLUMNS($S$2:S218)),"")</f>
        <v/>
      </c>
      <c r="U218" s="1" t="str">
        <f>IF(S218&lt;&gt;"",INDEX($P$2:$Q$441,MATCH($S218,$R$2:$R$441,0),COLUMNS($S$2:T218)),"")</f>
        <v/>
      </c>
      <c r="AE218" s="1">
        <f>Table2[[#This Row],[Year]]</f>
        <v>2010</v>
      </c>
      <c r="AF218" s="1">
        <f>Table2[[#This Row],['#]]</f>
        <v>17</v>
      </c>
      <c r="AG218" s="1" t="str">
        <f>Table2[[#This Row],[Team]]</f>
        <v>Wolverhampton Wanderers</v>
      </c>
      <c r="AH218" s="1">
        <f>Table2[[#This Row],[Pl]]</f>
        <v>38</v>
      </c>
      <c r="AI218" s="1">
        <f>Table2[[#This Row],[W]]</f>
        <v>11</v>
      </c>
      <c r="AJ218" s="1">
        <f>Table2[[#This Row],[D]]</f>
        <v>7</v>
      </c>
      <c r="AK218" s="1">
        <f>Table2[[#This Row],[L]]</f>
        <v>20</v>
      </c>
      <c r="AL218" s="1">
        <f>Table2[[#This Row],[F]]</f>
        <v>46</v>
      </c>
      <c r="AM218" s="1">
        <f>Table2[[#This Row],[A]]</f>
        <v>66</v>
      </c>
      <c r="AN218" s="1">
        <f>Table2[[#This Row],[GD]]</f>
        <v>-20</v>
      </c>
      <c r="AO218" s="1">
        <f>Table2[[#This Row],[Pts]]</f>
        <v>40</v>
      </c>
      <c r="AP218" s="1">
        <f>Table2[[#This Row],[Column1]]</f>
        <v>17</v>
      </c>
      <c r="AR218" t="b">
        <f t="shared" si="7"/>
        <v>1</v>
      </c>
      <c r="AS218">
        <f>IF(AR218,ROWS($AR$2:AR218),"")</f>
        <v>217</v>
      </c>
      <c r="AT218">
        <f>IFERROR(SMALL($AS$2:$AS$440,ROWS($AS$2:AS218)),"")</f>
        <v>217</v>
      </c>
      <c r="AU218">
        <f>IF(AT218&lt;&gt;"",INDEX($AE$2:$AP$440,MATCH($AT218,$AS$2:$AS$440,0),COLUMNS($AT$2:AT218)),"")</f>
        <v>2010</v>
      </c>
      <c r="AV218">
        <f>IF(AU218&lt;&gt;"",INDEX($AE$2:$AP$440,MATCH($AT218,$AS$2:$AS$440,0),COLUMNS($AT$2:AU218)),"")</f>
        <v>17</v>
      </c>
      <c r="AW218" t="str">
        <f>IF(AV218&lt;&gt;"",INDEX($AE$2:$AP$440,MATCH($AT218,$AS$2:$AS$440,0),COLUMNS($AT$2:AV218)),"")</f>
        <v>Wolverhampton Wanderers</v>
      </c>
      <c r="AX218">
        <f>IF(AW218&lt;&gt;"",INDEX($AE$2:$AP$440,MATCH($AT218,$AS$2:$AS$440,0),COLUMNS($AT$2:AW218)),"")</f>
        <v>38</v>
      </c>
      <c r="AY218">
        <f>IF(AX218&lt;&gt;"",INDEX($AE$2:$AP$440,MATCH($AT218,$AS$2:$AS$440,0),COLUMNS($AT$2:AX218)),"")</f>
        <v>11</v>
      </c>
      <c r="AZ218">
        <f>IF(AY218&lt;&gt;"",INDEX($AE$2:$AP$440,MATCH($AT218,$AS$2:$AS$440,0),COLUMNS($AT$2:AY218)),"")</f>
        <v>7</v>
      </c>
      <c r="BA218">
        <f>IF(AZ218&lt;&gt;"",INDEX($AE$2:$AP$440,MATCH($AT218,$AS$2:$AS$440,0),COLUMNS($AT$2:AZ218)),"")</f>
        <v>20</v>
      </c>
      <c r="BB218">
        <f>IF(BA218&lt;&gt;"",INDEX($AE$2:$AP$440,MATCH($AT218,$AS$2:$AS$440,0),COLUMNS($AT$2:BA218)),"")</f>
        <v>46</v>
      </c>
      <c r="BC218">
        <f>IF(BB218&lt;&gt;"",INDEX($AE$2:$AP$440,MATCH($AT218,$AS$2:$AS$440,0),COLUMNS($AT$2:BB218)),"")</f>
        <v>66</v>
      </c>
      <c r="BD218">
        <f>IF(BC218&lt;&gt;"",INDEX($AE$2:$AP$440,MATCH($AT218,$AS$2:$AS$440,0),COLUMNS($AT$2:BC218)),"")</f>
        <v>-20</v>
      </c>
      <c r="BE218">
        <f>IF(BD218&lt;&gt;"",INDEX($AE$2:$AP$440,MATCH($AT218,$AS$2:$AS$440,0),COLUMNS($AT$2:BD218)),"")</f>
        <v>40</v>
      </c>
      <c r="BF218">
        <f>IF(BE218&lt;&gt;"",INDEX($AE$2:$AP$440,MATCH($AT218,$AS$2:$AS$440,0),COLUMNS($AT$2:BE218)),"")</f>
        <v>17</v>
      </c>
    </row>
    <row r="219" spans="1:58" x14ac:dyDescent="0.25">
      <c r="A219" s="5">
        <v>2010</v>
      </c>
      <c r="B219" s="5">
        <v>18</v>
      </c>
      <c r="C219" s="6" t="s">
        <v>34</v>
      </c>
      <c r="D219" s="5">
        <v>38</v>
      </c>
      <c r="E219" s="5">
        <v>8</v>
      </c>
      <c r="F219" s="5">
        <v>15</v>
      </c>
      <c r="G219" s="5">
        <v>15</v>
      </c>
      <c r="H219" s="5">
        <v>37</v>
      </c>
      <c r="I219" s="5">
        <v>58</v>
      </c>
      <c r="J219" s="5">
        <v>-21</v>
      </c>
      <c r="K219" s="5">
        <v>39</v>
      </c>
      <c r="L219" s="5" t="str">
        <f>IF(Table2[[#This Row],['#]]=1,"Champion", IF(Table2[[#This Row],['#]]&gt;=18,"Relegated",Table2[[#This Row],['#]]))</f>
        <v>Relegated</v>
      </c>
      <c r="N219">
        <f>IF(COUNTIF($O$2:O219,O219)=1,N218+1,N218)</f>
        <v>36</v>
      </c>
      <c r="O219" s="4" t="str">
        <f>Table2[[#This Row],[Team]]</f>
        <v>Birmingham City</v>
      </c>
      <c r="P219" s="1" t="str">
        <f>IFERROR(VLOOKUP(ROWS($O$2:O219),$N$2:$O$441,2,0),"")</f>
        <v/>
      </c>
      <c r="Q219" s="1" t="str">
        <f>IF(P219&lt;&gt;"",SUMPRODUCT(--(Table2[Team]=P219)),"")</f>
        <v/>
      </c>
      <c r="R219" s="11" t="str">
        <f>IF(Q219&lt;&gt;"",Q219+ROWS($Q$2:Q219)/100,"")</f>
        <v/>
      </c>
      <c r="S219" t="str">
        <f>IF(R219&lt;&gt;"",LARGE($R$2:$R$441,ROWS($R$2:R219)),"")</f>
        <v/>
      </c>
      <c r="T219" s="1" t="str">
        <f>IF(R219&lt;&gt;"",INDEX($P$2:$Q$441,MATCH($S219,$R$2:$R$441,0),COLUMNS($S$2:S219)),"")</f>
        <v/>
      </c>
      <c r="U219" s="1" t="str">
        <f>IF(S219&lt;&gt;"",INDEX($P$2:$Q$441,MATCH($S219,$R$2:$R$441,0),COLUMNS($S$2:T219)),"")</f>
        <v/>
      </c>
      <c r="AE219" s="1">
        <f>Table2[[#This Row],[Year]]</f>
        <v>2010</v>
      </c>
      <c r="AF219" s="1">
        <f>Table2[[#This Row],['#]]</f>
        <v>18</v>
      </c>
      <c r="AG219" s="1" t="str">
        <f>Table2[[#This Row],[Team]]</f>
        <v>Birmingham City</v>
      </c>
      <c r="AH219" s="1">
        <f>Table2[[#This Row],[Pl]]</f>
        <v>38</v>
      </c>
      <c r="AI219" s="1">
        <f>Table2[[#This Row],[W]]</f>
        <v>8</v>
      </c>
      <c r="AJ219" s="1">
        <f>Table2[[#This Row],[D]]</f>
        <v>15</v>
      </c>
      <c r="AK219" s="1">
        <f>Table2[[#This Row],[L]]</f>
        <v>15</v>
      </c>
      <c r="AL219" s="1">
        <f>Table2[[#This Row],[F]]</f>
        <v>37</v>
      </c>
      <c r="AM219" s="1">
        <f>Table2[[#This Row],[A]]</f>
        <v>58</v>
      </c>
      <c r="AN219" s="1">
        <f>Table2[[#This Row],[GD]]</f>
        <v>-21</v>
      </c>
      <c r="AO219" s="1">
        <f>Table2[[#This Row],[Pts]]</f>
        <v>39</v>
      </c>
      <c r="AP219" s="1" t="str">
        <f>Table2[[#This Row],[Column1]]</f>
        <v>Relegated</v>
      </c>
      <c r="AR219" t="b">
        <f t="shared" si="7"/>
        <v>1</v>
      </c>
      <c r="AS219">
        <f>IF(AR219,ROWS($AR$2:AR219),"")</f>
        <v>218</v>
      </c>
      <c r="AT219">
        <f>IFERROR(SMALL($AS$2:$AS$440,ROWS($AS$2:AS219)),"")</f>
        <v>218</v>
      </c>
      <c r="AU219">
        <f>IF(AT219&lt;&gt;"",INDEX($AE$2:$AP$440,MATCH($AT219,$AS$2:$AS$440,0),COLUMNS($AT$2:AT219)),"")</f>
        <v>2010</v>
      </c>
      <c r="AV219">
        <f>IF(AU219&lt;&gt;"",INDEX($AE$2:$AP$440,MATCH($AT219,$AS$2:$AS$440,0),COLUMNS($AT$2:AU219)),"")</f>
        <v>18</v>
      </c>
      <c r="AW219" t="str">
        <f>IF(AV219&lt;&gt;"",INDEX($AE$2:$AP$440,MATCH($AT219,$AS$2:$AS$440,0),COLUMNS($AT$2:AV219)),"")</f>
        <v>Birmingham City</v>
      </c>
      <c r="AX219">
        <f>IF(AW219&lt;&gt;"",INDEX($AE$2:$AP$440,MATCH($AT219,$AS$2:$AS$440,0),COLUMNS($AT$2:AW219)),"")</f>
        <v>38</v>
      </c>
      <c r="AY219">
        <f>IF(AX219&lt;&gt;"",INDEX($AE$2:$AP$440,MATCH($AT219,$AS$2:$AS$440,0),COLUMNS($AT$2:AX219)),"")</f>
        <v>8</v>
      </c>
      <c r="AZ219">
        <f>IF(AY219&lt;&gt;"",INDEX($AE$2:$AP$440,MATCH($AT219,$AS$2:$AS$440,0),COLUMNS($AT$2:AY219)),"")</f>
        <v>15</v>
      </c>
      <c r="BA219">
        <f>IF(AZ219&lt;&gt;"",INDEX($AE$2:$AP$440,MATCH($AT219,$AS$2:$AS$440,0),COLUMNS($AT$2:AZ219)),"")</f>
        <v>15</v>
      </c>
      <c r="BB219">
        <f>IF(BA219&lt;&gt;"",INDEX($AE$2:$AP$440,MATCH($AT219,$AS$2:$AS$440,0),COLUMNS($AT$2:BA219)),"")</f>
        <v>37</v>
      </c>
      <c r="BC219">
        <f>IF(BB219&lt;&gt;"",INDEX($AE$2:$AP$440,MATCH($AT219,$AS$2:$AS$440,0),COLUMNS($AT$2:BB219)),"")</f>
        <v>58</v>
      </c>
      <c r="BD219">
        <f>IF(BC219&lt;&gt;"",INDEX($AE$2:$AP$440,MATCH($AT219,$AS$2:$AS$440,0),COLUMNS($AT$2:BC219)),"")</f>
        <v>-21</v>
      </c>
      <c r="BE219">
        <f>IF(BD219&lt;&gt;"",INDEX($AE$2:$AP$440,MATCH($AT219,$AS$2:$AS$440,0),COLUMNS($AT$2:BD219)),"")</f>
        <v>39</v>
      </c>
      <c r="BF219" t="str">
        <f>IF(BE219&lt;&gt;"",INDEX($AE$2:$AP$440,MATCH($AT219,$AS$2:$AS$440,0),COLUMNS($AT$2:BE219)),"")</f>
        <v>Relegated</v>
      </c>
    </row>
    <row r="220" spans="1:58" x14ac:dyDescent="0.25">
      <c r="A220" s="3">
        <v>2010</v>
      </c>
      <c r="B220" s="3">
        <v>19</v>
      </c>
      <c r="C220" s="4" t="s">
        <v>47</v>
      </c>
      <c r="D220" s="3">
        <v>38</v>
      </c>
      <c r="E220" s="3">
        <v>10</v>
      </c>
      <c r="F220" s="3">
        <v>9</v>
      </c>
      <c r="G220" s="3">
        <v>19</v>
      </c>
      <c r="H220" s="3">
        <v>55</v>
      </c>
      <c r="I220" s="3">
        <v>78</v>
      </c>
      <c r="J220" s="3">
        <v>-23</v>
      </c>
      <c r="K220" s="3">
        <v>39</v>
      </c>
      <c r="L220" s="5" t="str">
        <f>IF(Table2[[#This Row],['#]]=1,"Champion", IF(Table2[[#This Row],['#]]&gt;=18,"Relegated",Table2[[#This Row],['#]]))</f>
        <v>Relegated</v>
      </c>
      <c r="N220">
        <f>IF(COUNTIF($O$2:O220,O220)=1,N219+1,N219)</f>
        <v>37</v>
      </c>
      <c r="O220" s="4" t="str">
        <f>Table2[[#This Row],[Team]]</f>
        <v>Blackpool</v>
      </c>
      <c r="P220" s="1" t="str">
        <f>IFERROR(VLOOKUP(ROWS($O$2:O220),$N$2:$O$441,2,0),"")</f>
        <v/>
      </c>
      <c r="Q220" s="1" t="str">
        <f>IF(P220&lt;&gt;"",SUMPRODUCT(--(Table2[Team]=P220)),"")</f>
        <v/>
      </c>
      <c r="R220" s="11" t="str">
        <f>IF(Q220&lt;&gt;"",Q220+ROWS($Q$2:Q220)/100,"")</f>
        <v/>
      </c>
      <c r="S220" t="str">
        <f>IF(R220&lt;&gt;"",LARGE($R$2:$R$441,ROWS($R$2:R220)),"")</f>
        <v/>
      </c>
      <c r="T220" s="1" t="str">
        <f>IF(R220&lt;&gt;"",INDEX($P$2:$Q$441,MATCH($S220,$R$2:$R$441,0),COLUMNS($S$2:S220)),"")</f>
        <v/>
      </c>
      <c r="U220" s="1" t="str">
        <f>IF(S220&lt;&gt;"",INDEX($P$2:$Q$441,MATCH($S220,$R$2:$R$441,0),COLUMNS($S$2:T220)),"")</f>
        <v/>
      </c>
      <c r="AE220" s="1">
        <f>Table2[[#This Row],[Year]]</f>
        <v>2010</v>
      </c>
      <c r="AF220" s="1">
        <f>Table2[[#This Row],['#]]</f>
        <v>19</v>
      </c>
      <c r="AG220" s="1" t="str">
        <f>Table2[[#This Row],[Team]]</f>
        <v>Blackpool</v>
      </c>
      <c r="AH220" s="1">
        <f>Table2[[#This Row],[Pl]]</f>
        <v>38</v>
      </c>
      <c r="AI220" s="1">
        <f>Table2[[#This Row],[W]]</f>
        <v>10</v>
      </c>
      <c r="AJ220" s="1">
        <f>Table2[[#This Row],[D]]</f>
        <v>9</v>
      </c>
      <c r="AK220" s="1">
        <f>Table2[[#This Row],[L]]</f>
        <v>19</v>
      </c>
      <c r="AL220" s="1">
        <f>Table2[[#This Row],[F]]</f>
        <v>55</v>
      </c>
      <c r="AM220" s="1">
        <f>Table2[[#This Row],[A]]</f>
        <v>78</v>
      </c>
      <c r="AN220" s="1">
        <f>Table2[[#This Row],[GD]]</f>
        <v>-23</v>
      </c>
      <c r="AO220" s="1">
        <f>Table2[[#This Row],[Pts]]</f>
        <v>39</v>
      </c>
      <c r="AP220" s="1" t="str">
        <f>Table2[[#This Row],[Column1]]</f>
        <v>Relegated</v>
      </c>
      <c r="AR220" t="b">
        <f t="shared" si="7"/>
        <v>1</v>
      </c>
      <c r="AS220">
        <f>IF(AR220,ROWS($AR$2:AR220),"")</f>
        <v>219</v>
      </c>
      <c r="AT220">
        <f>IFERROR(SMALL($AS$2:$AS$440,ROWS($AS$2:AS220)),"")</f>
        <v>219</v>
      </c>
      <c r="AU220">
        <f>IF(AT220&lt;&gt;"",INDEX($AE$2:$AP$440,MATCH($AT220,$AS$2:$AS$440,0),COLUMNS($AT$2:AT220)),"")</f>
        <v>2010</v>
      </c>
      <c r="AV220">
        <f>IF(AU220&lt;&gt;"",INDEX($AE$2:$AP$440,MATCH($AT220,$AS$2:$AS$440,0),COLUMNS($AT$2:AU220)),"")</f>
        <v>19</v>
      </c>
      <c r="AW220" t="str">
        <f>IF(AV220&lt;&gt;"",INDEX($AE$2:$AP$440,MATCH($AT220,$AS$2:$AS$440,0),COLUMNS($AT$2:AV220)),"")</f>
        <v>Blackpool</v>
      </c>
      <c r="AX220">
        <f>IF(AW220&lt;&gt;"",INDEX($AE$2:$AP$440,MATCH($AT220,$AS$2:$AS$440,0),COLUMNS($AT$2:AW220)),"")</f>
        <v>38</v>
      </c>
      <c r="AY220">
        <f>IF(AX220&lt;&gt;"",INDEX($AE$2:$AP$440,MATCH($AT220,$AS$2:$AS$440,0),COLUMNS($AT$2:AX220)),"")</f>
        <v>10</v>
      </c>
      <c r="AZ220">
        <f>IF(AY220&lt;&gt;"",INDEX($AE$2:$AP$440,MATCH($AT220,$AS$2:$AS$440,0),COLUMNS($AT$2:AY220)),"")</f>
        <v>9</v>
      </c>
      <c r="BA220">
        <f>IF(AZ220&lt;&gt;"",INDEX($AE$2:$AP$440,MATCH($AT220,$AS$2:$AS$440,0),COLUMNS($AT$2:AZ220)),"")</f>
        <v>19</v>
      </c>
      <c r="BB220">
        <f>IF(BA220&lt;&gt;"",INDEX($AE$2:$AP$440,MATCH($AT220,$AS$2:$AS$440,0),COLUMNS($AT$2:BA220)),"")</f>
        <v>55</v>
      </c>
      <c r="BC220">
        <f>IF(BB220&lt;&gt;"",INDEX($AE$2:$AP$440,MATCH($AT220,$AS$2:$AS$440,0),COLUMNS($AT$2:BB220)),"")</f>
        <v>78</v>
      </c>
      <c r="BD220">
        <f>IF(BC220&lt;&gt;"",INDEX($AE$2:$AP$440,MATCH($AT220,$AS$2:$AS$440,0),COLUMNS($AT$2:BC220)),"")</f>
        <v>-23</v>
      </c>
      <c r="BE220">
        <f>IF(BD220&lt;&gt;"",INDEX($AE$2:$AP$440,MATCH($AT220,$AS$2:$AS$440,0),COLUMNS($AT$2:BD220)),"")</f>
        <v>39</v>
      </c>
      <c r="BF220" t="str">
        <f>IF(BE220&lt;&gt;"",INDEX($AE$2:$AP$440,MATCH($AT220,$AS$2:$AS$440,0),COLUMNS($AT$2:BE220)),"")</f>
        <v>Relegated</v>
      </c>
    </row>
    <row r="221" spans="1:58" x14ac:dyDescent="0.25">
      <c r="A221" s="5">
        <v>2010</v>
      </c>
      <c r="B221" s="5">
        <v>20</v>
      </c>
      <c r="C221" s="6" t="s">
        <v>25</v>
      </c>
      <c r="D221" s="5">
        <v>38</v>
      </c>
      <c r="E221" s="5">
        <v>7</v>
      </c>
      <c r="F221" s="5">
        <v>12</v>
      </c>
      <c r="G221" s="5">
        <v>19</v>
      </c>
      <c r="H221" s="5">
        <v>43</v>
      </c>
      <c r="I221" s="5">
        <v>70</v>
      </c>
      <c r="J221" s="5">
        <v>-27</v>
      </c>
      <c r="K221" s="5">
        <v>33</v>
      </c>
      <c r="L221" s="5" t="str">
        <f>IF(Table2[[#This Row],['#]]=1,"Champion", IF(Table2[[#This Row],['#]]&gt;=18,"Relegated",Table2[[#This Row],['#]]))</f>
        <v>Relegated</v>
      </c>
      <c r="N221">
        <f>IF(COUNTIF($O$2:O221,O221)=1,N220+1,N220)</f>
        <v>37</v>
      </c>
      <c r="O221" s="4" t="str">
        <f>Table2[[#This Row],[Team]]</f>
        <v>West Ham United</v>
      </c>
      <c r="P221" s="1" t="str">
        <f>IFERROR(VLOOKUP(ROWS($O$2:O221),$N$2:$O$441,2,0),"")</f>
        <v/>
      </c>
      <c r="Q221" s="1" t="str">
        <f>IF(P221&lt;&gt;"",SUMPRODUCT(--(Table2[Team]=P221)),"")</f>
        <v/>
      </c>
      <c r="R221" s="11" t="str">
        <f>IF(Q221&lt;&gt;"",Q221+ROWS($Q$2:Q221)/100,"")</f>
        <v/>
      </c>
      <c r="S221" t="str">
        <f>IF(R221&lt;&gt;"",LARGE($R$2:$R$441,ROWS($R$2:R221)),"")</f>
        <v/>
      </c>
      <c r="T221" s="1" t="str">
        <f>IF(R221&lt;&gt;"",INDEX($P$2:$Q$441,MATCH($S221,$R$2:$R$441,0),COLUMNS($S$2:S221)),"")</f>
        <v/>
      </c>
      <c r="U221" s="1" t="str">
        <f>IF(S221&lt;&gt;"",INDEX($P$2:$Q$441,MATCH($S221,$R$2:$R$441,0),COLUMNS($S$2:T221)),"")</f>
        <v/>
      </c>
      <c r="AE221" s="1">
        <f>Table2[[#This Row],[Year]]</f>
        <v>2010</v>
      </c>
      <c r="AF221" s="1">
        <f>Table2[[#This Row],['#]]</f>
        <v>20</v>
      </c>
      <c r="AG221" s="1" t="str">
        <f>Table2[[#This Row],[Team]]</f>
        <v>West Ham United</v>
      </c>
      <c r="AH221" s="1">
        <f>Table2[[#This Row],[Pl]]</f>
        <v>38</v>
      </c>
      <c r="AI221" s="1">
        <f>Table2[[#This Row],[W]]</f>
        <v>7</v>
      </c>
      <c r="AJ221" s="1">
        <f>Table2[[#This Row],[D]]</f>
        <v>12</v>
      </c>
      <c r="AK221" s="1">
        <f>Table2[[#This Row],[L]]</f>
        <v>19</v>
      </c>
      <c r="AL221" s="1">
        <f>Table2[[#This Row],[F]]</f>
        <v>43</v>
      </c>
      <c r="AM221" s="1">
        <f>Table2[[#This Row],[A]]</f>
        <v>70</v>
      </c>
      <c r="AN221" s="1">
        <f>Table2[[#This Row],[GD]]</f>
        <v>-27</v>
      </c>
      <c r="AO221" s="1">
        <f>Table2[[#This Row],[Pts]]</f>
        <v>33</v>
      </c>
      <c r="AP221" s="1" t="str">
        <f>Table2[[#This Row],[Column1]]</f>
        <v>Relegated</v>
      </c>
      <c r="AR221" t="b">
        <f t="shared" si="7"/>
        <v>1</v>
      </c>
      <c r="AS221">
        <f>IF(AR221,ROWS($AR$2:AR221),"")</f>
        <v>220</v>
      </c>
      <c r="AT221">
        <f>IFERROR(SMALL($AS$2:$AS$440,ROWS($AS$2:AS221)),"")</f>
        <v>220</v>
      </c>
      <c r="AU221">
        <f>IF(AT221&lt;&gt;"",INDEX($AE$2:$AP$440,MATCH($AT221,$AS$2:$AS$440,0),COLUMNS($AT$2:AT221)),"")</f>
        <v>2010</v>
      </c>
      <c r="AV221">
        <f>IF(AU221&lt;&gt;"",INDEX($AE$2:$AP$440,MATCH($AT221,$AS$2:$AS$440,0),COLUMNS($AT$2:AU221)),"")</f>
        <v>20</v>
      </c>
      <c r="AW221" t="str">
        <f>IF(AV221&lt;&gt;"",INDEX($AE$2:$AP$440,MATCH($AT221,$AS$2:$AS$440,0),COLUMNS($AT$2:AV221)),"")</f>
        <v>West Ham United</v>
      </c>
      <c r="AX221">
        <f>IF(AW221&lt;&gt;"",INDEX($AE$2:$AP$440,MATCH($AT221,$AS$2:$AS$440,0),COLUMNS($AT$2:AW221)),"")</f>
        <v>38</v>
      </c>
      <c r="AY221">
        <f>IF(AX221&lt;&gt;"",INDEX($AE$2:$AP$440,MATCH($AT221,$AS$2:$AS$440,0),COLUMNS($AT$2:AX221)),"")</f>
        <v>7</v>
      </c>
      <c r="AZ221">
        <f>IF(AY221&lt;&gt;"",INDEX($AE$2:$AP$440,MATCH($AT221,$AS$2:$AS$440,0),COLUMNS($AT$2:AY221)),"")</f>
        <v>12</v>
      </c>
      <c r="BA221">
        <f>IF(AZ221&lt;&gt;"",INDEX($AE$2:$AP$440,MATCH($AT221,$AS$2:$AS$440,0),COLUMNS($AT$2:AZ221)),"")</f>
        <v>19</v>
      </c>
      <c r="BB221">
        <f>IF(BA221&lt;&gt;"",INDEX($AE$2:$AP$440,MATCH($AT221,$AS$2:$AS$440,0),COLUMNS($AT$2:BA221)),"")</f>
        <v>43</v>
      </c>
      <c r="BC221">
        <f>IF(BB221&lt;&gt;"",INDEX($AE$2:$AP$440,MATCH($AT221,$AS$2:$AS$440,0),COLUMNS($AT$2:BB221)),"")</f>
        <v>70</v>
      </c>
      <c r="BD221">
        <f>IF(BC221&lt;&gt;"",INDEX($AE$2:$AP$440,MATCH($AT221,$AS$2:$AS$440,0),COLUMNS($AT$2:BC221)),"")</f>
        <v>-27</v>
      </c>
      <c r="BE221">
        <f>IF(BD221&lt;&gt;"",INDEX($AE$2:$AP$440,MATCH($AT221,$AS$2:$AS$440,0),COLUMNS($AT$2:BD221)),"")</f>
        <v>33</v>
      </c>
      <c r="BF221" t="str">
        <f>IF(BE221&lt;&gt;"",INDEX($AE$2:$AP$440,MATCH($AT221,$AS$2:$AS$440,0),COLUMNS($AT$2:BE221)),"")</f>
        <v>Relegated</v>
      </c>
    </row>
    <row r="222" spans="1:58" x14ac:dyDescent="0.25">
      <c r="A222" s="3">
        <v>2011</v>
      </c>
      <c r="B222" s="3">
        <v>1</v>
      </c>
      <c r="C222" s="4" t="s">
        <v>28</v>
      </c>
      <c r="D222" s="3">
        <v>38</v>
      </c>
      <c r="E222" s="3">
        <v>28</v>
      </c>
      <c r="F222" s="3">
        <v>5</v>
      </c>
      <c r="G222" s="3">
        <v>5</v>
      </c>
      <c r="H222" s="3">
        <v>93</v>
      </c>
      <c r="I222" s="3">
        <v>29</v>
      </c>
      <c r="J222" s="3">
        <v>64</v>
      </c>
      <c r="K222" s="3">
        <v>89</v>
      </c>
      <c r="L222" s="5" t="str">
        <f>IF(Table2[[#This Row],['#]]=1,"Champion", IF(Table2[[#This Row],['#]]&gt;=18,"Relegated",Table2[[#This Row],['#]]))</f>
        <v>Champion</v>
      </c>
      <c r="N222">
        <f>IF(COUNTIF($O$2:O222,O222)=1,N221+1,N221)</f>
        <v>37</v>
      </c>
      <c r="O222" s="4" t="str">
        <f>Table2[[#This Row],[Team]]</f>
        <v>Manchester City</v>
      </c>
      <c r="P222" s="1" t="str">
        <f>IFERROR(VLOOKUP(ROWS($O$2:O222),$N$2:$O$441,2,0),"")</f>
        <v/>
      </c>
      <c r="Q222" s="1" t="str">
        <f>IF(P222&lt;&gt;"",SUMPRODUCT(--(Table2[Team]=P222)),"")</f>
        <v/>
      </c>
      <c r="R222" s="11" t="str">
        <f>IF(Q222&lt;&gt;"",Q222+ROWS($Q$2:Q222)/100,"")</f>
        <v/>
      </c>
      <c r="S222" t="str">
        <f>IF(R222&lt;&gt;"",LARGE($R$2:$R$441,ROWS($R$2:R222)),"")</f>
        <v/>
      </c>
      <c r="T222" s="1" t="str">
        <f>IF(R222&lt;&gt;"",INDEX($P$2:$Q$441,MATCH($S222,$R$2:$R$441,0),COLUMNS($S$2:S222)),"")</f>
        <v/>
      </c>
      <c r="U222" s="1" t="str">
        <f>IF(S222&lt;&gt;"",INDEX($P$2:$Q$441,MATCH($S222,$R$2:$R$441,0),COLUMNS($S$2:T222)),"")</f>
        <v/>
      </c>
      <c r="AE222" s="1">
        <f>Table2[[#This Row],[Year]]</f>
        <v>2011</v>
      </c>
      <c r="AF222" s="1">
        <f>Table2[[#This Row],['#]]</f>
        <v>1</v>
      </c>
      <c r="AG222" s="1" t="str">
        <f>Table2[[#This Row],[Team]]</f>
        <v>Manchester City</v>
      </c>
      <c r="AH222" s="1">
        <f>Table2[[#This Row],[Pl]]</f>
        <v>38</v>
      </c>
      <c r="AI222" s="1">
        <f>Table2[[#This Row],[W]]</f>
        <v>28</v>
      </c>
      <c r="AJ222" s="1">
        <f>Table2[[#This Row],[D]]</f>
        <v>5</v>
      </c>
      <c r="AK222" s="1">
        <f>Table2[[#This Row],[L]]</f>
        <v>5</v>
      </c>
      <c r="AL222" s="1">
        <f>Table2[[#This Row],[F]]</f>
        <v>93</v>
      </c>
      <c r="AM222" s="1">
        <f>Table2[[#This Row],[A]]</f>
        <v>29</v>
      </c>
      <c r="AN222" s="1">
        <f>Table2[[#This Row],[GD]]</f>
        <v>64</v>
      </c>
      <c r="AO222" s="1">
        <f>Table2[[#This Row],[Pts]]</f>
        <v>89</v>
      </c>
      <c r="AP222" s="1" t="str">
        <f>Table2[[#This Row],[Column1]]</f>
        <v>Champion</v>
      </c>
      <c r="AR222" t="b">
        <f t="shared" si="7"/>
        <v>1</v>
      </c>
      <c r="AS222">
        <f>IF(AR222,ROWS($AR$2:AR222),"")</f>
        <v>221</v>
      </c>
      <c r="AT222">
        <f>IFERROR(SMALL($AS$2:$AS$440,ROWS($AS$2:AS222)),"")</f>
        <v>221</v>
      </c>
      <c r="AU222">
        <f>IF(AT222&lt;&gt;"",INDEX($AE$2:$AP$440,MATCH($AT222,$AS$2:$AS$440,0),COLUMNS($AT$2:AT222)),"")</f>
        <v>2011</v>
      </c>
      <c r="AV222">
        <f>IF(AU222&lt;&gt;"",INDEX($AE$2:$AP$440,MATCH($AT222,$AS$2:$AS$440,0),COLUMNS($AT$2:AU222)),"")</f>
        <v>1</v>
      </c>
      <c r="AW222" t="str">
        <f>IF(AV222&lt;&gt;"",INDEX($AE$2:$AP$440,MATCH($AT222,$AS$2:$AS$440,0),COLUMNS($AT$2:AV222)),"")</f>
        <v>Manchester City</v>
      </c>
      <c r="AX222">
        <f>IF(AW222&lt;&gt;"",INDEX($AE$2:$AP$440,MATCH($AT222,$AS$2:$AS$440,0),COLUMNS($AT$2:AW222)),"")</f>
        <v>38</v>
      </c>
      <c r="AY222">
        <f>IF(AX222&lt;&gt;"",INDEX($AE$2:$AP$440,MATCH($AT222,$AS$2:$AS$440,0),COLUMNS($AT$2:AX222)),"")</f>
        <v>28</v>
      </c>
      <c r="AZ222">
        <f>IF(AY222&lt;&gt;"",INDEX($AE$2:$AP$440,MATCH($AT222,$AS$2:$AS$440,0),COLUMNS($AT$2:AY222)),"")</f>
        <v>5</v>
      </c>
      <c r="BA222">
        <f>IF(AZ222&lt;&gt;"",INDEX($AE$2:$AP$440,MATCH($AT222,$AS$2:$AS$440,0),COLUMNS($AT$2:AZ222)),"")</f>
        <v>5</v>
      </c>
      <c r="BB222">
        <f>IF(BA222&lt;&gt;"",INDEX($AE$2:$AP$440,MATCH($AT222,$AS$2:$AS$440,0),COLUMNS($AT$2:BA222)),"")</f>
        <v>93</v>
      </c>
      <c r="BC222">
        <f>IF(BB222&lt;&gt;"",INDEX($AE$2:$AP$440,MATCH($AT222,$AS$2:$AS$440,0),COLUMNS($AT$2:BB222)),"")</f>
        <v>29</v>
      </c>
      <c r="BD222">
        <f>IF(BC222&lt;&gt;"",INDEX($AE$2:$AP$440,MATCH($AT222,$AS$2:$AS$440,0),COLUMNS($AT$2:BC222)),"")</f>
        <v>64</v>
      </c>
      <c r="BE222">
        <f>IF(BD222&lt;&gt;"",INDEX($AE$2:$AP$440,MATCH($AT222,$AS$2:$AS$440,0),COLUMNS($AT$2:BD222)),"")</f>
        <v>89</v>
      </c>
      <c r="BF222" t="str">
        <f>IF(BE222&lt;&gt;"",INDEX($AE$2:$AP$440,MATCH($AT222,$AS$2:$AS$440,0),COLUMNS($AT$2:BE222)),"")</f>
        <v>Champion</v>
      </c>
    </row>
    <row r="223" spans="1:58" x14ac:dyDescent="0.25">
      <c r="A223" s="5">
        <v>2011</v>
      </c>
      <c r="B223" s="5">
        <v>2</v>
      </c>
      <c r="C223" s="6" t="s">
        <v>11</v>
      </c>
      <c r="D223" s="5">
        <v>38</v>
      </c>
      <c r="E223" s="5">
        <v>28</v>
      </c>
      <c r="F223" s="5">
        <v>5</v>
      </c>
      <c r="G223" s="5">
        <v>5</v>
      </c>
      <c r="H223" s="5">
        <v>89</v>
      </c>
      <c r="I223" s="5">
        <v>33</v>
      </c>
      <c r="J223" s="5">
        <v>56</v>
      </c>
      <c r="K223" s="5">
        <v>89</v>
      </c>
      <c r="L223" s="5">
        <f>IF(Table2[[#This Row],['#]]=1,"Champion", IF(Table2[[#This Row],['#]]&gt;=18,"Relegated",Table2[[#This Row],['#]]))</f>
        <v>2</v>
      </c>
      <c r="N223">
        <f>IF(COUNTIF($O$2:O223,O223)=1,N222+1,N222)</f>
        <v>37</v>
      </c>
      <c r="O223" s="4" t="str">
        <f>Table2[[#This Row],[Team]]</f>
        <v>Manchester United</v>
      </c>
      <c r="P223" s="1" t="str">
        <f>IFERROR(VLOOKUP(ROWS($O$2:O223),$N$2:$O$441,2,0),"")</f>
        <v/>
      </c>
      <c r="Q223" s="1" t="str">
        <f>IF(P223&lt;&gt;"",SUMPRODUCT(--(Table2[Team]=P223)),"")</f>
        <v/>
      </c>
      <c r="R223" s="11" t="str">
        <f>IF(Q223&lt;&gt;"",Q223+ROWS($Q$2:Q223)/100,"")</f>
        <v/>
      </c>
      <c r="S223" t="str">
        <f>IF(R223&lt;&gt;"",LARGE($R$2:$R$441,ROWS($R$2:R223)),"")</f>
        <v/>
      </c>
      <c r="T223" s="1" t="str">
        <f>IF(R223&lt;&gt;"",INDEX($P$2:$Q$441,MATCH($S223,$R$2:$R$441,0),COLUMNS($S$2:S223)),"")</f>
        <v/>
      </c>
      <c r="U223" s="1" t="str">
        <f>IF(S223&lt;&gt;"",INDEX($P$2:$Q$441,MATCH($S223,$R$2:$R$441,0),COLUMNS($S$2:T223)),"")</f>
        <v/>
      </c>
      <c r="AE223" s="1">
        <f>Table2[[#This Row],[Year]]</f>
        <v>2011</v>
      </c>
      <c r="AF223" s="1">
        <f>Table2[[#This Row],['#]]</f>
        <v>2</v>
      </c>
      <c r="AG223" s="1" t="str">
        <f>Table2[[#This Row],[Team]]</f>
        <v>Manchester United</v>
      </c>
      <c r="AH223" s="1">
        <f>Table2[[#This Row],[Pl]]</f>
        <v>38</v>
      </c>
      <c r="AI223" s="1">
        <f>Table2[[#This Row],[W]]</f>
        <v>28</v>
      </c>
      <c r="AJ223" s="1">
        <f>Table2[[#This Row],[D]]</f>
        <v>5</v>
      </c>
      <c r="AK223" s="1">
        <f>Table2[[#This Row],[L]]</f>
        <v>5</v>
      </c>
      <c r="AL223" s="1">
        <f>Table2[[#This Row],[F]]</f>
        <v>89</v>
      </c>
      <c r="AM223" s="1">
        <f>Table2[[#This Row],[A]]</f>
        <v>33</v>
      </c>
      <c r="AN223" s="1">
        <f>Table2[[#This Row],[GD]]</f>
        <v>56</v>
      </c>
      <c r="AO223" s="1">
        <f>Table2[[#This Row],[Pts]]</f>
        <v>89</v>
      </c>
      <c r="AP223" s="1">
        <f>Table2[[#This Row],[Column1]]</f>
        <v>2</v>
      </c>
      <c r="AR223" t="b">
        <f t="shared" si="7"/>
        <v>1</v>
      </c>
      <c r="AS223">
        <f>IF(AR223,ROWS($AR$2:AR223),"")</f>
        <v>222</v>
      </c>
      <c r="AT223">
        <f>IFERROR(SMALL($AS$2:$AS$440,ROWS($AS$2:AS223)),"")</f>
        <v>222</v>
      </c>
      <c r="AU223">
        <f>IF(AT223&lt;&gt;"",INDEX($AE$2:$AP$440,MATCH($AT223,$AS$2:$AS$440,0),COLUMNS($AT$2:AT223)),"")</f>
        <v>2011</v>
      </c>
      <c r="AV223">
        <f>IF(AU223&lt;&gt;"",INDEX($AE$2:$AP$440,MATCH($AT223,$AS$2:$AS$440,0),COLUMNS($AT$2:AU223)),"")</f>
        <v>2</v>
      </c>
      <c r="AW223" t="str">
        <f>IF(AV223&lt;&gt;"",INDEX($AE$2:$AP$440,MATCH($AT223,$AS$2:$AS$440,0),COLUMNS($AT$2:AV223)),"")</f>
        <v>Manchester United</v>
      </c>
      <c r="AX223">
        <f>IF(AW223&lt;&gt;"",INDEX($AE$2:$AP$440,MATCH($AT223,$AS$2:$AS$440,0),COLUMNS($AT$2:AW223)),"")</f>
        <v>38</v>
      </c>
      <c r="AY223">
        <f>IF(AX223&lt;&gt;"",INDEX($AE$2:$AP$440,MATCH($AT223,$AS$2:$AS$440,0),COLUMNS($AT$2:AX223)),"")</f>
        <v>28</v>
      </c>
      <c r="AZ223">
        <f>IF(AY223&lt;&gt;"",INDEX($AE$2:$AP$440,MATCH($AT223,$AS$2:$AS$440,0),COLUMNS($AT$2:AY223)),"")</f>
        <v>5</v>
      </c>
      <c r="BA223">
        <f>IF(AZ223&lt;&gt;"",INDEX($AE$2:$AP$440,MATCH($AT223,$AS$2:$AS$440,0),COLUMNS($AT$2:AZ223)),"")</f>
        <v>5</v>
      </c>
      <c r="BB223">
        <f>IF(BA223&lt;&gt;"",INDEX($AE$2:$AP$440,MATCH($AT223,$AS$2:$AS$440,0),COLUMNS($AT$2:BA223)),"")</f>
        <v>89</v>
      </c>
      <c r="BC223">
        <f>IF(BB223&lt;&gt;"",INDEX($AE$2:$AP$440,MATCH($AT223,$AS$2:$AS$440,0),COLUMNS($AT$2:BB223)),"")</f>
        <v>33</v>
      </c>
      <c r="BD223">
        <f>IF(BC223&lt;&gt;"",INDEX($AE$2:$AP$440,MATCH($AT223,$AS$2:$AS$440,0),COLUMNS($AT$2:BC223)),"")</f>
        <v>56</v>
      </c>
      <c r="BE223">
        <f>IF(BD223&lt;&gt;"",INDEX($AE$2:$AP$440,MATCH($AT223,$AS$2:$AS$440,0),COLUMNS($AT$2:BD223)),"")</f>
        <v>89</v>
      </c>
      <c r="BF223">
        <f>IF(BE223&lt;&gt;"",INDEX($AE$2:$AP$440,MATCH($AT223,$AS$2:$AS$440,0),COLUMNS($AT$2:BE223)),"")</f>
        <v>2</v>
      </c>
    </row>
    <row r="224" spans="1:58" x14ac:dyDescent="0.25">
      <c r="A224" s="3">
        <v>2011</v>
      </c>
      <c r="B224" s="3">
        <v>3</v>
      </c>
      <c r="C224" s="6" t="s">
        <v>12</v>
      </c>
      <c r="D224" s="3">
        <v>38</v>
      </c>
      <c r="E224" s="3">
        <v>21</v>
      </c>
      <c r="F224" s="3">
        <v>7</v>
      </c>
      <c r="G224" s="3">
        <v>10</v>
      </c>
      <c r="H224" s="3">
        <v>74</v>
      </c>
      <c r="I224" s="3">
        <v>49</v>
      </c>
      <c r="J224" s="3">
        <v>25</v>
      </c>
      <c r="K224" s="3">
        <v>70</v>
      </c>
      <c r="L224" s="5">
        <f>IF(Table2[[#This Row],['#]]=1,"Champion", IF(Table2[[#This Row],['#]]&gt;=18,"Relegated",Table2[[#This Row],['#]]))</f>
        <v>3</v>
      </c>
      <c r="N224">
        <f>IF(COUNTIF($O$2:O224,O224)=1,N223+1,N223)</f>
        <v>37</v>
      </c>
      <c r="O224" s="4" t="str">
        <f>Table2[[#This Row],[Team]]</f>
        <v>Arsenal</v>
      </c>
      <c r="P224" s="1" t="str">
        <f>IFERROR(VLOOKUP(ROWS($O$2:O224),$N$2:$O$441,2,0),"")</f>
        <v/>
      </c>
      <c r="Q224" s="1" t="str">
        <f>IF(P224&lt;&gt;"",SUMPRODUCT(--(Table2[Team]=P224)),"")</f>
        <v/>
      </c>
      <c r="R224" s="11" t="str">
        <f>IF(Q224&lt;&gt;"",Q224+ROWS($Q$2:Q224)/100,"")</f>
        <v/>
      </c>
      <c r="S224" t="str">
        <f>IF(R224&lt;&gt;"",LARGE($R$2:$R$441,ROWS($R$2:R224)),"")</f>
        <v/>
      </c>
      <c r="T224" s="1" t="str">
        <f>IF(R224&lt;&gt;"",INDEX($P$2:$Q$441,MATCH($S224,$R$2:$R$441,0),COLUMNS($S$2:S224)),"")</f>
        <v/>
      </c>
      <c r="U224" s="1" t="str">
        <f>IF(S224&lt;&gt;"",INDEX($P$2:$Q$441,MATCH($S224,$R$2:$R$441,0),COLUMNS($S$2:T224)),"")</f>
        <v/>
      </c>
      <c r="AE224" s="1">
        <f>Table2[[#This Row],[Year]]</f>
        <v>2011</v>
      </c>
      <c r="AF224" s="1">
        <f>Table2[[#This Row],['#]]</f>
        <v>3</v>
      </c>
      <c r="AG224" s="1" t="str">
        <f>Table2[[#This Row],[Team]]</f>
        <v>Arsenal</v>
      </c>
      <c r="AH224" s="1">
        <f>Table2[[#This Row],[Pl]]</f>
        <v>38</v>
      </c>
      <c r="AI224" s="1">
        <f>Table2[[#This Row],[W]]</f>
        <v>21</v>
      </c>
      <c r="AJ224" s="1">
        <f>Table2[[#This Row],[D]]</f>
        <v>7</v>
      </c>
      <c r="AK224" s="1">
        <f>Table2[[#This Row],[L]]</f>
        <v>10</v>
      </c>
      <c r="AL224" s="1">
        <f>Table2[[#This Row],[F]]</f>
        <v>74</v>
      </c>
      <c r="AM224" s="1">
        <f>Table2[[#This Row],[A]]</f>
        <v>49</v>
      </c>
      <c r="AN224" s="1">
        <f>Table2[[#This Row],[GD]]</f>
        <v>25</v>
      </c>
      <c r="AO224" s="1">
        <f>Table2[[#This Row],[Pts]]</f>
        <v>70</v>
      </c>
      <c r="AP224" s="1">
        <f>Table2[[#This Row],[Column1]]</f>
        <v>3</v>
      </c>
      <c r="AR224" t="b">
        <f t="shared" si="7"/>
        <v>1</v>
      </c>
      <c r="AS224">
        <f>IF(AR224,ROWS($AR$2:AR224),"")</f>
        <v>223</v>
      </c>
      <c r="AT224">
        <f>IFERROR(SMALL($AS$2:$AS$440,ROWS($AS$2:AS224)),"")</f>
        <v>223</v>
      </c>
      <c r="AU224">
        <f>IF(AT224&lt;&gt;"",INDEX($AE$2:$AP$440,MATCH($AT224,$AS$2:$AS$440,0),COLUMNS($AT$2:AT224)),"")</f>
        <v>2011</v>
      </c>
      <c r="AV224">
        <f>IF(AU224&lt;&gt;"",INDEX($AE$2:$AP$440,MATCH($AT224,$AS$2:$AS$440,0),COLUMNS($AT$2:AU224)),"")</f>
        <v>3</v>
      </c>
      <c r="AW224" t="str">
        <f>IF(AV224&lt;&gt;"",INDEX($AE$2:$AP$440,MATCH($AT224,$AS$2:$AS$440,0),COLUMNS($AT$2:AV224)),"")</f>
        <v>Arsenal</v>
      </c>
      <c r="AX224">
        <f>IF(AW224&lt;&gt;"",INDEX($AE$2:$AP$440,MATCH($AT224,$AS$2:$AS$440,0),COLUMNS($AT$2:AW224)),"")</f>
        <v>38</v>
      </c>
      <c r="AY224">
        <f>IF(AX224&lt;&gt;"",INDEX($AE$2:$AP$440,MATCH($AT224,$AS$2:$AS$440,0),COLUMNS($AT$2:AX224)),"")</f>
        <v>21</v>
      </c>
      <c r="AZ224">
        <f>IF(AY224&lt;&gt;"",INDEX($AE$2:$AP$440,MATCH($AT224,$AS$2:$AS$440,0),COLUMNS($AT$2:AY224)),"")</f>
        <v>7</v>
      </c>
      <c r="BA224">
        <f>IF(AZ224&lt;&gt;"",INDEX($AE$2:$AP$440,MATCH($AT224,$AS$2:$AS$440,0),COLUMNS($AT$2:AZ224)),"")</f>
        <v>10</v>
      </c>
      <c r="BB224">
        <f>IF(BA224&lt;&gt;"",INDEX($AE$2:$AP$440,MATCH($AT224,$AS$2:$AS$440,0),COLUMNS($AT$2:BA224)),"")</f>
        <v>74</v>
      </c>
      <c r="BC224">
        <f>IF(BB224&lt;&gt;"",INDEX($AE$2:$AP$440,MATCH($AT224,$AS$2:$AS$440,0),COLUMNS($AT$2:BB224)),"")</f>
        <v>49</v>
      </c>
      <c r="BD224">
        <f>IF(BC224&lt;&gt;"",INDEX($AE$2:$AP$440,MATCH($AT224,$AS$2:$AS$440,0),COLUMNS($AT$2:BC224)),"")</f>
        <v>25</v>
      </c>
      <c r="BE224">
        <f>IF(BD224&lt;&gt;"",INDEX($AE$2:$AP$440,MATCH($AT224,$AS$2:$AS$440,0),COLUMNS($AT$2:BD224)),"")</f>
        <v>70</v>
      </c>
      <c r="BF224">
        <f>IF(BE224&lt;&gt;"",INDEX($AE$2:$AP$440,MATCH($AT224,$AS$2:$AS$440,0),COLUMNS($AT$2:BE224)),"")</f>
        <v>3</v>
      </c>
    </row>
    <row r="225" spans="1:58" x14ac:dyDescent="0.25">
      <c r="A225" s="5">
        <v>2011</v>
      </c>
      <c r="B225" s="5">
        <v>4</v>
      </c>
      <c r="C225" s="6" t="s">
        <v>22</v>
      </c>
      <c r="D225" s="5">
        <v>38</v>
      </c>
      <c r="E225" s="5">
        <v>20</v>
      </c>
      <c r="F225" s="5">
        <v>9</v>
      </c>
      <c r="G225" s="5">
        <v>9</v>
      </c>
      <c r="H225" s="5">
        <v>66</v>
      </c>
      <c r="I225" s="5">
        <v>41</v>
      </c>
      <c r="J225" s="5">
        <v>25</v>
      </c>
      <c r="K225" s="5">
        <v>69</v>
      </c>
      <c r="L225" s="5">
        <f>IF(Table2[[#This Row],['#]]=1,"Champion", IF(Table2[[#This Row],['#]]&gt;=18,"Relegated",Table2[[#This Row],['#]]))</f>
        <v>4</v>
      </c>
      <c r="N225">
        <f>IF(COUNTIF($O$2:O225,O225)=1,N224+1,N224)</f>
        <v>37</v>
      </c>
      <c r="O225" s="4" t="str">
        <f>Table2[[#This Row],[Team]]</f>
        <v>Tottenham Hotspur</v>
      </c>
      <c r="P225" s="1" t="str">
        <f>IFERROR(VLOOKUP(ROWS($O$2:O225),$N$2:$O$441,2,0),"")</f>
        <v/>
      </c>
      <c r="Q225" s="1" t="str">
        <f>IF(P225&lt;&gt;"",SUMPRODUCT(--(Table2[Team]=P225)),"")</f>
        <v/>
      </c>
      <c r="R225" s="11" t="str">
        <f>IF(Q225&lt;&gt;"",Q225+ROWS($Q$2:Q225)/100,"")</f>
        <v/>
      </c>
      <c r="S225" t="str">
        <f>IF(R225&lt;&gt;"",LARGE($R$2:$R$441,ROWS($R$2:R225)),"")</f>
        <v/>
      </c>
      <c r="T225" s="1" t="str">
        <f>IF(R225&lt;&gt;"",INDEX($P$2:$Q$441,MATCH($S225,$R$2:$R$441,0),COLUMNS($S$2:S225)),"")</f>
        <v/>
      </c>
      <c r="U225" s="1" t="str">
        <f>IF(S225&lt;&gt;"",INDEX($P$2:$Q$441,MATCH($S225,$R$2:$R$441,0),COLUMNS($S$2:T225)),"")</f>
        <v/>
      </c>
      <c r="AE225" s="1">
        <f>Table2[[#This Row],[Year]]</f>
        <v>2011</v>
      </c>
      <c r="AF225" s="1">
        <f>Table2[[#This Row],['#]]</f>
        <v>4</v>
      </c>
      <c r="AG225" s="1" t="str">
        <f>Table2[[#This Row],[Team]]</f>
        <v>Tottenham Hotspur</v>
      </c>
      <c r="AH225" s="1">
        <f>Table2[[#This Row],[Pl]]</f>
        <v>38</v>
      </c>
      <c r="AI225" s="1">
        <f>Table2[[#This Row],[W]]</f>
        <v>20</v>
      </c>
      <c r="AJ225" s="1">
        <f>Table2[[#This Row],[D]]</f>
        <v>9</v>
      </c>
      <c r="AK225" s="1">
        <f>Table2[[#This Row],[L]]</f>
        <v>9</v>
      </c>
      <c r="AL225" s="1">
        <f>Table2[[#This Row],[F]]</f>
        <v>66</v>
      </c>
      <c r="AM225" s="1">
        <f>Table2[[#This Row],[A]]</f>
        <v>41</v>
      </c>
      <c r="AN225" s="1">
        <f>Table2[[#This Row],[GD]]</f>
        <v>25</v>
      </c>
      <c r="AO225" s="1">
        <f>Table2[[#This Row],[Pts]]</f>
        <v>69</v>
      </c>
      <c r="AP225" s="1">
        <f>Table2[[#This Row],[Column1]]</f>
        <v>4</v>
      </c>
      <c r="AR225" t="b">
        <f t="shared" si="7"/>
        <v>1</v>
      </c>
      <c r="AS225">
        <f>IF(AR225,ROWS($AR$2:AR225),"")</f>
        <v>224</v>
      </c>
      <c r="AT225">
        <f>IFERROR(SMALL($AS$2:$AS$440,ROWS($AS$2:AS225)),"")</f>
        <v>224</v>
      </c>
      <c r="AU225">
        <f>IF(AT225&lt;&gt;"",INDEX($AE$2:$AP$440,MATCH($AT225,$AS$2:$AS$440,0),COLUMNS($AT$2:AT225)),"")</f>
        <v>2011</v>
      </c>
      <c r="AV225">
        <f>IF(AU225&lt;&gt;"",INDEX($AE$2:$AP$440,MATCH($AT225,$AS$2:$AS$440,0),COLUMNS($AT$2:AU225)),"")</f>
        <v>4</v>
      </c>
      <c r="AW225" t="str">
        <f>IF(AV225&lt;&gt;"",INDEX($AE$2:$AP$440,MATCH($AT225,$AS$2:$AS$440,0),COLUMNS($AT$2:AV225)),"")</f>
        <v>Tottenham Hotspur</v>
      </c>
      <c r="AX225">
        <f>IF(AW225&lt;&gt;"",INDEX($AE$2:$AP$440,MATCH($AT225,$AS$2:$AS$440,0),COLUMNS($AT$2:AW225)),"")</f>
        <v>38</v>
      </c>
      <c r="AY225">
        <f>IF(AX225&lt;&gt;"",INDEX($AE$2:$AP$440,MATCH($AT225,$AS$2:$AS$440,0),COLUMNS($AT$2:AX225)),"")</f>
        <v>20</v>
      </c>
      <c r="AZ225">
        <f>IF(AY225&lt;&gt;"",INDEX($AE$2:$AP$440,MATCH($AT225,$AS$2:$AS$440,0),COLUMNS($AT$2:AY225)),"")</f>
        <v>9</v>
      </c>
      <c r="BA225">
        <f>IF(AZ225&lt;&gt;"",INDEX($AE$2:$AP$440,MATCH($AT225,$AS$2:$AS$440,0),COLUMNS($AT$2:AZ225)),"")</f>
        <v>9</v>
      </c>
      <c r="BB225">
        <f>IF(BA225&lt;&gt;"",INDEX($AE$2:$AP$440,MATCH($AT225,$AS$2:$AS$440,0),COLUMNS($AT$2:BA225)),"")</f>
        <v>66</v>
      </c>
      <c r="BC225">
        <f>IF(BB225&lt;&gt;"",INDEX($AE$2:$AP$440,MATCH($AT225,$AS$2:$AS$440,0),COLUMNS($AT$2:BB225)),"")</f>
        <v>41</v>
      </c>
      <c r="BD225">
        <f>IF(BC225&lt;&gt;"",INDEX($AE$2:$AP$440,MATCH($AT225,$AS$2:$AS$440,0),COLUMNS($AT$2:BC225)),"")</f>
        <v>25</v>
      </c>
      <c r="BE225">
        <f>IF(BD225&lt;&gt;"",INDEX($AE$2:$AP$440,MATCH($AT225,$AS$2:$AS$440,0),COLUMNS($AT$2:BD225)),"")</f>
        <v>69</v>
      </c>
      <c r="BF225">
        <f>IF(BE225&lt;&gt;"",INDEX($AE$2:$AP$440,MATCH($AT225,$AS$2:$AS$440,0),COLUMNS($AT$2:BE225)),"")</f>
        <v>4</v>
      </c>
    </row>
    <row r="226" spans="1:58" x14ac:dyDescent="0.25">
      <c r="A226" s="3">
        <v>2011</v>
      </c>
      <c r="B226" s="3">
        <v>5</v>
      </c>
      <c r="C226" s="4" t="s">
        <v>21</v>
      </c>
      <c r="D226" s="3">
        <v>38</v>
      </c>
      <c r="E226" s="3">
        <v>19</v>
      </c>
      <c r="F226" s="3">
        <v>8</v>
      </c>
      <c r="G226" s="3">
        <v>11</v>
      </c>
      <c r="H226" s="3">
        <v>56</v>
      </c>
      <c r="I226" s="3">
        <v>51</v>
      </c>
      <c r="J226" s="3">
        <v>5</v>
      </c>
      <c r="K226" s="3">
        <v>65</v>
      </c>
      <c r="L226" s="5">
        <f>IF(Table2[[#This Row],['#]]=1,"Champion", IF(Table2[[#This Row],['#]]&gt;=18,"Relegated",Table2[[#This Row],['#]]))</f>
        <v>5</v>
      </c>
      <c r="N226">
        <f>IF(COUNTIF($O$2:O226,O226)=1,N225+1,N225)</f>
        <v>37</v>
      </c>
      <c r="O226" s="4" t="str">
        <f>Table2[[#This Row],[Team]]</f>
        <v>Newcastle United</v>
      </c>
      <c r="P226" s="1" t="str">
        <f>IFERROR(VLOOKUP(ROWS($O$2:O226),$N$2:$O$441,2,0),"")</f>
        <v/>
      </c>
      <c r="Q226" s="1" t="str">
        <f>IF(P226&lt;&gt;"",SUMPRODUCT(--(Table2[Team]=P226)),"")</f>
        <v/>
      </c>
      <c r="R226" s="11" t="str">
        <f>IF(Q226&lt;&gt;"",Q226+ROWS($Q$2:Q226)/100,"")</f>
        <v/>
      </c>
      <c r="S226" t="str">
        <f>IF(R226&lt;&gt;"",LARGE($R$2:$R$441,ROWS($R$2:R226)),"")</f>
        <v/>
      </c>
      <c r="T226" s="1" t="str">
        <f>IF(R226&lt;&gt;"",INDEX($P$2:$Q$441,MATCH($S226,$R$2:$R$441,0),COLUMNS($S$2:S226)),"")</f>
        <v/>
      </c>
      <c r="U226" s="1" t="str">
        <f>IF(S226&lt;&gt;"",INDEX($P$2:$Q$441,MATCH($S226,$R$2:$R$441,0),COLUMNS($S$2:T226)),"")</f>
        <v/>
      </c>
      <c r="AE226" s="1">
        <f>Table2[[#This Row],[Year]]</f>
        <v>2011</v>
      </c>
      <c r="AF226" s="1">
        <f>Table2[[#This Row],['#]]</f>
        <v>5</v>
      </c>
      <c r="AG226" s="1" t="str">
        <f>Table2[[#This Row],[Team]]</f>
        <v>Newcastle United</v>
      </c>
      <c r="AH226" s="1">
        <f>Table2[[#This Row],[Pl]]</f>
        <v>38</v>
      </c>
      <c r="AI226" s="1">
        <f>Table2[[#This Row],[W]]</f>
        <v>19</v>
      </c>
      <c r="AJ226" s="1">
        <f>Table2[[#This Row],[D]]</f>
        <v>8</v>
      </c>
      <c r="AK226" s="1">
        <f>Table2[[#This Row],[L]]</f>
        <v>11</v>
      </c>
      <c r="AL226" s="1">
        <f>Table2[[#This Row],[F]]</f>
        <v>56</v>
      </c>
      <c r="AM226" s="1">
        <f>Table2[[#This Row],[A]]</f>
        <v>51</v>
      </c>
      <c r="AN226" s="1">
        <f>Table2[[#This Row],[GD]]</f>
        <v>5</v>
      </c>
      <c r="AO226" s="1">
        <f>Table2[[#This Row],[Pts]]</f>
        <v>65</v>
      </c>
      <c r="AP226" s="1">
        <f>Table2[[#This Row],[Column1]]</f>
        <v>5</v>
      </c>
      <c r="AR226" t="b">
        <f t="shared" si="7"/>
        <v>1</v>
      </c>
      <c r="AS226">
        <f>IF(AR226,ROWS($AR$2:AR226),"")</f>
        <v>225</v>
      </c>
      <c r="AT226">
        <f>IFERROR(SMALL($AS$2:$AS$440,ROWS($AS$2:AS226)),"")</f>
        <v>225</v>
      </c>
      <c r="AU226">
        <f>IF(AT226&lt;&gt;"",INDEX($AE$2:$AP$440,MATCH($AT226,$AS$2:$AS$440,0),COLUMNS($AT$2:AT226)),"")</f>
        <v>2011</v>
      </c>
      <c r="AV226">
        <f>IF(AU226&lt;&gt;"",INDEX($AE$2:$AP$440,MATCH($AT226,$AS$2:$AS$440,0),COLUMNS($AT$2:AU226)),"")</f>
        <v>5</v>
      </c>
      <c r="AW226" t="str">
        <f>IF(AV226&lt;&gt;"",INDEX($AE$2:$AP$440,MATCH($AT226,$AS$2:$AS$440,0),COLUMNS($AT$2:AV226)),"")</f>
        <v>Newcastle United</v>
      </c>
      <c r="AX226">
        <f>IF(AW226&lt;&gt;"",INDEX($AE$2:$AP$440,MATCH($AT226,$AS$2:$AS$440,0),COLUMNS($AT$2:AW226)),"")</f>
        <v>38</v>
      </c>
      <c r="AY226">
        <f>IF(AX226&lt;&gt;"",INDEX($AE$2:$AP$440,MATCH($AT226,$AS$2:$AS$440,0),COLUMNS($AT$2:AX226)),"")</f>
        <v>19</v>
      </c>
      <c r="AZ226">
        <f>IF(AY226&lt;&gt;"",INDEX($AE$2:$AP$440,MATCH($AT226,$AS$2:$AS$440,0),COLUMNS($AT$2:AY226)),"")</f>
        <v>8</v>
      </c>
      <c r="BA226">
        <f>IF(AZ226&lt;&gt;"",INDEX($AE$2:$AP$440,MATCH($AT226,$AS$2:$AS$440,0),COLUMNS($AT$2:AZ226)),"")</f>
        <v>11</v>
      </c>
      <c r="BB226">
        <f>IF(BA226&lt;&gt;"",INDEX($AE$2:$AP$440,MATCH($AT226,$AS$2:$AS$440,0),COLUMNS($AT$2:BA226)),"")</f>
        <v>56</v>
      </c>
      <c r="BC226">
        <f>IF(BB226&lt;&gt;"",INDEX($AE$2:$AP$440,MATCH($AT226,$AS$2:$AS$440,0),COLUMNS($AT$2:BB226)),"")</f>
        <v>51</v>
      </c>
      <c r="BD226">
        <f>IF(BC226&lt;&gt;"",INDEX($AE$2:$AP$440,MATCH($AT226,$AS$2:$AS$440,0),COLUMNS($AT$2:BC226)),"")</f>
        <v>5</v>
      </c>
      <c r="BE226">
        <f>IF(BD226&lt;&gt;"",INDEX($AE$2:$AP$440,MATCH($AT226,$AS$2:$AS$440,0),COLUMNS($AT$2:BD226)),"")</f>
        <v>65</v>
      </c>
      <c r="BF226">
        <f>IF(BE226&lt;&gt;"",INDEX($AE$2:$AP$440,MATCH($AT226,$AS$2:$AS$440,0),COLUMNS($AT$2:BE226)),"")</f>
        <v>5</v>
      </c>
    </row>
    <row r="227" spans="1:58" x14ac:dyDescent="0.25">
      <c r="A227" s="5">
        <v>2011</v>
      </c>
      <c r="B227" s="5">
        <v>6</v>
      </c>
      <c r="C227" s="6" t="s">
        <v>16</v>
      </c>
      <c r="D227" s="5">
        <v>38</v>
      </c>
      <c r="E227" s="5">
        <v>18</v>
      </c>
      <c r="F227" s="5">
        <v>10</v>
      </c>
      <c r="G227" s="5">
        <v>10</v>
      </c>
      <c r="H227" s="5">
        <v>65</v>
      </c>
      <c r="I227" s="5">
        <v>46</v>
      </c>
      <c r="J227" s="5">
        <v>19</v>
      </c>
      <c r="K227" s="5">
        <v>64</v>
      </c>
      <c r="L227" s="5">
        <f>IF(Table2[[#This Row],['#]]=1,"Champion", IF(Table2[[#This Row],['#]]&gt;=18,"Relegated",Table2[[#This Row],['#]]))</f>
        <v>6</v>
      </c>
      <c r="N227">
        <f>IF(COUNTIF($O$2:O227,O227)=1,N226+1,N226)</f>
        <v>37</v>
      </c>
      <c r="O227" s="4" t="str">
        <f>Table2[[#This Row],[Team]]</f>
        <v>Chelsea</v>
      </c>
      <c r="P227" s="1" t="str">
        <f>IFERROR(VLOOKUP(ROWS($O$2:O227),$N$2:$O$441,2,0),"")</f>
        <v/>
      </c>
      <c r="Q227" s="1" t="str">
        <f>IF(P227&lt;&gt;"",SUMPRODUCT(--(Table2[Team]=P227)),"")</f>
        <v/>
      </c>
      <c r="R227" s="11" t="str">
        <f>IF(Q227&lt;&gt;"",Q227+ROWS($Q$2:Q227)/100,"")</f>
        <v/>
      </c>
      <c r="S227" t="str">
        <f>IF(R227&lt;&gt;"",LARGE($R$2:$R$441,ROWS($R$2:R227)),"")</f>
        <v/>
      </c>
      <c r="T227" s="1" t="str">
        <f>IF(R227&lt;&gt;"",INDEX($P$2:$Q$441,MATCH($S227,$R$2:$R$441,0),COLUMNS($S$2:S227)),"")</f>
        <v/>
      </c>
      <c r="U227" s="1" t="str">
        <f>IF(S227&lt;&gt;"",INDEX($P$2:$Q$441,MATCH($S227,$R$2:$R$441,0),COLUMNS($S$2:T227)),"")</f>
        <v/>
      </c>
      <c r="AE227" s="1">
        <f>Table2[[#This Row],[Year]]</f>
        <v>2011</v>
      </c>
      <c r="AF227" s="1">
        <f>Table2[[#This Row],['#]]</f>
        <v>6</v>
      </c>
      <c r="AG227" s="1" t="str">
        <f>Table2[[#This Row],[Team]]</f>
        <v>Chelsea</v>
      </c>
      <c r="AH227" s="1">
        <f>Table2[[#This Row],[Pl]]</f>
        <v>38</v>
      </c>
      <c r="AI227" s="1">
        <f>Table2[[#This Row],[W]]</f>
        <v>18</v>
      </c>
      <c r="AJ227" s="1">
        <f>Table2[[#This Row],[D]]</f>
        <v>10</v>
      </c>
      <c r="AK227" s="1">
        <f>Table2[[#This Row],[L]]</f>
        <v>10</v>
      </c>
      <c r="AL227" s="1">
        <f>Table2[[#This Row],[F]]</f>
        <v>65</v>
      </c>
      <c r="AM227" s="1">
        <f>Table2[[#This Row],[A]]</f>
        <v>46</v>
      </c>
      <c r="AN227" s="1">
        <f>Table2[[#This Row],[GD]]</f>
        <v>19</v>
      </c>
      <c r="AO227" s="1">
        <f>Table2[[#This Row],[Pts]]</f>
        <v>64</v>
      </c>
      <c r="AP227" s="1">
        <f>Table2[[#This Row],[Column1]]</f>
        <v>6</v>
      </c>
      <c r="AR227" t="b">
        <f t="shared" si="7"/>
        <v>1</v>
      </c>
      <c r="AS227">
        <f>IF(AR227,ROWS($AR$2:AR227),"")</f>
        <v>226</v>
      </c>
      <c r="AT227">
        <f>IFERROR(SMALL($AS$2:$AS$440,ROWS($AS$2:AS227)),"")</f>
        <v>226</v>
      </c>
      <c r="AU227">
        <f>IF(AT227&lt;&gt;"",INDEX($AE$2:$AP$440,MATCH($AT227,$AS$2:$AS$440,0),COLUMNS($AT$2:AT227)),"")</f>
        <v>2011</v>
      </c>
      <c r="AV227">
        <f>IF(AU227&lt;&gt;"",INDEX($AE$2:$AP$440,MATCH($AT227,$AS$2:$AS$440,0),COLUMNS($AT$2:AU227)),"")</f>
        <v>6</v>
      </c>
      <c r="AW227" t="str">
        <f>IF(AV227&lt;&gt;"",INDEX($AE$2:$AP$440,MATCH($AT227,$AS$2:$AS$440,0),COLUMNS($AT$2:AV227)),"")</f>
        <v>Chelsea</v>
      </c>
      <c r="AX227">
        <f>IF(AW227&lt;&gt;"",INDEX($AE$2:$AP$440,MATCH($AT227,$AS$2:$AS$440,0),COLUMNS($AT$2:AW227)),"")</f>
        <v>38</v>
      </c>
      <c r="AY227">
        <f>IF(AX227&lt;&gt;"",INDEX($AE$2:$AP$440,MATCH($AT227,$AS$2:$AS$440,0),COLUMNS($AT$2:AX227)),"")</f>
        <v>18</v>
      </c>
      <c r="AZ227">
        <f>IF(AY227&lt;&gt;"",INDEX($AE$2:$AP$440,MATCH($AT227,$AS$2:$AS$440,0),COLUMNS($AT$2:AY227)),"")</f>
        <v>10</v>
      </c>
      <c r="BA227">
        <f>IF(AZ227&lt;&gt;"",INDEX($AE$2:$AP$440,MATCH($AT227,$AS$2:$AS$440,0),COLUMNS($AT$2:AZ227)),"")</f>
        <v>10</v>
      </c>
      <c r="BB227">
        <f>IF(BA227&lt;&gt;"",INDEX($AE$2:$AP$440,MATCH($AT227,$AS$2:$AS$440,0),COLUMNS($AT$2:BA227)),"")</f>
        <v>65</v>
      </c>
      <c r="BC227">
        <f>IF(BB227&lt;&gt;"",INDEX($AE$2:$AP$440,MATCH($AT227,$AS$2:$AS$440,0),COLUMNS($AT$2:BB227)),"")</f>
        <v>46</v>
      </c>
      <c r="BD227">
        <f>IF(BC227&lt;&gt;"",INDEX($AE$2:$AP$440,MATCH($AT227,$AS$2:$AS$440,0),COLUMNS($AT$2:BC227)),"")</f>
        <v>19</v>
      </c>
      <c r="BE227">
        <f>IF(BD227&lt;&gt;"",INDEX($AE$2:$AP$440,MATCH($AT227,$AS$2:$AS$440,0),COLUMNS($AT$2:BD227)),"")</f>
        <v>64</v>
      </c>
      <c r="BF227">
        <f>IF(BE227&lt;&gt;"",INDEX($AE$2:$AP$440,MATCH($AT227,$AS$2:$AS$440,0),COLUMNS($AT$2:BE227)),"")</f>
        <v>6</v>
      </c>
    </row>
    <row r="228" spans="1:58" x14ac:dyDescent="0.25">
      <c r="A228" s="3">
        <v>2011</v>
      </c>
      <c r="B228" s="3">
        <v>7</v>
      </c>
      <c r="C228" s="4" t="s">
        <v>26</v>
      </c>
      <c r="D228" s="3">
        <v>38</v>
      </c>
      <c r="E228" s="3">
        <v>15</v>
      </c>
      <c r="F228" s="3">
        <v>11</v>
      </c>
      <c r="G228" s="3">
        <v>12</v>
      </c>
      <c r="H228" s="3">
        <v>50</v>
      </c>
      <c r="I228" s="3">
        <v>40</v>
      </c>
      <c r="J228" s="3">
        <v>10</v>
      </c>
      <c r="K228" s="3">
        <v>56</v>
      </c>
      <c r="L228" s="5">
        <f>IF(Table2[[#This Row],['#]]=1,"Champion", IF(Table2[[#This Row],['#]]&gt;=18,"Relegated",Table2[[#This Row],['#]]))</f>
        <v>7</v>
      </c>
      <c r="N228">
        <f>IF(COUNTIF($O$2:O228,O228)=1,N227+1,N227)</f>
        <v>37</v>
      </c>
      <c r="O228" s="4" t="str">
        <f>Table2[[#This Row],[Team]]</f>
        <v>Everton</v>
      </c>
      <c r="P228" s="1" t="str">
        <f>IFERROR(VLOOKUP(ROWS($O$2:O228),$N$2:$O$441,2,0),"")</f>
        <v/>
      </c>
      <c r="Q228" s="1" t="str">
        <f>IF(P228&lt;&gt;"",SUMPRODUCT(--(Table2[Team]=P228)),"")</f>
        <v/>
      </c>
      <c r="R228" s="11" t="str">
        <f>IF(Q228&lt;&gt;"",Q228+ROWS($Q$2:Q228)/100,"")</f>
        <v/>
      </c>
      <c r="S228" t="str">
        <f>IF(R228&lt;&gt;"",LARGE($R$2:$R$441,ROWS($R$2:R228)),"")</f>
        <v/>
      </c>
      <c r="T228" s="1" t="str">
        <f>IF(R228&lt;&gt;"",INDEX($P$2:$Q$441,MATCH($S228,$R$2:$R$441,0),COLUMNS($S$2:S228)),"")</f>
        <v/>
      </c>
      <c r="U228" s="1" t="str">
        <f>IF(S228&lt;&gt;"",INDEX($P$2:$Q$441,MATCH($S228,$R$2:$R$441,0),COLUMNS($S$2:T228)),"")</f>
        <v/>
      </c>
      <c r="AE228" s="1">
        <f>Table2[[#This Row],[Year]]</f>
        <v>2011</v>
      </c>
      <c r="AF228" s="1">
        <f>Table2[[#This Row],['#]]</f>
        <v>7</v>
      </c>
      <c r="AG228" s="1" t="str">
        <f>Table2[[#This Row],[Team]]</f>
        <v>Everton</v>
      </c>
      <c r="AH228" s="1">
        <f>Table2[[#This Row],[Pl]]</f>
        <v>38</v>
      </c>
      <c r="AI228" s="1">
        <f>Table2[[#This Row],[W]]</f>
        <v>15</v>
      </c>
      <c r="AJ228" s="1">
        <f>Table2[[#This Row],[D]]</f>
        <v>11</v>
      </c>
      <c r="AK228" s="1">
        <f>Table2[[#This Row],[L]]</f>
        <v>12</v>
      </c>
      <c r="AL228" s="1">
        <f>Table2[[#This Row],[F]]</f>
        <v>50</v>
      </c>
      <c r="AM228" s="1">
        <f>Table2[[#This Row],[A]]</f>
        <v>40</v>
      </c>
      <c r="AN228" s="1">
        <f>Table2[[#This Row],[GD]]</f>
        <v>10</v>
      </c>
      <c r="AO228" s="1">
        <f>Table2[[#This Row],[Pts]]</f>
        <v>56</v>
      </c>
      <c r="AP228" s="1">
        <f>Table2[[#This Row],[Column1]]</f>
        <v>7</v>
      </c>
      <c r="AR228" t="b">
        <f t="shared" si="7"/>
        <v>1</v>
      </c>
      <c r="AS228">
        <f>IF(AR228,ROWS($AR$2:AR228),"")</f>
        <v>227</v>
      </c>
      <c r="AT228">
        <f>IFERROR(SMALL($AS$2:$AS$440,ROWS($AS$2:AS228)),"")</f>
        <v>227</v>
      </c>
      <c r="AU228">
        <f>IF(AT228&lt;&gt;"",INDEX($AE$2:$AP$440,MATCH($AT228,$AS$2:$AS$440,0),COLUMNS($AT$2:AT228)),"")</f>
        <v>2011</v>
      </c>
      <c r="AV228">
        <f>IF(AU228&lt;&gt;"",INDEX($AE$2:$AP$440,MATCH($AT228,$AS$2:$AS$440,0),COLUMNS($AT$2:AU228)),"")</f>
        <v>7</v>
      </c>
      <c r="AW228" t="str">
        <f>IF(AV228&lt;&gt;"",INDEX($AE$2:$AP$440,MATCH($AT228,$AS$2:$AS$440,0),COLUMNS($AT$2:AV228)),"")</f>
        <v>Everton</v>
      </c>
      <c r="AX228">
        <f>IF(AW228&lt;&gt;"",INDEX($AE$2:$AP$440,MATCH($AT228,$AS$2:$AS$440,0),COLUMNS($AT$2:AW228)),"")</f>
        <v>38</v>
      </c>
      <c r="AY228">
        <f>IF(AX228&lt;&gt;"",INDEX($AE$2:$AP$440,MATCH($AT228,$AS$2:$AS$440,0),COLUMNS($AT$2:AX228)),"")</f>
        <v>15</v>
      </c>
      <c r="AZ228">
        <f>IF(AY228&lt;&gt;"",INDEX($AE$2:$AP$440,MATCH($AT228,$AS$2:$AS$440,0),COLUMNS($AT$2:AY228)),"")</f>
        <v>11</v>
      </c>
      <c r="BA228">
        <f>IF(AZ228&lt;&gt;"",INDEX($AE$2:$AP$440,MATCH($AT228,$AS$2:$AS$440,0),COLUMNS($AT$2:AZ228)),"")</f>
        <v>12</v>
      </c>
      <c r="BB228">
        <f>IF(BA228&lt;&gt;"",INDEX($AE$2:$AP$440,MATCH($AT228,$AS$2:$AS$440,0),COLUMNS($AT$2:BA228)),"")</f>
        <v>50</v>
      </c>
      <c r="BC228">
        <f>IF(BB228&lt;&gt;"",INDEX($AE$2:$AP$440,MATCH($AT228,$AS$2:$AS$440,0),COLUMNS($AT$2:BB228)),"")</f>
        <v>40</v>
      </c>
      <c r="BD228">
        <f>IF(BC228&lt;&gt;"",INDEX($AE$2:$AP$440,MATCH($AT228,$AS$2:$AS$440,0),COLUMNS($AT$2:BC228)),"")</f>
        <v>10</v>
      </c>
      <c r="BE228">
        <f>IF(BD228&lt;&gt;"",INDEX($AE$2:$AP$440,MATCH($AT228,$AS$2:$AS$440,0),COLUMNS($AT$2:BD228)),"")</f>
        <v>56</v>
      </c>
      <c r="BF228">
        <f>IF(BE228&lt;&gt;"",INDEX($AE$2:$AP$440,MATCH($AT228,$AS$2:$AS$440,0),COLUMNS($AT$2:BE228)),"")</f>
        <v>7</v>
      </c>
    </row>
    <row r="229" spans="1:58" x14ac:dyDescent="0.25">
      <c r="A229" s="5">
        <v>2011</v>
      </c>
      <c r="B229" s="5">
        <v>8</v>
      </c>
      <c r="C229" s="4" t="s">
        <v>13</v>
      </c>
      <c r="D229" s="5">
        <v>38</v>
      </c>
      <c r="E229" s="5">
        <v>14</v>
      </c>
      <c r="F229" s="5">
        <v>10</v>
      </c>
      <c r="G229" s="5">
        <v>14</v>
      </c>
      <c r="H229" s="5">
        <v>47</v>
      </c>
      <c r="I229" s="5">
        <v>40</v>
      </c>
      <c r="J229" s="5">
        <v>7</v>
      </c>
      <c r="K229" s="5">
        <v>52</v>
      </c>
      <c r="L229" s="5">
        <f>IF(Table2[[#This Row],['#]]=1,"Champion", IF(Table2[[#This Row],['#]]&gt;=18,"Relegated",Table2[[#This Row],['#]]))</f>
        <v>8</v>
      </c>
      <c r="N229">
        <f>IF(COUNTIF($O$2:O229,O229)=1,N228+1,N228)</f>
        <v>37</v>
      </c>
      <c r="O229" s="4" t="str">
        <f>Table2[[#This Row],[Team]]</f>
        <v>Liverpool</v>
      </c>
      <c r="P229" s="1" t="str">
        <f>IFERROR(VLOOKUP(ROWS($O$2:O229),$N$2:$O$441,2,0),"")</f>
        <v/>
      </c>
      <c r="Q229" s="1" t="str">
        <f>IF(P229&lt;&gt;"",SUMPRODUCT(--(Table2[Team]=P229)),"")</f>
        <v/>
      </c>
      <c r="R229" s="11" t="str">
        <f>IF(Q229&lt;&gt;"",Q229+ROWS($Q$2:Q229)/100,"")</f>
        <v/>
      </c>
      <c r="S229" t="str">
        <f>IF(R229&lt;&gt;"",LARGE($R$2:$R$441,ROWS($R$2:R229)),"")</f>
        <v/>
      </c>
      <c r="T229" s="1" t="str">
        <f>IF(R229&lt;&gt;"",INDEX($P$2:$Q$441,MATCH($S229,$R$2:$R$441,0),COLUMNS($S$2:S229)),"")</f>
        <v/>
      </c>
      <c r="U229" s="1" t="str">
        <f>IF(S229&lt;&gt;"",INDEX($P$2:$Q$441,MATCH($S229,$R$2:$R$441,0),COLUMNS($S$2:T229)),"")</f>
        <v/>
      </c>
      <c r="AE229" s="1">
        <f>Table2[[#This Row],[Year]]</f>
        <v>2011</v>
      </c>
      <c r="AF229" s="1">
        <f>Table2[[#This Row],['#]]</f>
        <v>8</v>
      </c>
      <c r="AG229" s="1" t="str">
        <f>Table2[[#This Row],[Team]]</f>
        <v>Liverpool</v>
      </c>
      <c r="AH229" s="1">
        <f>Table2[[#This Row],[Pl]]</f>
        <v>38</v>
      </c>
      <c r="AI229" s="1">
        <f>Table2[[#This Row],[W]]</f>
        <v>14</v>
      </c>
      <c r="AJ229" s="1">
        <f>Table2[[#This Row],[D]]</f>
        <v>10</v>
      </c>
      <c r="AK229" s="1">
        <f>Table2[[#This Row],[L]]</f>
        <v>14</v>
      </c>
      <c r="AL229" s="1">
        <f>Table2[[#This Row],[F]]</f>
        <v>47</v>
      </c>
      <c r="AM229" s="1">
        <f>Table2[[#This Row],[A]]</f>
        <v>40</v>
      </c>
      <c r="AN229" s="1">
        <f>Table2[[#This Row],[GD]]</f>
        <v>7</v>
      </c>
      <c r="AO229" s="1">
        <f>Table2[[#This Row],[Pts]]</f>
        <v>52</v>
      </c>
      <c r="AP229" s="1">
        <f>Table2[[#This Row],[Column1]]</f>
        <v>8</v>
      </c>
      <c r="AR229" t="b">
        <f t="shared" si="7"/>
        <v>1</v>
      </c>
      <c r="AS229">
        <f>IF(AR229,ROWS($AR$2:AR229),"")</f>
        <v>228</v>
      </c>
      <c r="AT229">
        <f>IFERROR(SMALL($AS$2:$AS$440,ROWS($AS$2:AS229)),"")</f>
        <v>228</v>
      </c>
      <c r="AU229">
        <f>IF(AT229&lt;&gt;"",INDEX($AE$2:$AP$440,MATCH($AT229,$AS$2:$AS$440,0),COLUMNS($AT$2:AT229)),"")</f>
        <v>2011</v>
      </c>
      <c r="AV229">
        <f>IF(AU229&lt;&gt;"",INDEX($AE$2:$AP$440,MATCH($AT229,$AS$2:$AS$440,0),COLUMNS($AT$2:AU229)),"")</f>
        <v>8</v>
      </c>
      <c r="AW229" t="str">
        <f>IF(AV229&lt;&gt;"",INDEX($AE$2:$AP$440,MATCH($AT229,$AS$2:$AS$440,0),COLUMNS($AT$2:AV229)),"")</f>
        <v>Liverpool</v>
      </c>
      <c r="AX229">
        <f>IF(AW229&lt;&gt;"",INDEX($AE$2:$AP$440,MATCH($AT229,$AS$2:$AS$440,0),COLUMNS($AT$2:AW229)),"")</f>
        <v>38</v>
      </c>
      <c r="AY229">
        <f>IF(AX229&lt;&gt;"",INDEX($AE$2:$AP$440,MATCH($AT229,$AS$2:$AS$440,0),COLUMNS($AT$2:AX229)),"")</f>
        <v>14</v>
      </c>
      <c r="AZ229">
        <f>IF(AY229&lt;&gt;"",INDEX($AE$2:$AP$440,MATCH($AT229,$AS$2:$AS$440,0),COLUMNS($AT$2:AY229)),"")</f>
        <v>10</v>
      </c>
      <c r="BA229">
        <f>IF(AZ229&lt;&gt;"",INDEX($AE$2:$AP$440,MATCH($AT229,$AS$2:$AS$440,0),COLUMNS($AT$2:AZ229)),"")</f>
        <v>14</v>
      </c>
      <c r="BB229">
        <f>IF(BA229&lt;&gt;"",INDEX($AE$2:$AP$440,MATCH($AT229,$AS$2:$AS$440,0),COLUMNS($AT$2:BA229)),"")</f>
        <v>47</v>
      </c>
      <c r="BC229">
        <f>IF(BB229&lt;&gt;"",INDEX($AE$2:$AP$440,MATCH($AT229,$AS$2:$AS$440,0),COLUMNS($AT$2:BB229)),"")</f>
        <v>40</v>
      </c>
      <c r="BD229">
        <f>IF(BC229&lt;&gt;"",INDEX($AE$2:$AP$440,MATCH($AT229,$AS$2:$AS$440,0),COLUMNS($AT$2:BC229)),"")</f>
        <v>7</v>
      </c>
      <c r="BE229">
        <f>IF(BD229&lt;&gt;"",INDEX($AE$2:$AP$440,MATCH($AT229,$AS$2:$AS$440,0),COLUMNS($AT$2:BD229)),"")</f>
        <v>52</v>
      </c>
      <c r="BF229">
        <f>IF(BE229&lt;&gt;"",INDEX($AE$2:$AP$440,MATCH($AT229,$AS$2:$AS$440,0),COLUMNS($AT$2:BE229)),"")</f>
        <v>8</v>
      </c>
    </row>
    <row r="230" spans="1:58" x14ac:dyDescent="0.25">
      <c r="A230" s="3">
        <v>2011</v>
      </c>
      <c r="B230" s="3">
        <v>9</v>
      </c>
      <c r="C230" s="4" t="s">
        <v>32</v>
      </c>
      <c r="D230" s="3">
        <v>38</v>
      </c>
      <c r="E230" s="3">
        <v>14</v>
      </c>
      <c r="F230" s="3">
        <v>10</v>
      </c>
      <c r="G230" s="3">
        <v>14</v>
      </c>
      <c r="H230" s="3">
        <v>48</v>
      </c>
      <c r="I230" s="3">
        <v>51</v>
      </c>
      <c r="J230" s="3">
        <v>-3</v>
      </c>
      <c r="K230" s="3">
        <v>52</v>
      </c>
      <c r="L230" s="5">
        <f>IF(Table2[[#This Row],['#]]=1,"Champion", IF(Table2[[#This Row],['#]]&gt;=18,"Relegated",Table2[[#This Row],['#]]))</f>
        <v>9</v>
      </c>
      <c r="N230">
        <f>IF(COUNTIF($O$2:O230,O230)=1,N229+1,N229)</f>
        <v>37</v>
      </c>
      <c r="O230" s="4" t="str">
        <f>Table2[[#This Row],[Team]]</f>
        <v>Fulham</v>
      </c>
      <c r="P230" s="1" t="str">
        <f>IFERROR(VLOOKUP(ROWS($O$2:O230),$N$2:$O$441,2,0),"")</f>
        <v/>
      </c>
      <c r="Q230" s="1" t="str">
        <f>IF(P230&lt;&gt;"",SUMPRODUCT(--(Table2[Team]=P230)),"")</f>
        <v/>
      </c>
      <c r="R230" s="11" t="str">
        <f>IF(Q230&lt;&gt;"",Q230+ROWS($Q$2:Q230)/100,"")</f>
        <v/>
      </c>
      <c r="S230" t="str">
        <f>IF(R230&lt;&gt;"",LARGE($R$2:$R$441,ROWS($R$2:R230)),"")</f>
        <v/>
      </c>
      <c r="T230" s="1" t="str">
        <f>IF(R230&lt;&gt;"",INDEX($P$2:$Q$441,MATCH($S230,$R$2:$R$441,0),COLUMNS($S$2:S230)),"")</f>
        <v/>
      </c>
      <c r="U230" s="1" t="str">
        <f>IF(S230&lt;&gt;"",INDEX($P$2:$Q$441,MATCH($S230,$R$2:$R$441,0),COLUMNS($S$2:T230)),"")</f>
        <v/>
      </c>
      <c r="AE230" s="1">
        <f>Table2[[#This Row],[Year]]</f>
        <v>2011</v>
      </c>
      <c r="AF230" s="1">
        <f>Table2[[#This Row],['#]]</f>
        <v>9</v>
      </c>
      <c r="AG230" s="1" t="str">
        <f>Table2[[#This Row],[Team]]</f>
        <v>Fulham</v>
      </c>
      <c r="AH230" s="1">
        <f>Table2[[#This Row],[Pl]]</f>
        <v>38</v>
      </c>
      <c r="AI230" s="1">
        <f>Table2[[#This Row],[W]]</f>
        <v>14</v>
      </c>
      <c r="AJ230" s="1">
        <f>Table2[[#This Row],[D]]</f>
        <v>10</v>
      </c>
      <c r="AK230" s="1">
        <f>Table2[[#This Row],[L]]</f>
        <v>14</v>
      </c>
      <c r="AL230" s="1">
        <f>Table2[[#This Row],[F]]</f>
        <v>48</v>
      </c>
      <c r="AM230" s="1">
        <f>Table2[[#This Row],[A]]</f>
        <v>51</v>
      </c>
      <c r="AN230" s="1">
        <f>Table2[[#This Row],[GD]]</f>
        <v>-3</v>
      </c>
      <c r="AO230" s="1">
        <f>Table2[[#This Row],[Pts]]</f>
        <v>52</v>
      </c>
      <c r="AP230" s="1">
        <f>Table2[[#This Row],[Column1]]</f>
        <v>9</v>
      </c>
      <c r="AR230" t="b">
        <f t="shared" si="7"/>
        <v>1</v>
      </c>
      <c r="AS230">
        <f>IF(AR230,ROWS($AR$2:AR230),"")</f>
        <v>229</v>
      </c>
      <c r="AT230">
        <f>IFERROR(SMALL($AS$2:$AS$440,ROWS($AS$2:AS230)),"")</f>
        <v>229</v>
      </c>
      <c r="AU230">
        <f>IF(AT230&lt;&gt;"",INDEX($AE$2:$AP$440,MATCH($AT230,$AS$2:$AS$440,0),COLUMNS($AT$2:AT230)),"")</f>
        <v>2011</v>
      </c>
      <c r="AV230">
        <f>IF(AU230&lt;&gt;"",INDEX($AE$2:$AP$440,MATCH($AT230,$AS$2:$AS$440,0),COLUMNS($AT$2:AU230)),"")</f>
        <v>9</v>
      </c>
      <c r="AW230" t="str">
        <f>IF(AV230&lt;&gt;"",INDEX($AE$2:$AP$440,MATCH($AT230,$AS$2:$AS$440,0),COLUMNS($AT$2:AV230)),"")</f>
        <v>Fulham</v>
      </c>
      <c r="AX230">
        <f>IF(AW230&lt;&gt;"",INDEX($AE$2:$AP$440,MATCH($AT230,$AS$2:$AS$440,0),COLUMNS($AT$2:AW230)),"")</f>
        <v>38</v>
      </c>
      <c r="AY230">
        <f>IF(AX230&lt;&gt;"",INDEX($AE$2:$AP$440,MATCH($AT230,$AS$2:$AS$440,0),COLUMNS($AT$2:AX230)),"")</f>
        <v>14</v>
      </c>
      <c r="AZ230">
        <f>IF(AY230&lt;&gt;"",INDEX($AE$2:$AP$440,MATCH($AT230,$AS$2:$AS$440,0),COLUMNS($AT$2:AY230)),"")</f>
        <v>10</v>
      </c>
      <c r="BA230">
        <f>IF(AZ230&lt;&gt;"",INDEX($AE$2:$AP$440,MATCH($AT230,$AS$2:$AS$440,0),COLUMNS($AT$2:AZ230)),"")</f>
        <v>14</v>
      </c>
      <c r="BB230">
        <f>IF(BA230&lt;&gt;"",INDEX($AE$2:$AP$440,MATCH($AT230,$AS$2:$AS$440,0),COLUMNS($AT$2:BA230)),"")</f>
        <v>48</v>
      </c>
      <c r="BC230">
        <f>IF(BB230&lt;&gt;"",INDEX($AE$2:$AP$440,MATCH($AT230,$AS$2:$AS$440,0),COLUMNS($AT$2:BB230)),"")</f>
        <v>51</v>
      </c>
      <c r="BD230">
        <f>IF(BC230&lt;&gt;"",INDEX($AE$2:$AP$440,MATCH($AT230,$AS$2:$AS$440,0),COLUMNS($AT$2:BC230)),"")</f>
        <v>-3</v>
      </c>
      <c r="BE230">
        <f>IF(BD230&lt;&gt;"",INDEX($AE$2:$AP$440,MATCH($AT230,$AS$2:$AS$440,0),COLUMNS($AT$2:BD230)),"")</f>
        <v>52</v>
      </c>
      <c r="BF230">
        <f>IF(BE230&lt;&gt;"",INDEX($AE$2:$AP$440,MATCH($AT230,$AS$2:$AS$440,0),COLUMNS($AT$2:BE230)),"")</f>
        <v>9</v>
      </c>
    </row>
    <row r="231" spans="1:58" x14ac:dyDescent="0.25">
      <c r="A231" s="5">
        <v>2011</v>
      </c>
      <c r="B231" s="5">
        <v>10</v>
      </c>
      <c r="C231" s="6" t="s">
        <v>35</v>
      </c>
      <c r="D231" s="5">
        <v>38</v>
      </c>
      <c r="E231" s="5">
        <v>13</v>
      </c>
      <c r="F231" s="5">
        <v>8</v>
      </c>
      <c r="G231" s="5">
        <v>17</v>
      </c>
      <c r="H231" s="5">
        <v>45</v>
      </c>
      <c r="I231" s="5">
        <v>52</v>
      </c>
      <c r="J231" s="5">
        <v>-7</v>
      </c>
      <c r="K231" s="5">
        <v>47</v>
      </c>
      <c r="L231" s="5">
        <f>IF(Table2[[#This Row],['#]]=1,"Champion", IF(Table2[[#This Row],['#]]&gt;=18,"Relegated",Table2[[#This Row],['#]]))</f>
        <v>10</v>
      </c>
      <c r="N231">
        <f>IF(COUNTIF($O$2:O231,O231)=1,N230+1,N230)</f>
        <v>37</v>
      </c>
      <c r="O231" s="4" t="str">
        <f>Table2[[#This Row],[Team]]</f>
        <v>West Bromwich Albion</v>
      </c>
      <c r="P231" s="1" t="str">
        <f>IFERROR(VLOOKUP(ROWS($O$2:O231),$N$2:$O$441,2,0),"")</f>
        <v/>
      </c>
      <c r="Q231" s="1" t="str">
        <f>IF(P231&lt;&gt;"",SUMPRODUCT(--(Table2[Team]=P231)),"")</f>
        <v/>
      </c>
      <c r="R231" s="11" t="str">
        <f>IF(Q231&lt;&gt;"",Q231+ROWS($Q$2:Q231)/100,"")</f>
        <v/>
      </c>
      <c r="S231" t="str">
        <f>IF(R231&lt;&gt;"",LARGE($R$2:$R$441,ROWS($R$2:R231)),"")</f>
        <v/>
      </c>
      <c r="T231" s="1" t="str">
        <f>IF(R231&lt;&gt;"",INDEX($P$2:$Q$441,MATCH($S231,$R$2:$R$441,0),COLUMNS($S$2:S231)),"")</f>
        <v/>
      </c>
      <c r="U231" s="1" t="str">
        <f>IF(S231&lt;&gt;"",INDEX($P$2:$Q$441,MATCH($S231,$R$2:$R$441,0),COLUMNS($S$2:T231)),"")</f>
        <v/>
      </c>
      <c r="AE231" s="1">
        <f>Table2[[#This Row],[Year]]</f>
        <v>2011</v>
      </c>
      <c r="AF231" s="1">
        <f>Table2[[#This Row],['#]]</f>
        <v>10</v>
      </c>
      <c r="AG231" s="1" t="str">
        <f>Table2[[#This Row],[Team]]</f>
        <v>West Bromwich Albion</v>
      </c>
      <c r="AH231" s="1">
        <f>Table2[[#This Row],[Pl]]</f>
        <v>38</v>
      </c>
      <c r="AI231" s="1">
        <f>Table2[[#This Row],[W]]</f>
        <v>13</v>
      </c>
      <c r="AJ231" s="1">
        <f>Table2[[#This Row],[D]]</f>
        <v>8</v>
      </c>
      <c r="AK231" s="1">
        <f>Table2[[#This Row],[L]]</f>
        <v>17</v>
      </c>
      <c r="AL231" s="1">
        <f>Table2[[#This Row],[F]]</f>
        <v>45</v>
      </c>
      <c r="AM231" s="1">
        <f>Table2[[#This Row],[A]]</f>
        <v>52</v>
      </c>
      <c r="AN231" s="1">
        <f>Table2[[#This Row],[GD]]</f>
        <v>-7</v>
      </c>
      <c r="AO231" s="1">
        <f>Table2[[#This Row],[Pts]]</f>
        <v>47</v>
      </c>
      <c r="AP231" s="1">
        <f>Table2[[#This Row],[Column1]]</f>
        <v>10</v>
      </c>
      <c r="AR231" t="b">
        <f t="shared" si="7"/>
        <v>1</v>
      </c>
      <c r="AS231">
        <f>IF(AR231,ROWS($AR$2:AR231),"")</f>
        <v>230</v>
      </c>
      <c r="AT231">
        <f>IFERROR(SMALL($AS$2:$AS$440,ROWS($AS$2:AS231)),"")</f>
        <v>230</v>
      </c>
      <c r="AU231">
        <f>IF(AT231&lt;&gt;"",INDEX($AE$2:$AP$440,MATCH($AT231,$AS$2:$AS$440,0),COLUMNS($AT$2:AT231)),"")</f>
        <v>2011</v>
      </c>
      <c r="AV231">
        <f>IF(AU231&lt;&gt;"",INDEX($AE$2:$AP$440,MATCH($AT231,$AS$2:$AS$440,0),COLUMNS($AT$2:AU231)),"")</f>
        <v>10</v>
      </c>
      <c r="AW231" t="str">
        <f>IF(AV231&lt;&gt;"",INDEX($AE$2:$AP$440,MATCH($AT231,$AS$2:$AS$440,0),COLUMNS($AT$2:AV231)),"")</f>
        <v>West Bromwich Albion</v>
      </c>
      <c r="AX231">
        <f>IF(AW231&lt;&gt;"",INDEX($AE$2:$AP$440,MATCH($AT231,$AS$2:$AS$440,0),COLUMNS($AT$2:AW231)),"")</f>
        <v>38</v>
      </c>
      <c r="AY231">
        <f>IF(AX231&lt;&gt;"",INDEX($AE$2:$AP$440,MATCH($AT231,$AS$2:$AS$440,0),COLUMNS($AT$2:AX231)),"")</f>
        <v>13</v>
      </c>
      <c r="AZ231">
        <f>IF(AY231&lt;&gt;"",INDEX($AE$2:$AP$440,MATCH($AT231,$AS$2:$AS$440,0),COLUMNS($AT$2:AY231)),"")</f>
        <v>8</v>
      </c>
      <c r="BA231">
        <f>IF(AZ231&lt;&gt;"",INDEX($AE$2:$AP$440,MATCH($AT231,$AS$2:$AS$440,0),COLUMNS($AT$2:AZ231)),"")</f>
        <v>17</v>
      </c>
      <c r="BB231">
        <f>IF(BA231&lt;&gt;"",INDEX($AE$2:$AP$440,MATCH($AT231,$AS$2:$AS$440,0),COLUMNS($AT$2:BA231)),"")</f>
        <v>45</v>
      </c>
      <c r="BC231">
        <f>IF(BB231&lt;&gt;"",INDEX($AE$2:$AP$440,MATCH($AT231,$AS$2:$AS$440,0),COLUMNS($AT$2:BB231)),"")</f>
        <v>52</v>
      </c>
      <c r="BD231">
        <f>IF(BC231&lt;&gt;"",INDEX($AE$2:$AP$440,MATCH($AT231,$AS$2:$AS$440,0),COLUMNS($AT$2:BC231)),"")</f>
        <v>-7</v>
      </c>
      <c r="BE231">
        <f>IF(BD231&lt;&gt;"",INDEX($AE$2:$AP$440,MATCH($AT231,$AS$2:$AS$440,0),COLUMNS($AT$2:BD231)),"")</f>
        <v>47</v>
      </c>
      <c r="BF231">
        <f>IF(BE231&lt;&gt;"",INDEX($AE$2:$AP$440,MATCH($AT231,$AS$2:$AS$440,0),COLUMNS($AT$2:BE231)),"")</f>
        <v>10</v>
      </c>
    </row>
    <row r="232" spans="1:58" x14ac:dyDescent="0.25">
      <c r="A232" s="3">
        <v>2011</v>
      </c>
      <c r="B232" s="3">
        <v>11</v>
      </c>
      <c r="C232" s="4" t="s">
        <v>48</v>
      </c>
      <c r="D232" s="3">
        <v>38</v>
      </c>
      <c r="E232" s="3">
        <v>12</v>
      </c>
      <c r="F232" s="3">
        <v>11</v>
      </c>
      <c r="G232" s="3">
        <v>15</v>
      </c>
      <c r="H232" s="3">
        <v>44</v>
      </c>
      <c r="I232" s="3">
        <v>51</v>
      </c>
      <c r="J232" s="3">
        <v>-7</v>
      </c>
      <c r="K232" s="3">
        <v>47</v>
      </c>
      <c r="L232" s="5">
        <f>IF(Table2[[#This Row],['#]]=1,"Champion", IF(Table2[[#This Row],['#]]&gt;=18,"Relegated",Table2[[#This Row],['#]]))</f>
        <v>11</v>
      </c>
      <c r="N232">
        <f>IF(COUNTIF($O$2:O232,O232)=1,N231+1,N231)</f>
        <v>38</v>
      </c>
      <c r="O232" s="4" t="str">
        <f>Table2[[#This Row],[Team]]</f>
        <v>Swansea City</v>
      </c>
      <c r="P232" s="1" t="str">
        <f>IFERROR(VLOOKUP(ROWS($O$2:O232),$N$2:$O$441,2,0),"")</f>
        <v/>
      </c>
      <c r="Q232" s="1" t="str">
        <f>IF(P232&lt;&gt;"",SUMPRODUCT(--(Table2[Team]=P232)),"")</f>
        <v/>
      </c>
      <c r="R232" s="11" t="str">
        <f>IF(Q232&lt;&gt;"",Q232+ROWS($Q$2:Q232)/100,"")</f>
        <v/>
      </c>
      <c r="S232" t="str">
        <f>IF(R232&lt;&gt;"",LARGE($R$2:$R$441,ROWS($R$2:R232)),"")</f>
        <v/>
      </c>
      <c r="T232" s="1" t="str">
        <f>IF(R232&lt;&gt;"",INDEX($P$2:$Q$441,MATCH($S232,$R$2:$R$441,0),COLUMNS($S$2:S232)),"")</f>
        <v/>
      </c>
      <c r="U232" s="1" t="str">
        <f>IF(S232&lt;&gt;"",INDEX($P$2:$Q$441,MATCH($S232,$R$2:$R$441,0),COLUMNS($S$2:T232)),"")</f>
        <v/>
      </c>
      <c r="AE232" s="1">
        <f>Table2[[#This Row],[Year]]</f>
        <v>2011</v>
      </c>
      <c r="AF232" s="1">
        <f>Table2[[#This Row],['#]]</f>
        <v>11</v>
      </c>
      <c r="AG232" s="1" t="str">
        <f>Table2[[#This Row],[Team]]</f>
        <v>Swansea City</v>
      </c>
      <c r="AH232" s="1">
        <f>Table2[[#This Row],[Pl]]</f>
        <v>38</v>
      </c>
      <c r="AI232" s="1">
        <f>Table2[[#This Row],[W]]</f>
        <v>12</v>
      </c>
      <c r="AJ232" s="1">
        <f>Table2[[#This Row],[D]]</f>
        <v>11</v>
      </c>
      <c r="AK232" s="1">
        <f>Table2[[#This Row],[L]]</f>
        <v>15</v>
      </c>
      <c r="AL232" s="1">
        <f>Table2[[#This Row],[F]]</f>
        <v>44</v>
      </c>
      <c r="AM232" s="1">
        <f>Table2[[#This Row],[A]]</f>
        <v>51</v>
      </c>
      <c r="AN232" s="1">
        <f>Table2[[#This Row],[GD]]</f>
        <v>-7</v>
      </c>
      <c r="AO232" s="1">
        <f>Table2[[#This Row],[Pts]]</f>
        <v>47</v>
      </c>
      <c r="AP232" s="1">
        <f>Table2[[#This Row],[Column1]]</f>
        <v>11</v>
      </c>
      <c r="AR232" t="b">
        <f t="shared" si="7"/>
        <v>1</v>
      </c>
      <c r="AS232">
        <f>IF(AR232,ROWS($AR$2:AR232),"")</f>
        <v>231</v>
      </c>
      <c r="AT232">
        <f>IFERROR(SMALL($AS$2:$AS$440,ROWS($AS$2:AS232)),"")</f>
        <v>231</v>
      </c>
      <c r="AU232">
        <f>IF(AT232&lt;&gt;"",INDEX($AE$2:$AP$440,MATCH($AT232,$AS$2:$AS$440,0),COLUMNS($AT$2:AT232)),"")</f>
        <v>2011</v>
      </c>
      <c r="AV232">
        <f>IF(AU232&lt;&gt;"",INDEX($AE$2:$AP$440,MATCH($AT232,$AS$2:$AS$440,0),COLUMNS($AT$2:AU232)),"")</f>
        <v>11</v>
      </c>
      <c r="AW232" t="str">
        <f>IF(AV232&lt;&gt;"",INDEX($AE$2:$AP$440,MATCH($AT232,$AS$2:$AS$440,0),COLUMNS($AT$2:AV232)),"")</f>
        <v>Swansea City</v>
      </c>
      <c r="AX232">
        <f>IF(AW232&lt;&gt;"",INDEX($AE$2:$AP$440,MATCH($AT232,$AS$2:$AS$440,0),COLUMNS($AT$2:AW232)),"")</f>
        <v>38</v>
      </c>
      <c r="AY232">
        <f>IF(AX232&lt;&gt;"",INDEX($AE$2:$AP$440,MATCH($AT232,$AS$2:$AS$440,0),COLUMNS($AT$2:AX232)),"")</f>
        <v>12</v>
      </c>
      <c r="AZ232">
        <f>IF(AY232&lt;&gt;"",INDEX($AE$2:$AP$440,MATCH($AT232,$AS$2:$AS$440,0),COLUMNS($AT$2:AY232)),"")</f>
        <v>11</v>
      </c>
      <c r="BA232">
        <f>IF(AZ232&lt;&gt;"",INDEX($AE$2:$AP$440,MATCH($AT232,$AS$2:$AS$440,0),COLUMNS($AT$2:AZ232)),"")</f>
        <v>15</v>
      </c>
      <c r="BB232">
        <f>IF(BA232&lt;&gt;"",INDEX($AE$2:$AP$440,MATCH($AT232,$AS$2:$AS$440,0),COLUMNS($AT$2:BA232)),"")</f>
        <v>44</v>
      </c>
      <c r="BC232">
        <f>IF(BB232&lt;&gt;"",INDEX($AE$2:$AP$440,MATCH($AT232,$AS$2:$AS$440,0),COLUMNS($AT$2:BB232)),"")</f>
        <v>51</v>
      </c>
      <c r="BD232">
        <f>IF(BC232&lt;&gt;"",INDEX($AE$2:$AP$440,MATCH($AT232,$AS$2:$AS$440,0),COLUMNS($AT$2:BC232)),"")</f>
        <v>-7</v>
      </c>
      <c r="BE232">
        <f>IF(BD232&lt;&gt;"",INDEX($AE$2:$AP$440,MATCH($AT232,$AS$2:$AS$440,0),COLUMNS($AT$2:BD232)),"")</f>
        <v>47</v>
      </c>
      <c r="BF232">
        <f>IF(BE232&lt;&gt;"",INDEX($AE$2:$AP$440,MATCH($AT232,$AS$2:$AS$440,0),COLUMNS($AT$2:BE232)),"")</f>
        <v>11</v>
      </c>
    </row>
    <row r="233" spans="1:58" x14ac:dyDescent="0.25">
      <c r="A233" s="5">
        <v>2011</v>
      </c>
      <c r="B233" s="5">
        <v>12</v>
      </c>
      <c r="C233" s="6" t="s">
        <v>39</v>
      </c>
      <c r="D233" s="5">
        <v>38</v>
      </c>
      <c r="E233" s="5">
        <v>12</v>
      </c>
      <c r="F233" s="5">
        <v>11</v>
      </c>
      <c r="G233" s="5">
        <v>15</v>
      </c>
      <c r="H233" s="5">
        <v>52</v>
      </c>
      <c r="I233" s="5">
        <v>66</v>
      </c>
      <c r="J233" s="5">
        <v>-14</v>
      </c>
      <c r="K233" s="5">
        <v>47</v>
      </c>
      <c r="L233" s="5">
        <f>IF(Table2[[#This Row],['#]]=1,"Champion", IF(Table2[[#This Row],['#]]&gt;=18,"Relegated",Table2[[#This Row],['#]]))</f>
        <v>12</v>
      </c>
      <c r="N233">
        <f>IF(COUNTIF($O$2:O233,O233)=1,N232+1,N232)</f>
        <v>38</v>
      </c>
      <c r="O233" s="4" t="str">
        <f>Table2[[#This Row],[Team]]</f>
        <v>Norwich City</v>
      </c>
      <c r="P233" s="1" t="str">
        <f>IFERROR(VLOOKUP(ROWS($O$2:O233),$N$2:$O$441,2,0),"")</f>
        <v/>
      </c>
      <c r="Q233" s="1" t="str">
        <f>IF(P233&lt;&gt;"",SUMPRODUCT(--(Table2[Team]=P233)),"")</f>
        <v/>
      </c>
      <c r="R233" s="11" t="str">
        <f>IF(Q233&lt;&gt;"",Q233+ROWS($Q$2:Q233)/100,"")</f>
        <v/>
      </c>
      <c r="S233" t="str">
        <f>IF(R233&lt;&gt;"",LARGE($R$2:$R$441,ROWS($R$2:R233)),"")</f>
        <v/>
      </c>
      <c r="T233" s="1" t="str">
        <f>IF(R233&lt;&gt;"",INDEX($P$2:$Q$441,MATCH($S233,$R$2:$R$441,0),COLUMNS($S$2:S233)),"")</f>
        <v/>
      </c>
      <c r="U233" s="1" t="str">
        <f>IF(S233&lt;&gt;"",INDEX($P$2:$Q$441,MATCH($S233,$R$2:$R$441,0),COLUMNS($S$2:T233)),"")</f>
        <v/>
      </c>
      <c r="AE233" s="1">
        <f>Table2[[#This Row],[Year]]</f>
        <v>2011</v>
      </c>
      <c r="AF233" s="1">
        <f>Table2[[#This Row],['#]]</f>
        <v>12</v>
      </c>
      <c r="AG233" s="1" t="str">
        <f>Table2[[#This Row],[Team]]</f>
        <v>Norwich City</v>
      </c>
      <c r="AH233" s="1">
        <f>Table2[[#This Row],[Pl]]</f>
        <v>38</v>
      </c>
      <c r="AI233" s="1">
        <f>Table2[[#This Row],[W]]</f>
        <v>12</v>
      </c>
      <c r="AJ233" s="1">
        <f>Table2[[#This Row],[D]]</f>
        <v>11</v>
      </c>
      <c r="AK233" s="1">
        <f>Table2[[#This Row],[L]]</f>
        <v>15</v>
      </c>
      <c r="AL233" s="1">
        <f>Table2[[#This Row],[F]]</f>
        <v>52</v>
      </c>
      <c r="AM233" s="1">
        <f>Table2[[#This Row],[A]]</f>
        <v>66</v>
      </c>
      <c r="AN233" s="1">
        <f>Table2[[#This Row],[GD]]</f>
        <v>-14</v>
      </c>
      <c r="AO233" s="1">
        <f>Table2[[#This Row],[Pts]]</f>
        <v>47</v>
      </c>
      <c r="AP233" s="1">
        <f>Table2[[#This Row],[Column1]]</f>
        <v>12</v>
      </c>
      <c r="AR233" t="b">
        <f t="shared" si="7"/>
        <v>1</v>
      </c>
      <c r="AS233">
        <f>IF(AR233,ROWS($AR$2:AR233),"")</f>
        <v>232</v>
      </c>
      <c r="AT233">
        <f>IFERROR(SMALL($AS$2:$AS$440,ROWS($AS$2:AS233)),"")</f>
        <v>232</v>
      </c>
      <c r="AU233">
        <f>IF(AT233&lt;&gt;"",INDEX($AE$2:$AP$440,MATCH($AT233,$AS$2:$AS$440,0),COLUMNS($AT$2:AT233)),"")</f>
        <v>2011</v>
      </c>
      <c r="AV233">
        <f>IF(AU233&lt;&gt;"",INDEX($AE$2:$AP$440,MATCH($AT233,$AS$2:$AS$440,0),COLUMNS($AT$2:AU233)),"")</f>
        <v>12</v>
      </c>
      <c r="AW233" t="str">
        <f>IF(AV233&lt;&gt;"",INDEX($AE$2:$AP$440,MATCH($AT233,$AS$2:$AS$440,0),COLUMNS($AT$2:AV233)),"")</f>
        <v>Norwich City</v>
      </c>
      <c r="AX233">
        <f>IF(AW233&lt;&gt;"",INDEX($AE$2:$AP$440,MATCH($AT233,$AS$2:$AS$440,0),COLUMNS($AT$2:AW233)),"")</f>
        <v>38</v>
      </c>
      <c r="AY233">
        <f>IF(AX233&lt;&gt;"",INDEX($AE$2:$AP$440,MATCH($AT233,$AS$2:$AS$440,0),COLUMNS($AT$2:AX233)),"")</f>
        <v>12</v>
      </c>
      <c r="AZ233">
        <f>IF(AY233&lt;&gt;"",INDEX($AE$2:$AP$440,MATCH($AT233,$AS$2:$AS$440,0),COLUMNS($AT$2:AY233)),"")</f>
        <v>11</v>
      </c>
      <c r="BA233">
        <f>IF(AZ233&lt;&gt;"",INDEX($AE$2:$AP$440,MATCH($AT233,$AS$2:$AS$440,0),COLUMNS($AT$2:AZ233)),"")</f>
        <v>15</v>
      </c>
      <c r="BB233">
        <f>IF(BA233&lt;&gt;"",INDEX($AE$2:$AP$440,MATCH($AT233,$AS$2:$AS$440,0),COLUMNS($AT$2:BA233)),"")</f>
        <v>52</v>
      </c>
      <c r="BC233">
        <f>IF(BB233&lt;&gt;"",INDEX($AE$2:$AP$440,MATCH($AT233,$AS$2:$AS$440,0),COLUMNS($AT$2:BB233)),"")</f>
        <v>66</v>
      </c>
      <c r="BD233">
        <f>IF(BC233&lt;&gt;"",INDEX($AE$2:$AP$440,MATCH($AT233,$AS$2:$AS$440,0),COLUMNS($AT$2:BC233)),"")</f>
        <v>-14</v>
      </c>
      <c r="BE233">
        <f>IF(BD233&lt;&gt;"",INDEX($AE$2:$AP$440,MATCH($AT233,$AS$2:$AS$440,0),COLUMNS($AT$2:BD233)),"")</f>
        <v>47</v>
      </c>
      <c r="BF233">
        <f>IF(BE233&lt;&gt;"",INDEX($AE$2:$AP$440,MATCH($AT233,$AS$2:$AS$440,0),COLUMNS($AT$2:BE233)),"")</f>
        <v>12</v>
      </c>
    </row>
    <row r="234" spans="1:58" x14ac:dyDescent="0.25">
      <c r="A234" s="3">
        <v>2011</v>
      </c>
      <c r="B234" s="3">
        <v>13</v>
      </c>
      <c r="C234" s="4" t="s">
        <v>17</v>
      </c>
      <c r="D234" s="3">
        <v>38</v>
      </c>
      <c r="E234" s="3">
        <v>11</v>
      </c>
      <c r="F234" s="3">
        <v>12</v>
      </c>
      <c r="G234" s="3">
        <v>15</v>
      </c>
      <c r="H234" s="3">
        <v>45</v>
      </c>
      <c r="I234" s="3">
        <v>46</v>
      </c>
      <c r="J234" s="3">
        <v>-1</v>
      </c>
      <c r="K234" s="3">
        <v>45</v>
      </c>
      <c r="L234" s="5">
        <f>IF(Table2[[#This Row],['#]]=1,"Champion", IF(Table2[[#This Row],['#]]&gt;=18,"Relegated",Table2[[#This Row],['#]]))</f>
        <v>13</v>
      </c>
      <c r="N234">
        <f>IF(COUNTIF($O$2:O234,O234)=1,N233+1,N233)</f>
        <v>38</v>
      </c>
      <c r="O234" s="4" t="str">
        <f>Table2[[#This Row],[Team]]</f>
        <v>Sunderland</v>
      </c>
      <c r="P234" s="1" t="str">
        <f>IFERROR(VLOOKUP(ROWS($O$2:O234),$N$2:$O$441,2,0),"")</f>
        <v/>
      </c>
      <c r="Q234" s="1" t="str">
        <f>IF(P234&lt;&gt;"",SUMPRODUCT(--(Table2[Team]=P234)),"")</f>
        <v/>
      </c>
      <c r="R234" s="11" t="str">
        <f>IF(Q234&lt;&gt;"",Q234+ROWS($Q$2:Q234)/100,"")</f>
        <v/>
      </c>
      <c r="S234" t="str">
        <f>IF(R234&lt;&gt;"",LARGE($R$2:$R$441,ROWS($R$2:R234)),"")</f>
        <v/>
      </c>
      <c r="T234" s="1" t="str">
        <f>IF(R234&lt;&gt;"",INDEX($P$2:$Q$441,MATCH($S234,$R$2:$R$441,0),COLUMNS($S$2:S234)),"")</f>
        <v/>
      </c>
      <c r="U234" s="1" t="str">
        <f>IF(S234&lt;&gt;"",INDEX($P$2:$Q$441,MATCH($S234,$R$2:$R$441,0),COLUMNS($S$2:T234)),"")</f>
        <v/>
      </c>
      <c r="AE234" s="1">
        <f>Table2[[#This Row],[Year]]</f>
        <v>2011</v>
      </c>
      <c r="AF234" s="1">
        <f>Table2[[#This Row],['#]]</f>
        <v>13</v>
      </c>
      <c r="AG234" s="1" t="str">
        <f>Table2[[#This Row],[Team]]</f>
        <v>Sunderland</v>
      </c>
      <c r="AH234" s="1">
        <f>Table2[[#This Row],[Pl]]</f>
        <v>38</v>
      </c>
      <c r="AI234" s="1">
        <f>Table2[[#This Row],[W]]</f>
        <v>11</v>
      </c>
      <c r="AJ234" s="1">
        <f>Table2[[#This Row],[D]]</f>
        <v>12</v>
      </c>
      <c r="AK234" s="1">
        <f>Table2[[#This Row],[L]]</f>
        <v>15</v>
      </c>
      <c r="AL234" s="1">
        <f>Table2[[#This Row],[F]]</f>
        <v>45</v>
      </c>
      <c r="AM234" s="1">
        <f>Table2[[#This Row],[A]]</f>
        <v>46</v>
      </c>
      <c r="AN234" s="1">
        <f>Table2[[#This Row],[GD]]</f>
        <v>-1</v>
      </c>
      <c r="AO234" s="1">
        <f>Table2[[#This Row],[Pts]]</f>
        <v>45</v>
      </c>
      <c r="AP234" s="1">
        <f>Table2[[#This Row],[Column1]]</f>
        <v>13</v>
      </c>
      <c r="AR234" t="b">
        <f t="shared" si="7"/>
        <v>1</v>
      </c>
      <c r="AS234">
        <f>IF(AR234,ROWS($AR$2:AR234),"")</f>
        <v>233</v>
      </c>
      <c r="AT234">
        <f>IFERROR(SMALL($AS$2:$AS$440,ROWS($AS$2:AS234)),"")</f>
        <v>233</v>
      </c>
      <c r="AU234">
        <f>IF(AT234&lt;&gt;"",INDEX($AE$2:$AP$440,MATCH($AT234,$AS$2:$AS$440,0),COLUMNS($AT$2:AT234)),"")</f>
        <v>2011</v>
      </c>
      <c r="AV234">
        <f>IF(AU234&lt;&gt;"",INDEX($AE$2:$AP$440,MATCH($AT234,$AS$2:$AS$440,0),COLUMNS($AT$2:AU234)),"")</f>
        <v>13</v>
      </c>
      <c r="AW234" t="str">
        <f>IF(AV234&lt;&gt;"",INDEX($AE$2:$AP$440,MATCH($AT234,$AS$2:$AS$440,0),COLUMNS($AT$2:AV234)),"")</f>
        <v>Sunderland</v>
      </c>
      <c r="AX234">
        <f>IF(AW234&lt;&gt;"",INDEX($AE$2:$AP$440,MATCH($AT234,$AS$2:$AS$440,0),COLUMNS($AT$2:AW234)),"")</f>
        <v>38</v>
      </c>
      <c r="AY234">
        <f>IF(AX234&lt;&gt;"",INDEX($AE$2:$AP$440,MATCH($AT234,$AS$2:$AS$440,0),COLUMNS($AT$2:AX234)),"")</f>
        <v>11</v>
      </c>
      <c r="AZ234">
        <f>IF(AY234&lt;&gt;"",INDEX($AE$2:$AP$440,MATCH($AT234,$AS$2:$AS$440,0),COLUMNS($AT$2:AY234)),"")</f>
        <v>12</v>
      </c>
      <c r="BA234">
        <f>IF(AZ234&lt;&gt;"",INDEX($AE$2:$AP$440,MATCH($AT234,$AS$2:$AS$440,0),COLUMNS($AT$2:AZ234)),"")</f>
        <v>15</v>
      </c>
      <c r="BB234">
        <f>IF(BA234&lt;&gt;"",INDEX($AE$2:$AP$440,MATCH($AT234,$AS$2:$AS$440,0),COLUMNS($AT$2:BA234)),"")</f>
        <v>45</v>
      </c>
      <c r="BC234">
        <f>IF(BB234&lt;&gt;"",INDEX($AE$2:$AP$440,MATCH($AT234,$AS$2:$AS$440,0),COLUMNS($AT$2:BB234)),"")</f>
        <v>46</v>
      </c>
      <c r="BD234">
        <f>IF(BC234&lt;&gt;"",INDEX($AE$2:$AP$440,MATCH($AT234,$AS$2:$AS$440,0),COLUMNS($AT$2:BC234)),"")</f>
        <v>-1</v>
      </c>
      <c r="BE234">
        <f>IF(BD234&lt;&gt;"",INDEX($AE$2:$AP$440,MATCH($AT234,$AS$2:$AS$440,0),COLUMNS($AT$2:BD234)),"")</f>
        <v>45</v>
      </c>
      <c r="BF234">
        <f>IF(BE234&lt;&gt;"",INDEX($AE$2:$AP$440,MATCH($AT234,$AS$2:$AS$440,0),COLUMNS($AT$2:BE234)),"")</f>
        <v>13</v>
      </c>
    </row>
    <row r="235" spans="1:58" x14ac:dyDescent="0.25">
      <c r="A235" s="5">
        <v>2011</v>
      </c>
      <c r="B235" s="5">
        <v>14</v>
      </c>
      <c r="C235" s="6" t="s">
        <v>44</v>
      </c>
      <c r="D235" s="5">
        <v>38</v>
      </c>
      <c r="E235" s="5">
        <v>11</v>
      </c>
      <c r="F235" s="5">
        <v>12</v>
      </c>
      <c r="G235" s="5">
        <v>15</v>
      </c>
      <c r="H235" s="5">
        <v>36</v>
      </c>
      <c r="I235" s="5">
        <v>53</v>
      </c>
      <c r="J235" s="5">
        <v>-17</v>
      </c>
      <c r="K235" s="5">
        <v>45</v>
      </c>
      <c r="L235" s="5">
        <f>IF(Table2[[#This Row],['#]]=1,"Champion", IF(Table2[[#This Row],['#]]&gt;=18,"Relegated",Table2[[#This Row],['#]]))</f>
        <v>14</v>
      </c>
      <c r="N235">
        <f>IF(COUNTIF($O$2:O235,O235)=1,N234+1,N234)</f>
        <v>38</v>
      </c>
      <c r="O235" s="4" t="str">
        <f>Table2[[#This Row],[Team]]</f>
        <v>Stoke City</v>
      </c>
      <c r="P235" s="1" t="str">
        <f>IFERROR(VLOOKUP(ROWS($O$2:O235),$N$2:$O$441,2,0),"")</f>
        <v/>
      </c>
      <c r="Q235" s="1" t="str">
        <f>IF(P235&lt;&gt;"",SUMPRODUCT(--(Table2[Team]=P235)),"")</f>
        <v/>
      </c>
      <c r="R235" s="11" t="str">
        <f>IF(Q235&lt;&gt;"",Q235+ROWS($Q$2:Q235)/100,"")</f>
        <v/>
      </c>
      <c r="S235" t="str">
        <f>IF(R235&lt;&gt;"",LARGE($R$2:$R$441,ROWS($R$2:R235)),"")</f>
        <v/>
      </c>
      <c r="T235" s="1" t="str">
        <f>IF(R235&lt;&gt;"",INDEX($P$2:$Q$441,MATCH($S235,$R$2:$R$441,0),COLUMNS($S$2:S235)),"")</f>
        <v/>
      </c>
      <c r="U235" s="1" t="str">
        <f>IF(S235&lt;&gt;"",INDEX($P$2:$Q$441,MATCH($S235,$R$2:$R$441,0),COLUMNS($S$2:T235)),"")</f>
        <v/>
      </c>
      <c r="AE235" s="1">
        <f>Table2[[#This Row],[Year]]</f>
        <v>2011</v>
      </c>
      <c r="AF235" s="1">
        <f>Table2[[#This Row],['#]]</f>
        <v>14</v>
      </c>
      <c r="AG235" s="1" t="str">
        <f>Table2[[#This Row],[Team]]</f>
        <v>Stoke City</v>
      </c>
      <c r="AH235" s="1">
        <f>Table2[[#This Row],[Pl]]</f>
        <v>38</v>
      </c>
      <c r="AI235" s="1">
        <f>Table2[[#This Row],[W]]</f>
        <v>11</v>
      </c>
      <c r="AJ235" s="1">
        <f>Table2[[#This Row],[D]]</f>
        <v>12</v>
      </c>
      <c r="AK235" s="1">
        <f>Table2[[#This Row],[L]]</f>
        <v>15</v>
      </c>
      <c r="AL235" s="1">
        <f>Table2[[#This Row],[F]]</f>
        <v>36</v>
      </c>
      <c r="AM235" s="1">
        <f>Table2[[#This Row],[A]]</f>
        <v>53</v>
      </c>
      <c r="AN235" s="1">
        <f>Table2[[#This Row],[GD]]</f>
        <v>-17</v>
      </c>
      <c r="AO235" s="1">
        <f>Table2[[#This Row],[Pts]]</f>
        <v>45</v>
      </c>
      <c r="AP235" s="1">
        <f>Table2[[#This Row],[Column1]]</f>
        <v>14</v>
      </c>
      <c r="AR235" t="b">
        <f t="shared" si="7"/>
        <v>1</v>
      </c>
      <c r="AS235">
        <f>IF(AR235,ROWS($AR$2:AR235),"")</f>
        <v>234</v>
      </c>
      <c r="AT235">
        <f>IFERROR(SMALL($AS$2:$AS$440,ROWS($AS$2:AS235)),"")</f>
        <v>234</v>
      </c>
      <c r="AU235">
        <f>IF(AT235&lt;&gt;"",INDEX($AE$2:$AP$440,MATCH($AT235,$AS$2:$AS$440,0),COLUMNS($AT$2:AT235)),"")</f>
        <v>2011</v>
      </c>
      <c r="AV235">
        <f>IF(AU235&lt;&gt;"",INDEX($AE$2:$AP$440,MATCH($AT235,$AS$2:$AS$440,0),COLUMNS($AT$2:AU235)),"")</f>
        <v>14</v>
      </c>
      <c r="AW235" t="str">
        <f>IF(AV235&lt;&gt;"",INDEX($AE$2:$AP$440,MATCH($AT235,$AS$2:$AS$440,0),COLUMNS($AT$2:AV235)),"")</f>
        <v>Stoke City</v>
      </c>
      <c r="AX235">
        <f>IF(AW235&lt;&gt;"",INDEX($AE$2:$AP$440,MATCH($AT235,$AS$2:$AS$440,0),COLUMNS($AT$2:AW235)),"")</f>
        <v>38</v>
      </c>
      <c r="AY235">
        <f>IF(AX235&lt;&gt;"",INDEX($AE$2:$AP$440,MATCH($AT235,$AS$2:$AS$440,0),COLUMNS($AT$2:AX235)),"")</f>
        <v>11</v>
      </c>
      <c r="AZ235">
        <f>IF(AY235&lt;&gt;"",INDEX($AE$2:$AP$440,MATCH($AT235,$AS$2:$AS$440,0),COLUMNS($AT$2:AY235)),"")</f>
        <v>12</v>
      </c>
      <c r="BA235">
        <f>IF(AZ235&lt;&gt;"",INDEX($AE$2:$AP$440,MATCH($AT235,$AS$2:$AS$440,0),COLUMNS($AT$2:AZ235)),"")</f>
        <v>15</v>
      </c>
      <c r="BB235">
        <f>IF(BA235&lt;&gt;"",INDEX($AE$2:$AP$440,MATCH($AT235,$AS$2:$AS$440,0),COLUMNS($AT$2:BA235)),"")</f>
        <v>36</v>
      </c>
      <c r="BC235">
        <f>IF(BB235&lt;&gt;"",INDEX($AE$2:$AP$440,MATCH($AT235,$AS$2:$AS$440,0),COLUMNS($AT$2:BB235)),"")</f>
        <v>53</v>
      </c>
      <c r="BD235">
        <f>IF(BC235&lt;&gt;"",INDEX($AE$2:$AP$440,MATCH($AT235,$AS$2:$AS$440,0),COLUMNS($AT$2:BC235)),"")</f>
        <v>-17</v>
      </c>
      <c r="BE235">
        <f>IF(BD235&lt;&gt;"",INDEX($AE$2:$AP$440,MATCH($AT235,$AS$2:$AS$440,0),COLUMNS($AT$2:BD235)),"")</f>
        <v>45</v>
      </c>
      <c r="BF235">
        <f>IF(BE235&lt;&gt;"",INDEX($AE$2:$AP$440,MATCH($AT235,$AS$2:$AS$440,0),COLUMNS($AT$2:BE235)),"")</f>
        <v>14</v>
      </c>
    </row>
    <row r="236" spans="1:58" x14ac:dyDescent="0.25">
      <c r="A236" s="3">
        <v>2011</v>
      </c>
      <c r="B236" s="3">
        <v>15</v>
      </c>
      <c r="C236" s="4" t="s">
        <v>40</v>
      </c>
      <c r="D236" s="3">
        <v>38</v>
      </c>
      <c r="E236" s="3">
        <v>11</v>
      </c>
      <c r="F236" s="3">
        <v>10</v>
      </c>
      <c r="G236" s="3">
        <v>17</v>
      </c>
      <c r="H236" s="3">
        <v>42</v>
      </c>
      <c r="I236" s="3">
        <v>62</v>
      </c>
      <c r="J236" s="3">
        <v>-20</v>
      </c>
      <c r="K236" s="3">
        <v>43</v>
      </c>
      <c r="L236" s="5">
        <f>IF(Table2[[#This Row],['#]]=1,"Champion", IF(Table2[[#This Row],['#]]&gt;=18,"Relegated",Table2[[#This Row],['#]]))</f>
        <v>15</v>
      </c>
      <c r="N236">
        <f>IF(COUNTIF($O$2:O236,O236)=1,N235+1,N235)</f>
        <v>38</v>
      </c>
      <c r="O236" s="4" t="str">
        <f>Table2[[#This Row],[Team]]</f>
        <v>Wigan Athletic</v>
      </c>
      <c r="P236" s="1" t="str">
        <f>IFERROR(VLOOKUP(ROWS($O$2:O236),$N$2:$O$441,2,0),"")</f>
        <v/>
      </c>
      <c r="Q236" s="1" t="str">
        <f>IF(P236&lt;&gt;"",SUMPRODUCT(--(Table2[Team]=P236)),"")</f>
        <v/>
      </c>
      <c r="R236" s="11" t="str">
        <f>IF(Q236&lt;&gt;"",Q236+ROWS($Q$2:Q236)/100,"")</f>
        <v/>
      </c>
      <c r="S236" t="str">
        <f>IF(R236&lt;&gt;"",LARGE($R$2:$R$441,ROWS($R$2:R236)),"")</f>
        <v/>
      </c>
      <c r="T236" s="1" t="str">
        <f>IF(R236&lt;&gt;"",INDEX($P$2:$Q$441,MATCH($S236,$R$2:$R$441,0),COLUMNS($S$2:S236)),"")</f>
        <v/>
      </c>
      <c r="U236" s="1" t="str">
        <f>IF(S236&lt;&gt;"",INDEX($P$2:$Q$441,MATCH($S236,$R$2:$R$441,0),COLUMNS($S$2:T236)),"")</f>
        <v/>
      </c>
      <c r="AE236" s="1">
        <f>Table2[[#This Row],[Year]]</f>
        <v>2011</v>
      </c>
      <c r="AF236" s="1">
        <f>Table2[[#This Row],['#]]</f>
        <v>15</v>
      </c>
      <c r="AG236" s="1" t="str">
        <f>Table2[[#This Row],[Team]]</f>
        <v>Wigan Athletic</v>
      </c>
      <c r="AH236" s="1">
        <f>Table2[[#This Row],[Pl]]</f>
        <v>38</v>
      </c>
      <c r="AI236" s="1">
        <f>Table2[[#This Row],[W]]</f>
        <v>11</v>
      </c>
      <c r="AJ236" s="1">
        <f>Table2[[#This Row],[D]]</f>
        <v>10</v>
      </c>
      <c r="AK236" s="1">
        <f>Table2[[#This Row],[L]]</f>
        <v>17</v>
      </c>
      <c r="AL236" s="1">
        <f>Table2[[#This Row],[F]]</f>
        <v>42</v>
      </c>
      <c r="AM236" s="1">
        <f>Table2[[#This Row],[A]]</f>
        <v>62</v>
      </c>
      <c r="AN236" s="1">
        <f>Table2[[#This Row],[GD]]</f>
        <v>-20</v>
      </c>
      <c r="AO236" s="1">
        <f>Table2[[#This Row],[Pts]]</f>
        <v>43</v>
      </c>
      <c r="AP236" s="1">
        <f>Table2[[#This Row],[Column1]]</f>
        <v>15</v>
      </c>
      <c r="AR236" t="b">
        <f t="shared" si="7"/>
        <v>1</v>
      </c>
      <c r="AS236">
        <f>IF(AR236,ROWS($AR$2:AR236),"")</f>
        <v>235</v>
      </c>
      <c r="AT236">
        <f>IFERROR(SMALL($AS$2:$AS$440,ROWS($AS$2:AS236)),"")</f>
        <v>235</v>
      </c>
      <c r="AU236">
        <f>IF(AT236&lt;&gt;"",INDEX($AE$2:$AP$440,MATCH($AT236,$AS$2:$AS$440,0),COLUMNS($AT$2:AT236)),"")</f>
        <v>2011</v>
      </c>
      <c r="AV236">
        <f>IF(AU236&lt;&gt;"",INDEX($AE$2:$AP$440,MATCH($AT236,$AS$2:$AS$440,0),COLUMNS($AT$2:AU236)),"")</f>
        <v>15</v>
      </c>
      <c r="AW236" t="str">
        <f>IF(AV236&lt;&gt;"",INDEX($AE$2:$AP$440,MATCH($AT236,$AS$2:$AS$440,0),COLUMNS($AT$2:AV236)),"")</f>
        <v>Wigan Athletic</v>
      </c>
      <c r="AX236">
        <f>IF(AW236&lt;&gt;"",INDEX($AE$2:$AP$440,MATCH($AT236,$AS$2:$AS$440,0),COLUMNS($AT$2:AW236)),"")</f>
        <v>38</v>
      </c>
      <c r="AY236">
        <f>IF(AX236&lt;&gt;"",INDEX($AE$2:$AP$440,MATCH($AT236,$AS$2:$AS$440,0),COLUMNS($AT$2:AX236)),"")</f>
        <v>11</v>
      </c>
      <c r="AZ236">
        <f>IF(AY236&lt;&gt;"",INDEX($AE$2:$AP$440,MATCH($AT236,$AS$2:$AS$440,0),COLUMNS($AT$2:AY236)),"")</f>
        <v>10</v>
      </c>
      <c r="BA236">
        <f>IF(AZ236&lt;&gt;"",INDEX($AE$2:$AP$440,MATCH($AT236,$AS$2:$AS$440,0),COLUMNS($AT$2:AZ236)),"")</f>
        <v>17</v>
      </c>
      <c r="BB236">
        <f>IF(BA236&lt;&gt;"",INDEX($AE$2:$AP$440,MATCH($AT236,$AS$2:$AS$440,0),COLUMNS($AT$2:BA236)),"")</f>
        <v>42</v>
      </c>
      <c r="BC236">
        <f>IF(BB236&lt;&gt;"",INDEX($AE$2:$AP$440,MATCH($AT236,$AS$2:$AS$440,0),COLUMNS($AT$2:BB236)),"")</f>
        <v>62</v>
      </c>
      <c r="BD236">
        <f>IF(BC236&lt;&gt;"",INDEX($AE$2:$AP$440,MATCH($AT236,$AS$2:$AS$440,0),COLUMNS($AT$2:BC236)),"")</f>
        <v>-20</v>
      </c>
      <c r="BE236">
        <f>IF(BD236&lt;&gt;"",INDEX($AE$2:$AP$440,MATCH($AT236,$AS$2:$AS$440,0),COLUMNS($AT$2:BD236)),"")</f>
        <v>43</v>
      </c>
      <c r="BF236">
        <f>IF(BE236&lt;&gt;"",INDEX($AE$2:$AP$440,MATCH($AT236,$AS$2:$AS$440,0),COLUMNS($AT$2:BE236)),"")</f>
        <v>15</v>
      </c>
    </row>
    <row r="237" spans="1:58" x14ac:dyDescent="0.25">
      <c r="A237" s="5">
        <v>2011</v>
      </c>
      <c r="B237" s="5">
        <v>16</v>
      </c>
      <c r="C237" s="6" t="s">
        <v>18</v>
      </c>
      <c r="D237" s="5">
        <v>38</v>
      </c>
      <c r="E237" s="5">
        <v>7</v>
      </c>
      <c r="F237" s="5">
        <v>17</v>
      </c>
      <c r="G237" s="5">
        <v>14</v>
      </c>
      <c r="H237" s="5">
        <v>37</v>
      </c>
      <c r="I237" s="5">
        <v>53</v>
      </c>
      <c r="J237" s="5">
        <v>-16</v>
      </c>
      <c r="K237" s="5">
        <v>38</v>
      </c>
      <c r="L237" s="5">
        <f>IF(Table2[[#This Row],['#]]=1,"Champion", IF(Table2[[#This Row],['#]]&gt;=18,"Relegated",Table2[[#This Row],['#]]))</f>
        <v>16</v>
      </c>
      <c r="N237">
        <f>IF(COUNTIF($O$2:O237,O237)=1,N236+1,N236)</f>
        <v>38</v>
      </c>
      <c r="O237" s="4" t="str">
        <f>Table2[[#This Row],[Team]]</f>
        <v>Aston Villa</v>
      </c>
      <c r="P237" s="1" t="str">
        <f>IFERROR(VLOOKUP(ROWS($O$2:O237),$N$2:$O$441,2,0),"")</f>
        <v/>
      </c>
      <c r="Q237" s="1" t="str">
        <f>IF(P237&lt;&gt;"",SUMPRODUCT(--(Table2[Team]=P237)),"")</f>
        <v/>
      </c>
      <c r="R237" s="11" t="str">
        <f>IF(Q237&lt;&gt;"",Q237+ROWS($Q$2:Q237)/100,"")</f>
        <v/>
      </c>
      <c r="S237" t="str">
        <f>IF(R237&lt;&gt;"",LARGE($R$2:$R$441,ROWS($R$2:R237)),"")</f>
        <v/>
      </c>
      <c r="T237" s="1" t="str">
        <f>IF(R237&lt;&gt;"",INDEX($P$2:$Q$441,MATCH($S237,$R$2:$R$441,0),COLUMNS($S$2:S237)),"")</f>
        <v/>
      </c>
      <c r="U237" s="1" t="str">
        <f>IF(S237&lt;&gt;"",INDEX($P$2:$Q$441,MATCH($S237,$R$2:$R$441,0),COLUMNS($S$2:T237)),"")</f>
        <v/>
      </c>
      <c r="AE237" s="1">
        <f>Table2[[#This Row],[Year]]</f>
        <v>2011</v>
      </c>
      <c r="AF237" s="1">
        <f>Table2[[#This Row],['#]]</f>
        <v>16</v>
      </c>
      <c r="AG237" s="1" t="str">
        <f>Table2[[#This Row],[Team]]</f>
        <v>Aston Villa</v>
      </c>
      <c r="AH237" s="1">
        <f>Table2[[#This Row],[Pl]]</f>
        <v>38</v>
      </c>
      <c r="AI237" s="1">
        <f>Table2[[#This Row],[W]]</f>
        <v>7</v>
      </c>
      <c r="AJ237" s="1">
        <f>Table2[[#This Row],[D]]</f>
        <v>17</v>
      </c>
      <c r="AK237" s="1">
        <f>Table2[[#This Row],[L]]</f>
        <v>14</v>
      </c>
      <c r="AL237" s="1">
        <f>Table2[[#This Row],[F]]</f>
        <v>37</v>
      </c>
      <c r="AM237" s="1">
        <f>Table2[[#This Row],[A]]</f>
        <v>53</v>
      </c>
      <c r="AN237" s="1">
        <f>Table2[[#This Row],[GD]]</f>
        <v>-16</v>
      </c>
      <c r="AO237" s="1">
        <f>Table2[[#This Row],[Pts]]</f>
        <v>38</v>
      </c>
      <c r="AP237" s="1">
        <f>Table2[[#This Row],[Column1]]</f>
        <v>16</v>
      </c>
      <c r="AR237" t="b">
        <f t="shared" si="7"/>
        <v>1</v>
      </c>
      <c r="AS237">
        <f>IF(AR237,ROWS($AR$2:AR237),"")</f>
        <v>236</v>
      </c>
      <c r="AT237">
        <f>IFERROR(SMALL($AS$2:$AS$440,ROWS($AS$2:AS237)),"")</f>
        <v>236</v>
      </c>
      <c r="AU237">
        <f>IF(AT237&lt;&gt;"",INDEX($AE$2:$AP$440,MATCH($AT237,$AS$2:$AS$440,0),COLUMNS($AT$2:AT237)),"")</f>
        <v>2011</v>
      </c>
      <c r="AV237">
        <f>IF(AU237&lt;&gt;"",INDEX($AE$2:$AP$440,MATCH($AT237,$AS$2:$AS$440,0),COLUMNS($AT$2:AU237)),"")</f>
        <v>16</v>
      </c>
      <c r="AW237" t="str">
        <f>IF(AV237&lt;&gt;"",INDEX($AE$2:$AP$440,MATCH($AT237,$AS$2:$AS$440,0),COLUMNS($AT$2:AV237)),"")</f>
        <v>Aston Villa</v>
      </c>
      <c r="AX237">
        <f>IF(AW237&lt;&gt;"",INDEX($AE$2:$AP$440,MATCH($AT237,$AS$2:$AS$440,0),COLUMNS($AT$2:AW237)),"")</f>
        <v>38</v>
      </c>
      <c r="AY237">
        <f>IF(AX237&lt;&gt;"",INDEX($AE$2:$AP$440,MATCH($AT237,$AS$2:$AS$440,0),COLUMNS($AT$2:AX237)),"")</f>
        <v>7</v>
      </c>
      <c r="AZ237">
        <f>IF(AY237&lt;&gt;"",INDEX($AE$2:$AP$440,MATCH($AT237,$AS$2:$AS$440,0),COLUMNS($AT$2:AY237)),"")</f>
        <v>17</v>
      </c>
      <c r="BA237">
        <f>IF(AZ237&lt;&gt;"",INDEX($AE$2:$AP$440,MATCH($AT237,$AS$2:$AS$440,0),COLUMNS($AT$2:AZ237)),"")</f>
        <v>14</v>
      </c>
      <c r="BB237">
        <f>IF(BA237&lt;&gt;"",INDEX($AE$2:$AP$440,MATCH($AT237,$AS$2:$AS$440,0),COLUMNS($AT$2:BA237)),"")</f>
        <v>37</v>
      </c>
      <c r="BC237">
        <f>IF(BB237&lt;&gt;"",INDEX($AE$2:$AP$440,MATCH($AT237,$AS$2:$AS$440,0),COLUMNS($AT$2:BB237)),"")</f>
        <v>53</v>
      </c>
      <c r="BD237">
        <f>IF(BC237&lt;&gt;"",INDEX($AE$2:$AP$440,MATCH($AT237,$AS$2:$AS$440,0),COLUMNS($AT$2:BC237)),"")</f>
        <v>-16</v>
      </c>
      <c r="BE237">
        <f>IF(BD237&lt;&gt;"",INDEX($AE$2:$AP$440,MATCH($AT237,$AS$2:$AS$440,0),COLUMNS($AT$2:BD237)),"")</f>
        <v>38</v>
      </c>
      <c r="BF237">
        <f>IF(BE237&lt;&gt;"",INDEX($AE$2:$AP$440,MATCH($AT237,$AS$2:$AS$440,0),COLUMNS($AT$2:BE237)),"")</f>
        <v>16</v>
      </c>
    </row>
    <row r="238" spans="1:58" x14ac:dyDescent="0.25">
      <c r="A238" s="3">
        <v>2011</v>
      </c>
      <c r="B238" s="3">
        <v>17</v>
      </c>
      <c r="C238" s="4" t="s">
        <v>49</v>
      </c>
      <c r="D238" s="3">
        <v>38</v>
      </c>
      <c r="E238" s="3">
        <v>10</v>
      </c>
      <c r="F238" s="3">
        <v>7</v>
      </c>
      <c r="G238" s="3">
        <v>21</v>
      </c>
      <c r="H238" s="3">
        <v>43</v>
      </c>
      <c r="I238" s="3">
        <v>66</v>
      </c>
      <c r="J238" s="3">
        <v>-23</v>
      </c>
      <c r="K238" s="3">
        <v>37</v>
      </c>
      <c r="L238" s="5">
        <f>IF(Table2[[#This Row],['#]]=1,"Champion", IF(Table2[[#This Row],['#]]&gt;=18,"Relegated",Table2[[#This Row],['#]]))</f>
        <v>17</v>
      </c>
      <c r="N238">
        <f>IF(COUNTIF($O$2:O238,O238)=1,N237+1,N237)</f>
        <v>39</v>
      </c>
      <c r="O238" s="4" t="str">
        <f>Table2[[#This Row],[Team]]</f>
        <v>Queens Park Rangers</v>
      </c>
      <c r="P238" s="1" t="str">
        <f>IFERROR(VLOOKUP(ROWS($O$2:O238),$N$2:$O$441,2,0),"")</f>
        <v/>
      </c>
      <c r="Q238" s="1" t="str">
        <f>IF(P238&lt;&gt;"",SUMPRODUCT(--(Table2[Team]=P238)),"")</f>
        <v/>
      </c>
      <c r="R238" s="11" t="str">
        <f>IF(Q238&lt;&gt;"",Q238+ROWS($Q$2:Q238)/100,"")</f>
        <v/>
      </c>
      <c r="S238" t="str">
        <f>IF(R238&lt;&gt;"",LARGE($R$2:$R$441,ROWS($R$2:R238)),"")</f>
        <v/>
      </c>
      <c r="T238" s="1" t="str">
        <f>IF(R238&lt;&gt;"",INDEX($P$2:$Q$441,MATCH($S238,$R$2:$R$441,0),COLUMNS($S$2:S238)),"")</f>
        <v/>
      </c>
      <c r="U238" s="1" t="str">
        <f>IF(S238&lt;&gt;"",INDEX($P$2:$Q$441,MATCH($S238,$R$2:$R$441,0),COLUMNS($S$2:T238)),"")</f>
        <v/>
      </c>
      <c r="AE238" s="1">
        <f>Table2[[#This Row],[Year]]</f>
        <v>2011</v>
      </c>
      <c r="AF238" s="1">
        <f>Table2[[#This Row],['#]]</f>
        <v>17</v>
      </c>
      <c r="AG238" s="1" t="str">
        <f>Table2[[#This Row],[Team]]</f>
        <v>Queens Park Rangers</v>
      </c>
      <c r="AH238" s="1">
        <f>Table2[[#This Row],[Pl]]</f>
        <v>38</v>
      </c>
      <c r="AI238" s="1">
        <f>Table2[[#This Row],[W]]</f>
        <v>10</v>
      </c>
      <c r="AJ238" s="1">
        <f>Table2[[#This Row],[D]]</f>
        <v>7</v>
      </c>
      <c r="AK238" s="1">
        <f>Table2[[#This Row],[L]]</f>
        <v>21</v>
      </c>
      <c r="AL238" s="1">
        <f>Table2[[#This Row],[F]]</f>
        <v>43</v>
      </c>
      <c r="AM238" s="1">
        <f>Table2[[#This Row],[A]]</f>
        <v>66</v>
      </c>
      <c r="AN238" s="1">
        <f>Table2[[#This Row],[GD]]</f>
        <v>-23</v>
      </c>
      <c r="AO238" s="1">
        <f>Table2[[#This Row],[Pts]]</f>
        <v>37</v>
      </c>
      <c r="AP238" s="1">
        <f>Table2[[#This Row],[Column1]]</f>
        <v>17</v>
      </c>
      <c r="AR238" t="b">
        <f t="shared" si="7"/>
        <v>1</v>
      </c>
      <c r="AS238">
        <f>IF(AR238,ROWS($AR$2:AR238),"")</f>
        <v>237</v>
      </c>
      <c r="AT238">
        <f>IFERROR(SMALL($AS$2:$AS$440,ROWS($AS$2:AS238)),"")</f>
        <v>237</v>
      </c>
      <c r="AU238">
        <f>IF(AT238&lt;&gt;"",INDEX($AE$2:$AP$440,MATCH($AT238,$AS$2:$AS$440,0),COLUMNS($AT$2:AT238)),"")</f>
        <v>2011</v>
      </c>
      <c r="AV238">
        <f>IF(AU238&lt;&gt;"",INDEX($AE$2:$AP$440,MATCH($AT238,$AS$2:$AS$440,0),COLUMNS($AT$2:AU238)),"")</f>
        <v>17</v>
      </c>
      <c r="AW238" t="str">
        <f>IF(AV238&lt;&gt;"",INDEX($AE$2:$AP$440,MATCH($AT238,$AS$2:$AS$440,0),COLUMNS($AT$2:AV238)),"")</f>
        <v>Queens Park Rangers</v>
      </c>
      <c r="AX238">
        <f>IF(AW238&lt;&gt;"",INDEX($AE$2:$AP$440,MATCH($AT238,$AS$2:$AS$440,0),COLUMNS($AT$2:AW238)),"")</f>
        <v>38</v>
      </c>
      <c r="AY238">
        <f>IF(AX238&lt;&gt;"",INDEX($AE$2:$AP$440,MATCH($AT238,$AS$2:$AS$440,0),COLUMNS($AT$2:AX238)),"")</f>
        <v>10</v>
      </c>
      <c r="AZ238">
        <f>IF(AY238&lt;&gt;"",INDEX($AE$2:$AP$440,MATCH($AT238,$AS$2:$AS$440,0),COLUMNS($AT$2:AY238)),"")</f>
        <v>7</v>
      </c>
      <c r="BA238">
        <f>IF(AZ238&lt;&gt;"",INDEX($AE$2:$AP$440,MATCH($AT238,$AS$2:$AS$440,0),COLUMNS($AT$2:AZ238)),"")</f>
        <v>21</v>
      </c>
      <c r="BB238">
        <f>IF(BA238&lt;&gt;"",INDEX($AE$2:$AP$440,MATCH($AT238,$AS$2:$AS$440,0),COLUMNS($AT$2:BA238)),"")</f>
        <v>43</v>
      </c>
      <c r="BC238">
        <f>IF(BB238&lt;&gt;"",INDEX($AE$2:$AP$440,MATCH($AT238,$AS$2:$AS$440,0),COLUMNS($AT$2:BB238)),"")</f>
        <v>66</v>
      </c>
      <c r="BD238">
        <f>IF(BC238&lt;&gt;"",INDEX($AE$2:$AP$440,MATCH($AT238,$AS$2:$AS$440,0),COLUMNS($AT$2:BC238)),"")</f>
        <v>-23</v>
      </c>
      <c r="BE238">
        <f>IF(BD238&lt;&gt;"",INDEX($AE$2:$AP$440,MATCH($AT238,$AS$2:$AS$440,0),COLUMNS($AT$2:BD238)),"")</f>
        <v>37</v>
      </c>
      <c r="BF238">
        <f>IF(BE238&lt;&gt;"",INDEX($AE$2:$AP$440,MATCH($AT238,$AS$2:$AS$440,0),COLUMNS($AT$2:BE238)),"")</f>
        <v>17</v>
      </c>
    </row>
    <row r="239" spans="1:58" x14ac:dyDescent="0.25">
      <c r="A239" s="5">
        <v>2011</v>
      </c>
      <c r="B239" s="5">
        <v>18</v>
      </c>
      <c r="C239" s="6" t="s">
        <v>33</v>
      </c>
      <c r="D239" s="5">
        <v>38</v>
      </c>
      <c r="E239" s="5">
        <v>10</v>
      </c>
      <c r="F239" s="5">
        <v>6</v>
      </c>
      <c r="G239" s="5">
        <v>22</v>
      </c>
      <c r="H239" s="5">
        <v>46</v>
      </c>
      <c r="I239" s="5">
        <v>77</v>
      </c>
      <c r="J239" s="5">
        <v>-31</v>
      </c>
      <c r="K239" s="5">
        <v>36</v>
      </c>
      <c r="L239" s="5" t="str">
        <f>IF(Table2[[#This Row],['#]]=1,"Champion", IF(Table2[[#This Row],['#]]&gt;=18,"Relegated",Table2[[#This Row],['#]]))</f>
        <v>Relegated</v>
      </c>
      <c r="N239">
        <f>IF(COUNTIF($O$2:O239,O239)=1,N238+1,N238)</f>
        <v>39</v>
      </c>
      <c r="O239" s="4" t="str">
        <f>Table2[[#This Row],[Team]]</f>
        <v>Bolton Wanderers</v>
      </c>
      <c r="P239" s="1" t="str">
        <f>IFERROR(VLOOKUP(ROWS($O$2:O239),$N$2:$O$441,2,0),"")</f>
        <v/>
      </c>
      <c r="Q239" s="1" t="str">
        <f>IF(P239&lt;&gt;"",SUMPRODUCT(--(Table2[Team]=P239)),"")</f>
        <v/>
      </c>
      <c r="R239" s="11" t="str">
        <f>IF(Q239&lt;&gt;"",Q239+ROWS($Q$2:Q239)/100,"")</f>
        <v/>
      </c>
      <c r="S239" t="str">
        <f>IF(R239&lt;&gt;"",LARGE($R$2:$R$441,ROWS($R$2:R239)),"")</f>
        <v/>
      </c>
      <c r="T239" s="1" t="str">
        <f>IF(R239&lt;&gt;"",INDEX($P$2:$Q$441,MATCH($S239,$R$2:$R$441,0),COLUMNS($S$2:S239)),"")</f>
        <v/>
      </c>
      <c r="U239" s="1" t="str">
        <f>IF(S239&lt;&gt;"",INDEX($P$2:$Q$441,MATCH($S239,$R$2:$R$441,0),COLUMNS($S$2:T239)),"")</f>
        <v/>
      </c>
      <c r="AE239" s="1">
        <f>Table2[[#This Row],[Year]]</f>
        <v>2011</v>
      </c>
      <c r="AF239" s="1">
        <f>Table2[[#This Row],['#]]</f>
        <v>18</v>
      </c>
      <c r="AG239" s="1" t="str">
        <f>Table2[[#This Row],[Team]]</f>
        <v>Bolton Wanderers</v>
      </c>
      <c r="AH239" s="1">
        <f>Table2[[#This Row],[Pl]]</f>
        <v>38</v>
      </c>
      <c r="AI239" s="1">
        <f>Table2[[#This Row],[W]]</f>
        <v>10</v>
      </c>
      <c r="AJ239" s="1">
        <f>Table2[[#This Row],[D]]</f>
        <v>6</v>
      </c>
      <c r="AK239" s="1">
        <f>Table2[[#This Row],[L]]</f>
        <v>22</v>
      </c>
      <c r="AL239" s="1">
        <f>Table2[[#This Row],[F]]</f>
        <v>46</v>
      </c>
      <c r="AM239" s="1">
        <f>Table2[[#This Row],[A]]</f>
        <v>77</v>
      </c>
      <c r="AN239" s="1">
        <f>Table2[[#This Row],[GD]]</f>
        <v>-31</v>
      </c>
      <c r="AO239" s="1">
        <f>Table2[[#This Row],[Pts]]</f>
        <v>36</v>
      </c>
      <c r="AP239" s="1" t="str">
        <f>Table2[[#This Row],[Column1]]</f>
        <v>Relegated</v>
      </c>
      <c r="AR239" t="b">
        <f t="shared" si="7"/>
        <v>1</v>
      </c>
      <c r="AS239">
        <f>IF(AR239,ROWS($AR$2:AR239),"")</f>
        <v>238</v>
      </c>
      <c r="AT239">
        <f>IFERROR(SMALL($AS$2:$AS$440,ROWS($AS$2:AS239)),"")</f>
        <v>238</v>
      </c>
      <c r="AU239">
        <f>IF(AT239&lt;&gt;"",INDEX($AE$2:$AP$440,MATCH($AT239,$AS$2:$AS$440,0),COLUMNS($AT$2:AT239)),"")</f>
        <v>2011</v>
      </c>
      <c r="AV239">
        <f>IF(AU239&lt;&gt;"",INDEX($AE$2:$AP$440,MATCH($AT239,$AS$2:$AS$440,0),COLUMNS($AT$2:AU239)),"")</f>
        <v>18</v>
      </c>
      <c r="AW239" t="str">
        <f>IF(AV239&lt;&gt;"",INDEX($AE$2:$AP$440,MATCH($AT239,$AS$2:$AS$440,0),COLUMNS($AT$2:AV239)),"")</f>
        <v>Bolton Wanderers</v>
      </c>
      <c r="AX239">
        <f>IF(AW239&lt;&gt;"",INDEX($AE$2:$AP$440,MATCH($AT239,$AS$2:$AS$440,0),COLUMNS($AT$2:AW239)),"")</f>
        <v>38</v>
      </c>
      <c r="AY239">
        <f>IF(AX239&lt;&gt;"",INDEX($AE$2:$AP$440,MATCH($AT239,$AS$2:$AS$440,0),COLUMNS($AT$2:AX239)),"")</f>
        <v>10</v>
      </c>
      <c r="AZ239">
        <f>IF(AY239&lt;&gt;"",INDEX($AE$2:$AP$440,MATCH($AT239,$AS$2:$AS$440,0),COLUMNS($AT$2:AY239)),"")</f>
        <v>6</v>
      </c>
      <c r="BA239">
        <f>IF(AZ239&lt;&gt;"",INDEX($AE$2:$AP$440,MATCH($AT239,$AS$2:$AS$440,0),COLUMNS($AT$2:AZ239)),"")</f>
        <v>22</v>
      </c>
      <c r="BB239">
        <f>IF(BA239&lt;&gt;"",INDEX($AE$2:$AP$440,MATCH($AT239,$AS$2:$AS$440,0),COLUMNS($AT$2:BA239)),"")</f>
        <v>46</v>
      </c>
      <c r="BC239">
        <f>IF(BB239&lt;&gt;"",INDEX($AE$2:$AP$440,MATCH($AT239,$AS$2:$AS$440,0),COLUMNS($AT$2:BB239)),"")</f>
        <v>77</v>
      </c>
      <c r="BD239">
        <f>IF(BC239&lt;&gt;"",INDEX($AE$2:$AP$440,MATCH($AT239,$AS$2:$AS$440,0),COLUMNS($AT$2:BC239)),"")</f>
        <v>-31</v>
      </c>
      <c r="BE239">
        <f>IF(BD239&lt;&gt;"",INDEX($AE$2:$AP$440,MATCH($AT239,$AS$2:$AS$440,0),COLUMNS($AT$2:BD239)),"")</f>
        <v>36</v>
      </c>
      <c r="BF239" t="str">
        <f>IF(BE239&lt;&gt;"",INDEX($AE$2:$AP$440,MATCH($AT239,$AS$2:$AS$440,0),COLUMNS($AT$2:BE239)),"")</f>
        <v>Relegated</v>
      </c>
    </row>
    <row r="240" spans="1:58" x14ac:dyDescent="0.25">
      <c r="A240" s="3">
        <v>2011</v>
      </c>
      <c r="B240" s="3">
        <v>19</v>
      </c>
      <c r="C240" s="4" t="s">
        <v>31</v>
      </c>
      <c r="D240" s="3">
        <v>38</v>
      </c>
      <c r="E240" s="3">
        <v>8</v>
      </c>
      <c r="F240" s="3">
        <v>7</v>
      </c>
      <c r="G240" s="3">
        <v>23</v>
      </c>
      <c r="H240" s="3">
        <v>48</v>
      </c>
      <c r="I240" s="3">
        <v>78</v>
      </c>
      <c r="J240" s="3">
        <v>-30</v>
      </c>
      <c r="K240" s="3">
        <v>31</v>
      </c>
      <c r="L240" s="5" t="str">
        <f>IF(Table2[[#This Row],['#]]=1,"Champion", IF(Table2[[#This Row],['#]]&gt;=18,"Relegated",Table2[[#This Row],['#]]))</f>
        <v>Relegated</v>
      </c>
      <c r="N240">
        <f>IF(COUNTIF($O$2:O240,O240)=1,N239+1,N239)</f>
        <v>39</v>
      </c>
      <c r="O240" s="4" t="str">
        <f>Table2[[#This Row],[Team]]</f>
        <v>Blackburn Rovers</v>
      </c>
      <c r="P240" s="1" t="str">
        <f>IFERROR(VLOOKUP(ROWS($O$2:O240),$N$2:$O$441,2,0),"")</f>
        <v/>
      </c>
      <c r="Q240" s="1" t="str">
        <f>IF(P240&lt;&gt;"",SUMPRODUCT(--(Table2[Team]=P240)),"")</f>
        <v/>
      </c>
      <c r="R240" s="11" t="str">
        <f>IF(Q240&lt;&gt;"",Q240+ROWS($Q$2:Q240)/100,"")</f>
        <v/>
      </c>
      <c r="S240" t="str">
        <f>IF(R240&lt;&gt;"",LARGE($R$2:$R$441,ROWS($R$2:R240)),"")</f>
        <v/>
      </c>
      <c r="T240" s="1" t="str">
        <f>IF(R240&lt;&gt;"",INDEX($P$2:$Q$441,MATCH($S240,$R$2:$R$441,0),COLUMNS($S$2:S240)),"")</f>
        <v/>
      </c>
      <c r="U240" s="1" t="str">
        <f>IF(S240&lt;&gt;"",INDEX($P$2:$Q$441,MATCH($S240,$R$2:$R$441,0),COLUMNS($S$2:T240)),"")</f>
        <v/>
      </c>
      <c r="AE240" s="1">
        <f>Table2[[#This Row],[Year]]</f>
        <v>2011</v>
      </c>
      <c r="AF240" s="1">
        <f>Table2[[#This Row],['#]]</f>
        <v>19</v>
      </c>
      <c r="AG240" s="1" t="str">
        <f>Table2[[#This Row],[Team]]</f>
        <v>Blackburn Rovers</v>
      </c>
      <c r="AH240" s="1">
        <f>Table2[[#This Row],[Pl]]</f>
        <v>38</v>
      </c>
      <c r="AI240" s="1">
        <f>Table2[[#This Row],[W]]</f>
        <v>8</v>
      </c>
      <c r="AJ240" s="1">
        <f>Table2[[#This Row],[D]]</f>
        <v>7</v>
      </c>
      <c r="AK240" s="1">
        <f>Table2[[#This Row],[L]]</f>
        <v>23</v>
      </c>
      <c r="AL240" s="1">
        <f>Table2[[#This Row],[F]]</f>
        <v>48</v>
      </c>
      <c r="AM240" s="1">
        <f>Table2[[#This Row],[A]]</f>
        <v>78</v>
      </c>
      <c r="AN240" s="1">
        <f>Table2[[#This Row],[GD]]</f>
        <v>-30</v>
      </c>
      <c r="AO240" s="1">
        <f>Table2[[#This Row],[Pts]]</f>
        <v>31</v>
      </c>
      <c r="AP240" s="1" t="str">
        <f>Table2[[#This Row],[Column1]]</f>
        <v>Relegated</v>
      </c>
      <c r="AR240" t="b">
        <f t="shared" si="7"/>
        <v>1</v>
      </c>
      <c r="AS240">
        <f>IF(AR240,ROWS($AR$2:AR240),"")</f>
        <v>239</v>
      </c>
      <c r="AT240">
        <f>IFERROR(SMALL($AS$2:$AS$440,ROWS($AS$2:AS240)),"")</f>
        <v>239</v>
      </c>
      <c r="AU240">
        <f>IF(AT240&lt;&gt;"",INDEX($AE$2:$AP$440,MATCH($AT240,$AS$2:$AS$440,0),COLUMNS($AT$2:AT240)),"")</f>
        <v>2011</v>
      </c>
      <c r="AV240">
        <f>IF(AU240&lt;&gt;"",INDEX($AE$2:$AP$440,MATCH($AT240,$AS$2:$AS$440,0),COLUMNS($AT$2:AU240)),"")</f>
        <v>19</v>
      </c>
      <c r="AW240" t="str">
        <f>IF(AV240&lt;&gt;"",INDEX($AE$2:$AP$440,MATCH($AT240,$AS$2:$AS$440,0),COLUMNS($AT$2:AV240)),"")</f>
        <v>Blackburn Rovers</v>
      </c>
      <c r="AX240">
        <f>IF(AW240&lt;&gt;"",INDEX($AE$2:$AP$440,MATCH($AT240,$AS$2:$AS$440,0),COLUMNS($AT$2:AW240)),"")</f>
        <v>38</v>
      </c>
      <c r="AY240">
        <f>IF(AX240&lt;&gt;"",INDEX($AE$2:$AP$440,MATCH($AT240,$AS$2:$AS$440,0),COLUMNS($AT$2:AX240)),"")</f>
        <v>8</v>
      </c>
      <c r="AZ240">
        <f>IF(AY240&lt;&gt;"",INDEX($AE$2:$AP$440,MATCH($AT240,$AS$2:$AS$440,0),COLUMNS($AT$2:AY240)),"")</f>
        <v>7</v>
      </c>
      <c r="BA240">
        <f>IF(AZ240&lt;&gt;"",INDEX($AE$2:$AP$440,MATCH($AT240,$AS$2:$AS$440,0),COLUMNS($AT$2:AZ240)),"")</f>
        <v>23</v>
      </c>
      <c r="BB240">
        <f>IF(BA240&lt;&gt;"",INDEX($AE$2:$AP$440,MATCH($AT240,$AS$2:$AS$440,0),COLUMNS($AT$2:BA240)),"")</f>
        <v>48</v>
      </c>
      <c r="BC240">
        <f>IF(BB240&lt;&gt;"",INDEX($AE$2:$AP$440,MATCH($AT240,$AS$2:$AS$440,0),COLUMNS($AT$2:BB240)),"")</f>
        <v>78</v>
      </c>
      <c r="BD240">
        <f>IF(BC240&lt;&gt;"",INDEX($AE$2:$AP$440,MATCH($AT240,$AS$2:$AS$440,0),COLUMNS($AT$2:BC240)),"")</f>
        <v>-30</v>
      </c>
      <c r="BE240">
        <f>IF(BD240&lt;&gt;"",INDEX($AE$2:$AP$440,MATCH($AT240,$AS$2:$AS$440,0),COLUMNS($AT$2:BD240)),"")</f>
        <v>31</v>
      </c>
      <c r="BF240" t="str">
        <f>IF(BE240&lt;&gt;"",INDEX($AE$2:$AP$440,MATCH($AT240,$AS$2:$AS$440,0),COLUMNS($AT$2:BE240)),"")</f>
        <v>Relegated</v>
      </c>
    </row>
    <row r="241" spans="1:58" x14ac:dyDescent="0.25">
      <c r="A241" s="5">
        <v>2011</v>
      </c>
      <c r="B241" s="5">
        <v>20</v>
      </c>
      <c r="C241" s="6" t="s">
        <v>37</v>
      </c>
      <c r="D241" s="5">
        <v>38</v>
      </c>
      <c r="E241" s="5">
        <v>5</v>
      </c>
      <c r="F241" s="5">
        <v>10</v>
      </c>
      <c r="G241" s="5">
        <v>23</v>
      </c>
      <c r="H241" s="5">
        <v>40</v>
      </c>
      <c r="I241" s="5">
        <v>82</v>
      </c>
      <c r="J241" s="5">
        <v>-42</v>
      </c>
      <c r="K241" s="5">
        <v>25</v>
      </c>
      <c r="L241" s="5" t="str">
        <f>IF(Table2[[#This Row],['#]]=1,"Champion", IF(Table2[[#This Row],['#]]&gt;=18,"Relegated",Table2[[#This Row],['#]]))</f>
        <v>Relegated</v>
      </c>
      <c r="N241">
        <f>IF(COUNTIF($O$2:O241,O241)=1,N240+1,N240)</f>
        <v>39</v>
      </c>
      <c r="O241" s="4" t="str">
        <f>Table2[[#This Row],[Team]]</f>
        <v>Wolverhampton Wanderers</v>
      </c>
      <c r="P241" s="1" t="str">
        <f>IFERROR(VLOOKUP(ROWS($O$2:O241),$N$2:$O$441,2,0),"")</f>
        <v/>
      </c>
      <c r="Q241" s="1" t="str">
        <f>IF(P241&lt;&gt;"",SUMPRODUCT(--(Table2[Team]=P241)),"")</f>
        <v/>
      </c>
      <c r="R241" s="11" t="str">
        <f>IF(Q241&lt;&gt;"",Q241+ROWS($Q$2:Q241)/100,"")</f>
        <v/>
      </c>
      <c r="S241" t="str">
        <f>IF(R241&lt;&gt;"",LARGE($R$2:$R$441,ROWS($R$2:R241)),"")</f>
        <v/>
      </c>
      <c r="T241" s="1" t="str">
        <f>IF(R241&lt;&gt;"",INDEX($P$2:$Q$441,MATCH($S241,$R$2:$R$441,0),COLUMNS($S$2:S241)),"")</f>
        <v/>
      </c>
      <c r="U241" s="1" t="str">
        <f>IF(S241&lt;&gt;"",INDEX($P$2:$Q$441,MATCH($S241,$R$2:$R$441,0),COLUMNS($S$2:T241)),"")</f>
        <v/>
      </c>
      <c r="AE241" s="1">
        <f>Table2[[#This Row],[Year]]</f>
        <v>2011</v>
      </c>
      <c r="AF241" s="1">
        <f>Table2[[#This Row],['#]]</f>
        <v>20</v>
      </c>
      <c r="AG241" s="1" t="str">
        <f>Table2[[#This Row],[Team]]</f>
        <v>Wolverhampton Wanderers</v>
      </c>
      <c r="AH241" s="1">
        <f>Table2[[#This Row],[Pl]]</f>
        <v>38</v>
      </c>
      <c r="AI241" s="1">
        <f>Table2[[#This Row],[W]]</f>
        <v>5</v>
      </c>
      <c r="AJ241" s="1">
        <f>Table2[[#This Row],[D]]</f>
        <v>10</v>
      </c>
      <c r="AK241" s="1">
        <f>Table2[[#This Row],[L]]</f>
        <v>23</v>
      </c>
      <c r="AL241" s="1">
        <f>Table2[[#This Row],[F]]</f>
        <v>40</v>
      </c>
      <c r="AM241" s="1">
        <f>Table2[[#This Row],[A]]</f>
        <v>82</v>
      </c>
      <c r="AN241" s="1">
        <f>Table2[[#This Row],[GD]]</f>
        <v>-42</v>
      </c>
      <c r="AO241" s="1">
        <f>Table2[[#This Row],[Pts]]</f>
        <v>25</v>
      </c>
      <c r="AP241" s="1" t="str">
        <f>Table2[[#This Row],[Column1]]</f>
        <v>Relegated</v>
      </c>
      <c r="AR241" t="b">
        <f t="shared" si="7"/>
        <v>1</v>
      </c>
      <c r="AS241">
        <f>IF(AR241,ROWS($AR$2:AR241),"")</f>
        <v>240</v>
      </c>
      <c r="AT241">
        <f>IFERROR(SMALL($AS$2:$AS$440,ROWS($AS$2:AS241)),"")</f>
        <v>240</v>
      </c>
      <c r="AU241">
        <f>IF(AT241&lt;&gt;"",INDEX($AE$2:$AP$440,MATCH($AT241,$AS$2:$AS$440,0),COLUMNS($AT$2:AT241)),"")</f>
        <v>2011</v>
      </c>
      <c r="AV241">
        <f>IF(AU241&lt;&gt;"",INDEX($AE$2:$AP$440,MATCH($AT241,$AS$2:$AS$440,0),COLUMNS($AT$2:AU241)),"")</f>
        <v>20</v>
      </c>
      <c r="AW241" t="str">
        <f>IF(AV241&lt;&gt;"",INDEX($AE$2:$AP$440,MATCH($AT241,$AS$2:$AS$440,0),COLUMNS($AT$2:AV241)),"")</f>
        <v>Wolverhampton Wanderers</v>
      </c>
      <c r="AX241">
        <f>IF(AW241&lt;&gt;"",INDEX($AE$2:$AP$440,MATCH($AT241,$AS$2:$AS$440,0),COLUMNS($AT$2:AW241)),"")</f>
        <v>38</v>
      </c>
      <c r="AY241">
        <f>IF(AX241&lt;&gt;"",INDEX($AE$2:$AP$440,MATCH($AT241,$AS$2:$AS$440,0),COLUMNS($AT$2:AX241)),"")</f>
        <v>5</v>
      </c>
      <c r="AZ241">
        <f>IF(AY241&lt;&gt;"",INDEX($AE$2:$AP$440,MATCH($AT241,$AS$2:$AS$440,0),COLUMNS($AT$2:AY241)),"")</f>
        <v>10</v>
      </c>
      <c r="BA241">
        <f>IF(AZ241&lt;&gt;"",INDEX($AE$2:$AP$440,MATCH($AT241,$AS$2:$AS$440,0),COLUMNS($AT$2:AZ241)),"")</f>
        <v>23</v>
      </c>
      <c r="BB241">
        <f>IF(BA241&lt;&gt;"",INDEX($AE$2:$AP$440,MATCH($AT241,$AS$2:$AS$440,0),COLUMNS($AT$2:BA241)),"")</f>
        <v>40</v>
      </c>
      <c r="BC241">
        <f>IF(BB241&lt;&gt;"",INDEX($AE$2:$AP$440,MATCH($AT241,$AS$2:$AS$440,0),COLUMNS($AT$2:BB241)),"")</f>
        <v>82</v>
      </c>
      <c r="BD241">
        <f>IF(BC241&lt;&gt;"",INDEX($AE$2:$AP$440,MATCH($AT241,$AS$2:$AS$440,0),COLUMNS($AT$2:BC241)),"")</f>
        <v>-42</v>
      </c>
      <c r="BE241">
        <f>IF(BD241&lt;&gt;"",INDEX($AE$2:$AP$440,MATCH($AT241,$AS$2:$AS$440,0),COLUMNS($AT$2:BD241)),"")</f>
        <v>25</v>
      </c>
      <c r="BF241" t="str">
        <f>IF(BE241&lt;&gt;"",INDEX($AE$2:$AP$440,MATCH($AT241,$AS$2:$AS$440,0),COLUMNS($AT$2:BE241)),"")</f>
        <v>Relegated</v>
      </c>
    </row>
    <row r="242" spans="1:58" x14ac:dyDescent="0.25">
      <c r="A242" s="3">
        <v>2012</v>
      </c>
      <c r="B242" s="3">
        <v>1</v>
      </c>
      <c r="C242" s="4" t="s">
        <v>11</v>
      </c>
      <c r="D242" s="3">
        <v>38</v>
      </c>
      <c r="E242" s="3">
        <v>28</v>
      </c>
      <c r="F242" s="3">
        <v>5</v>
      </c>
      <c r="G242" s="3">
        <v>5</v>
      </c>
      <c r="H242" s="3">
        <v>86</v>
      </c>
      <c r="I242" s="3">
        <v>43</v>
      </c>
      <c r="J242" s="3">
        <v>43</v>
      </c>
      <c r="K242" s="3">
        <v>89</v>
      </c>
      <c r="L242" s="5" t="str">
        <f>IF(Table2[[#This Row],['#]]=1,"Champion", IF(Table2[[#This Row],['#]]&gt;=18,"Relegated",Table2[[#This Row],['#]]))</f>
        <v>Champion</v>
      </c>
      <c r="N242">
        <f>IF(COUNTIF($O$2:O242,O242)=1,N241+1,N241)</f>
        <v>39</v>
      </c>
      <c r="O242" s="4" t="str">
        <f>Table2[[#This Row],[Team]]</f>
        <v>Manchester United</v>
      </c>
      <c r="P242" s="1" t="str">
        <f>IFERROR(VLOOKUP(ROWS($O$2:O242),$N$2:$O$441,2,0),"")</f>
        <v/>
      </c>
      <c r="Q242" s="1" t="str">
        <f>IF(P242&lt;&gt;"",SUMPRODUCT(--(Table2[Team]=P242)),"")</f>
        <v/>
      </c>
      <c r="R242" s="11" t="str">
        <f>IF(Q242&lt;&gt;"",Q242+ROWS($Q$2:Q242)/100,"")</f>
        <v/>
      </c>
      <c r="S242" t="str">
        <f>IF(R242&lt;&gt;"",LARGE($R$2:$R$441,ROWS($R$2:R242)),"")</f>
        <v/>
      </c>
      <c r="T242" s="1" t="str">
        <f>IF(R242&lt;&gt;"",INDEX($P$2:$Q$441,MATCH($S242,$R$2:$R$441,0),COLUMNS($S$2:S242)),"")</f>
        <v/>
      </c>
      <c r="U242" s="1" t="str">
        <f>IF(S242&lt;&gt;"",INDEX($P$2:$Q$441,MATCH($S242,$R$2:$R$441,0),COLUMNS($S$2:T242)),"")</f>
        <v/>
      </c>
      <c r="AE242" s="1">
        <f>Table2[[#This Row],[Year]]</f>
        <v>2012</v>
      </c>
      <c r="AF242" s="1">
        <f>Table2[[#This Row],['#]]</f>
        <v>1</v>
      </c>
      <c r="AG242" s="1" t="str">
        <f>Table2[[#This Row],[Team]]</f>
        <v>Manchester United</v>
      </c>
      <c r="AH242" s="1">
        <f>Table2[[#This Row],[Pl]]</f>
        <v>38</v>
      </c>
      <c r="AI242" s="1">
        <f>Table2[[#This Row],[W]]</f>
        <v>28</v>
      </c>
      <c r="AJ242" s="1">
        <f>Table2[[#This Row],[D]]</f>
        <v>5</v>
      </c>
      <c r="AK242" s="1">
        <f>Table2[[#This Row],[L]]</f>
        <v>5</v>
      </c>
      <c r="AL242" s="1">
        <f>Table2[[#This Row],[F]]</f>
        <v>86</v>
      </c>
      <c r="AM242" s="1">
        <f>Table2[[#This Row],[A]]</f>
        <v>43</v>
      </c>
      <c r="AN242" s="1">
        <f>Table2[[#This Row],[GD]]</f>
        <v>43</v>
      </c>
      <c r="AO242" s="1">
        <f>Table2[[#This Row],[Pts]]</f>
        <v>89</v>
      </c>
      <c r="AP242" s="1" t="str">
        <f>Table2[[#This Row],[Column1]]</f>
        <v>Champion</v>
      </c>
      <c r="AR242" t="b">
        <f t="shared" si="7"/>
        <v>1</v>
      </c>
      <c r="AS242">
        <f>IF(AR242,ROWS($AR$2:AR242),"")</f>
        <v>241</v>
      </c>
      <c r="AT242">
        <f>IFERROR(SMALL($AS$2:$AS$440,ROWS($AS$2:AS242)),"")</f>
        <v>241</v>
      </c>
      <c r="AU242">
        <f>IF(AT242&lt;&gt;"",INDEX($AE$2:$AP$440,MATCH($AT242,$AS$2:$AS$440,0),COLUMNS($AT$2:AT242)),"")</f>
        <v>2012</v>
      </c>
      <c r="AV242">
        <f>IF(AU242&lt;&gt;"",INDEX($AE$2:$AP$440,MATCH($AT242,$AS$2:$AS$440,0),COLUMNS($AT$2:AU242)),"")</f>
        <v>1</v>
      </c>
      <c r="AW242" t="str">
        <f>IF(AV242&lt;&gt;"",INDEX($AE$2:$AP$440,MATCH($AT242,$AS$2:$AS$440,0),COLUMNS($AT$2:AV242)),"")</f>
        <v>Manchester United</v>
      </c>
      <c r="AX242">
        <f>IF(AW242&lt;&gt;"",INDEX($AE$2:$AP$440,MATCH($AT242,$AS$2:$AS$440,0),COLUMNS($AT$2:AW242)),"")</f>
        <v>38</v>
      </c>
      <c r="AY242">
        <f>IF(AX242&lt;&gt;"",INDEX($AE$2:$AP$440,MATCH($AT242,$AS$2:$AS$440,0),COLUMNS($AT$2:AX242)),"")</f>
        <v>28</v>
      </c>
      <c r="AZ242">
        <f>IF(AY242&lt;&gt;"",INDEX($AE$2:$AP$440,MATCH($AT242,$AS$2:$AS$440,0),COLUMNS($AT$2:AY242)),"")</f>
        <v>5</v>
      </c>
      <c r="BA242">
        <f>IF(AZ242&lt;&gt;"",INDEX($AE$2:$AP$440,MATCH($AT242,$AS$2:$AS$440,0),COLUMNS($AT$2:AZ242)),"")</f>
        <v>5</v>
      </c>
      <c r="BB242">
        <f>IF(BA242&lt;&gt;"",INDEX($AE$2:$AP$440,MATCH($AT242,$AS$2:$AS$440,0),COLUMNS($AT$2:BA242)),"")</f>
        <v>86</v>
      </c>
      <c r="BC242">
        <f>IF(BB242&lt;&gt;"",INDEX($AE$2:$AP$440,MATCH($AT242,$AS$2:$AS$440,0),COLUMNS($AT$2:BB242)),"")</f>
        <v>43</v>
      </c>
      <c r="BD242">
        <f>IF(BC242&lt;&gt;"",INDEX($AE$2:$AP$440,MATCH($AT242,$AS$2:$AS$440,0),COLUMNS($AT$2:BC242)),"")</f>
        <v>43</v>
      </c>
      <c r="BE242">
        <f>IF(BD242&lt;&gt;"",INDEX($AE$2:$AP$440,MATCH($AT242,$AS$2:$AS$440,0),COLUMNS($AT$2:BD242)),"")</f>
        <v>89</v>
      </c>
      <c r="BF242" t="str">
        <f>IF(BE242&lt;&gt;"",INDEX($AE$2:$AP$440,MATCH($AT242,$AS$2:$AS$440,0),COLUMNS($AT$2:BE242)),"")</f>
        <v>Champion</v>
      </c>
    </row>
    <row r="243" spans="1:58" x14ac:dyDescent="0.25">
      <c r="A243" s="5">
        <v>2012</v>
      </c>
      <c r="B243" s="5">
        <v>2</v>
      </c>
      <c r="C243" s="6" t="s">
        <v>28</v>
      </c>
      <c r="D243" s="5">
        <v>38</v>
      </c>
      <c r="E243" s="5">
        <v>23</v>
      </c>
      <c r="F243" s="5">
        <v>9</v>
      </c>
      <c r="G243" s="5">
        <v>6</v>
      </c>
      <c r="H243" s="5">
        <v>66</v>
      </c>
      <c r="I243" s="5">
        <v>34</v>
      </c>
      <c r="J243" s="5">
        <v>32</v>
      </c>
      <c r="K243" s="5">
        <v>78</v>
      </c>
      <c r="L243" s="5">
        <f>IF(Table2[[#This Row],['#]]=1,"Champion", IF(Table2[[#This Row],['#]]&gt;=18,"Relegated",Table2[[#This Row],['#]]))</f>
        <v>2</v>
      </c>
      <c r="N243">
        <f>IF(COUNTIF($O$2:O243,O243)=1,N242+1,N242)</f>
        <v>39</v>
      </c>
      <c r="O243" s="4" t="str">
        <f>Table2[[#This Row],[Team]]</f>
        <v>Manchester City</v>
      </c>
      <c r="P243" s="1" t="str">
        <f>IFERROR(VLOOKUP(ROWS($O$2:O243),$N$2:$O$441,2,0),"")</f>
        <v/>
      </c>
      <c r="Q243" s="1" t="str">
        <f>IF(P243&lt;&gt;"",SUMPRODUCT(--(Table2[Team]=P243)),"")</f>
        <v/>
      </c>
      <c r="R243" s="11" t="str">
        <f>IF(Q243&lt;&gt;"",Q243+ROWS($Q$2:Q243)/100,"")</f>
        <v/>
      </c>
      <c r="S243" t="str">
        <f>IF(R243&lt;&gt;"",LARGE($R$2:$R$441,ROWS($R$2:R243)),"")</f>
        <v/>
      </c>
      <c r="T243" s="1" t="str">
        <f>IF(R243&lt;&gt;"",INDEX($P$2:$Q$441,MATCH($S243,$R$2:$R$441,0),COLUMNS($S$2:S243)),"")</f>
        <v/>
      </c>
      <c r="U243" s="1" t="str">
        <f>IF(S243&lt;&gt;"",INDEX($P$2:$Q$441,MATCH($S243,$R$2:$R$441,0),COLUMNS($S$2:T243)),"")</f>
        <v/>
      </c>
      <c r="AE243" s="1">
        <f>Table2[[#This Row],[Year]]</f>
        <v>2012</v>
      </c>
      <c r="AF243" s="1">
        <f>Table2[[#This Row],['#]]</f>
        <v>2</v>
      </c>
      <c r="AG243" s="1" t="str">
        <f>Table2[[#This Row],[Team]]</f>
        <v>Manchester City</v>
      </c>
      <c r="AH243" s="1">
        <f>Table2[[#This Row],[Pl]]</f>
        <v>38</v>
      </c>
      <c r="AI243" s="1">
        <f>Table2[[#This Row],[W]]</f>
        <v>23</v>
      </c>
      <c r="AJ243" s="1">
        <f>Table2[[#This Row],[D]]</f>
        <v>9</v>
      </c>
      <c r="AK243" s="1">
        <f>Table2[[#This Row],[L]]</f>
        <v>6</v>
      </c>
      <c r="AL243" s="1">
        <f>Table2[[#This Row],[F]]</f>
        <v>66</v>
      </c>
      <c r="AM243" s="1">
        <f>Table2[[#This Row],[A]]</f>
        <v>34</v>
      </c>
      <c r="AN243" s="1">
        <f>Table2[[#This Row],[GD]]</f>
        <v>32</v>
      </c>
      <c r="AO243" s="1">
        <f>Table2[[#This Row],[Pts]]</f>
        <v>78</v>
      </c>
      <c r="AP243" s="1">
        <f>Table2[[#This Row],[Column1]]</f>
        <v>2</v>
      </c>
      <c r="AR243" t="b">
        <f t="shared" si="7"/>
        <v>1</v>
      </c>
      <c r="AS243">
        <f>IF(AR243,ROWS($AR$2:AR243),"")</f>
        <v>242</v>
      </c>
      <c r="AT243">
        <f>IFERROR(SMALL($AS$2:$AS$440,ROWS($AS$2:AS243)),"")</f>
        <v>242</v>
      </c>
      <c r="AU243">
        <f>IF(AT243&lt;&gt;"",INDEX($AE$2:$AP$440,MATCH($AT243,$AS$2:$AS$440,0),COLUMNS($AT$2:AT243)),"")</f>
        <v>2012</v>
      </c>
      <c r="AV243">
        <f>IF(AU243&lt;&gt;"",INDEX($AE$2:$AP$440,MATCH($AT243,$AS$2:$AS$440,0),COLUMNS($AT$2:AU243)),"")</f>
        <v>2</v>
      </c>
      <c r="AW243" t="str">
        <f>IF(AV243&lt;&gt;"",INDEX($AE$2:$AP$440,MATCH($AT243,$AS$2:$AS$440,0),COLUMNS($AT$2:AV243)),"")</f>
        <v>Manchester City</v>
      </c>
      <c r="AX243">
        <f>IF(AW243&lt;&gt;"",INDEX($AE$2:$AP$440,MATCH($AT243,$AS$2:$AS$440,0),COLUMNS($AT$2:AW243)),"")</f>
        <v>38</v>
      </c>
      <c r="AY243">
        <f>IF(AX243&lt;&gt;"",INDEX($AE$2:$AP$440,MATCH($AT243,$AS$2:$AS$440,0),COLUMNS($AT$2:AX243)),"")</f>
        <v>23</v>
      </c>
      <c r="AZ243">
        <f>IF(AY243&lt;&gt;"",INDEX($AE$2:$AP$440,MATCH($AT243,$AS$2:$AS$440,0),COLUMNS($AT$2:AY243)),"")</f>
        <v>9</v>
      </c>
      <c r="BA243">
        <f>IF(AZ243&lt;&gt;"",INDEX($AE$2:$AP$440,MATCH($AT243,$AS$2:$AS$440,0),COLUMNS($AT$2:AZ243)),"")</f>
        <v>6</v>
      </c>
      <c r="BB243">
        <f>IF(BA243&lt;&gt;"",INDEX($AE$2:$AP$440,MATCH($AT243,$AS$2:$AS$440,0),COLUMNS($AT$2:BA243)),"")</f>
        <v>66</v>
      </c>
      <c r="BC243">
        <f>IF(BB243&lt;&gt;"",INDEX($AE$2:$AP$440,MATCH($AT243,$AS$2:$AS$440,0),COLUMNS($AT$2:BB243)),"")</f>
        <v>34</v>
      </c>
      <c r="BD243">
        <f>IF(BC243&lt;&gt;"",INDEX($AE$2:$AP$440,MATCH($AT243,$AS$2:$AS$440,0),COLUMNS($AT$2:BC243)),"")</f>
        <v>32</v>
      </c>
      <c r="BE243">
        <f>IF(BD243&lt;&gt;"",INDEX($AE$2:$AP$440,MATCH($AT243,$AS$2:$AS$440,0),COLUMNS($AT$2:BD243)),"")</f>
        <v>78</v>
      </c>
      <c r="BF243">
        <f>IF(BE243&lt;&gt;"",INDEX($AE$2:$AP$440,MATCH($AT243,$AS$2:$AS$440,0),COLUMNS($AT$2:BE243)),"")</f>
        <v>2</v>
      </c>
    </row>
    <row r="244" spans="1:58" x14ac:dyDescent="0.25">
      <c r="A244" s="3">
        <v>2012</v>
      </c>
      <c r="B244" s="3">
        <v>3</v>
      </c>
      <c r="C244" s="4" t="s">
        <v>16</v>
      </c>
      <c r="D244" s="3">
        <v>38</v>
      </c>
      <c r="E244" s="3">
        <v>22</v>
      </c>
      <c r="F244" s="3">
        <v>9</v>
      </c>
      <c r="G244" s="3">
        <v>7</v>
      </c>
      <c r="H244" s="3">
        <v>75</v>
      </c>
      <c r="I244" s="3">
        <v>39</v>
      </c>
      <c r="J244" s="3">
        <v>36</v>
      </c>
      <c r="K244" s="3">
        <v>75</v>
      </c>
      <c r="L244" s="5">
        <f>IF(Table2[[#This Row],['#]]=1,"Champion", IF(Table2[[#This Row],['#]]&gt;=18,"Relegated",Table2[[#This Row],['#]]))</f>
        <v>3</v>
      </c>
      <c r="N244">
        <f>IF(COUNTIF($O$2:O244,O244)=1,N243+1,N243)</f>
        <v>39</v>
      </c>
      <c r="O244" s="4" t="str">
        <f>Table2[[#This Row],[Team]]</f>
        <v>Chelsea</v>
      </c>
      <c r="P244" s="1" t="str">
        <f>IFERROR(VLOOKUP(ROWS($O$2:O244),$N$2:$O$441,2,0),"")</f>
        <v/>
      </c>
      <c r="Q244" s="1" t="str">
        <f>IF(P244&lt;&gt;"",SUMPRODUCT(--(Table2[Team]=P244)),"")</f>
        <v/>
      </c>
      <c r="R244" s="11" t="str">
        <f>IF(Q244&lt;&gt;"",Q244+ROWS($Q$2:Q244)/100,"")</f>
        <v/>
      </c>
      <c r="S244" t="str">
        <f>IF(R244&lt;&gt;"",LARGE($R$2:$R$441,ROWS($R$2:R244)),"")</f>
        <v/>
      </c>
      <c r="T244" s="1" t="str">
        <f>IF(R244&lt;&gt;"",INDEX($P$2:$Q$441,MATCH($S244,$R$2:$R$441,0),COLUMNS($S$2:S244)),"")</f>
        <v/>
      </c>
      <c r="U244" s="1" t="str">
        <f>IF(S244&lt;&gt;"",INDEX($P$2:$Q$441,MATCH($S244,$R$2:$R$441,0),COLUMNS($S$2:T244)),"")</f>
        <v/>
      </c>
      <c r="AE244" s="1">
        <f>Table2[[#This Row],[Year]]</f>
        <v>2012</v>
      </c>
      <c r="AF244" s="1">
        <f>Table2[[#This Row],['#]]</f>
        <v>3</v>
      </c>
      <c r="AG244" s="1" t="str">
        <f>Table2[[#This Row],[Team]]</f>
        <v>Chelsea</v>
      </c>
      <c r="AH244" s="1">
        <f>Table2[[#This Row],[Pl]]</f>
        <v>38</v>
      </c>
      <c r="AI244" s="1">
        <f>Table2[[#This Row],[W]]</f>
        <v>22</v>
      </c>
      <c r="AJ244" s="1">
        <f>Table2[[#This Row],[D]]</f>
        <v>9</v>
      </c>
      <c r="AK244" s="1">
        <f>Table2[[#This Row],[L]]</f>
        <v>7</v>
      </c>
      <c r="AL244" s="1">
        <f>Table2[[#This Row],[F]]</f>
        <v>75</v>
      </c>
      <c r="AM244" s="1">
        <f>Table2[[#This Row],[A]]</f>
        <v>39</v>
      </c>
      <c r="AN244" s="1">
        <f>Table2[[#This Row],[GD]]</f>
        <v>36</v>
      </c>
      <c r="AO244" s="1">
        <f>Table2[[#This Row],[Pts]]</f>
        <v>75</v>
      </c>
      <c r="AP244" s="1">
        <f>Table2[[#This Row],[Column1]]</f>
        <v>3</v>
      </c>
      <c r="AR244" t="b">
        <f t="shared" si="7"/>
        <v>1</v>
      </c>
      <c r="AS244">
        <f>IF(AR244,ROWS($AR$2:AR244),"")</f>
        <v>243</v>
      </c>
      <c r="AT244">
        <f>IFERROR(SMALL($AS$2:$AS$440,ROWS($AS$2:AS244)),"")</f>
        <v>243</v>
      </c>
      <c r="AU244">
        <f>IF(AT244&lt;&gt;"",INDEX($AE$2:$AP$440,MATCH($AT244,$AS$2:$AS$440,0),COLUMNS($AT$2:AT244)),"")</f>
        <v>2012</v>
      </c>
      <c r="AV244">
        <f>IF(AU244&lt;&gt;"",INDEX($AE$2:$AP$440,MATCH($AT244,$AS$2:$AS$440,0),COLUMNS($AT$2:AU244)),"")</f>
        <v>3</v>
      </c>
      <c r="AW244" t="str">
        <f>IF(AV244&lt;&gt;"",INDEX($AE$2:$AP$440,MATCH($AT244,$AS$2:$AS$440,0),COLUMNS($AT$2:AV244)),"")</f>
        <v>Chelsea</v>
      </c>
      <c r="AX244">
        <f>IF(AW244&lt;&gt;"",INDEX($AE$2:$AP$440,MATCH($AT244,$AS$2:$AS$440,0),COLUMNS($AT$2:AW244)),"")</f>
        <v>38</v>
      </c>
      <c r="AY244">
        <f>IF(AX244&lt;&gt;"",INDEX($AE$2:$AP$440,MATCH($AT244,$AS$2:$AS$440,0),COLUMNS($AT$2:AX244)),"")</f>
        <v>22</v>
      </c>
      <c r="AZ244">
        <f>IF(AY244&lt;&gt;"",INDEX($AE$2:$AP$440,MATCH($AT244,$AS$2:$AS$440,0),COLUMNS($AT$2:AY244)),"")</f>
        <v>9</v>
      </c>
      <c r="BA244">
        <f>IF(AZ244&lt;&gt;"",INDEX($AE$2:$AP$440,MATCH($AT244,$AS$2:$AS$440,0),COLUMNS($AT$2:AZ244)),"")</f>
        <v>7</v>
      </c>
      <c r="BB244">
        <f>IF(BA244&lt;&gt;"",INDEX($AE$2:$AP$440,MATCH($AT244,$AS$2:$AS$440,0),COLUMNS($AT$2:BA244)),"")</f>
        <v>75</v>
      </c>
      <c r="BC244">
        <f>IF(BB244&lt;&gt;"",INDEX($AE$2:$AP$440,MATCH($AT244,$AS$2:$AS$440,0),COLUMNS($AT$2:BB244)),"")</f>
        <v>39</v>
      </c>
      <c r="BD244">
        <f>IF(BC244&lt;&gt;"",INDEX($AE$2:$AP$440,MATCH($AT244,$AS$2:$AS$440,0),COLUMNS($AT$2:BC244)),"")</f>
        <v>36</v>
      </c>
      <c r="BE244">
        <f>IF(BD244&lt;&gt;"",INDEX($AE$2:$AP$440,MATCH($AT244,$AS$2:$AS$440,0),COLUMNS($AT$2:BD244)),"")</f>
        <v>75</v>
      </c>
      <c r="BF244">
        <f>IF(BE244&lt;&gt;"",INDEX($AE$2:$AP$440,MATCH($AT244,$AS$2:$AS$440,0),COLUMNS($AT$2:BE244)),"")</f>
        <v>3</v>
      </c>
    </row>
    <row r="245" spans="1:58" x14ac:dyDescent="0.25">
      <c r="A245" s="5">
        <v>2012</v>
      </c>
      <c r="B245" s="5">
        <v>4</v>
      </c>
      <c r="C245" s="6" t="s">
        <v>12</v>
      </c>
      <c r="D245" s="5">
        <v>38</v>
      </c>
      <c r="E245" s="5">
        <v>21</v>
      </c>
      <c r="F245" s="5">
        <v>10</v>
      </c>
      <c r="G245" s="5">
        <v>7</v>
      </c>
      <c r="H245" s="5">
        <v>72</v>
      </c>
      <c r="I245" s="5">
        <v>37</v>
      </c>
      <c r="J245" s="5">
        <v>35</v>
      </c>
      <c r="K245" s="5">
        <v>73</v>
      </c>
      <c r="L245" s="5">
        <f>IF(Table2[[#This Row],['#]]=1,"Champion", IF(Table2[[#This Row],['#]]&gt;=18,"Relegated",Table2[[#This Row],['#]]))</f>
        <v>4</v>
      </c>
      <c r="N245">
        <f>IF(COUNTIF($O$2:O245,O245)=1,N244+1,N244)</f>
        <v>39</v>
      </c>
      <c r="O245" s="4" t="str">
        <f>Table2[[#This Row],[Team]]</f>
        <v>Arsenal</v>
      </c>
      <c r="P245" s="1" t="str">
        <f>IFERROR(VLOOKUP(ROWS($O$2:O245),$N$2:$O$441,2,0),"")</f>
        <v/>
      </c>
      <c r="Q245" s="1" t="str">
        <f>IF(P245&lt;&gt;"",SUMPRODUCT(--(Table2[Team]=P245)),"")</f>
        <v/>
      </c>
      <c r="R245" s="11" t="str">
        <f>IF(Q245&lt;&gt;"",Q245+ROWS($Q$2:Q245)/100,"")</f>
        <v/>
      </c>
      <c r="S245" t="str">
        <f>IF(R245&lt;&gt;"",LARGE($R$2:$R$441,ROWS($R$2:R245)),"")</f>
        <v/>
      </c>
      <c r="T245" s="1" t="str">
        <f>IF(R245&lt;&gt;"",INDEX($P$2:$Q$441,MATCH($S245,$R$2:$R$441,0),COLUMNS($S$2:S245)),"")</f>
        <v/>
      </c>
      <c r="U245" s="1" t="str">
        <f>IF(S245&lt;&gt;"",INDEX($P$2:$Q$441,MATCH($S245,$R$2:$R$441,0),COLUMNS($S$2:T245)),"")</f>
        <v/>
      </c>
      <c r="AE245" s="1">
        <f>Table2[[#This Row],[Year]]</f>
        <v>2012</v>
      </c>
      <c r="AF245" s="1">
        <f>Table2[[#This Row],['#]]</f>
        <v>4</v>
      </c>
      <c r="AG245" s="1" t="str">
        <f>Table2[[#This Row],[Team]]</f>
        <v>Arsenal</v>
      </c>
      <c r="AH245" s="1">
        <f>Table2[[#This Row],[Pl]]</f>
        <v>38</v>
      </c>
      <c r="AI245" s="1">
        <f>Table2[[#This Row],[W]]</f>
        <v>21</v>
      </c>
      <c r="AJ245" s="1">
        <f>Table2[[#This Row],[D]]</f>
        <v>10</v>
      </c>
      <c r="AK245" s="1">
        <f>Table2[[#This Row],[L]]</f>
        <v>7</v>
      </c>
      <c r="AL245" s="1">
        <f>Table2[[#This Row],[F]]</f>
        <v>72</v>
      </c>
      <c r="AM245" s="1">
        <f>Table2[[#This Row],[A]]</f>
        <v>37</v>
      </c>
      <c r="AN245" s="1">
        <f>Table2[[#This Row],[GD]]</f>
        <v>35</v>
      </c>
      <c r="AO245" s="1">
        <f>Table2[[#This Row],[Pts]]</f>
        <v>73</v>
      </c>
      <c r="AP245" s="1">
        <f>Table2[[#This Row],[Column1]]</f>
        <v>4</v>
      </c>
      <c r="AR245" t="b">
        <f t="shared" si="7"/>
        <v>1</v>
      </c>
      <c r="AS245">
        <f>IF(AR245,ROWS($AR$2:AR245),"")</f>
        <v>244</v>
      </c>
      <c r="AT245">
        <f>IFERROR(SMALL($AS$2:$AS$440,ROWS($AS$2:AS245)),"")</f>
        <v>244</v>
      </c>
      <c r="AU245">
        <f>IF(AT245&lt;&gt;"",INDEX($AE$2:$AP$440,MATCH($AT245,$AS$2:$AS$440,0),COLUMNS($AT$2:AT245)),"")</f>
        <v>2012</v>
      </c>
      <c r="AV245">
        <f>IF(AU245&lt;&gt;"",INDEX($AE$2:$AP$440,MATCH($AT245,$AS$2:$AS$440,0),COLUMNS($AT$2:AU245)),"")</f>
        <v>4</v>
      </c>
      <c r="AW245" t="str">
        <f>IF(AV245&lt;&gt;"",INDEX($AE$2:$AP$440,MATCH($AT245,$AS$2:$AS$440,0),COLUMNS($AT$2:AV245)),"")</f>
        <v>Arsenal</v>
      </c>
      <c r="AX245">
        <f>IF(AW245&lt;&gt;"",INDEX($AE$2:$AP$440,MATCH($AT245,$AS$2:$AS$440,0),COLUMNS($AT$2:AW245)),"")</f>
        <v>38</v>
      </c>
      <c r="AY245">
        <f>IF(AX245&lt;&gt;"",INDEX($AE$2:$AP$440,MATCH($AT245,$AS$2:$AS$440,0),COLUMNS($AT$2:AX245)),"")</f>
        <v>21</v>
      </c>
      <c r="AZ245">
        <f>IF(AY245&lt;&gt;"",INDEX($AE$2:$AP$440,MATCH($AT245,$AS$2:$AS$440,0),COLUMNS($AT$2:AY245)),"")</f>
        <v>10</v>
      </c>
      <c r="BA245">
        <f>IF(AZ245&lt;&gt;"",INDEX($AE$2:$AP$440,MATCH($AT245,$AS$2:$AS$440,0),COLUMNS($AT$2:AZ245)),"")</f>
        <v>7</v>
      </c>
      <c r="BB245">
        <f>IF(BA245&lt;&gt;"",INDEX($AE$2:$AP$440,MATCH($AT245,$AS$2:$AS$440,0),COLUMNS($AT$2:BA245)),"")</f>
        <v>72</v>
      </c>
      <c r="BC245">
        <f>IF(BB245&lt;&gt;"",INDEX($AE$2:$AP$440,MATCH($AT245,$AS$2:$AS$440,0),COLUMNS($AT$2:BB245)),"")</f>
        <v>37</v>
      </c>
      <c r="BD245">
        <f>IF(BC245&lt;&gt;"",INDEX($AE$2:$AP$440,MATCH($AT245,$AS$2:$AS$440,0),COLUMNS($AT$2:BC245)),"")</f>
        <v>35</v>
      </c>
      <c r="BE245">
        <f>IF(BD245&lt;&gt;"",INDEX($AE$2:$AP$440,MATCH($AT245,$AS$2:$AS$440,0),COLUMNS($AT$2:BD245)),"")</f>
        <v>73</v>
      </c>
      <c r="BF245">
        <f>IF(BE245&lt;&gt;"",INDEX($AE$2:$AP$440,MATCH($AT245,$AS$2:$AS$440,0),COLUMNS($AT$2:BE245)),"")</f>
        <v>4</v>
      </c>
    </row>
    <row r="246" spans="1:58" x14ac:dyDescent="0.25">
      <c r="A246" s="3">
        <v>2012</v>
      </c>
      <c r="B246" s="3">
        <v>5</v>
      </c>
      <c r="C246" s="4" t="s">
        <v>22</v>
      </c>
      <c r="D246" s="3">
        <v>38</v>
      </c>
      <c r="E246" s="3">
        <v>21</v>
      </c>
      <c r="F246" s="3">
        <v>9</v>
      </c>
      <c r="G246" s="3">
        <v>8</v>
      </c>
      <c r="H246" s="3">
        <v>66</v>
      </c>
      <c r="I246" s="3">
        <v>46</v>
      </c>
      <c r="J246" s="3">
        <v>20</v>
      </c>
      <c r="K246" s="3">
        <v>72</v>
      </c>
      <c r="L246" s="5">
        <f>IF(Table2[[#This Row],['#]]=1,"Champion", IF(Table2[[#This Row],['#]]&gt;=18,"Relegated",Table2[[#This Row],['#]]))</f>
        <v>5</v>
      </c>
      <c r="N246">
        <f>IF(COUNTIF($O$2:O246,O246)=1,N245+1,N245)</f>
        <v>39</v>
      </c>
      <c r="O246" s="4" t="str">
        <f>Table2[[#This Row],[Team]]</f>
        <v>Tottenham Hotspur</v>
      </c>
      <c r="P246" s="1" t="str">
        <f>IFERROR(VLOOKUP(ROWS($O$2:O246),$N$2:$O$441,2,0),"")</f>
        <v/>
      </c>
      <c r="Q246" s="1" t="str">
        <f>IF(P246&lt;&gt;"",SUMPRODUCT(--(Table2[Team]=P246)),"")</f>
        <v/>
      </c>
      <c r="R246" s="11" t="str">
        <f>IF(Q246&lt;&gt;"",Q246+ROWS($Q$2:Q246)/100,"")</f>
        <v/>
      </c>
      <c r="S246" t="str">
        <f>IF(R246&lt;&gt;"",LARGE($R$2:$R$441,ROWS($R$2:R246)),"")</f>
        <v/>
      </c>
      <c r="T246" s="1" t="str">
        <f>IF(R246&lt;&gt;"",INDEX($P$2:$Q$441,MATCH($S246,$R$2:$R$441,0),COLUMNS($S$2:S246)),"")</f>
        <v/>
      </c>
      <c r="U246" s="1" t="str">
        <f>IF(S246&lt;&gt;"",INDEX($P$2:$Q$441,MATCH($S246,$R$2:$R$441,0),COLUMNS($S$2:T246)),"")</f>
        <v/>
      </c>
      <c r="AE246" s="1">
        <f>Table2[[#This Row],[Year]]</f>
        <v>2012</v>
      </c>
      <c r="AF246" s="1">
        <f>Table2[[#This Row],['#]]</f>
        <v>5</v>
      </c>
      <c r="AG246" s="1" t="str">
        <f>Table2[[#This Row],[Team]]</f>
        <v>Tottenham Hotspur</v>
      </c>
      <c r="AH246" s="1">
        <f>Table2[[#This Row],[Pl]]</f>
        <v>38</v>
      </c>
      <c r="AI246" s="1">
        <f>Table2[[#This Row],[W]]</f>
        <v>21</v>
      </c>
      <c r="AJ246" s="1">
        <f>Table2[[#This Row],[D]]</f>
        <v>9</v>
      </c>
      <c r="AK246" s="1">
        <f>Table2[[#This Row],[L]]</f>
        <v>8</v>
      </c>
      <c r="AL246" s="1">
        <f>Table2[[#This Row],[F]]</f>
        <v>66</v>
      </c>
      <c r="AM246" s="1">
        <f>Table2[[#This Row],[A]]</f>
        <v>46</v>
      </c>
      <c r="AN246" s="1">
        <f>Table2[[#This Row],[GD]]</f>
        <v>20</v>
      </c>
      <c r="AO246" s="1">
        <f>Table2[[#This Row],[Pts]]</f>
        <v>72</v>
      </c>
      <c r="AP246" s="1">
        <f>Table2[[#This Row],[Column1]]</f>
        <v>5</v>
      </c>
      <c r="AR246" t="b">
        <f t="shared" si="7"/>
        <v>1</v>
      </c>
      <c r="AS246">
        <f>IF(AR246,ROWS($AR$2:AR246),"")</f>
        <v>245</v>
      </c>
      <c r="AT246">
        <f>IFERROR(SMALL($AS$2:$AS$440,ROWS($AS$2:AS246)),"")</f>
        <v>245</v>
      </c>
      <c r="AU246">
        <f>IF(AT246&lt;&gt;"",INDEX($AE$2:$AP$440,MATCH($AT246,$AS$2:$AS$440,0),COLUMNS($AT$2:AT246)),"")</f>
        <v>2012</v>
      </c>
      <c r="AV246">
        <f>IF(AU246&lt;&gt;"",INDEX($AE$2:$AP$440,MATCH($AT246,$AS$2:$AS$440,0),COLUMNS($AT$2:AU246)),"")</f>
        <v>5</v>
      </c>
      <c r="AW246" t="str">
        <f>IF(AV246&lt;&gt;"",INDEX($AE$2:$AP$440,MATCH($AT246,$AS$2:$AS$440,0),COLUMNS($AT$2:AV246)),"")</f>
        <v>Tottenham Hotspur</v>
      </c>
      <c r="AX246">
        <f>IF(AW246&lt;&gt;"",INDEX($AE$2:$AP$440,MATCH($AT246,$AS$2:$AS$440,0),COLUMNS($AT$2:AW246)),"")</f>
        <v>38</v>
      </c>
      <c r="AY246">
        <f>IF(AX246&lt;&gt;"",INDEX($AE$2:$AP$440,MATCH($AT246,$AS$2:$AS$440,0),COLUMNS($AT$2:AX246)),"")</f>
        <v>21</v>
      </c>
      <c r="AZ246">
        <f>IF(AY246&lt;&gt;"",INDEX($AE$2:$AP$440,MATCH($AT246,$AS$2:$AS$440,0),COLUMNS($AT$2:AY246)),"")</f>
        <v>9</v>
      </c>
      <c r="BA246">
        <f>IF(AZ246&lt;&gt;"",INDEX($AE$2:$AP$440,MATCH($AT246,$AS$2:$AS$440,0),COLUMNS($AT$2:AZ246)),"")</f>
        <v>8</v>
      </c>
      <c r="BB246">
        <f>IF(BA246&lt;&gt;"",INDEX($AE$2:$AP$440,MATCH($AT246,$AS$2:$AS$440,0),COLUMNS($AT$2:BA246)),"")</f>
        <v>66</v>
      </c>
      <c r="BC246">
        <f>IF(BB246&lt;&gt;"",INDEX($AE$2:$AP$440,MATCH($AT246,$AS$2:$AS$440,0),COLUMNS($AT$2:BB246)),"")</f>
        <v>46</v>
      </c>
      <c r="BD246">
        <f>IF(BC246&lt;&gt;"",INDEX($AE$2:$AP$440,MATCH($AT246,$AS$2:$AS$440,0),COLUMNS($AT$2:BC246)),"")</f>
        <v>20</v>
      </c>
      <c r="BE246">
        <f>IF(BD246&lt;&gt;"",INDEX($AE$2:$AP$440,MATCH($AT246,$AS$2:$AS$440,0),COLUMNS($AT$2:BD246)),"")</f>
        <v>72</v>
      </c>
      <c r="BF246">
        <f>IF(BE246&lt;&gt;"",INDEX($AE$2:$AP$440,MATCH($AT246,$AS$2:$AS$440,0),COLUMNS($AT$2:BE246)),"")</f>
        <v>5</v>
      </c>
    </row>
    <row r="247" spans="1:58" x14ac:dyDescent="0.25">
      <c r="A247" s="5">
        <v>2012</v>
      </c>
      <c r="B247" s="5">
        <v>6</v>
      </c>
      <c r="C247" s="6" t="s">
        <v>26</v>
      </c>
      <c r="D247" s="5">
        <v>38</v>
      </c>
      <c r="E247" s="5">
        <v>16</v>
      </c>
      <c r="F247" s="5">
        <v>15</v>
      </c>
      <c r="G247" s="5">
        <v>7</v>
      </c>
      <c r="H247" s="5">
        <v>55</v>
      </c>
      <c r="I247" s="5">
        <v>40</v>
      </c>
      <c r="J247" s="5">
        <v>15</v>
      </c>
      <c r="K247" s="5">
        <v>63</v>
      </c>
      <c r="L247" s="5">
        <f>IF(Table2[[#This Row],['#]]=1,"Champion", IF(Table2[[#This Row],['#]]&gt;=18,"Relegated",Table2[[#This Row],['#]]))</f>
        <v>6</v>
      </c>
      <c r="N247">
        <f>IF(COUNTIF($O$2:O247,O247)=1,N246+1,N246)</f>
        <v>39</v>
      </c>
      <c r="O247" s="4" t="str">
        <f>Table2[[#This Row],[Team]]</f>
        <v>Everton</v>
      </c>
      <c r="P247" s="1" t="str">
        <f>IFERROR(VLOOKUP(ROWS($O$2:O247),$N$2:$O$441,2,0),"")</f>
        <v/>
      </c>
      <c r="Q247" s="1" t="str">
        <f>IF(P247&lt;&gt;"",SUMPRODUCT(--(Table2[Team]=P247)),"")</f>
        <v/>
      </c>
      <c r="R247" s="11" t="str">
        <f>IF(Q247&lt;&gt;"",Q247+ROWS($Q$2:Q247)/100,"")</f>
        <v/>
      </c>
      <c r="S247" t="str">
        <f>IF(R247&lt;&gt;"",LARGE($R$2:$R$441,ROWS($R$2:R247)),"")</f>
        <v/>
      </c>
      <c r="T247" s="1" t="str">
        <f>IF(R247&lt;&gt;"",INDEX($P$2:$Q$441,MATCH($S247,$R$2:$R$441,0),COLUMNS($S$2:S247)),"")</f>
        <v/>
      </c>
      <c r="U247" s="1" t="str">
        <f>IF(S247&lt;&gt;"",INDEX($P$2:$Q$441,MATCH($S247,$R$2:$R$441,0),COLUMNS($S$2:T247)),"")</f>
        <v/>
      </c>
      <c r="AE247" s="1">
        <f>Table2[[#This Row],[Year]]</f>
        <v>2012</v>
      </c>
      <c r="AF247" s="1">
        <f>Table2[[#This Row],['#]]</f>
        <v>6</v>
      </c>
      <c r="AG247" s="1" t="str">
        <f>Table2[[#This Row],[Team]]</f>
        <v>Everton</v>
      </c>
      <c r="AH247" s="1">
        <f>Table2[[#This Row],[Pl]]</f>
        <v>38</v>
      </c>
      <c r="AI247" s="1">
        <f>Table2[[#This Row],[W]]</f>
        <v>16</v>
      </c>
      <c r="AJ247" s="1">
        <f>Table2[[#This Row],[D]]</f>
        <v>15</v>
      </c>
      <c r="AK247" s="1">
        <f>Table2[[#This Row],[L]]</f>
        <v>7</v>
      </c>
      <c r="AL247" s="1">
        <f>Table2[[#This Row],[F]]</f>
        <v>55</v>
      </c>
      <c r="AM247" s="1">
        <f>Table2[[#This Row],[A]]</f>
        <v>40</v>
      </c>
      <c r="AN247" s="1">
        <f>Table2[[#This Row],[GD]]</f>
        <v>15</v>
      </c>
      <c r="AO247" s="1">
        <f>Table2[[#This Row],[Pts]]</f>
        <v>63</v>
      </c>
      <c r="AP247" s="1">
        <f>Table2[[#This Row],[Column1]]</f>
        <v>6</v>
      </c>
      <c r="AR247" t="b">
        <f t="shared" si="7"/>
        <v>1</v>
      </c>
      <c r="AS247">
        <f>IF(AR247,ROWS($AR$2:AR247),"")</f>
        <v>246</v>
      </c>
      <c r="AT247">
        <f>IFERROR(SMALL($AS$2:$AS$440,ROWS($AS$2:AS247)),"")</f>
        <v>246</v>
      </c>
      <c r="AU247">
        <f>IF(AT247&lt;&gt;"",INDEX($AE$2:$AP$440,MATCH($AT247,$AS$2:$AS$440,0),COLUMNS($AT$2:AT247)),"")</f>
        <v>2012</v>
      </c>
      <c r="AV247">
        <f>IF(AU247&lt;&gt;"",INDEX($AE$2:$AP$440,MATCH($AT247,$AS$2:$AS$440,0),COLUMNS($AT$2:AU247)),"")</f>
        <v>6</v>
      </c>
      <c r="AW247" t="str">
        <f>IF(AV247&lt;&gt;"",INDEX($AE$2:$AP$440,MATCH($AT247,$AS$2:$AS$440,0),COLUMNS($AT$2:AV247)),"")</f>
        <v>Everton</v>
      </c>
      <c r="AX247">
        <f>IF(AW247&lt;&gt;"",INDEX($AE$2:$AP$440,MATCH($AT247,$AS$2:$AS$440,0),COLUMNS($AT$2:AW247)),"")</f>
        <v>38</v>
      </c>
      <c r="AY247">
        <f>IF(AX247&lt;&gt;"",INDEX($AE$2:$AP$440,MATCH($AT247,$AS$2:$AS$440,0),COLUMNS($AT$2:AX247)),"")</f>
        <v>16</v>
      </c>
      <c r="AZ247">
        <f>IF(AY247&lt;&gt;"",INDEX($AE$2:$AP$440,MATCH($AT247,$AS$2:$AS$440,0),COLUMNS($AT$2:AY247)),"")</f>
        <v>15</v>
      </c>
      <c r="BA247">
        <f>IF(AZ247&lt;&gt;"",INDEX($AE$2:$AP$440,MATCH($AT247,$AS$2:$AS$440,0),COLUMNS($AT$2:AZ247)),"")</f>
        <v>7</v>
      </c>
      <c r="BB247">
        <f>IF(BA247&lt;&gt;"",INDEX($AE$2:$AP$440,MATCH($AT247,$AS$2:$AS$440,0),COLUMNS($AT$2:BA247)),"")</f>
        <v>55</v>
      </c>
      <c r="BC247">
        <f>IF(BB247&lt;&gt;"",INDEX($AE$2:$AP$440,MATCH($AT247,$AS$2:$AS$440,0),COLUMNS($AT$2:BB247)),"")</f>
        <v>40</v>
      </c>
      <c r="BD247">
        <f>IF(BC247&lt;&gt;"",INDEX($AE$2:$AP$440,MATCH($AT247,$AS$2:$AS$440,0),COLUMNS($AT$2:BC247)),"")</f>
        <v>15</v>
      </c>
      <c r="BE247">
        <f>IF(BD247&lt;&gt;"",INDEX($AE$2:$AP$440,MATCH($AT247,$AS$2:$AS$440,0),COLUMNS($AT$2:BD247)),"")</f>
        <v>63</v>
      </c>
      <c r="BF247">
        <f>IF(BE247&lt;&gt;"",INDEX($AE$2:$AP$440,MATCH($AT247,$AS$2:$AS$440,0),COLUMNS($AT$2:BE247)),"")</f>
        <v>6</v>
      </c>
    </row>
    <row r="248" spans="1:58" x14ac:dyDescent="0.25">
      <c r="A248" s="3">
        <v>2012</v>
      </c>
      <c r="B248" s="3">
        <v>7</v>
      </c>
      <c r="C248" s="4" t="s">
        <v>13</v>
      </c>
      <c r="D248" s="3">
        <v>38</v>
      </c>
      <c r="E248" s="3">
        <v>16</v>
      </c>
      <c r="F248" s="3">
        <v>13</v>
      </c>
      <c r="G248" s="3">
        <v>9</v>
      </c>
      <c r="H248" s="3">
        <v>71</v>
      </c>
      <c r="I248" s="3">
        <v>43</v>
      </c>
      <c r="J248" s="3">
        <v>28</v>
      </c>
      <c r="K248" s="3">
        <v>61</v>
      </c>
      <c r="L248" s="5">
        <f>IF(Table2[[#This Row],['#]]=1,"Champion", IF(Table2[[#This Row],['#]]&gt;=18,"Relegated",Table2[[#This Row],['#]]))</f>
        <v>7</v>
      </c>
      <c r="N248">
        <f>IF(COUNTIF($O$2:O248,O248)=1,N247+1,N247)</f>
        <v>39</v>
      </c>
      <c r="O248" s="4" t="str">
        <f>Table2[[#This Row],[Team]]</f>
        <v>Liverpool</v>
      </c>
      <c r="P248" s="1" t="str">
        <f>IFERROR(VLOOKUP(ROWS($O$2:O248),$N$2:$O$441,2,0),"")</f>
        <v/>
      </c>
      <c r="Q248" s="1" t="str">
        <f>IF(P248&lt;&gt;"",SUMPRODUCT(--(Table2[Team]=P248)),"")</f>
        <v/>
      </c>
      <c r="R248" s="11" t="str">
        <f>IF(Q248&lt;&gt;"",Q248+ROWS($Q$2:Q248)/100,"")</f>
        <v/>
      </c>
      <c r="S248" t="str">
        <f>IF(R248&lt;&gt;"",LARGE($R$2:$R$441,ROWS($R$2:R248)),"")</f>
        <v/>
      </c>
      <c r="T248" s="1" t="str">
        <f>IF(R248&lt;&gt;"",INDEX($P$2:$Q$441,MATCH($S248,$R$2:$R$441,0),COLUMNS($S$2:S248)),"")</f>
        <v/>
      </c>
      <c r="U248" s="1" t="str">
        <f>IF(S248&lt;&gt;"",INDEX($P$2:$Q$441,MATCH($S248,$R$2:$R$441,0),COLUMNS($S$2:T248)),"")</f>
        <v/>
      </c>
      <c r="AE248" s="1">
        <f>Table2[[#This Row],[Year]]</f>
        <v>2012</v>
      </c>
      <c r="AF248" s="1">
        <f>Table2[[#This Row],['#]]</f>
        <v>7</v>
      </c>
      <c r="AG248" s="1" t="str">
        <f>Table2[[#This Row],[Team]]</f>
        <v>Liverpool</v>
      </c>
      <c r="AH248" s="1">
        <f>Table2[[#This Row],[Pl]]</f>
        <v>38</v>
      </c>
      <c r="AI248" s="1">
        <f>Table2[[#This Row],[W]]</f>
        <v>16</v>
      </c>
      <c r="AJ248" s="1">
        <f>Table2[[#This Row],[D]]</f>
        <v>13</v>
      </c>
      <c r="AK248" s="1">
        <f>Table2[[#This Row],[L]]</f>
        <v>9</v>
      </c>
      <c r="AL248" s="1">
        <f>Table2[[#This Row],[F]]</f>
        <v>71</v>
      </c>
      <c r="AM248" s="1">
        <f>Table2[[#This Row],[A]]</f>
        <v>43</v>
      </c>
      <c r="AN248" s="1">
        <f>Table2[[#This Row],[GD]]</f>
        <v>28</v>
      </c>
      <c r="AO248" s="1">
        <f>Table2[[#This Row],[Pts]]</f>
        <v>61</v>
      </c>
      <c r="AP248" s="1">
        <f>Table2[[#This Row],[Column1]]</f>
        <v>7</v>
      </c>
      <c r="AR248" t="b">
        <f t="shared" si="7"/>
        <v>1</v>
      </c>
      <c r="AS248">
        <f>IF(AR248,ROWS($AR$2:AR248),"")</f>
        <v>247</v>
      </c>
      <c r="AT248">
        <f>IFERROR(SMALL($AS$2:$AS$440,ROWS($AS$2:AS248)),"")</f>
        <v>247</v>
      </c>
      <c r="AU248">
        <f>IF(AT248&lt;&gt;"",INDEX($AE$2:$AP$440,MATCH($AT248,$AS$2:$AS$440,0),COLUMNS($AT$2:AT248)),"")</f>
        <v>2012</v>
      </c>
      <c r="AV248">
        <f>IF(AU248&lt;&gt;"",INDEX($AE$2:$AP$440,MATCH($AT248,$AS$2:$AS$440,0),COLUMNS($AT$2:AU248)),"")</f>
        <v>7</v>
      </c>
      <c r="AW248" t="str">
        <f>IF(AV248&lt;&gt;"",INDEX($AE$2:$AP$440,MATCH($AT248,$AS$2:$AS$440,0),COLUMNS($AT$2:AV248)),"")</f>
        <v>Liverpool</v>
      </c>
      <c r="AX248">
        <f>IF(AW248&lt;&gt;"",INDEX($AE$2:$AP$440,MATCH($AT248,$AS$2:$AS$440,0),COLUMNS($AT$2:AW248)),"")</f>
        <v>38</v>
      </c>
      <c r="AY248">
        <f>IF(AX248&lt;&gt;"",INDEX($AE$2:$AP$440,MATCH($AT248,$AS$2:$AS$440,0),COLUMNS($AT$2:AX248)),"")</f>
        <v>16</v>
      </c>
      <c r="AZ248">
        <f>IF(AY248&lt;&gt;"",INDEX($AE$2:$AP$440,MATCH($AT248,$AS$2:$AS$440,0),COLUMNS($AT$2:AY248)),"")</f>
        <v>13</v>
      </c>
      <c r="BA248">
        <f>IF(AZ248&lt;&gt;"",INDEX($AE$2:$AP$440,MATCH($AT248,$AS$2:$AS$440,0),COLUMNS($AT$2:AZ248)),"")</f>
        <v>9</v>
      </c>
      <c r="BB248">
        <f>IF(BA248&lt;&gt;"",INDEX($AE$2:$AP$440,MATCH($AT248,$AS$2:$AS$440,0),COLUMNS($AT$2:BA248)),"")</f>
        <v>71</v>
      </c>
      <c r="BC248">
        <f>IF(BB248&lt;&gt;"",INDEX($AE$2:$AP$440,MATCH($AT248,$AS$2:$AS$440,0),COLUMNS($AT$2:BB248)),"")</f>
        <v>43</v>
      </c>
      <c r="BD248">
        <f>IF(BC248&lt;&gt;"",INDEX($AE$2:$AP$440,MATCH($AT248,$AS$2:$AS$440,0),COLUMNS($AT$2:BC248)),"")</f>
        <v>28</v>
      </c>
      <c r="BE248">
        <f>IF(BD248&lt;&gt;"",INDEX($AE$2:$AP$440,MATCH($AT248,$AS$2:$AS$440,0),COLUMNS($AT$2:BD248)),"")</f>
        <v>61</v>
      </c>
      <c r="BF248">
        <f>IF(BE248&lt;&gt;"",INDEX($AE$2:$AP$440,MATCH($AT248,$AS$2:$AS$440,0),COLUMNS($AT$2:BE248)),"")</f>
        <v>7</v>
      </c>
    </row>
    <row r="249" spans="1:58" x14ac:dyDescent="0.25">
      <c r="A249" s="5">
        <v>2012</v>
      </c>
      <c r="B249" s="5">
        <v>8</v>
      </c>
      <c r="C249" s="6" t="s">
        <v>35</v>
      </c>
      <c r="D249" s="5">
        <v>38</v>
      </c>
      <c r="E249" s="5">
        <v>14</v>
      </c>
      <c r="F249" s="5">
        <v>7</v>
      </c>
      <c r="G249" s="5">
        <v>17</v>
      </c>
      <c r="H249" s="5">
        <v>53</v>
      </c>
      <c r="I249" s="5">
        <v>57</v>
      </c>
      <c r="J249" s="5">
        <v>-4</v>
      </c>
      <c r="K249" s="5">
        <v>49</v>
      </c>
      <c r="L249" s="5">
        <f>IF(Table2[[#This Row],['#]]=1,"Champion", IF(Table2[[#This Row],['#]]&gt;=18,"Relegated",Table2[[#This Row],['#]]))</f>
        <v>8</v>
      </c>
      <c r="N249">
        <f>IF(COUNTIF($O$2:O249,O249)=1,N248+1,N248)</f>
        <v>39</v>
      </c>
      <c r="O249" s="4" t="str">
        <f>Table2[[#This Row],[Team]]</f>
        <v>West Bromwich Albion</v>
      </c>
      <c r="P249" s="1" t="str">
        <f>IFERROR(VLOOKUP(ROWS($O$2:O249),$N$2:$O$441,2,0),"")</f>
        <v/>
      </c>
      <c r="Q249" s="1" t="str">
        <f>IF(P249&lt;&gt;"",SUMPRODUCT(--(Table2[Team]=P249)),"")</f>
        <v/>
      </c>
      <c r="R249" s="11" t="str">
        <f>IF(Q249&lt;&gt;"",Q249+ROWS($Q$2:Q249)/100,"")</f>
        <v/>
      </c>
      <c r="S249" t="str">
        <f>IF(R249&lt;&gt;"",LARGE($R$2:$R$441,ROWS($R$2:R249)),"")</f>
        <v/>
      </c>
      <c r="T249" s="1" t="str">
        <f>IF(R249&lt;&gt;"",INDEX($P$2:$Q$441,MATCH($S249,$R$2:$R$441,0),COLUMNS($S$2:S249)),"")</f>
        <v/>
      </c>
      <c r="U249" s="1" t="str">
        <f>IF(S249&lt;&gt;"",INDEX($P$2:$Q$441,MATCH($S249,$R$2:$R$441,0),COLUMNS($S$2:T249)),"")</f>
        <v/>
      </c>
      <c r="AE249" s="1">
        <f>Table2[[#This Row],[Year]]</f>
        <v>2012</v>
      </c>
      <c r="AF249" s="1">
        <f>Table2[[#This Row],['#]]</f>
        <v>8</v>
      </c>
      <c r="AG249" s="1" t="str">
        <f>Table2[[#This Row],[Team]]</f>
        <v>West Bromwich Albion</v>
      </c>
      <c r="AH249" s="1">
        <f>Table2[[#This Row],[Pl]]</f>
        <v>38</v>
      </c>
      <c r="AI249" s="1">
        <f>Table2[[#This Row],[W]]</f>
        <v>14</v>
      </c>
      <c r="AJ249" s="1">
        <f>Table2[[#This Row],[D]]</f>
        <v>7</v>
      </c>
      <c r="AK249" s="1">
        <f>Table2[[#This Row],[L]]</f>
        <v>17</v>
      </c>
      <c r="AL249" s="1">
        <f>Table2[[#This Row],[F]]</f>
        <v>53</v>
      </c>
      <c r="AM249" s="1">
        <f>Table2[[#This Row],[A]]</f>
        <v>57</v>
      </c>
      <c r="AN249" s="1">
        <f>Table2[[#This Row],[GD]]</f>
        <v>-4</v>
      </c>
      <c r="AO249" s="1">
        <f>Table2[[#This Row],[Pts]]</f>
        <v>49</v>
      </c>
      <c r="AP249" s="1">
        <f>Table2[[#This Row],[Column1]]</f>
        <v>8</v>
      </c>
      <c r="AR249" t="b">
        <f t="shared" si="7"/>
        <v>1</v>
      </c>
      <c r="AS249">
        <f>IF(AR249,ROWS($AR$2:AR249),"")</f>
        <v>248</v>
      </c>
      <c r="AT249">
        <f>IFERROR(SMALL($AS$2:$AS$440,ROWS($AS$2:AS249)),"")</f>
        <v>248</v>
      </c>
      <c r="AU249">
        <f>IF(AT249&lt;&gt;"",INDEX($AE$2:$AP$440,MATCH($AT249,$AS$2:$AS$440,0),COLUMNS($AT$2:AT249)),"")</f>
        <v>2012</v>
      </c>
      <c r="AV249">
        <f>IF(AU249&lt;&gt;"",INDEX($AE$2:$AP$440,MATCH($AT249,$AS$2:$AS$440,0),COLUMNS($AT$2:AU249)),"")</f>
        <v>8</v>
      </c>
      <c r="AW249" t="str">
        <f>IF(AV249&lt;&gt;"",INDEX($AE$2:$AP$440,MATCH($AT249,$AS$2:$AS$440,0),COLUMNS($AT$2:AV249)),"")</f>
        <v>West Bromwich Albion</v>
      </c>
      <c r="AX249">
        <f>IF(AW249&lt;&gt;"",INDEX($AE$2:$AP$440,MATCH($AT249,$AS$2:$AS$440,0),COLUMNS($AT$2:AW249)),"")</f>
        <v>38</v>
      </c>
      <c r="AY249">
        <f>IF(AX249&lt;&gt;"",INDEX($AE$2:$AP$440,MATCH($AT249,$AS$2:$AS$440,0),COLUMNS($AT$2:AX249)),"")</f>
        <v>14</v>
      </c>
      <c r="AZ249">
        <f>IF(AY249&lt;&gt;"",INDEX($AE$2:$AP$440,MATCH($AT249,$AS$2:$AS$440,0),COLUMNS($AT$2:AY249)),"")</f>
        <v>7</v>
      </c>
      <c r="BA249">
        <f>IF(AZ249&lt;&gt;"",INDEX($AE$2:$AP$440,MATCH($AT249,$AS$2:$AS$440,0),COLUMNS($AT$2:AZ249)),"")</f>
        <v>17</v>
      </c>
      <c r="BB249">
        <f>IF(BA249&lt;&gt;"",INDEX($AE$2:$AP$440,MATCH($AT249,$AS$2:$AS$440,0),COLUMNS($AT$2:BA249)),"")</f>
        <v>53</v>
      </c>
      <c r="BC249">
        <f>IF(BB249&lt;&gt;"",INDEX($AE$2:$AP$440,MATCH($AT249,$AS$2:$AS$440,0),COLUMNS($AT$2:BB249)),"")</f>
        <v>57</v>
      </c>
      <c r="BD249">
        <f>IF(BC249&lt;&gt;"",INDEX($AE$2:$AP$440,MATCH($AT249,$AS$2:$AS$440,0),COLUMNS($AT$2:BC249)),"")</f>
        <v>-4</v>
      </c>
      <c r="BE249">
        <f>IF(BD249&lt;&gt;"",INDEX($AE$2:$AP$440,MATCH($AT249,$AS$2:$AS$440,0),COLUMNS($AT$2:BD249)),"")</f>
        <v>49</v>
      </c>
      <c r="BF249">
        <f>IF(BE249&lt;&gt;"",INDEX($AE$2:$AP$440,MATCH($AT249,$AS$2:$AS$440,0),COLUMNS($AT$2:BE249)),"")</f>
        <v>8</v>
      </c>
    </row>
    <row r="250" spans="1:58" x14ac:dyDescent="0.25">
      <c r="A250" s="3">
        <v>2012</v>
      </c>
      <c r="B250" s="3">
        <v>9</v>
      </c>
      <c r="C250" s="4" t="s">
        <v>48</v>
      </c>
      <c r="D250" s="3">
        <v>38</v>
      </c>
      <c r="E250" s="3">
        <v>11</v>
      </c>
      <c r="F250" s="3">
        <v>13</v>
      </c>
      <c r="G250" s="3">
        <v>14</v>
      </c>
      <c r="H250" s="3">
        <v>47</v>
      </c>
      <c r="I250" s="3">
        <v>51</v>
      </c>
      <c r="J250" s="3">
        <v>-4</v>
      </c>
      <c r="K250" s="3">
        <v>46</v>
      </c>
      <c r="L250" s="5">
        <f>IF(Table2[[#This Row],['#]]=1,"Champion", IF(Table2[[#This Row],['#]]&gt;=18,"Relegated",Table2[[#This Row],['#]]))</f>
        <v>9</v>
      </c>
      <c r="N250">
        <f>IF(COUNTIF($O$2:O250,O250)=1,N249+1,N249)</f>
        <v>39</v>
      </c>
      <c r="O250" s="4" t="str">
        <f>Table2[[#This Row],[Team]]</f>
        <v>Swansea City</v>
      </c>
      <c r="P250" s="1" t="str">
        <f>IFERROR(VLOOKUP(ROWS($O$2:O250),$N$2:$O$441,2,0),"")</f>
        <v/>
      </c>
      <c r="Q250" s="1" t="str">
        <f>IF(P250&lt;&gt;"",SUMPRODUCT(--(Table2[Team]=P250)),"")</f>
        <v/>
      </c>
      <c r="R250" s="11" t="str">
        <f>IF(Q250&lt;&gt;"",Q250+ROWS($Q$2:Q250)/100,"")</f>
        <v/>
      </c>
      <c r="S250" t="str">
        <f>IF(R250&lt;&gt;"",LARGE($R$2:$R$441,ROWS($R$2:R250)),"")</f>
        <v/>
      </c>
      <c r="T250" s="1" t="str">
        <f>IF(R250&lt;&gt;"",INDEX($P$2:$Q$441,MATCH($S250,$R$2:$R$441,0),COLUMNS($S$2:S250)),"")</f>
        <v/>
      </c>
      <c r="U250" s="1" t="str">
        <f>IF(S250&lt;&gt;"",INDEX($P$2:$Q$441,MATCH($S250,$R$2:$R$441,0),COLUMNS($S$2:T250)),"")</f>
        <v/>
      </c>
      <c r="AE250" s="1">
        <f>Table2[[#This Row],[Year]]</f>
        <v>2012</v>
      </c>
      <c r="AF250" s="1">
        <f>Table2[[#This Row],['#]]</f>
        <v>9</v>
      </c>
      <c r="AG250" s="1" t="str">
        <f>Table2[[#This Row],[Team]]</f>
        <v>Swansea City</v>
      </c>
      <c r="AH250" s="1">
        <f>Table2[[#This Row],[Pl]]</f>
        <v>38</v>
      </c>
      <c r="AI250" s="1">
        <f>Table2[[#This Row],[W]]</f>
        <v>11</v>
      </c>
      <c r="AJ250" s="1">
        <f>Table2[[#This Row],[D]]</f>
        <v>13</v>
      </c>
      <c r="AK250" s="1">
        <f>Table2[[#This Row],[L]]</f>
        <v>14</v>
      </c>
      <c r="AL250" s="1">
        <f>Table2[[#This Row],[F]]</f>
        <v>47</v>
      </c>
      <c r="AM250" s="1">
        <f>Table2[[#This Row],[A]]</f>
        <v>51</v>
      </c>
      <c r="AN250" s="1">
        <f>Table2[[#This Row],[GD]]</f>
        <v>-4</v>
      </c>
      <c r="AO250" s="1">
        <f>Table2[[#This Row],[Pts]]</f>
        <v>46</v>
      </c>
      <c r="AP250" s="1">
        <f>Table2[[#This Row],[Column1]]</f>
        <v>9</v>
      </c>
      <c r="AR250" t="b">
        <f t="shared" si="7"/>
        <v>1</v>
      </c>
      <c r="AS250">
        <f>IF(AR250,ROWS($AR$2:AR250),"")</f>
        <v>249</v>
      </c>
      <c r="AT250">
        <f>IFERROR(SMALL($AS$2:$AS$440,ROWS($AS$2:AS250)),"")</f>
        <v>249</v>
      </c>
      <c r="AU250">
        <f>IF(AT250&lt;&gt;"",INDEX($AE$2:$AP$440,MATCH($AT250,$AS$2:$AS$440,0),COLUMNS($AT$2:AT250)),"")</f>
        <v>2012</v>
      </c>
      <c r="AV250">
        <f>IF(AU250&lt;&gt;"",INDEX($AE$2:$AP$440,MATCH($AT250,$AS$2:$AS$440,0),COLUMNS($AT$2:AU250)),"")</f>
        <v>9</v>
      </c>
      <c r="AW250" t="str">
        <f>IF(AV250&lt;&gt;"",INDEX($AE$2:$AP$440,MATCH($AT250,$AS$2:$AS$440,0),COLUMNS($AT$2:AV250)),"")</f>
        <v>Swansea City</v>
      </c>
      <c r="AX250">
        <f>IF(AW250&lt;&gt;"",INDEX($AE$2:$AP$440,MATCH($AT250,$AS$2:$AS$440,0),COLUMNS($AT$2:AW250)),"")</f>
        <v>38</v>
      </c>
      <c r="AY250">
        <f>IF(AX250&lt;&gt;"",INDEX($AE$2:$AP$440,MATCH($AT250,$AS$2:$AS$440,0),COLUMNS($AT$2:AX250)),"")</f>
        <v>11</v>
      </c>
      <c r="AZ250">
        <f>IF(AY250&lt;&gt;"",INDEX($AE$2:$AP$440,MATCH($AT250,$AS$2:$AS$440,0),COLUMNS($AT$2:AY250)),"")</f>
        <v>13</v>
      </c>
      <c r="BA250">
        <f>IF(AZ250&lt;&gt;"",INDEX($AE$2:$AP$440,MATCH($AT250,$AS$2:$AS$440,0),COLUMNS($AT$2:AZ250)),"")</f>
        <v>14</v>
      </c>
      <c r="BB250">
        <f>IF(BA250&lt;&gt;"",INDEX($AE$2:$AP$440,MATCH($AT250,$AS$2:$AS$440,0),COLUMNS($AT$2:BA250)),"")</f>
        <v>47</v>
      </c>
      <c r="BC250">
        <f>IF(BB250&lt;&gt;"",INDEX($AE$2:$AP$440,MATCH($AT250,$AS$2:$AS$440,0),COLUMNS($AT$2:BB250)),"")</f>
        <v>51</v>
      </c>
      <c r="BD250">
        <f>IF(BC250&lt;&gt;"",INDEX($AE$2:$AP$440,MATCH($AT250,$AS$2:$AS$440,0),COLUMNS($AT$2:BC250)),"")</f>
        <v>-4</v>
      </c>
      <c r="BE250">
        <f>IF(BD250&lt;&gt;"",INDEX($AE$2:$AP$440,MATCH($AT250,$AS$2:$AS$440,0),COLUMNS($AT$2:BD250)),"")</f>
        <v>46</v>
      </c>
      <c r="BF250">
        <f>IF(BE250&lt;&gt;"",INDEX($AE$2:$AP$440,MATCH($AT250,$AS$2:$AS$440,0),COLUMNS($AT$2:BE250)),"")</f>
        <v>9</v>
      </c>
    </row>
    <row r="251" spans="1:58" x14ac:dyDescent="0.25">
      <c r="A251" s="5">
        <v>2012</v>
      </c>
      <c r="B251" s="5">
        <v>10</v>
      </c>
      <c r="C251" s="6" t="s">
        <v>25</v>
      </c>
      <c r="D251" s="5">
        <v>38</v>
      </c>
      <c r="E251" s="5">
        <v>12</v>
      </c>
      <c r="F251" s="5">
        <v>10</v>
      </c>
      <c r="G251" s="5">
        <v>16</v>
      </c>
      <c r="H251" s="5">
        <v>45</v>
      </c>
      <c r="I251" s="5">
        <v>53</v>
      </c>
      <c r="J251" s="5">
        <v>-8</v>
      </c>
      <c r="K251" s="5">
        <v>46</v>
      </c>
      <c r="L251" s="5">
        <f>IF(Table2[[#This Row],['#]]=1,"Champion", IF(Table2[[#This Row],['#]]&gt;=18,"Relegated",Table2[[#This Row],['#]]))</f>
        <v>10</v>
      </c>
      <c r="N251">
        <f>IF(COUNTIF($O$2:O251,O251)=1,N250+1,N250)</f>
        <v>39</v>
      </c>
      <c r="O251" s="4" t="str">
        <f>Table2[[#This Row],[Team]]</f>
        <v>West Ham United</v>
      </c>
      <c r="P251" s="1" t="str">
        <f>IFERROR(VLOOKUP(ROWS($O$2:O251),$N$2:$O$441,2,0),"")</f>
        <v/>
      </c>
      <c r="Q251" s="1" t="str">
        <f>IF(P251&lt;&gt;"",SUMPRODUCT(--(Table2[Team]=P251)),"")</f>
        <v/>
      </c>
      <c r="R251" s="11" t="str">
        <f>IF(Q251&lt;&gt;"",Q251+ROWS($Q$2:Q251)/100,"")</f>
        <v/>
      </c>
      <c r="S251" t="str">
        <f>IF(R251&lt;&gt;"",LARGE($R$2:$R$441,ROWS($R$2:R251)),"")</f>
        <v/>
      </c>
      <c r="T251" s="1" t="str">
        <f>IF(R251&lt;&gt;"",INDEX($P$2:$Q$441,MATCH($S251,$R$2:$R$441,0),COLUMNS($S$2:S251)),"")</f>
        <v/>
      </c>
      <c r="U251" s="1" t="str">
        <f>IF(S251&lt;&gt;"",INDEX($P$2:$Q$441,MATCH($S251,$R$2:$R$441,0),COLUMNS($S$2:T251)),"")</f>
        <v/>
      </c>
      <c r="AE251" s="1">
        <f>Table2[[#This Row],[Year]]</f>
        <v>2012</v>
      </c>
      <c r="AF251" s="1">
        <f>Table2[[#This Row],['#]]</f>
        <v>10</v>
      </c>
      <c r="AG251" s="1" t="str">
        <f>Table2[[#This Row],[Team]]</f>
        <v>West Ham United</v>
      </c>
      <c r="AH251" s="1">
        <f>Table2[[#This Row],[Pl]]</f>
        <v>38</v>
      </c>
      <c r="AI251" s="1">
        <f>Table2[[#This Row],[W]]</f>
        <v>12</v>
      </c>
      <c r="AJ251" s="1">
        <f>Table2[[#This Row],[D]]</f>
        <v>10</v>
      </c>
      <c r="AK251" s="1">
        <f>Table2[[#This Row],[L]]</f>
        <v>16</v>
      </c>
      <c r="AL251" s="1">
        <f>Table2[[#This Row],[F]]</f>
        <v>45</v>
      </c>
      <c r="AM251" s="1">
        <f>Table2[[#This Row],[A]]</f>
        <v>53</v>
      </c>
      <c r="AN251" s="1">
        <f>Table2[[#This Row],[GD]]</f>
        <v>-8</v>
      </c>
      <c r="AO251" s="1">
        <f>Table2[[#This Row],[Pts]]</f>
        <v>46</v>
      </c>
      <c r="AP251" s="1">
        <f>Table2[[#This Row],[Column1]]</f>
        <v>10</v>
      </c>
      <c r="AR251" t="b">
        <f t="shared" si="7"/>
        <v>1</v>
      </c>
      <c r="AS251">
        <f>IF(AR251,ROWS($AR$2:AR251),"")</f>
        <v>250</v>
      </c>
      <c r="AT251">
        <f>IFERROR(SMALL($AS$2:$AS$440,ROWS($AS$2:AS251)),"")</f>
        <v>250</v>
      </c>
      <c r="AU251">
        <f>IF(AT251&lt;&gt;"",INDEX($AE$2:$AP$440,MATCH($AT251,$AS$2:$AS$440,0),COLUMNS($AT$2:AT251)),"")</f>
        <v>2012</v>
      </c>
      <c r="AV251">
        <f>IF(AU251&lt;&gt;"",INDEX($AE$2:$AP$440,MATCH($AT251,$AS$2:$AS$440,0),COLUMNS($AT$2:AU251)),"")</f>
        <v>10</v>
      </c>
      <c r="AW251" t="str">
        <f>IF(AV251&lt;&gt;"",INDEX($AE$2:$AP$440,MATCH($AT251,$AS$2:$AS$440,0),COLUMNS($AT$2:AV251)),"")</f>
        <v>West Ham United</v>
      </c>
      <c r="AX251">
        <f>IF(AW251&lt;&gt;"",INDEX($AE$2:$AP$440,MATCH($AT251,$AS$2:$AS$440,0),COLUMNS($AT$2:AW251)),"")</f>
        <v>38</v>
      </c>
      <c r="AY251">
        <f>IF(AX251&lt;&gt;"",INDEX($AE$2:$AP$440,MATCH($AT251,$AS$2:$AS$440,0),COLUMNS($AT$2:AX251)),"")</f>
        <v>12</v>
      </c>
      <c r="AZ251">
        <f>IF(AY251&lt;&gt;"",INDEX($AE$2:$AP$440,MATCH($AT251,$AS$2:$AS$440,0),COLUMNS($AT$2:AY251)),"")</f>
        <v>10</v>
      </c>
      <c r="BA251">
        <f>IF(AZ251&lt;&gt;"",INDEX($AE$2:$AP$440,MATCH($AT251,$AS$2:$AS$440,0),COLUMNS($AT$2:AZ251)),"")</f>
        <v>16</v>
      </c>
      <c r="BB251">
        <f>IF(BA251&lt;&gt;"",INDEX($AE$2:$AP$440,MATCH($AT251,$AS$2:$AS$440,0),COLUMNS($AT$2:BA251)),"")</f>
        <v>45</v>
      </c>
      <c r="BC251">
        <f>IF(BB251&lt;&gt;"",INDEX($AE$2:$AP$440,MATCH($AT251,$AS$2:$AS$440,0),COLUMNS($AT$2:BB251)),"")</f>
        <v>53</v>
      </c>
      <c r="BD251">
        <f>IF(BC251&lt;&gt;"",INDEX($AE$2:$AP$440,MATCH($AT251,$AS$2:$AS$440,0),COLUMNS($AT$2:BC251)),"")</f>
        <v>-8</v>
      </c>
      <c r="BE251">
        <f>IF(BD251&lt;&gt;"",INDEX($AE$2:$AP$440,MATCH($AT251,$AS$2:$AS$440,0),COLUMNS($AT$2:BD251)),"")</f>
        <v>46</v>
      </c>
      <c r="BF251">
        <f>IF(BE251&lt;&gt;"",INDEX($AE$2:$AP$440,MATCH($AT251,$AS$2:$AS$440,0),COLUMNS($AT$2:BE251)),"")</f>
        <v>10</v>
      </c>
    </row>
    <row r="252" spans="1:58" x14ac:dyDescent="0.25">
      <c r="A252" s="3">
        <v>2012</v>
      </c>
      <c r="B252" s="3">
        <v>11</v>
      </c>
      <c r="C252" s="4" t="s">
        <v>39</v>
      </c>
      <c r="D252" s="3">
        <v>38</v>
      </c>
      <c r="E252" s="3">
        <v>10</v>
      </c>
      <c r="F252" s="3">
        <v>14</v>
      </c>
      <c r="G252" s="3">
        <v>14</v>
      </c>
      <c r="H252" s="3">
        <v>41</v>
      </c>
      <c r="I252" s="3">
        <v>58</v>
      </c>
      <c r="J252" s="3">
        <v>-17</v>
      </c>
      <c r="K252" s="3">
        <v>44</v>
      </c>
      <c r="L252" s="5">
        <f>IF(Table2[[#This Row],['#]]=1,"Champion", IF(Table2[[#This Row],['#]]&gt;=18,"Relegated",Table2[[#This Row],['#]]))</f>
        <v>11</v>
      </c>
      <c r="N252">
        <f>IF(COUNTIF($O$2:O252,O252)=1,N251+1,N251)</f>
        <v>39</v>
      </c>
      <c r="O252" s="4" t="str">
        <f>Table2[[#This Row],[Team]]</f>
        <v>Norwich City</v>
      </c>
      <c r="P252" s="1" t="str">
        <f>IFERROR(VLOOKUP(ROWS($O$2:O252),$N$2:$O$441,2,0),"")</f>
        <v/>
      </c>
      <c r="Q252" s="1" t="str">
        <f>IF(P252&lt;&gt;"",SUMPRODUCT(--(Table2[Team]=P252)),"")</f>
        <v/>
      </c>
      <c r="R252" s="11" t="str">
        <f>IF(Q252&lt;&gt;"",Q252+ROWS($Q$2:Q252)/100,"")</f>
        <v/>
      </c>
      <c r="S252" t="str">
        <f>IF(R252&lt;&gt;"",LARGE($R$2:$R$441,ROWS($R$2:R252)),"")</f>
        <v/>
      </c>
      <c r="T252" s="1" t="str">
        <f>IF(R252&lt;&gt;"",INDEX($P$2:$Q$441,MATCH($S252,$R$2:$R$441,0),COLUMNS($S$2:S252)),"")</f>
        <v/>
      </c>
      <c r="U252" s="1" t="str">
        <f>IF(S252&lt;&gt;"",INDEX($P$2:$Q$441,MATCH($S252,$R$2:$R$441,0),COLUMNS($S$2:T252)),"")</f>
        <v/>
      </c>
      <c r="AE252" s="1">
        <f>Table2[[#This Row],[Year]]</f>
        <v>2012</v>
      </c>
      <c r="AF252" s="1">
        <f>Table2[[#This Row],['#]]</f>
        <v>11</v>
      </c>
      <c r="AG252" s="1" t="str">
        <f>Table2[[#This Row],[Team]]</f>
        <v>Norwich City</v>
      </c>
      <c r="AH252" s="1">
        <f>Table2[[#This Row],[Pl]]</f>
        <v>38</v>
      </c>
      <c r="AI252" s="1">
        <f>Table2[[#This Row],[W]]</f>
        <v>10</v>
      </c>
      <c r="AJ252" s="1">
        <f>Table2[[#This Row],[D]]</f>
        <v>14</v>
      </c>
      <c r="AK252" s="1">
        <f>Table2[[#This Row],[L]]</f>
        <v>14</v>
      </c>
      <c r="AL252" s="1">
        <f>Table2[[#This Row],[F]]</f>
        <v>41</v>
      </c>
      <c r="AM252" s="1">
        <f>Table2[[#This Row],[A]]</f>
        <v>58</v>
      </c>
      <c r="AN252" s="1">
        <f>Table2[[#This Row],[GD]]</f>
        <v>-17</v>
      </c>
      <c r="AO252" s="1">
        <f>Table2[[#This Row],[Pts]]</f>
        <v>44</v>
      </c>
      <c r="AP252" s="1">
        <f>Table2[[#This Row],[Column1]]</f>
        <v>11</v>
      </c>
      <c r="AR252" t="b">
        <f t="shared" si="7"/>
        <v>1</v>
      </c>
      <c r="AS252">
        <f>IF(AR252,ROWS($AR$2:AR252),"")</f>
        <v>251</v>
      </c>
      <c r="AT252">
        <f>IFERROR(SMALL($AS$2:$AS$440,ROWS($AS$2:AS252)),"")</f>
        <v>251</v>
      </c>
      <c r="AU252">
        <f>IF(AT252&lt;&gt;"",INDEX($AE$2:$AP$440,MATCH($AT252,$AS$2:$AS$440,0),COLUMNS($AT$2:AT252)),"")</f>
        <v>2012</v>
      </c>
      <c r="AV252">
        <f>IF(AU252&lt;&gt;"",INDEX($AE$2:$AP$440,MATCH($AT252,$AS$2:$AS$440,0),COLUMNS($AT$2:AU252)),"")</f>
        <v>11</v>
      </c>
      <c r="AW252" t="str">
        <f>IF(AV252&lt;&gt;"",INDEX($AE$2:$AP$440,MATCH($AT252,$AS$2:$AS$440,0),COLUMNS($AT$2:AV252)),"")</f>
        <v>Norwich City</v>
      </c>
      <c r="AX252">
        <f>IF(AW252&lt;&gt;"",INDEX($AE$2:$AP$440,MATCH($AT252,$AS$2:$AS$440,0),COLUMNS($AT$2:AW252)),"")</f>
        <v>38</v>
      </c>
      <c r="AY252">
        <f>IF(AX252&lt;&gt;"",INDEX($AE$2:$AP$440,MATCH($AT252,$AS$2:$AS$440,0),COLUMNS($AT$2:AX252)),"")</f>
        <v>10</v>
      </c>
      <c r="AZ252">
        <f>IF(AY252&lt;&gt;"",INDEX($AE$2:$AP$440,MATCH($AT252,$AS$2:$AS$440,0),COLUMNS($AT$2:AY252)),"")</f>
        <v>14</v>
      </c>
      <c r="BA252">
        <f>IF(AZ252&lt;&gt;"",INDEX($AE$2:$AP$440,MATCH($AT252,$AS$2:$AS$440,0),COLUMNS($AT$2:AZ252)),"")</f>
        <v>14</v>
      </c>
      <c r="BB252">
        <f>IF(BA252&lt;&gt;"",INDEX($AE$2:$AP$440,MATCH($AT252,$AS$2:$AS$440,0),COLUMNS($AT$2:BA252)),"")</f>
        <v>41</v>
      </c>
      <c r="BC252">
        <f>IF(BB252&lt;&gt;"",INDEX($AE$2:$AP$440,MATCH($AT252,$AS$2:$AS$440,0),COLUMNS($AT$2:BB252)),"")</f>
        <v>58</v>
      </c>
      <c r="BD252">
        <f>IF(BC252&lt;&gt;"",INDEX($AE$2:$AP$440,MATCH($AT252,$AS$2:$AS$440,0),COLUMNS($AT$2:BC252)),"")</f>
        <v>-17</v>
      </c>
      <c r="BE252">
        <f>IF(BD252&lt;&gt;"",INDEX($AE$2:$AP$440,MATCH($AT252,$AS$2:$AS$440,0),COLUMNS($AT$2:BD252)),"")</f>
        <v>44</v>
      </c>
      <c r="BF252">
        <f>IF(BE252&lt;&gt;"",INDEX($AE$2:$AP$440,MATCH($AT252,$AS$2:$AS$440,0),COLUMNS($AT$2:BE252)),"")</f>
        <v>11</v>
      </c>
    </row>
    <row r="253" spans="1:58" x14ac:dyDescent="0.25">
      <c r="A253" s="5">
        <v>2012</v>
      </c>
      <c r="B253" s="5">
        <v>12</v>
      </c>
      <c r="C253" s="6" t="s">
        <v>32</v>
      </c>
      <c r="D253" s="5">
        <v>38</v>
      </c>
      <c r="E253" s="5">
        <v>11</v>
      </c>
      <c r="F253" s="5">
        <v>10</v>
      </c>
      <c r="G253" s="5">
        <v>17</v>
      </c>
      <c r="H253" s="5">
        <v>50</v>
      </c>
      <c r="I253" s="5">
        <v>60</v>
      </c>
      <c r="J253" s="5">
        <v>-10</v>
      </c>
      <c r="K253" s="5">
        <v>43</v>
      </c>
      <c r="L253" s="5">
        <f>IF(Table2[[#This Row],['#]]=1,"Champion", IF(Table2[[#This Row],['#]]&gt;=18,"Relegated",Table2[[#This Row],['#]]))</f>
        <v>12</v>
      </c>
      <c r="N253">
        <f>IF(COUNTIF($O$2:O253,O253)=1,N252+1,N252)</f>
        <v>39</v>
      </c>
      <c r="O253" s="4" t="str">
        <f>Table2[[#This Row],[Team]]</f>
        <v>Fulham</v>
      </c>
      <c r="P253" s="1" t="str">
        <f>IFERROR(VLOOKUP(ROWS($O$2:O253),$N$2:$O$441,2,0),"")</f>
        <v/>
      </c>
      <c r="Q253" s="1" t="str">
        <f>IF(P253&lt;&gt;"",SUMPRODUCT(--(Table2[Team]=P253)),"")</f>
        <v/>
      </c>
      <c r="R253" s="11" t="str">
        <f>IF(Q253&lt;&gt;"",Q253+ROWS($Q$2:Q253)/100,"")</f>
        <v/>
      </c>
      <c r="S253" t="str">
        <f>IF(R253&lt;&gt;"",LARGE($R$2:$R$441,ROWS($R$2:R253)),"")</f>
        <v/>
      </c>
      <c r="T253" s="1" t="str">
        <f>IF(R253&lt;&gt;"",INDEX($P$2:$Q$441,MATCH($S253,$R$2:$R$441,0),COLUMNS($S$2:S253)),"")</f>
        <v/>
      </c>
      <c r="U253" s="1" t="str">
        <f>IF(S253&lt;&gt;"",INDEX($P$2:$Q$441,MATCH($S253,$R$2:$R$441,0),COLUMNS($S$2:T253)),"")</f>
        <v/>
      </c>
      <c r="AE253" s="1">
        <f>Table2[[#This Row],[Year]]</f>
        <v>2012</v>
      </c>
      <c r="AF253" s="1">
        <f>Table2[[#This Row],['#]]</f>
        <v>12</v>
      </c>
      <c r="AG253" s="1" t="str">
        <f>Table2[[#This Row],[Team]]</f>
        <v>Fulham</v>
      </c>
      <c r="AH253" s="1">
        <f>Table2[[#This Row],[Pl]]</f>
        <v>38</v>
      </c>
      <c r="AI253" s="1">
        <f>Table2[[#This Row],[W]]</f>
        <v>11</v>
      </c>
      <c r="AJ253" s="1">
        <f>Table2[[#This Row],[D]]</f>
        <v>10</v>
      </c>
      <c r="AK253" s="1">
        <f>Table2[[#This Row],[L]]</f>
        <v>17</v>
      </c>
      <c r="AL253" s="1">
        <f>Table2[[#This Row],[F]]</f>
        <v>50</v>
      </c>
      <c r="AM253" s="1">
        <f>Table2[[#This Row],[A]]</f>
        <v>60</v>
      </c>
      <c r="AN253" s="1">
        <f>Table2[[#This Row],[GD]]</f>
        <v>-10</v>
      </c>
      <c r="AO253" s="1">
        <f>Table2[[#This Row],[Pts]]</f>
        <v>43</v>
      </c>
      <c r="AP253" s="1">
        <f>Table2[[#This Row],[Column1]]</f>
        <v>12</v>
      </c>
      <c r="AR253" t="b">
        <f t="shared" si="7"/>
        <v>1</v>
      </c>
      <c r="AS253">
        <f>IF(AR253,ROWS($AR$2:AR253),"")</f>
        <v>252</v>
      </c>
      <c r="AT253">
        <f>IFERROR(SMALL($AS$2:$AS$440,ROWS($AS$2:AS253)),"")</f>
        <v>252</v>
      </c>
      <c r="AU253">
        <f>IF(AT253&lt;&gt;"",INDEX($AE$2:$AP$440,MATCH($AT253,$AS$2:$AS$440,0),COLUMNS($AT$2:AT253)),"")</f>
        <v>2012</v>
      </c>
      <c r="AV253">
        <f>IF(AU253&lt;&gt;"",INDEX($AE$2:$AP$440,MATCH($AT253,$AS$2:$AS$440,0),COLUMNS($AT$2:AU253)),"")</f>
        <v>12</v>
      </c>
      <c r="AW253" t="str">
        <f>IF(AV253&lt;&gt;"",INDEX($AE$2:$AP$440,MATCH($AT253,$AS$2:$AS$440,0),COLUMNS($AT$2:AV253)),"")</f>
        <v>Fulham</v>
      </c>
      <c r="AX253">
        <f>IF(AW253&lt;&gt;"",INDEX($AE$2:$AP$440,MATCH($AT253,$AS$2:$AS$440,0),COLUMNS($AT$2:AW253)),"")</f>
        <v>38</v>
      </c>
      <c r="AY253">
        <f>IF(AX253&lt;&gt;"",INDEX($AE$2:$AP$440,MATCH($AT253,$AS$2:$AS$440,0),COLUMNS($AT$2:AX253)),"")</f>
        <v>11</v>
      </c>
      <c r="AZ253">
        <f>IF(AY253&lt;&gt;"",INDEX($AE$2:$AP$440,MATCH($AT253,$AS$2:$AS$440,0),COLUMNS($AT$2:AY253)),"")</f>
        <v>10</v>
      </c>
      <c r="BA253">
        <f>IF(AZ253&lt;&gt;"",INDEX($AE$2:$AP$440,MATCH($AT253,$AS$2:$AS$440,0),COLUMNS($AT$2:AZ253)),"")</f>
        <v>17</v>
      </c>
      <c r="BB253">
        <f>IF(BA253&lt;&gt;"",INDEX($AE$2:$AP$440,MATCH($AT253,$AS$2:$AS$440,0),COLUMNS($AT$2:BA253)),"")</f>
        <v>50</v>
      </c>
      <c r="BC253">
        <f>IF(BB253&lt;&gt;"",INDEX($AE$2:$AP$440,MATCH($AT253,$AS$2:$AS$440,0),COLUMNS($AT$2:BB253)),"")</f>
        <v>60</v>
      </c>
      <c r="BD253">
        <f>IF(BC253&lt;&gt;"",INDEX($AE$2:$AP$440,MATCH($AT253,$AS$2:$AS$440,0),COLUMNS($AT$2:BC253)),"")</f>
        <v>-10</v>
      </c>
      <c r="BE253">
        <f>IF(BD253&lt;&gt;"",INDEX($AE$2:$AP$440,MATCH($AT253,$AS$2:$AS$440,0),COLUMNS($AT$2:BD253)),"")</f>
        <v>43</v>
      </c>
      <c r="BF253">
        <f>IF(BE253&lt;&gt;"",INDEX($AE$2:$AP$440,MATCH($AT253,$AS$2:$AS$440,0),COLUMNS($AT$2:BE253)),"")</f>
        <v>12</v>
      </c>
    </row>
    <row r="254" spans="1:58" x14ac:dyDescent="0.25">
      <c r="A254" s="3">
        <v>2012</v>
      </c>
      <c r="B254" s="3">
        <v>13</v>
      </c>
      <c r="C254" s="4" t="s">
        <v>44</v>
      </c>
      <c r="D254" s="3">
        <v>38</v>
      </c>
      <c r="E254" s="3">
        <v>9</v>
      </c>
      <c r="F254" s="3">
        <v>15</v>
      </c>
      <c r="G254" s="3">
        <v>14</v>
      </c>
      <c r="H254" s="3">
        <v>34</v>
      </c>
      <c r="I254" s="3">
        <v>45</v>
      </c>
      <c r="J254" s="3">
        <v>-11</v>
      </c>
      <c r="K254" s="3">
        <v>42</v>
      </c>
      <c r="L254" s="5">
        <f>IF(Table2[[#This Row],['#]]=1,"Champion", IF(Table2[[#This Row],['#]]&gt;=18,"Relegated",Table2[[#This Row],['#]]))</f>
        <v>13</v>
      </c>
      <c r="N254">
        <f>IF(COUNTIF($O$2:O254,O254)=1,N253+1,N253)</f>
        <v>39</v>
      </c>
      <c r="O254" s="4" t="str">
        <f>Table2[[#This Row],[Team]]</f>
        <v>Stoke City</v>
      </c>
      <c r="P254" s="1" t="str">
        <f>IFERROR(VLOOKUP(ROWS($O$2:O254),$N$2:$O$441,2,0),"")</f>
        <v/>
      </c>
      <c r="Q254" s="1" t="str">
        <f>IF(P254&lt;&gt;"",SUMPRODUCT(--(Table2[Team]=P254)),"")</f>
        <v/>
      </c>
      <c r="R254" s="11" t="str">
        <f>IF(Q254&lt;&gt;"",Q254+ROWS($Q$2:Q254)/100,"")</f>
        <v/>
      </c>
      <c r="S254" t="str">
        <f>IF(R254&lt;&gt;"",LARGE($R$2:$R$441,ROWS($R$2:R254)),"")</f>
        <v/>
      </c>
      <c r="T254" s="1" t="str">
        <f>IF(R254&lt;&gt;"",INDEX($P$2:$Q$441,MATCH($S254,$R$2:$R$441,0),COLUMNS($S$2:S254)),"")</f>
        <v/>
      </c>
      <c r="U254" s="1" t="str">
        <f>IF(S254&lt;&gt;"",INDEX($P$2:$Q$441,MATCH($S254,$R$2:$R$441,0),COLUMNS($S$2:T254)),"")</f>
        <v/>
      </c>
      <c r="AE254" s="1">
        <f>Table2[[#This Row],[Year]]</f>
        <v>2012</v>
      </c>
      <c r="AF254" s="1">
        <f>Table2[[#This Row],['#]]</f>
        <v>13</v>
      </c>
      <c r="AG254" s="1" t="str">
        <f>Table2[[#This Row],[Team]]</f>
        <v>Stoke City</v>
      </c>
      <c r="AH254" s="1">
        <f>Table2[[#This Row],[Pl]]</f>
        <v>38</v>
      </c>
      <c r="AI254" s="1">
        <f>Table2[[#This Row],[W]]</f>
        <v>9</v>
      </c>
      <c r="AJ254" s="1">
        <f>Table2[[#This Row],[D]]</f>
        <v>15</v>
      </c>
      <c r="AK254" s="1">
        <f>Table2[[#This Row],[L]]</f>
        <v>14</v>
      </c>
      <c r="AL254" s="1">
        <f>Table2[[#This Row],[F]]</f>
        <v>34</v>
      </c>
      <c r="AM254" s="1">
        <f>Table2[[#This Row],[A]]</f>
        <v>45</v>
      </c>
      <c r="AN254" s="1">
        <f>Table2[[#This Row],[GD]]</f>
        <v>-11</v>
      </c>
      <c r="AO254" s="1">
        <f>Table2[[#This Row],[Pts]]</f>
        <v>42</v>
      </c>
      <c r="AP254" s="1">
        <f>Table2[[#This Row],[Column1]]</f>
        <v>13</v>
      </c>
      <c r="AR254" t="b">
        <f t="shared" si="7"/>
        <v>1</v>
      </c>
      <c r="AS254">
        <f>IF(AR254,ROWS($AR$2:AR254),"")</f>
        <v>253</v>
      </c>
      <c r="AT254">
        <f>IFERROR(SMALL($AS$2:$AS$440,ROWS($AS$2:AS254)),"")</f>
        <v>253</v>
      </c>
      <c r="AU254">
        <f>IF(AT254&lt;&gt;"",INDEX($AE$2:$AP$440,MATCH($AT254,$AS$2:$AS$440,0),COLUMNS($AT$2:AT254)),"")</f>
        <v>2012</v>
      </c>
      <c r="AV254">
        <f>IF(AU254&lt;&gt;"",INDEX($AE$2:$AP$440,MATCH($AT254,$AS$2:$AS$440,0),COLUMNS($AT$2:AU254)),"")</f>
        <v>13</v>
      </c>
      <c r="AW254" t="str">
        <f>IF(AV254&lt;&gt;"",INDEX($AE$2:$AP$440,MATCH($AT254,$AS$2:$AS$440,0),COLUMNS($AT$2:AV254)),"")</f>
        <v>Stoke City</v>
      </c>
      <c r="AX254">
        <f>IF(AW254&lt;&gt;"",INDEX($AE$2:$AP$440,MATCH($AT254,$AS$2:$AS$440,0),COLUMNS($AT$2:AW254)),"")</f>
        <v>38</v>
      </c>
      <c r="AY254">
        <f>IF(AX254&lt;&gt;"",INDEX($AE$2:$AP$440,MATCH($AT254,$AS$2:$AS$440,0),COLUMNS($AT$2:AX254)),"")</f>
        <v>9</v>
      </c>
      <c r="AZ254">
        <f>IF(AY254&lt;&gt;"",INDEX($AE$2:$AP$440,MATCH($AT254,$AS$2:$AS$440,0),COLUMNS($AT$2:AY254)),"")</f>
        <v>15</v>
      </c>
      <c r="BA254">
        <f>IF(AZ254&lt;&gt;"",INDEX($AE$2:$AP$440,MATCH($AT254,$AS$2:$AS$440,0),COLUMNS($AT$2:AZ254)),"")</f>
        <v>14</v>
      </c>
      <c r="BB254">
        <f>IF(BA254&lt;&gt;"",INDEX($AE$2:$AP$440,MATCH($AT254,$AS$2:$AS$440,0),COLUMNS($AT$2:BA254)),"")</f>
        <v>34</v>
      </c>
      <c r="BC254">
        <f>IF(BB254&lt;&gt;"",INDEX($AE$2:$AP$440,MATCH($AT254,$AS$2:$AS$440,0),COLUMNS($AT$2:BB254)),"")</f>
        <v>45</v>
      </c>
      <c r="BD254">
        <f>IF(BC254&lt;&gt;"",INDEX($AE$2:$AP$440,MATCH($AT254,$AS$2:$AS$440,0),COLUMNS($AT$2:BC254)),"")</f>
        <v>-11</v>
      </c>
      <c r="BE254">
        <f>IF(BD254&lt;&gt;"",INDEX($AE$2:$AP$440,MATCH($AT254,$AS$2:$AS$440,0),COLUMNS($AT$2:BD254)),"")</f>
        <v>42</v>
      </c>
      <c r="BF254">
        <f>IF(BE254&lt;&gt;"",INDEX($AE$2:$AP$440,MATCH($AT254,$AS$2:$AS$440,0),COLUMNS($AT$2:BE254)),"")</f>
        <v>13</v>
      </c>
    </row>
    <row r="255" spans="1:58" x14ac:dyDescent="0.25">
      <c r="A255" s="5">
        <v>2012</v>
      </c>
      <c r="B255" s="5">
        <v>14</v>
      </c>
      <c r="C255" s="6" t="s">
        <v>20</v>
      </c>
      <c r="D255" s="5">
        <v>38</v>
      </c>
      <c r="E255" s="5">
        <v>9</v>
      </c>
      <c r="F255" s="5">
        <v>14</v>
      </c>
      <c r="G255" s="5">
        <v>15</v>
      </c>
      <c r="H255" s="5">
        <v>49</v>
      </c>
      <c r="I255" s="5">
        <v>60</v>
      </c>
      <c r="J255" s="5">
        <v>-11</v>
      </c>
      <c r="K255" s="5">
        <v>41</v>
      </c>
      <c r="L255" s="5">
        <f>IF(Table2[[#This Row],['#]]=1,"Champion", IF(Table2[[#This Row],['#]]&gt;=18,"Relegated",Table2[[#This Row],['#]]))</f>
        <v>14</v>
      </c>
      <c r="N255">
        <f>IF(COUNTIF($O$2:O255,O255)=1,N254+1,N254)</f>
        <v>39</v>
      </c>
      <c r="O255" s="4" t="str">
        <f>Table2[[#This Row],[Team]]</f>
        <v>Southampton</v>
      </c>
      <c r="P255" s="1" t="str">
        <f>IFERROR(VLOOKUP(ROWS($O$2:O255),$N$2:$O$441,2,0),"")</f>
        <v/>
      </c>
      <c r="Q255" s="1" t="str">
        <f>IF(P255&lt;&gt;"",SUMPRODUCT(--(Table2[Team]=P255)),"")</f>
        <v/>
      </c>
      <c r="R255" s="11" t="str">
        <f>IF(Q255&lt;&gt;"",Q255+ROWS($Q$2:Q255)/100,"")</f>
        <v/>
      </c>
      <c r="S255" t="str">
        <f>IF(R255&lt;&gt;"",LARGE($R$2:$R$441,ROWS($R$2:R255)),"")</f>
        <v/>
      </c>
      <c r="T255" s="1" t="str">
        <f>IF(R255&lt;&gt;"",INDEX($P$2:$Q$441,MATCH($S255,$R$2:$R$441,0),COLUMNS($S$2:S255)),"")</f>
        <v/>
      </c>
      <c r="U255" s="1" t="str">
        <f>IF(S255&lt;&gt;"",INDEX($P$2:$Q$441,MATCH($S255,$R$2:$R$441,0),COLUMNS($S$2:T255)),"")</f>
        <v/>
      </c>
      <c r="AE255" s="1">
        <f>Table2[[#This Row],[Year]]</f>
        <v>2012</v>
      </c>
      <c r="AF255" s="1">
        <f>Table2[[#This Row],['#]]</f>
        <v>14</v>
      </c>
      <c r="AG255" s="1" t="str">
        <f>Table2[[#This Row],[Team]]</f>
        <v>Southampton</v>
      </c>
      <c r="AH255" s="1">
        <f>Table2[[#This Row],[Pl]]</f>
        <v>38</v>
      </c>
      <c r="AI255" s="1">
        <f>Table2[[#This Row],[W]]</f>
        <v>9</v>
      </c>
      <c r="AJ255" s="1">
        <f>Table2[[#This Row],[D]]</f>
        <v>14</v>
      </c>
      <c r="AK255" s="1">
        <f>Table2[[#This Row],[L]]</f>
        <v>15</v>
      </c>
      <c r="AL255" s="1">
        <f>Table2[[#This Row],[F]]</f>
        <v>49</v>
      </c>
      <c r="AM255" s="1">
        <f>Table2[[#This Row],[A]]</f>
        <v>60</v>
      </c>
      <c r="AN255" s="1">
        <f>Table2[[#This Row],[GD]]</f>
        <v>-11</v>
      </c>
      <c r="AO255" s="1">
        <f>Table2[[#This Row],[Pts]]</f>
        <v>41</v>
      </c>
      <c r="AP255" s="1">
        <f>Table2[[#This Row],[Column1]]</f>
        <v>14</v>
      </c>
      <c r="AR255" t="b">
        <f t="shared" si="7"/>
        <v>1</v>
      </c>
      <c r="AS255">
        <f>IF(AR255,ROWS($AR$2:AR255),"")</f>
        <v>254</v>
      </c>
      <c r="AT255">
        <f>IFERROR(SMALL($AS$2:$AS$440,ROWS($AS$2:AS255)),"")</f>
        <v>254</v>
      </c>
      <c r="AU255">
        <f>IF(AT255&lt;&gt;"",INDEX($AE$2:$AP$440,MATCH($AT255,$AS$2:$AS$440,0),COLUMNS($AT$2:AT255)),"")</f>
        <v>2012</v>
      </c>
      <c r="AV255">
        <f>IF(AU255&lt;&gt;"",INDEX($AE$2:$AP$440,MATCH($AT255,$AS$2:$AS$440,0),COLUMNS($AT$2:AU255)),"")</f>
        <v>14</v>
      </c>
      <c r="AW255" t="str">
        <f>IF(AV255&lt;&gt;"",INDEX($AE$2:$AP$440,MATCH($AT255,$AS$2:$AS$440,0),COLUMNS($AT$2:AV255)),"")</f>
        <v>Southampton</v>
      </c>
      <c r="AX255">
        <f>IF(AW255&lt;&gt;"",INDEX($AE$2:$AP$440,MATCH($AT255,$AS$2:$AS$440,0),COLUMNS($AT$2:AW255)),"")</f>
        <v>38</v>
      </c>
      <c r="AY255">
        <f>IF(AX255&lt;&gt;"",INDEX($AE$2:$AP$440,MATCH($AT255,$AS$2:$AS$440,0),COLUMNS($AT$2:AX255)),"")</f>
        <v>9</v>
      </c>
      <c r="AZ255">
        <f>IF(AY255&lt;&gt;"",INDEX($AE$2:$AP$440,MATCH($AT255,$AS$2:$AS$440,0),COLUMNS($AT$2:AY255)),"")</f>
        <v>14</v>
      </c>
      <c r="BA255">
        <f>IF(AZ255&lt;&gt;"",INDEX($AE$2:$AP$440,MATCH($AT255,$AS$2:$AS$440,0),COLUMNS($AT$2:AZ255)),"")</f>
        <v>15</v>
      </c>
      <c r="BB255">
        <f>IF(BA255&lt;&gt;"",INDEX($AE$2:$AP$440,MATCH($AT255,$AS$2:$AS$440,0),COLUMNS($AT$2:BA255)),"")</f>
        <v>49</v>
      </c>
      <c r="BC255">
        <f>IF(BB255&lt;&gt;"",INDEX($AE$2:$AP$440,MATCH($AT255,$AS$2:$AS$440,0),COLUMNS($AT$2:BB255)),"")</f>
        <v>60</v>
      </c>
      <c r="BD255">
        <f>IF(BC255&lt;&gt;"",INDEX($AE$2:$AP$440,MATCH($AT255,$AS$2:$AS$440,0),COLUMNS($AT$2:BC255)),"")</f>
        <v>-11</v>
      </c>
      <c r="BE255">
        <f>IF(BD255&lt;&gt;"",INDEX($AE$2:$AP$440,MATCH($AT255,$AS$2:$AS$440,0),COLUMNS($AT$2:BD255)),"")</f>
        <v>41</v>
      </c>
      <c r="BF255">
        <f>IF(BE255&lt;&gt;"",INDEX($AE$2:$AP$440,MATCH($AT255,$AS$2:$AS$440,0),COLUMNS($AT$2:BE255)),"")</f>
        <v>14</v>
      </c>
    </row>
    <row r="256" spans="1:58" x14ac:dyDescent="0.25">
      <c r="A256" s="3">
        <v>2012</v>
      </c>
      <c r="B256" s="3">
        <v>15</v>
      </c>
      <c r="C256" s="4" t="s">
        <v>18</v>
      </c>
      <c r="D256" s="3">
        <v>38</v>
      </c>
      <c r="E256" s="3">
        <v>10</v>
      </c>
      <c r="F256" s="3">
        <v>11</v>
      </c>
      <c r="G256" s="3">
        <v>17</v>
      </c>
      <c r="H256" s="3">
        <v>47</v>
      </c>
      <c r="I256" s="3">
        <v>69</v>
      </c>
      <c r="J256" s="3">
        <v>-22</v>
      </c>
      <c r="K256" s="3">
        <v>41</v>
      </c>
      <c r="L256" s="5">
        <f>IF(Table2[[#This Row],['#]]=1,"Champion", IF(Table2[[#This Row],['#]]&gt;=18,"Relegated",Table2[[#This Row],['#]]))</f>
        <v>15</v>
      </c>
      <c r="N256">
        <f>IF(COUNTIF($O$2:O256,O256)=1,N255+1,N255)</f>
        <v>39</v>
      </c>
      <c r="O256" s="4" t="str">
        <f>Table2[[#This Row],[Team]]</f>
        <v>Aston Villa</v>
      </c>
      <c r="P256" s="1" t="str">
        <f>IFERROR(VLOOKUP(ROWS($O$2:O256),$N$2:$O$441,2,0),"")</f>
        <v/>
      </c>
      <c r="Q256" s="1" t="str">
        <f>IF(P256&lt;&gt;"",SUMPRODUCT(--(Table2[Team]=P256)),"")</f>
        <v/>
      </c>
      <c r="R256" s="11" t="str">
        <f>IF(Q256&lt;&gt;"",Q256+ROWS($Q$2:Q256)/100,"")</f>
        <v/>
      </c>
      <c r="S256" t="str">
        <f>IF(R256&lt;&gt;"",LARGE($R$2:$R$441,ROWS($R$2:R256)),"")</f>
        <v/>
      </c>
      <c r="T256" s="1" t="str">
        <f>IF(R256&lt;&gt;"",INDEX($P$2:$Q$441,MATCH($S256,$R$2:$R$441,0),COLUMNS($S$2:S256)),"")</f>
        <v/>
      </c>
      <c r="U256" s="1" t="str">
        <f>IF(S256&lt;&gt;"",INDEX($P$2:$Q$441,MATCH($S256,$R$2:$R$441,0),COLUMNS($S$2:T256)),"")</f>
        <v/>
      </c>
      <c r="AE256" s="1">
        <f>Table2[[#This Row],[Year]]</f>
        <v>2012</v>
      </c>
      <c r="AF256" s="1">
        <f>Table2[[#This Row],['#]]</f>
        <v>15</v>
      </c>
      <c r="AG256" s="1" t="str">
        <f>Table2[[#This Row],[Team]]</f>
        <v>Aston Villa</v>
      </c>
      <c r="AH256" s="1">
        <f>Table2[[#This Row],[Pl]]</f>
        <v>38</v>
      </c>
      <c r="AI256" s="1">
        <f>Table2[[#This Row],[W]]</f>
        <v>10</v>
      </c>
      <c r="AJ256" s="1">
        <f>Table2[[#This Row],[D]]</f>
        <v>11</v>
      </c>
      <c r="AK256" s="1">
        <f>Table2[[#This Row],[L]]</f>
        <v>17</v>
      </c>
      <c r="AL256" s="1">
        <f>Table2[[#This Row],[F]]</f>
        <v>47</v>
      </c>
      <c r="AM256" s="1">
        <f>Table2[[#This Row],[A]]</f>
        <v>69</v>
      </c>
      <c r="AN256" s="1">
        <f>Table2[[#This Row],[GD]]</f>
        <v>-22</v>
      </c>
      <c r="AO256" s="1">
        <f>Table2[[#This Row],[Pts]]</f>
        <v>41</v>
      </c>
      <c r="AP256" s="1">
        <f>Table2[[#This Row],[Column1]]</f>
        <v>15</v>
      </c>
      <c r="AR256" t="b">
        <f t="shared" si="7"/>
        <v>1</v>
      </c>
      <c r="AS256">
        <f>IF(AR256,ROWS($AR$2:AR256),"")</f>
        <v>255</v>
      </c>
      <c r="AT256">
        <f>IFERROR(SMALL($AS$2:$AS$440,ROWS($AS$2:AS256)),"")</f>
        <v>255</v>
      </c>
      <c r="AU256">
        <f>IF(AT256&lt;&gt;"",INDEX($AE$2:$AP$440,MATCH($AT256,$AS$2:$AS$440,0),COLUMNS($AT$2:AT256)),"")</f>
        <v>2012</v>
      </c>
      <c r="AV256">
        <f>IF(AU256&lt;&gt;"",INDEX($AE$2:$AP$440,MATCH($AT256,$AS$2:$AS$440,0),COLUMNS($AT$2:AU256)),"")</f>
        <v>15</v>
      </c>
      <c r="AW256" t="str">
        <f>IF(AV256&lt;&gt;"",INDEX($AE$2:$AP$440,MATCH($AT256,$AS$2:$AS$440,0),COLUMNS($AT$2:AV256)),"")</f>
        <v>Aston Villa</v>
      </c>
      <c r="AX256">
        <f>IF(AW256&lt;&gt;"",INDEX($AE$2:$AP$440,MATCH($AT256,$AS$2:$AS$440,0),COLUMNS($AT$2:AW256)),"")</f>
        <v>38</v>
      </c>
      <c r="AY256">
        <f>IF(AX256&lt;&gt;"",INDEX($AE$2:$AP$440,MATCH($AT256,$AS$2:$AS$440,0),COLUMNS($AT$2:AX256)),"")</f>
        <v>10</v>
      </c>
      <c r="AZ256">
        <f>IF(AY256&lt;&gt;"",INDEX($AE$2:$AP$440,MATCH($AT256,$AS$2:$AS$440,0),COLUMNS($AT$2:AY256)),"")</f>
        <v>11</v>
      </c>
      <c r="BA256">
        <f>IF(AZ256&lt;&gt;"",INDEX($AE$2:$AP$440,MATCH($AT256,$AS$2:$AS$440,0),COLUMNS($AT$2:AZ256)),"")</f>
        <v>17</v>
      </c>
      <c r="BB256">
        <f>IF(BA256&lt;&gt;"",INDEX($AE$2:$AP$440,MATCH($AT256,$AS$2:$AS$440,0),COLUMNS($AT$2:BA256)),"")</f>
        <v>47</v>
      </c>
      <c r="BC256">
        <f>IF(BB256&lt;&gt;"",INDEX($AE$2:$AP$440,MATCH($AT256,$AS$2:$AS$440,0),COLUMNS($AT$2:BB256)),"")</f>
        <v>69</v>
      </c>
      <c r="BD256">
        <f>IF(BC256&lt;&gt;"",INDEX($AE$2:$AP$440,MATCH($AT256,$AS$2:$AS$440,0),COLUMNS($AT$2:BC256)),"")</f>
        <v>-22</v>
      </c>
      <c r="BE256">
        <f>IF(BD256&lt;&gt;"",INDEX($AE$2:$AP$440,MATCH($AT256,$AS$2:$AS$440,0),COLUMNS($AT$2:BD256)),"")</f>
        <v>41</v>
      </c>
      <c r="BF256">
        <f>IF(BE256&lt;&gt;"",INDEX($AE$2:$AP$440,MATCH($AT256,$AS$2:$AS$440,0),COLUMNS($AT$2:BE256)),"")</f>
        <v>15</v>
      </c>
    </row>
    <row r="257" spans="1:58" x14ac:dyDescent="0.25">
      <c r="A257" s="5">
        <v>2012</v>
      </c>
      <c r="B257" s="5">
        <v>16</v>
      </c>
      <c r="C257" s="6" t="s">
        <v>21</v>
      </c>
      <c r="D257" s="5">
        <v>38</v>
      </c>
      <c r="E257" s="5">
        <v>11</v>
      </c>
      <c r="F257" s="5">
        <v>8</v>
      </c>
      <c r="G257" s="5">
        <v>19</v>
      </c>
      <c r="H257" s="5">
        <v>45</v>
      </c>
      <c r="I257" s="5">
        <v>68</v>
      </c>
      <c r="J257" s="5">
        <v>-23</v>
      </c>
      <c r="K257" s="5">
        <v>41</v>
      </c>
      <c r="L257" s="5">
        <f>IF(Table2[[#This Row],['#]]=1,"Champion", IF(Table2[[#This Row],['#]]&gt;=18,"Relegated",Table2[[#This Row],['#]]))</f>
        <v>16</v>
      </c>
      <c r="N257">
        <f>IF(COUNTIF($O$2:O257,O257)=1,N256+1,N256)</f>
        <v>39</v>
      </c>
      <c r="O257" s="4" t="str">
        <f>Table2[[#This Row],[Team]]</f>
        <v>Newcastle United</v>
      </c>
      <c r="P257" s="1" t="str">
        <f>IFERROR(VLOOKUP(ROWS($O$2:O257),$N$2:$O$441,2,0),"")</f>
        <v/>
      </c>
      <c r="Q257" s="1" t="str">
        <f>IF(P257&lt;&gt;"",SUMPRODUCT(--(Table2[Team]=P257)),"")</f>
        <v/>
      </c>
      <c r="R257" s="11" t="str">
        <f>IF(Q257&lt;&gt;"",Q257+ROWS($Q$2:Q257)/100,"")</f>
        <v/>
      </c>
      <c r="S257" t="str">
        <f>IF(R257&lt;&gt;"",LARGE($R$2:$R$441,ROWS($R$2:R257)),"")</f>
        <v/>
      </c>
      <c r="T257" s="1" t="str">
        <f>IF(R257&lt;&gt;"",INDEX($P$2:$Q$441,MATCH($S257,$R$2:$R$441,0),COLUMNS($S$2:S257)),"")</f>
        <v/>
      </c>
      <c r="U257" s="1" t="str">
        <f>IF(S257&lt;&gt;"",INDEX($P$2:$Q$441,MATCH($S257,$R$2:$R$441,0),COLUMNS($S$2:T257)),"")</f>
        <v/>
      </c>
      <c r="AE257" s="1">
        <f>Table2[[#This Row],[Year]]</f>
        <v>2012</v>
      </c>
      <c r="AF257" s="1">
        <f>Table2[[#This Row],['#]]</f>
        <v>16</v>
      </c>
      <c r="AG257" s="1" t="str">
        <f>Table2[[#This Row],[Team]]</f>
        <v>Newcastle United</v>
      </c>
      <c r="AH257" s="1">
        <f>Table2[[#This Row],[Pl]]</f>
        <v>38</v>
      </c>
      <c r="AI257" s="1">
        <f>Table2[[#This Row],[W]]</f>
        <v>11</v>
      </c>
      <c r="AJ257" s="1">
        <f>Table2[[#This Row],[D]]</f>
        <v>8</v>
      </c>
      <c r="AK257" s="1">
        <f>Table2[[#This Row],[L]]</f>
        <v>19</v>
      </c>
      <c r="AL257" s="1">
        <f>Table2[[#This Row],[F]]</f>
        <v>45</v>
      </c>
      <c r="AM257" s="1">
        <f>Table2[[#This Row],[A]]</f>
        <v>68</v>
      </c>
      <c r="AN257" s="1">
        <f>Table2[[#This Row],[GD]]</f>
        <v>-23</v>
      </c>
      <c r="AO257" s="1">
        <f>Table2[[#This Row],[Pts]]</f>
        <v>41</v>
      </c>
      <c r="AP257" s="1">
        <f>Table2[[#This Row],[Column1]]</f>
        <v>16</v>
      </c>
      <c r="AR257" t="b">
        <f t="shared" si="7"/>
        <v>1</v>
      </c>
      <c r="AS257">
        <f>IF(AR257,ROWS($AR$2:AR257),"")</f>
        <v>256</v>
      </c>
      <c r="AT257">
        <f>IFERROR(SMALL($AS$2:$AS$440,ROWS($AS$2:AS257)),"")</f>
        <v>256</v>
      </c>
      <c r="AU257">
        <f>IF(AT257&lt;&gt;"",INDEX($AE$2:$AP$440,MATCH($AT257,$AS$2:$AS$440,0),COLUMNS($AT$2:AT257)),"")</f>
        <v>2012</v>
      </c>
      <c r="AV257">
        <f>IF(AU257&lt;&gt;"",INDEX($AE$2:$AP$440,MATCH($AT257,$AS$2:$AS$440,0),COLUMNS($AT$2:AU257)),"")</f>
        <v>16</v>
      </c>
      <c r="AW257" t="str">
        <f>IF(AV257&lt;&gt;"",INDEX($AE$2:$AP$440,MATCH($AT257,$AS$2:$AS$440,0),COLUMNS($AT$2:AV257)),"")</f>
        <v>Newcastle United</v>
      </c>
      <c r="AX257">
        <f>IF(AW257&lt;&gt;"",INDEX($AE$2:$AP$440,MATCH($AT257,$AS$2:$AS$440,0),COLUMNS($AT$2:AW257)),"")</f>
        <v>38</v>
      </c>
      <c r="AY257">
        <f>IF(AX257&lt;&gt;"",INDEX($AE$2:$AP$440,MATCH($AT257,$AS$2:$AS$440,0),COLUMNS($AT$2:AX257)),"")</f>
        <v>11</v>
      </c>
      <c r="AZ257">
        <f>IF(AY257&lt;&gt;"",INDEX($AE$2:$AP$440,MATCH($AT257,$AS$2:$AS$440,0),COLUMNS($AT$2:AY257)),"")</f>
        <v>8</v>
      </c>
      <c r="BA257">
        <f>IF(AZ257&lt;&gt;"",INDEX($AE$2:$AP$440,MATCH($AT257,$AS$2:$AS$440,0),COLUMNS($AT$2:AZ257)),"")</f>
        <v>19</v>
      </c>
      <c r="BB257">
        <f>IF(BA257&lt;&gt;"",INDEX($AE$2:$AP$440,MATCH($AT257,$AS$2:$AS$440,0),COLUMNS($AT$2:BA257)),"")</f>
        <v>45</v>
      </c>
      <c r="BC257">
        <f>IF(BB257&lt;&gt;"",INDEX($AE$2:$AP$440,MATCH($AT257,$AS$2:$AS$440,0),COLUMNS($AT$2:BB257)),"")</f>
        <v>68</v>
      </c>
      <c r="BD257">
        <f>IF(BC257&lt;&gt;"",INDEX($AE$2:$AP$440,MATCH($AT257,$AS$2:$AS$440,0),COLUMNS($AT$2:BC257)),"")</f>
        <v>-23</v>
      </c>
      <c r="BE257">
        <f>IF(BD257&lt;&gt;"",INDEX($AE$2:$AP$440,MATCH($AT257,$AS$2:$AS$440,0),COLUMNS($AT$2:BD257)),"")</f>
        <v>41</v>
      </c>
      <c r="BF257">
        <f>IF(BE257&lt;&gt;"",INDEX($AE$2:$AP$440,MATCH($AT257,$AS$2:$AS$440,0),COLUMNS($AT$2:BE257)),"")</f>
        <v>16</v>
      </c>
    </row>
    <row r="258" spans="1:58" x14ac:dyDescent="0.25">
      <c r="A258" s="3">
        <v>2012</v>
      </c>
      <c r="B258" s="3">
        <v>17</v>
      </c>
      <c r="C258" s="4" t="s">
        <v>17</v>
      </c>
      <c r="D258" s="3">
        <v>38</v>
      </c>
      <c r="E258" s="3">
        <v>9</v>
      </c>
      <c r="F258" s="3">
        <v>12</v>
      </c>
      <c r="G258" s="3">
        <v>17</v>
      </c>
      <c r="H258" s="3">
        <v>41</v>
      </c>
      <c r="I258" s="3">
        <v>54</v>
      </c>
      <c r="J258" s="3">
        <v>-13</v>
      </c>
      <c r="K258" s="3">
        <v>39</v>
      </c>
      <c r="L258" s="5">
        <f>IF(Table2[[#This Row],['#]]=1,"Champion", IF(Table2[[#This Row],['#]]&gt;=18,"Relegated",Table2[[#This Row],['#]]))</f>
        <v>17</v>
      </c>
      <c r="N258">
        <f>IF(COUNTIF($O$2:O258,O258)=1,N257+1,N257)</f>
        <v>39</v>
      </c>
      <c r="O258" s="4" t="str">
        <f>Table2[[#This Row],[Team]]</f>
        <v>Sunderland</v>
      </c>
      <c r="P258" s="1" t="str">
        <f>IFERROR(VLOOKUP(ROWS($O$2:O258),$N$2:$O$441,2,0),"")</f>
        <v/>
      </c>
      <c r="Q258" s="1" t="str">
        <f>IF(P258&lt;&gt;"",SUMPRODUCT(--(Table2[Team]=P258)),"")</f>
        <v/>
      </c>
      <c r="R258" s="11" t="str">
        <f>IF(Q258&lt;&gt;"",Q258+ROWS($Q$2:Q258)/100,"")</f>
        <v/>
      </c>
      <c r="S258" t="str">
        <f>IF(R258&lt;&gt;"",LARGE($R$2:$R$441,ROWS($R$2:R258)),"")</f>
        <v/>
      </c>
      <c r="T258" s="1" t="str">
        <f>IF(R258&lt;&gt;"",INDEX($P$2:$Q$441,MATCH($S258,$R$2:$R$441,0),COLUMNS($S$2:S258)),"")</f>
        <v/>
      </c>
      <c r="U258" s="1" t="str">
        <f>IF(S258&lt;&gt;"",INDEX($P$2:$Q$441,MATCH($S258,$R$2:$R$441,0),COLUMNS($S$2:T258)),"")</f>
        <v/>
      </c>
      <c r="AE258" s="1">
        <f>Table2[[#This Row],[Year]]</f>
        <v>2012</v>
      </c>
      <c r="AF258" s="1">
        <f>Table2[[#This Row],['#]]</f>
        <v>17</v>
      </c>
      <c r="AG258" s="1" t="str">
        <f>Table2[[#This Row],[Team]]</f>
        <v>Sunderland</v>
      </c>
      <c r="AH258" s="1">
        <f>Table2[[#This Row],[Pl]]</f>
        <v>38</v>
      </c>
      <c r="AI258" s="1">
        <f>Table2[[#This Row],[W]]</f>
        <v>9</v>
      </c>
      <c r="AJ258" s="1">
        <f>Table2[[#This Row],[D]]</f>
        <v>12</v>
      </c>
      <c r="AK258" s="1">
        <f>Table2[[#This Row],[L]]</f>
        <v>17</v>
      </c>
      <c r="AL258" s="1">
        <f>Table2[[#This Row],[F]]</f>
        <v>41</v>
      </c>
      <c r="AM258" s="1">
        <f>Table2[[#This Row],[A]]</f>
        <v>54</v>
      </c>
      <c r="AN258" s="1">
        <f>Table2[[#This Row],[GD]]</f>
        <v>-13</v>
      </c>
      <c r="AO258" s="1">
        <f>Table2[[#This Row],[Pts]]</f>
        <v>39</v>
      </c>
      <c r="AP258" s="1">
        <f>Table2[[#This Row],[Column1]]</f>
        <v>17</v>
      </c>
      <c r="AR258" t="b">
        <f t="shared" si="7"/>
        <v>1</v>
      </c>
      <c r="AS258">
        <f>IF(AR258,ROWS($AR$2:AR258),"")</f>
        <v>257</v>
      </c>
      <c r="AT258">
        <f>IFERROR(SMALL($AS$2:$AS$440,ROWS($AS$2:AS258)),"")</f>
        <v>257</v>
      </c>
      <c r="AU258">
        <f>IF(AT258&lt;&gt;"",INDEX($AE$2:$AP$440,MATCH($AT258,$AS$2:$AS$440,0),COLUMNS($AT$2:AT258)),"")</f>
        <v>2012</v>
      </c>
      <c r="AV258">
        <f>IF(AU258&lt;&gt;"",INDEX($AE$2:$AP$440,MATCH($AT258,$AS$2:$AS$440,0),COLUMNS($AT$2:AU258)),"")</f>
        <v>17</v>
      </c>
      <c r="AW258" t="str">
        <f>IF(AV258&lt;&gt;"",INDEX($AE$2:$AP$440,MATCH($AT258,$AS$2:$AS$440,0),COLUMNS($AT$2:AV258)),"")</f>
        <v>Sunderland</v>
      </c>
      <c r="AX258">
        <f>IF(AW258&lt;&gt;"",INDEX($AE$2:$AP$440,MATCH($AT258,$AS$2:$AS$440,0),COLUMNS($AT$2:AW258)),"")</f>
        <v>38</v>
      </c>
      <c r="AY258">
        <f>IF(AX258&lt;&gt;"",INDEX($AE$2:$AP$440,MATCH($AT258,$AS$2:$AS$440,0),COLUMNS($AT$2:AX258)),"")</f>
        <v>9</v>
      </c>
      <c r="AZ258">
        <f>IF(AY258&lt;&gt;"",INDEX($AE$2:$AP$440,MATCH($AT258,$AS$2:$AS$440,0),COLUMNS($AT$2:AY258)),"")</f>
        <v>12</v>
      </c>
      <c r="BA258">
        <f>IF(AZ258&lt;&gt;"",INDEX($AE$2:$AP$440,MATCH($AT258,$AS$2:$AS$440,0),COLUMNS($AT$2:AZ258)),"")</f>
        <v>17</v>
      </c>
      <c r="BB258">
        <f>IF(BA258&lt;&gt;"",INDEX($AE$2:$AP$440,MATCH($AT258,$AS$2:$AS$440,0),COLUMNS($AT$2:BA258)),"")</f>
        <v>41</v>
      </c>
      <c r="BC258">
        <f>IF(BB258&lt;&gt;"",INDEX($AE$2:$AP$440,MATCH($AT258,$AS$2:$AS$440,0),COLUMNS($AT$2:BB258)),"")</f>
        <v>54</v>
      </c>
      <c r="BD258">
        <f>IF(BC258&lt;&gt;"",INDEX($AE$2:$AP$440,MATCH($AT258,$AS$2:$AS$440,0),COLUMNS($AT$2:BC258)),"")</f>
        <v>-13</v>
      </c>
      <c r="BE258">
        <f>IF(BD258&lt;&gt;"",INDEX($AE$2:$AP$440,MATCH($AT258,$AS$2:$AS$440,0),COLUMNS($AT$2:BD258)),"")</f>
        <v>39</v>
      </c>
      <c r="BF258">
        <f>IF(BE258&lt;&gt;"",INDEX($AE$2:$AP$440,MATCH($AT258,$AS$2:$AS$440,0),COLUMNS($AT$2:BE258)),"")</f>
        <v>17</v>
      </c>
    </row>
    <row r="259" spans="1:58" x14ac:dyDescent="0.25">
      <c r="A259" s="5">
        <v>2012</v>
      </c>
      <c r="B259" s="5">
        <v>18</v>
      </c>
      <c r="C259" s="6" t="s">
        <v>40</v>
      </c>
      <c r="D259" s="5">
        <v>38</v>
      </c>
      <c r="E259" s="5">
        <v>9</v>
      </c>
      <c r="F259" s="5">
        <v>9</v>
      </c>
      <c r="G259" s="5">
        <v>20</v>
      </c>
      <c r="H259" s="5">
        <v>47</v>
      </c>
      <c r="I259" s="5">
        <v>73</v>
      </c>
      <c r="J259" s="5">
        <v>-26</v>
      </c>
      <c r="K259" s="5">
        <v>36</v>
      </c>
      <c r="L259" s="5" t="str">
        <f>IF(Table2[[#This Row],['#]]=1,"Champion", IF(Table2[[#This Row],['#]]&gt;=18,"Relegated",Table2[[#This Row],['#]]))</f>
        <v>Relegated</v>
      </c>
      <c r="N259">
        <f>IF(COUNTIF($O$2:O259,O259)=1,N258+1,N258)</f>
        <v>39</v>
      </c>
      <c r="O259" s="4" t="str">
        <f>Table2[[#This Row],[Team]]</f>
        <v>Wigan Athletic</v>
      </c>
      <c r="P259" s="1" t="str">
        <f>IFERROR(VLOOKUP(ROWS($O$2:O259),$N$2:$O$441,2,0),"")</f>
        <v/>
      </c>
      <c r="Q259" s="1" t="str">
        <f>IF(P259&lt;&gt;"",SUMPRODUCT(--(Table2[Team]=P259)),"")</f>
        <v/>
      </c>
      <c r="R259" s="11" t="str">
        <f>IF(Q259&lt;&gt;"",Q259+ROWS($Q$2:Q259)/100,"")</f>
        <v/>
      </c>
      <c r="S259" t="str">
        <f>IF(R259&lt;&gt;"",LARGE($R$2:$R$441,ROWS($R$2:R259)),"")</f>
        <v/>
      </c>
      <c r="T259" s="1" t="str">
        <f>IF(R259&lt;&gt;"",INDEX($P$2:$Q$441,MATCH($S259,$R$2:$R$441,0),COLUMNS($S$2:S259)),"")</f>
        <v/>
      </c>
      <c r="U259" s="1" t="str">
        <f>IF(S259&lt;&gt;"",INDEX($P$2:$Q$441,MATCH($S259,$R$2:$R$441,0),COLUMNS($S$2:T259)),"")</f>
        <v/>
      </c>
      <c r="AE259" s="1">
        <f>Table2[[#This Row],[Year]]</f>
        <v>2012</v>
      </c>
      <c r="AF259" s="1">
        <f>Table2[[#This Row],['#]]</f>
        <v>18</v>
      </c>
      <c r="AG259" s="1" t="str">
        <f>Table2[[#This Row],[Team]]</f>
        <v>Wigan Athletic</v>
      </c>
      <c r="AH259" s="1">
        <f>Table2[[#This Row],[Pl]]</f>
        <v>38</v>
      </c>
      <c r="AI259" s="1">
        <f>Table2[[#This Row],[W]]</f>
        <v>9</v>
      </c>
      <c r="AJ259" s="1">
        <f>Table2[[#This Row],[D]]</f>
        <v>9</v>
      </c>
      <c r="AK259" s="1">
        <f>Table2[[#This Row],[L]]</f>
        <v>20</v>
      </c>
      <c r="AL259" s="1">
        <f>Table2[[#This Row],[F]]</f>
        <v>47</v>
      </c>
      <c r="AM259" s="1">
        <f>Table2[[#This Row],[A]]</f>
        <v>73</v>
      </c>
      <c r="AN259" s="1">
        <f>Table2[[#This Row],[GD]]</f>
        <v>-26</v>
      </c>
      <c r="AO259" s="1">
        <f>Table2[[#This Row],[Pts]]</f>
        <v>36</v>
      </c>
      <c r="AP259" s="1" t="str">
        <f>Table2[[#This Row],[Column1]]</f>
        <v>Relegated</v>
      </c>
      <c r="AR259" t="b">
        <f t="shared" ref="AR259:AR322" si="8">IF($X$1="",TRUE,ISNUMBER(SEARCH($X$1,AG259)))</f>
        <v>1</v>
      </c>
      <c r="AS259">
        <f>IF(AR259,ROWS($AR$2:AR259),"")</f>
        <v>258</v>
      </c>
      <c r="AT259">
        <f>IFERROR(SMALL($AS$2:$AS$440,ROWS($AS$2:AS259)),"")</f>
        <v>258</v>
      </c>
      <c r="AU259">
        <f>IF(AT259&lt;&gt;"",INDEX($AE$2:$AP$440,MATCH($AT259,$AS$2:$AS$440,0),COLUMNS($AT$2:AT259)),"")</f>
        <v>2012</v>
      </c>
      <c r="AV259">
        <f>IF(AU259&lt;&gt;"",INDEX($AE$2:$AP$440,MATCH($AT259,$AS$2:$AS$440,0),COLUMNS($AT$2:AU259)),"")</f>
        <v>18</v>
      </c>
      <c r="AW259" t="str">
        <f>IF(AV259&lt;&gt;"",INDEX($AE$2:$AP$440,MATCH($AT259,$AS$2:$AS$440,0),COLUMNS($AT$2:AV259)),"")</f>
        <v>Wigan Athletic</v>
      </c>
      <c r="AX259">
        <f>IF(AW259&lt;&gt;"",INDEX($AE$2:$AP$440,MATCH($AT259,$AS$2:$AS$440,0),COLUMNS($AT$2:AW259)),"")</f>
        <v>38</v>
      </c>
      <c r="AY259">
        <f>IF(AX259&lt;&gt;"",INDEX($AE$2:$AP$440,MATCH($AT259,$AS$2:$AS$440,0),COLUMNS($AT$2:AX259)),"")</f>
        <v>9</v>
      </c>
      <c r="AZ259">
        <f>IF(AY259&lt;&gt;"",INDEX($AE$2:$AP$440,MATCH($AT259,$AS$2:$AS$440,0),COLUMNS($AT$2:AY259)),"")</f>
        <v>9</v>
      </c>
      <c r="BA259">
        <f>IF(AZ259&lt;&gt;"",INDEX($AE$2:$AP$440,MATCH($AT259,$AS$2:$AS$440,0),COLUMNS($AT$2:AZ259)),"")</f>
        <v>20</v>
      </c>
      <c r="BB259">
        <f>IF(BA259&lt;&gt;"",INDEX($AE$2:$AP$440,MATCH($AT259,$AS$2:$AS$440,0),COLUMNS($AT$2:BA259)),"")</f>
        <v>47</v>
      </c>
      <c r="BC259">
        <f>IF(BB259&lt;&gt;"",INDEX($AE$2:$AP$440,MATCH($AT259,$AS$2:$AS$440,0),COLUMNS($AT$2:BB259)),"")</f>
        <v>73</v>
      </c>
      <c r="BD259">
        <f>IF(BC259&lt;&gt;"",INDEX($AE$2:$AP$440,MATCH($AT259,$AS$2:$AS$440,0),COLUMNS($AT$2:BC259)),"")</f>
        <v>-26</v>
      </c>
      <c r="BE259">
        <f>IF(BD259&lt;&gt;"",INDEX($AE$2:$AP$440,MATCH($AT259,$AS$2:$AS$440,0),COLUMNS($AT$2:BD259)),"")</f>
        <v>36</v>
      </c>
      <c r="BF259" t="str">
        <f>IF(BE259&lt;&gt;"",INDEX($AE$2:$AP$440,MATCH($AT259,$AS$2:$AS$440,0),COLUMNS($AT$2:BE259)),"")</f>
        <v>Relegated</v>
      </c>
    </row>
    <row r="260" spans="1:58" x14ac:dyDescent="0.25">
      <c r="A260" s="3">
        <v>2012</v>
      </c>
      <c r="B260" s="3">
        <v>19</v>
      </c>
      <c r="C260" s="4" t="s">
        <v>41</v>
      </c>
      <c r="D260" s="3">
        <v>38</v>
      </c>
      <c r="E260" s="3">
        <v>6</v>
      </c>
      <c r="F260" s="3">
        <v>10</v>
      </c>
      <c r="G260" s="3">
        <v>22</v>
      </c>
      <c r="H260" s="3">
        <v>43</v>
      </c>
      <c r="I260" s="3">
        <v>73</v>
      </c>
      <c r="J260" s="3">
        <v>-30</v>
      </c>
      <c r="K260" s="3">
        <v>28</v>
      </c>
      <c r="L260" s="5" t="str">
        <f>IF(Table2[[#This Row],['#]]=1,"Champion", IF(Table2[[#This Row],['#]]&gt;=18,"Relegated",Table2[[#This Row],['#]]))</f>
        <v>Relegated</v>
      </c>
      <c r="N260">
        <f>IF(COUNTIF($O$2:O260,O260)=1,N259+1,N259)</f>
        <v>39</v>
      </c>
      <c r="O260" s="4" t="str">
        <f>Table2[[#This Row],[Team]]</f>
        <v>Reading</v>
      </c>
      <c r="P260" s="1" t="str">
        <f>IFERROR(VLOOKUP(ROWS($O$2:O260),$N$2:$O$441,2,0),"")</f>
        <v/>
      </c>
      <c r="Q260" s="1" t="str">
        <f>IF(P260&lt;&gt;"",SUMPRODUCT(--(Table2[Team]=P260)),"")</f>
        <v/>
      </c>
      <c r="R260" s="11" t="str">
        <f>IF(Q260&lt;&gt;"",Q260+ROWS($Q$2:Q260)/100,"")</f>
        <v/>
      </c>
      <c r="S260" t="str">
        <f>IF(R260&lt;&gt;"",LARGE($R$2:$R$441,ROWS($R$2:R260)),"")</f>
        <v/>
      </c>
      <c r="T260" s="1" t="str">
        <f>IF(R260&lt;&gt;"",INDEX($P$2:$Q$441,MATCH($S260,$R$2:$R$441,0),COLUMNS($S$2:S260)),"")</f>
        <v/>
      </c>
      <c r="U260" s="1" t="str">
        <f>IF(S260&lt;&gt;"",INDEX($P$2:$Q$441,MATCH($S260,$R$2:$R$441,0),COLUMNS($S$2:T260)),"")</f>
        <v/>
      </c>
      <c r="AE260" s="1">
        <f>Table2[[#This Row],[Year]]</f>
        <v>2012</v>
      </c>
      <c r="AF260" s="1">
        <f>Table2[[#This Row],['#]]</f>
        <v>19</v>
      </c>
      <c r="AG260" s="1" t="str">
        <f>Table2[[#This Row],[Team]]</f>
        <v>Reading</v>
      </c>
      <c r="AH260" s="1">
        <f>Table2[[#This Row],[Pl]]</f>
        <v>38</v>
      </c>
      <c r="AI260" s="1">
        <f>Table2[[#This Row],[W]]</f>
        <v>6</v>
      </c>
      <c r="AJ260" s="1">
        <f>Table2[[#This Row],[D]]</f>
        <v>10</v>
      </c>
      <c r="AK260" s="1">
        <f>Table2[[#This Row],[L]]</f>
        <v>22</v>
      </c>
      <c r="AL260" s="1">
        <f>Table2[[#This Row],[F]]</f>
        <v>43</v>
      </c>
      <c r="AM260" s="1">
        <f>Table2[[#This Row],[A]]</f>
        <v>73</v>
      </c>
      <c r="AN260" s="1">
        <f>Table2[[#This Row],[GD]]</f>
        <v>-30</v>
      </c>
      <c r="AO260" s="1">
        <f>Table2[[#This Row],[Pts]]</f>
        <v>28</v>
      </c>
      <c r="AP260" s="1" t="str">
        <f>Table2[[#This Row],[Column1]]</f>
        <v>Relegated</v>
      </c>
      <c r="AR260" t="b">
        <f t="shared" si="8"/>
        <v>1</v>
      </c>
      <c r="AS260">
        <f>IF(AR260,ROWS($AR$2:AR260),"")</f>
        <v>259</v>
      </c>
      <c r="AT260">
        <f>IFERROR(SMALL($AS$2:$AS$440,ROWS($AS$2:AS260)),"")</f>
        <v>259</v>
      </c>
      <c r="AU260">
        <f>IF(AT260&lt;&gt;"",INDEX($AE$2:$AP$440,MATCH($AT260,$AS$2:$AS$440,0),COLUMNS($AT$2:AT260)),"")</f>
        <v>2012</v>
      </c>
      <c r="AV260">
        <f>IF(AU260&lt;&gt;"",INDEX($AE$2:$AP$440,MATCH($AT260,$AS$2:$AS$440,0),COLUMNS($AT$2:AU260)),"")</f>
        <v>19</v>
      </c>
      <c r="AW260" t="str">
        <f>IF(AV260&lt;&gt;"",INDEX($AE$2:$AP$440,MATCH($AT260,$AS$2:$AS$440,0),COLUMNS($AT$2:AV260)),"")</f>
        <v>Reading</v>
      </c>
      <c r="AX260">
        <f>IF(AW260&lt;&gt;"",INDEX($AE$2:$AP$440,MATCH($AT260,$AS$2:$AS$440,0),COLUMNS($AT$2:AW260)),"")</f>
        <v>38</v>
      </c>
      <c r="AY260">
        <f>IF(AX260&lt;&gt;"",INDEX($AE$2:$AP$440,MATCH($AT260,$AS$2:$AS$440,0),COLUMNS($AT$2:AX260)),"")</f>
        <v>6</v>
      </c>
      <c r="AZ260">
        <f>IF(AY260&lt;&gt;"",INDEX($AE$2:$AP$440,MATCH($AT260,$AS$2:$AS$440,0),COLUMNS($AT$2:AY260)),"")</f>
        <v>10</v>
      </c>
      <c r="BA260">
        <f>IF(AZ260&lt;&gt;"",INDEX($AE$2:$AP$440,MATCH($AT260,$AS$2:$AS$440,0),COLUMNS($AT$2:AZ260)),"")</f>
        <v>22</v>
      </c>
      <c r="BB260">
        <f>IF(BA260&lt;&gt;"",INDEX($AE$2:$AP$440,MATCH($AT260,$AS$2:$AS$440,0),COLUMNS($AT$2:BA260)),"")</f>
        <v>43</v>
      </c>
      <c r="BC260">
        <f>IF(BB260&lt;&gt;"",INDEX($AE$2:$AP$440,MATCH($AT260,$AS$2:$AS$440,0),COLUMNS($AT$2:BB260)),"")</f>
        <v>73</v>
      </c>
      <c r="BD260">
        <f>IF(BC260&lt;&gt;"",INDEX($AE$2:$AP$440,MATCH($AT260,$AS$2:$AS$440,0),COLUMNS($AT$2:BC260)),"")</f>
        <v>-30</v>
      </c>
      <c r="BE260">
        <f>IF(BD260&lt;&gt;"",INDEX($AE$2:$AP$440,MATCH($AT260,$AS$2:$AS$440,0),COLUMNS($AT$2:BD260)),"")</f>
        <v>28</v>
      </c>
      <c r="BF260" t="str">
        <f>IF(BE260&lt;&gt;"",INDEX($AE$2:$AP$440,MATCH($AT260,$AS$2:$AS$440,0),COLUMNS($AT$2:BE260)),"")</f>
        <v>Relegated</v>
      </c>
    </row>
    <row r="261" spans="1:58" x14ac:dyDescent="0.25">
      <c r="A261" s="5">
        <v>2012</v>
      </c>
      <c r="B261" s="5">
        <v>20</v>
      </c>
      <c r="C261" s="6" t="s">
        <v>49</v>
      </c>
      <c r="D261" s="5">
        <v>38</v>
      </c>
      <c r="E261" s="5">
        <v>4</v>
      </c>
      <c r="F261" s="5">
        <v>13</v>
      </c>
      <c r="G261" s="5">
        <v>21</v>
      </c>
      <c r="H261" s="5">
        <v>30</v>
      </c>
      <c r="I261" s="5">
        <v>60</v>
      </c>
      <c r="J261" s="5">
        <v>-30</v>
      </c>
      <c r="K261" s="5">
        <v>25</v>
      </c>
      <c r="L261" s="5" t="str">
        <f>IF(Table2[[#This Row],['#]]=1,"Champion", IF(Table2[[#This Row],['#]]&gt;=18,"Relegated",Table2[[#This Row],['#]]))</f>
        <v>Relegated</v>
      </c>
      <c r="N261">
        <f>IF(COUNTIF($O$2:O261,O261)=1,N260+1,N260)</f>
        <v>39</v>
      </c>
      <c r="O261" s="4" t="str">
        <f>Table2[[#This Row],[Team]]</f>
        <v>Queens Park Rangers</v>
      </c>
      <c r="P261" s="1" t="str">
        <f>IFERROR(VLOOKUP(ROWS($O$2:O261),$N$2:$O$441,2,0),"")</f>
        <v/>
      </c>
      <c r="Q261" s="1" t="str">
        <f>IF(P261&lt;&gt;"",SUMPRODUCT(--(Table2[Team]=P261)),"")</f>
        <v/>
      </c>
      <c r="R261" s="11" t="str">
        <f>IF(Q261&lt;&gt;"",Q261+ROWS($Q$2:Q261)/100,"")</f>
        <v/>
      </c>
      <c r="S261" t="str">
        <f>IF(R261&lt;&gt;"",LARGE($R$2:$R$441,ROWS($R$2:R261)),"")</f>
        <v/>
      </c>
      <c r="T261" s="1" t="str">
        <f>IF(R261&lt;&gt;"",INDEX($P$2:$Q$441,MATCH($S261,$R$2:$R$441,0),COLUMNS($S$2:S261)),"")</f>
        <v/>
      </c>
      <c r="U261" s="1" t="str">
        <f>IF(S261&lt;&gt;"",INDEX($P$2:$Q$441,MATCH($S261,$R$2:$R$441,0),COLUMNS($S$2:T261)),"")</f>
        <v/>
      </c>
      <c r="AE261" s="1">
        <f>Table2[[#This Row],[Year]]</f>
        <v>2012</v>
      </c>
      <c r="AF261" s="1">
        <f>Table2[[#This Row],['#]]</f>
        <v>20</v>
      </c>
      <c r="AG261" s="1" t="str">
        <f>Table2[[#This Row],[Team]]</f>
        <v>Queens Park Rangers</v>
      </c>
      <c r="AH261" s="1">
        <f>Table2[[#This Row],[Pl]]</f>
        <v>38</v>
      </c>
      <c r="AI261" s="1">
        <f>Table2[[#This Row],[W]]</f>
        <v>4</v>
      </c>
      <c r="AJ261" s="1">
        <f>Table2[[#This Row],[D]]</f>
        <v>13</v>
      </c>
      <c r="AK261" s="1">
        <f>Table2[[#This Row],[L]]</f>
        <v>21</v>
      </c>
      <c r="AL261" s="1">
        <f>Table2[[#This Row],[F]]</f>
        <v>30</v>
      </c>
      <c r="AM261" s="1">
        <f>Table2[[#This Row],[A]]</f>
        <v>60</v>
      </c>
      <c r="AN261" s="1">
        <f>Table2[[#This Row],[GD]]</f>
        <v>-30</v>
      </c>
      <c r="AO261" s="1">
        <f>Table2[[#This Row],[Pts]]</f>
        <v>25</v>
      </c>
      <c r="AP261" s="1" t="str">
        <f>Table2[[#This Row],[Column1]]</f>
        <v>Relegated</v>
      </c>
      <c r="AR261" t="b">
        <f t="shared" si="8"/>
        <v>1</v>
      </c>
      <c r="AS261">
        <f>IF(AR261,ROWS($AR$2:AR261),"")</f>
        <v>260</v>
      </c>
      <c r="AT261">
        <f>IFERROR(SMALL($AS$2:$AS$440,ROWS($AS$2:AS261)),"")</f>
        <v>260</v>
      </c>
      <c r="AU261">
        <f>IF(AT261&lt;&gt;"",INDEX($AE$2:$AP$440,MATCH($AT261,$AS$2:$AS$440,0),COLUMNS($AT$2:AT261)),"")</f>
        <v>2012</v>
      </c>
      <c r="AV261">
        <f>IF(AU261&lt;&gt;"",INDEX($AE$2:$AP$440,MATCH($AT261,$AS$2:$AS$440,0),COLUMNS($AT$2:AU261)),"")</f>
        <v>20</v>
      </c>
      <c r="AW261" t="str">
        <f>IF(AV261&lt;&gt;"",INDEX($AE$2:$AP$440,MATCH($AT261,$AS$2:$AS$440,0),COLUMNS($AT$2:AV261)),"")</f>
        <v>Queens Park Rangers</v>
      </c>
      <c r="AX261">
        <f>IF(AW261&lt;&gt;"",INDEX($AE$2:$AP$440,MATCH($AT261,$AS$2:$AS$440,0),COLUMNS($AT$2:AW261)),"")</f>
        <v>38</v>
      </c>
      <c r="AY261">
        <f>IF(AX261&lt;&gt;"",INDEX($AE$2:$AP$440,MATCH($AT261,$AS$2:$AS$440,0),COLUMNS($AT$2:AX261)),"")</f>
        <v>4</v>
      </c>
      <c r="AZ261">
        <f>IF(AY261&lt;&gt;"",INDEX($AE$2:$AP$440,MATCH($AT261,$AS$2:$AS$440,0),COLUMNS($AT$2:AY261)),"")</f>
        <v>13</v>
      </c>
      <c r="BA261">
        <f>IF(AZ261&lt;&gt;"",INDEX($AE$2:$AP$440,MATCH($AT261,$AS$2:$AS$440,0),COLUMNS($AT$2:AZ261)),"")</f>
        <v>21</v>
      </c>
      <c r="BB261">
        <f>IF(BA261&lt;&gt;"",INDEX($AE$2:$AP$440,MATCH($AT261,$AS$2:$AS$440,0),COLUMNS($AT$2:BA261)),"")</f>
        <v>30</v>
      </c>
      <c r="BC261">
        <f>IF(BB261&lt;&gt;"",INDEX($AE$2:$AP$440,MATCH($AT261,$AS$2:$AS$440,0),COLUMNS($AT$2:BB261)),"")</f>
        <v>60</v>
      </c>
      <c r="BD261">
        <f>IF(BC261&lt;&gt;"",INDEX($AE$2:$AP$440,MATCH($AT261,$AS$2:$AS$440,0),COLUMNS($AT$2:BC261)),"")</f>
        <v>-30</v>
      </c>
      <c r="BE261">
        <f>IF(BD261&lt;&gt;"",INDEX($AE$2:$AP$440,MATCH($AT261,$AS$2:$AS$440,0),COLUMNS($AT$2:BD261)),"")</f>
        <v>25</v>
      </c>
      <c r="BF261" t="str">
        <f>IF(BE261&lt;&gt;"",INDEX($AE$2:$AP$440,MATCH($AT261,$AS$2:$AS$440,0),COLUMNS($AT$2:BE261)),"")</f>
        <v>Relegated</v>
      </c>
    </row>
    <row r="262" spans="1:58" x14ac:dyDescent="0.25">
      <c r="A262" s="3">
        <v>2013</v>
      </c>
      <c r="B262" s="3">
        <v>1</v>
      </c>
      <c r="C262" s="4" t="s">
        <v>28</v>
      </c>
      <c r="D262" s="3">
        <v>38</v>
      </c>
      <c r="E262" s="3">
        <v>27</v>
      </c>
      <c r="F262" s="3">
        <v>5</v>
      </c>
      <c r="G262" s="3">
        <v>6</v>
      </c>
      <c r="H262" s="3">
        <v>102</v>
      </c>
      <c r="I262" s="3">
        <v>37</v>
      </c>
      <c r="J262" s="3">
        <v>65</v>
      </c>
      <c r="K262" s="3">
        <v>86</v>
      </c>
      <c r="L262" s="5" t="str">
        <f>IF(Table2[[#This Row],['#]]=1,"Champion", IF(Table2[[#This Row],['#]]&gt;=18,"Relegated",Table2[[#This Row],['#]]))</f>
        <v>Champion</v>
      </c>
      <c r="N262">
        <f>IF(COUNTIF($O$2:O262,O262)=1,N261+1,N261)</f>
        <v>39</v>
      </c>
      <c r="O262" s="4" t="str">
        <f>Table2[[#This Row],[Team]]</f>
        <v>Manchester City</v>
      </c>
      <c r="P262" s="1" t="str">
        <f>IFERROR(VLOOKUP(ROWS($O$2:O262),$N$2:$O$441,2,0),"")</f>
        <v/>
      </c>
      <c r="Q262" s="1" t="str">
        <f>IF(P262&lt;&gt;"",SUMPRODUCT(--(Table2[Team]=P262)),"")</f>
        <v/>
      </c>
      <c r="R262" s="11" t="str">
        <f>IF(Q262&lt;&gt;"",Q262+ROWS($Q$2:Q262)/100,"")</f>
        <v/>
      </c>
      <c r="S262" t="str">
        <f>IF(R262&lt;&gt;"",LARGE($R$2:$R$441,ROWS($R$2:R262)),"")</f>
        <v/>
      </c>
      <c r="T262" s="1" t="str">
        <f>IF(R262&lt;&gt;"",INDEX($P$2:$Q$441,MATCH($S262,$R$2:$R$441,0),COLUMNS($S$2:S262)),"")</f>
        <v/>
      </c>
      <c r="U262" s="1" t="str">
        <f>IF(S262&lt;&gt;"",INDEX($P$2:$Q$441,MATCH($S262,$R$2:$R$441,0),COLUMNS($S$2:T262)),"")</f>
        <v/>
      </c>
      <c r="AE262" s="1">
        <f>Table2[[#This Row],[Year]]</f>
        <v>2013</v>
      </c>
      <c r="AF262" s="1">
        <f>Table2[[#This Row],['#]]</f>
        <v>1</v>
      </c>
      <c r="AG262" s="1" t="str">
        <f>Table2[[#This Row],[Team]]</f>
        <v>Manchester City</v>
      </c>
      <c r="AH262" s="1">
        <f>Table2[[#This Row],[Pl]]</f>
        <v>38</v>
      </c>
      <c r="AI262" s="1">
        <f>Table2[[#This Row],[W]]</f>
        <v>27</v>
      </c>
      <c r="AJ262" s="1">
        <f>Table2[[#This Row],[D]]</f>
        <v>5</v>
      </c>
      <c r="AK262" s="1">
        <f>Table2[[#This Row],[L]]</f>
        <v>6</v>
      </c>
      <c r="AL262" s="1">
        <f>Table2[[#This Row],[F]]</f>
        <v>102</v>
      </c>
      <c r="AM262" s="1">
        <f>Table2[[#This Row],[A]]</f>
        <v>37</v>
      </c>
      <c r="AN262" s="1">
        <f>Table2[[#This Row],[GD]]</f>
        <v>65</v>
      </c>
      <c r="AO262" s="1">
        <f>Table2[[#This Row],[Pts]]</f>
        <v>86</v>
      </c>
      <c r="AP262" s="1" t="str">
        <f>Table2[[#This Row],[Column1]]</f>
        <v>Champion</v>
      </c>
      <c r="AR262" t="b">
        <f t="shared" si="8"/>
        <v>1</v>
      </c>
      <c r="AS262">
        <f>IF(AR262,ROWS($AR$2:AR262),"")</f>
        <v>261</v>
      </c>
      <c r="AT262">
        <f>IFERROR(SMALL($AS$2:$AS$440,ROWS($AS$2:AS262)),"")</f>
        <v>261</v>
      </c>
      <c r="AU262">
        <f>IF(AT262&lt;&gt;"",INDEX($AE$2:$AP$440,MATCH($AT262,$AS$2:$AS$440,0),COLUMNS($AT$2:AT262)),"")</f>
        <v>2013</v>
      </c>
      <c r="AV262">
        <f>IF(AU262&lt;&gt;"",INDEX($AE$2:$AP$440,MATCH($AT262,$AS$2:$AS$440,0),COLUMNS($AT$2:AU262)),"")</f>
        <v>1</v>
      </c>
      <c r="AW262" t="str">
        <f>IF(AV262&lt;&gt;"",INDEX($AE$2:$AP$440,MATCH($AT262,$AS$2:$AS$440,0),COLUMNS($AT$2:AV262)),"")</f>
        <v>Manchester City</v>
      </c>
      <c r="AX262">
        <f>IF(AW262&lt;&gt;"",INDEX($AE$2:$AP$440,MATCH($AT262,$AS$2:$AS$440,0),COLUMNS($AT$2:AW262)),"")</f>
        <v>38</v>
      </c>
      <c r="AY262">
        <f>IF(AX262&lt;&gt;"",INDEX($AE$2:$AP$440,MATCH($AT262,$AS$2:$AS$440,0),COLUMNS($AT$2:AX262)),"")</f>
        <v>27</v>
      </c>
      <c r="AZ262">
        <f>IF(AY262&lt;&gt;"",INDEX($AE$2:$AP$440,MATCH($AT262,$AS$2:$AS$440,0),COLUMNS($AT$2:AY262)),"")</f>
        <v>5</v>
      </c>
      <c r="BA262">
        <f>IF(AZ262&lt;&gt;"",INDEX($AE$2:$AP$440,MATCH($AT262,$AS$2:$AS$440,0),COLUMNS($AT$2:AZ262)),"")</f>
        <v>6</v>
      </c>
      <c r="BB262">
        <f>IF(BA262&lt;&gt;"",INDEX($AE$2:$AP$440,MATCH($AT262,$AS$2:$AS$440,0),COLUMNS($AT$2:BA262)),"")</f>
        <v>102</v>
      </c>
      <c r="BC262">
        <f>IF(BB262&lt;&gt;"",INDEX($AE$2:$AP$440,MATCH($AT262,$AS$2:$AS$440,0),COLUMNS($AT$2:BB262)),"")</f>
        <v>37</v>
      </c>
      <c r="BD262">
        <f>IF(BC262&lt;&gt;"",INDEX($AE$2:$AP$440,MATCH($AT262,$AS$2:$AS$440,0),COLUMNS($AT$2:BC262)),"")</f>
        <v>65</v>
      </c>
      <c r="BE262">
        <f>IF(BD262&lt;&gt;"",INDEX($AE$2:$AP$440,MATCH($AT262,$AS$2:$AS$440,0),COLUMNS($AT$2:BD262)),"")</f>
        <v>86</v>
      </c>
      <c r="BF262" t="str">
        <f>IF(BE262&lt;&gt;"",INDEX($AE$2:$AP$440,MATCH($AT262,$AS$2:$AS$440,0),COLUMNS($AT$2:BE262)),"")</f>
        <v>Champion</v>
      </c>
    </row>
    <row r="263" spans="1:58" x14ac:dyDescent="0.25">
      <c r="A263" s="5">
        <v>2013</v>
      </c>
      <c r="B263" s="5">
        <v>2</v>
      </c>
      <c r="C263" s="4" t="s">
        <v>13</v>
      </c>
      <c r="D263" s="5">
        <v>38</v>
      </c>
      <c r="E263" s="5">
        <v>26</v>
      </c>
      <c r="F263" s="5">
        <v>6</v>
      </c>
      <c r="G263" s="5">
        <v>6</v>
      </c>
      <c r="H263" s="5">
        <v>101</v>
      </c>
      <c r="I263" s="5">
        <v>50</v>
      </c>
      <c r="J263" s="5">
        <v>51</v>
      </c>
      <c r="K263" s="5">
        <v>84</v>
      </c>
      <c r="L263" s="5">
        <f>IF(Table2[[#This Row],['#]]=1,"Champion", IF(Table2[[#This Row],['#]]&gt;=18,"Relegated",Table2[[#This Row],['#]]))</f>
        <v>2</v>
      </c>
      <c r="N263">
        <f>IF(COUNTIF($O$2:O263,O263)=1,N262+1,N262)</f>
        <v>39</v>
      </c>
      <c r="O263" s="4" t="str">
        <f>Table2[[#This Row],[Team]]</f>
        <v>Liverpool</v>
      </c>
      <c r="P263" s="1" t="str">
        <f>IFERROR(VLOOKUP(ROWS($O$2:O263),$N$2:$O$441,2,0),"")</f>
        <v/>
      </c>
      <c r="Q263" s="1" t="str">
        <f>IF(P263&lt;&gt;"",SUMPRODUCT(--(Table2[Team]=P263)),"")</f>
        <v/>
      </c>
      <c r="R263" s="11" t="str">
        <f>IF(Q263&lt;&gt;"",Q263+ROWS($Q$2:Q263)/100,"")</f>
        <v/>
      </c>
      <c r="S263" t="str">
        <f>IF(R263&lt;&gt;"",LARGE($R$2:$R$441,ROWS($R$2:R263)),"")</f>
        <v/>
      </c>
      <c r="T263" s="1" t="str">
        <f>IF(R263&lt;&gt;"",INDEX($P$2:$Q$441,MATCH($S263,$R$2:$R$441,0),COLUMNS($S$2:S263)),"")</f>
        <v/>
      </c>
      <c r="U263" s="1" t="str">
        <f>IF(S263&lt;&gt;"",INDEX($P$2:$Q$441,MATCH($S263,$R$2:$R$441,0),COLUMNS($S$2:T263)),"")</f>
        <v/>
      </c>
      <c r="AE263" s="1">
        <f>Table2[[#This Row],[Year]]</f>
        <v>2013</v>
      </c>
      <c r="AF263" s="1">
        <f>Table2[[#This Row],['#]]</f>
        <v>2</v>
      </c>
      <c r="AG263" s="1" t="str">
        <f>Table2[[#This Row],[Team]]</f>
        <v>Liverpool</v>
      </c>
      <c r="AH263" s="1">
        <f>Table2[[#This Row],[Pl]]</f>
        <v>38</v>
      </c>
      <c r="AI263" s="1">
        <f>Table2[[#This Row],[W]]</f>
        <v>26</v>
      </c>
      <c r="AJ263" s="1">
        <f>Table2[[#This Row],[D]]</f>
        <v>6</v>
      </c>
      <c r="AK263" s="1">
        <f>Table2[[#This Row],[L]]</f>
        <v>6</v>
      </c>
      <c r="AL263" s="1">
        <f>Table2[[#This Row],[F]]</f>
        <v>101</v>
      </c>
      <c r="AM263" s="1">
        <f>Table2[[#This Row],[A]]</f>
        <v>50</v>
      </c>
      <c r="AN263" s="1">
        <f>Table2[[#This Row],[GD]]</f>
        <v>51</v>
      </c>
      <c r="AO263" s="1">
        <f>Table2[[#This Row],[Pts]]</f>
        <v>84</v>
      </c>
      <c r="AP263" s="1">
        <f>Table2[[#This Row],[Column1]]</f>
        <v>2</v>
      </c>
      <c r="AR263" t="b">
        <f t="shared" si="8"/>
        <v>1</v>
      </c>
      <c r="AS263">
        <f>IF(AR263,ROWS($AR$2:AR263),"")</f>
        <v>262</v>
      </c>
      <c r="AT263">
        <f>IFERROR(SMALL($AS$2:$AS$440,ROWS($AS$2:AS263)),"")</f>
        <v>262</v>
      </c>
      <c r="AU263">
        <f>IF(AT263&lt;&gt;"",INDEX($AE$2:$AP$440,MATCH($AT263,$AS$2:$AS$440,0),COLUMNS($AT$2:AT263)),"")</f>
        <v>2013</v>
      </c>
      <c r="AV263">
        <f>IF(AU263&lt;&gt;"",INDEX($AE$2:$AP$440,MATCH($AT263,$AS$2:$AS$440,0),COLUMNS($AT$2:AU263)),"")</f>
        <v>2</v>
      </c>
      <c r="AW263" t="str">
        <f>IF(AV263&lt;&gt;"",INDEX($AE$2:$AP$440,MATCH($AT263,$AS$2:$AS$440,0),COLUMNS($AT$2:AV263)),"")</f>
        <v>Liverpool</v>
      </c>
      <c r="AX263">
        <f>IF(AW263&lt;&gt;"",INDEX($AE$2:$AP$440,MATCH($AT263,$AS$2:$AS$440,0),COLUMNS($AT$2:AW263)),"")</f>
        <v>38</v>
      </c>
      <c r="AY263">
        <f>IF(AX263&lt;&gt;"",INDEX($AE$2:$AP$440,MATCH($AT263,$AS$2:$AS$440,0),COLUMNS($AT$2:AX263)),"")</f>
        <v>26</v>
      </c>
      <c r="AZ263">
        <f>IF(AY263&lt;&gt;"",INDEX($AE$2:$AP$440,MATCH($AT263,$AS$2:$AS$440,0),COLUMNS($AT$2:AY263)),"")</f>
        <v>6</v>
      </c>
      <c r="BA263">
        <f>IF(AZ263&lt;&gt;"",INDEX($AE$2:$AP$440,MATCH($AT263,$AS$2:$AS$440,0),COLUMNS($AT$2:AZ263)),"")</f>
        <v>6</v>
      </c>
      <c r="BB263">
        <f>IF(BA263&lt;&gt;"",INDEX($AE$2:$AP$440,MATCH($AT263,$AS$2:$AS$440,0),COLUMNS($AT$2:BA263)),"")</f>
        <v>101</v>
      </c>
      <c r="BC263">
        <f>IF(BB263&lt;&gt;"",INDEX($AE$2:$AP$440,MATCH($AT263,$AS$2:$AS$440,0),COLUMNS($AT$2:BB263)),"")</f>
        <v>50</v>
      </c>
      <c r="BD263">
        <f>IF(BC263&lt;&gt;"",INDEX($AE$2:$AP$440,MATCH($AT263,$AS$2:$AS$440,0),COLUMNS($AT$2:BC263)),"")</f>
        <v>51</v>
      </c>
      <c r="BE263">
        <f>IF(BD263&lt;&gt;"",INDEX($AE$2:$AP$440,MATCH($AT263,$AS$2:$AS$440,0),COLUMNS($AT$2:BD263)),"")</f>
        <v>84</v>
      </c>
      <c r="BF263">
        <f>IF(BE263&lt;&gt;"",INDEX($AE$2:$AP$440,MATCH($AT263,$AS$2:$AS$440,0),COLUMNS($AT$2:BE263)),"")</f>
        <v>2</v>
      </c>
    </row>
    <row r="264" spans="1:58" x14ac:dyDescent="0.25">
      <c r="A264" s="3">
        <v>2013</v>
      </c>
      <c r="B264" s="3">
        <v>3</v>
      </c>
      <c r="C264" s="4" t="s">
        <v>16</v>
      </c>
      <c r="D264" s="3">
        <v>38</v>
      </c>
      <c r="E264" s="3">
        <v>25</v>
      </c>
      <c r="F264" s="3">
        <v>7</v>
      </c>
      <c r="G264" s="3">
        <v>6</v>
      </c>
      <c r="H264" s="3">
        <v>71</v>
      </c>
      <c r="I264" s="3">
        <v>27</v>
      </c>
      <c r="J264" s="3">
        <v>44</v>
      </c>
      <c r="K264" s="3">
        <v>82</v>
      </c>
      <c r="L264" s="5">
        <f>IF(Table2[[#This Row],['#]]=1,"Champion", IF(Table2[[#This Row],['#]]&gt;=18,"Relegated",Table2[[#This Row],['#]]))</f>
        <v>3</v>
      </c>
      <c r="N264">
        <f>IF(COUNTIF($O$2:O264,O264)=1,N263+1,N263)</f>
        <v>39</v>
      </c>
      <c r="O264" s="4" t="str">
        <f>Table2[[#This Row],[Team]]</f>
        <v>Chelsea</v>
      </c>
      <c r="P264" s="1" t="str">
        <f>IFERROR(VLOOKUP(ROWS($O$2:O264),$N$2:$O$441,2,0),"")</f>
        <v/>
      </c>
      <c r="Q264" s="1" t="str">
        <f>IF(P264&lt;&gt;"",SUMPRODUCT(--(Table2[Team]=P264)),"")</f>
        <v/>
      </c>
      <c r="R264" s="11" t="str">
        <f>IF(Q264&lt;&gt;"",Q264+ROWS($Q$2:Q264)/100,"")</f>
        <v/>
      </c>
      <c r="S264" t="str">
        <f>IF(R264&lt;&gt;"",LARGE($R$2:$R$441,ROWS($R$2:R264)),"")</f>
        <v/>
      </c>
      <c r="T264" s="1" t="str">
        <f>IF(R264&lt;&gt;"",INDEX($P$2:$Q$441,MATCH($S264,$R$2:$R$441,0),COLUMNS($S$2:S264)),"")</f>
        <v/>
      </c>
      <c r="U264" s="1" t="str">
        <f>IF(S264&lt;&gt;"",INDEX($P$2:$Q$441,MATCH($S264,$R$2:$R$441,0),COLUMNS($S$2:T264)),"")</f>
        <v/>
      </c>
      <c r="AE264" s="1">
        <f>Table2[[#This Row],[Year]]</f>
        <v>2013</v>
      </c>
      <c r="AF264" s="1">
        <f>Table2[[#This Row],['#]]</f>
        <v>3</v>
      </c>
      <c r="AG264" s="1" t="str">
        <f>Table2[[#This Row],[Team]]</f>
        <v>Chelsea</v>
      </c>
      <c r="AH264" s="1">
        <f>Table2[[#This Row],[Pl]]</f>
        <v>38</v>
      </c>
      <c r="AI264" s="1">
        <f>Table2[[#This Row],[W]]</f>
        <v>25</v>
      </c>
      <c r="AJ264" s="1">
        <f>Table2[[#This Row],[D]]</f>
        <v>7</v>
      </c>
      <c r="AK264" s="1">
        <f>Table2[[#This Row],[L]]</f>
        <v>6</v>
      </c>
      <c r="AL264" s="1">
        <f>Table2[[#This Row],[F]]</f>
        <v>71</v>
      </c>
      <c r="AM264" s="1">
        <f>Table2[[#This Row],[A]]</f>
        <v>27</v>
      </c>
      <c r="AN264" s="1">
        <f>Table2[[#This Row],[GD]]</f>
        <v>44</v>
      </c>
      <c r="AO264" s="1">
        <f>Table2[[#This Row],[Pts]]</f>
        <v>82</v>
      </c>
      <c r="AP264" s="1">
        <f>Table2[[#This Row],[Column1]]</f>
        <v>3</v>
      </c>
      <c r="AR264" t="b">
        <f t="shared" si="8"/>
        <v>1</v>
      </c>
      <c r="AS264">
        <f>IF(AR264,ROWS($AR$2:AR264),"")</f>
        <v>263</v>
      </c>
      <c r="AT264">
        <f>IFERROR(SMALL($AS$2:$AS$440,ROWS($AS$2:AS264)),"")</f>
        <v>263</v>
      </c>
      <c r="AU264">
        <f>IF(AT264&lt;&gt;"",INDEX($AE$2:$AP$440,MATCH($AT264,$AS$2:$AS$440,0),COLUMNS($AT$2:AT264)),"")</f>
        <v>2013</v>
      </c>
      <c r="AV264">
        <f>IF(AU264&lt;&gt;"",INDEX($AE$2:$AP$440,MATCH($AT264,$AS$2:$AS$440,0),COLUMNS($AT$2:AU264)),"")</f>
        <v>3</v>
      </c>
      <c r="AW264" t="str">
        <f>IF(AV264&lt;&gt;"",INDEX($AE$2:$AP$440,MATCH($AT264,$AS$2:$AS$440,0),COLUMNS($AT$2:AV264)),"")</f>
        <v>Chelsea</v>
      </c>
      <c r="AX264">
        <f>IF(AW264&lt;&gt;"",INDEX($AE$2:$AP$440,MATCH($AT264,$AS$2:$AS$440,0),COLUMNS($AT$2:AW264)),"")</f>
        <v>38</v>
      </c>
      <c r="AY264">
        <f>IF(AX264&lt;&gt;"",INDEX($AE$2:$AP$440,MATCH($AT264,$AS$2:$AS$440,0),COLUMNS($AT$2:AX264)),"")</f>
        <v>25</v>
      </c>
      <c r="AZ264">
        <f>IF(AY264&lt;&gt;"",INDEX($AE$2:$AP$440,MATCH($AT264,$AS$2:$AS$440,0),COLUMNS($AT$2:AY264)),"")</f>
        <v>7</v>
      </c>
      <c r="BA264">
        <f>IF(AZ264&lt;&gt;"",INDEX($AE$2:$AP$440,MATCH($AT264,$AS$2:$AS$440,0),COLUMNS($AT$2:AZ264)),"")</f>
        <v>6</v>
      </c>
      <c r="BB264">
        <f>IF(BA264&lt;&gt;"",INDEX($AE$2:$AP$440,MATCH($AT264,$AS$2:$AS$440,0),COLUMNS($AT$2:BA264)),"")</f>
        <v>71</v>
      </c>
      <c r="BC264">
        <f>IF(BB264&lt;&gt;"",INDEX($AE$2:$AP$440,MATCH($AT264,$AS$2:$AS$440,0),COLUMNS($AT$2:BB264)),"")</f>
        <v>27</v>
      </c>
      <c r="BD264">
        <f>IF(BC264&lt;&gt;"",INDEX($AE$2:$AP$440,MATCH($AT264,$AS$2:$AS$440,0),COLUMNS($AT$2:BC264)),"")</f>
        <v>44</v>
      </c>
      <c r="BE264">
        <f>IF(BD264&lt;&gt;"",INDEX($AE$2:$AP$440,MATCH($AT264,$AS$2:$AS$440,0),COLUMNS($AT$2:BD264)),"")</f>
        <v>82</v>
      </c>
      <c r="BF264">
        <f>IF(BE264&lt;&gt;"",INDEX($AE$2:$AP$440,MATCH($AT264,$AS$2:$AS$440,0),COLUMNS($AT$2:BE264)),"")</f>
        <v>3</v>
      </c>
    </row>
    <row r="265" spans="1:58" x14ac:dyDescent="0.25">
      <c r="A265" s="5">
        <v>2013</v>
      </c>
      <c r="B265" s="5">
        <v>4</v>
      </c>
      <c r="C265" s="6" t="s">
        <v>12</v>
      </c>
      <c r="D265" s="5">
        <v>38</v>
      </c>
      <c r="E265" s="5">
        <v>24</v>
      </c>
      <c r="F265" s="5">
        <v>7</v>
      </c>
      <c r="G265" s="5">
        <v>7</v>
      </c>
      <c r="H265" s="5">
        <v>68</v>
      </c>
      <c r="I265" s="5">
        <v>41</v>
      </c>
      <c r="J265" s="5">
        <v>27</v>
      </c>
      <c r="K265" s="5">
        <v>79</v>
      </c>
      <c r="L265" s="5">
        <f>IF(Table2[[#This Row],['#]]=1,"Champion", IF(Table2[[#This Row],['#]]&gt;=18,"Relegated",Table2[[#This Row],['#]]))</f>
        <v>4</v>
      </c>
      <c r="N265">
        <f>IF(COUNTIF($O$2:O265,O265)=1,N264+1,N264)</f>
        <v>39</v>
      </c>
      <c r="O265" s="4" t="str">
        <f>Table2[[#This Row],[Team]]</f>
        <v>Arsenal</v>
      </c>
      <c r="P265" s="1" t="str">
        <f>IFERROR(VLOOKUP(ROWS($O$2:O265),$N$2:$O$441,2,0),"")</f>
        <v/>
      </c>
      <c r="Q265" s="1" t="str">
        <f>IF(P265&lt;&gt;"",SUMPRODUCT(--(Table2[Team]=P265)),"")</f>
        <v/>
      </c>
      <c r="R265" s="11" t="str">
        <f>IF(Q265&lt;&gt;"",Q265+ROWS($Q$2:Q265)/100,"")</f>
        <v/>
      </c>
      <c r="S265" t="str">
        <f>IF(R265&lt;&gt;"",LARGE($R$2:$R$441,ROWS($R$2:R265)),"")</f>
        <v/>
      </c>
      <c r="T265" s="1" t="str">
        <f>IF(R265&lt;&gt;"",INDEX($P$2:$Q$441,MATCH($S265,$R$2:$R$441,0),COLUMNS($S$2:S265)),"")</f>
        <v/>
      </c>
      <c r="U265" s="1" t="str">
        <f>IF(S265&lt;&gt;"",INDEX($P$2:$Q$441,MATCH($S265,$R$2:$R$441,0),COLUMNS($S$2:T265)),"")</f>
        <v/>
      </c>
      <c r="AE265" s="1">
        <f>Table2[[#This Row],[Year]]</f>
        <v>2013</v>
      </c>
      <c r="AF265" s="1">
        <f>Table2[[#This Row],['#]]</f>
        <v>4</v>
      </c>
      <c r="AG265" s="1" t="str">
        <f>Table2[[#This Row],[Team]]</f>
        <v>Arsenal</v>
      </c>
      <c r="AH265" s="1">
        <f>Table2[[#This Row],[Pl]]</f>
        <v>38</v>
      </c>
      <c r="AI265" s="1">
        <f>Table2[[#This Row],[W]]</f>
        <v>24</v>
      </c>
      <c r="AJ265" s="1">
        <f>Table2[[#This Row],[D]]</f>
        <v>7</v>
      </c>
      <c r="AK265" s="1">
        <f>Table2[[#This Row],[L]]</f>
        <v>7</v>
      </c>
      <c r="AL265" s="1">
        <f>Table2[[#This Row],[F]]</f>
        <v>68</v>
      </c>
      <c r="AM265" s="1">
        <f>Table2[[#This Row],[A]]</f>
        <v>41</v>
      </c>
      <c r="AN265" s="1">
        <f>Table2[[#This Row],[GD]]</f>
        <v>27</v>
      </c>
      <c r="AO265" s="1">
        <f>Table2[[#This Row],[Pts]]</f>
        <v>79</v>
      </c>
      <c r="AP265" s="1">
        <f>Table2[[#This Row],[Column1]]</f>
        <v>4</v>
      </c>
      <c r="AR265" t="b">
        <f t="shared" si="8"/>
        <v>1</v>
      </c>
      <c r="AS265">
        <f>IF(AR265,ROWS($AR$2:AR265),"")</f>
        <v>264</v>
      </c>
      <c r="AT265">
        <f>IFERROR(SMALL($AS$2:$AS$440,ROWS($AS$2:AS265)),"")</f>
        <v>264</v>
      </c>
      <c r="AU265">
        <f>IF(AT265&lt;&gt;"",INDEX($AE$2:$AP$440,MATCH($AT265,$AS$2:$AS$440,0),COLUMNS($AT$2:AT265)),"")</f>
        <v>2013</v>
      </c>
      <c r="AV265">
        <f>IF(AU265&lt;&gt;"",INDEX($AE$2:$AP$440,MATCH($AT265,$AS$2:$AS$440,0),COLUMNS($AT$2:AU265)),"")</f>
        <v>4</v>
      </c>
      <c r="AW265" t="str">
        <f>IF(AV265&lt;&gt;"",INDEX($AE$2:$AP$440,MATCH($AT265,$AS$2:$AS$440,0),COLUMNS($AT$2:AV265)),"")</f>
        <v>Arsenal</v>
      </c>
      <c r="AX265">
        <f>IF(AW265&lt;&gt;"",INDEX($AE$2:$AP$440,MATCH($AT265,$AS$2:$AS$440,0),COLUMNS($AT$2:AW265)),"")</f>
        <v>38</v>
      </c>
      <c r="AY265">
        <f>IF(AX265&lt;&gt;"",INDEX($AE$2:$AP$440,MATCH($AT265,$AS$2:$AS$440,0),COLUMNS($AT$2:AX265)),"")</f>
        <v>24</v>
      </c>
      <c r="AZ265">
        <f>IF(AY265&lt;&gt;"",INDEX($AE$2:$AP$440,MATCH($AT265,$AS$2:$AS$440,0),COLUMNS($AT$2:AY265)),"")</f>
        <v>7</v>
      </c>
      <c r="BA265">
        <f>IF(AZ265&lt;&gt;"",INDEX($AE$2:$AP$440,MATCH($AT265,$AS$2:$AS$440,0),COLUMNS($AT$2:AZ265)),"")</f>
        <v>7</v>
      </c>
      <c r="BB265">
        <f>IF(BA265&lt;&gt;"",INDEX($AE$2:$AP$440,MATCH($AT265,$AS$2:$AS$440,0),COLUMNS($AT$2:BA265)),"")</f>
        <v>68</v>
      </c>
      <c r="BC265">
        <f>IF(BB265&lt;&gt;"",INDEX($AE$2:$AP$440,MATCH($AT265,$AS$2:$AS$440,0),COLUMNS($AT$2:BB265)),"")</f>
        <v>41</v>
      </c>
      <c r="BD265">
        <f>IF(BC265&lt;&gt;"",INDEX($AE$2:$AP$440,MATCH($AT265,$AS$2:$AS$440,0),COLUMNS($AT$2:BC265)),"")</f>
        <v>27</v>
      </c>
      <c r="BE265">
        <f>IF(BD265&lt;&gt;"",INDEX($AE$2:$AP$440,MATCH($AT265,$AS$2:$AS$440,0),COLUMNS($AT$2:BD265)),"")</f>
        <v>79</v>
      </c>
      <c r="BF265">
        <f>IF(BE265&lt;&gt;"",INDEX($AE$2:$AP$440,MATCH($AT265,$AS$2:$AS$440,0),COLUMNS($AT$2:BE265)),"")</f>
        <v>4</v>
      </c>
    </row>
    <row r="266" spans="1:58" x14ac:dyDescent="0.25">
      <c r="A266" s="3">
        <v>2013</v>
      </c>
      <c r="B266" s="3">
        <v>5</v>
      </c>
      <c r="C266" s="4" t="s">
        <v>26</v>
      </c>
      <c r="D266" s="3">
        <v>38</v>
      </c>
      <c r="E266" s="3">
        <v>21</v>
      </c>
      <c r="F266" s="3">
        <v>9</v>
      </c>
      <c r="G266" s="3">
        <v>8</v>
      </c>
      <c r="H266" s="3">
        <v>61</v>
      </c>
      <c r="I266" s="3">
        <v>39</v>
      </c>
      <c r="J266" s="3">
        <v>22</v>
      </c>
      <c r="K266" s="3">
        <v>72</v>
      </c>
      <c r="L266" s="5">
        <f>IF(Table2[[#This Row],['#]]=1,"Champion", IF(Table2[[#This Row],['#]]&gt;=18,"Relegated",Table2[[#This Row],['#]]))</f>
        <v>5</v>
      </c>
      <c r="N266">
        <f>IF(COUNTIF($O$2:O266,O266)=1,N265+1,N265)</f>
        <v>39</v>
      </c>
      <c r="O266" s="4" t="str">
        <f>Table2[[#This Row],[Team]]</f>
        <v>Everton</v>
      </c>
      <c r="P266" s="1" t="str">
        <f>IFERROR(VLOOKUP(ROWS($O$2:O266),$N$2:$O$441,2,0),"")</f>
        <v/>
      </c>
      <c r="Q266" s="1" t="str">
        <f>IF(P266&lt;&gt;"",SUMPRODUCT(--(Table2[Team]=P266)),"")</f>
        <v/>
      </c>
      <c r="R266" s="11" t="str">
        <f>IF(Q266&lt;&gt;"",Q266+ROWS($Q$2:Q266)/100,"")</f>
        <v/>
      </c>
      <c r="S266" t="str">
        <f>IF(R266&lt;&gt;"",LARGE($R$2:$R$441,ROWS($R$2:R266)),"")</f>
        <v/>
      </c>
      <c r="T266" s="1" t="str">
        <f>IF(R266&lt;&gt;"",INDEX($P$2:$Q$441,MATCH($S266,$R$2:$R$441,0),COLUMNS($S$2:S266)),"")</f>
        <v/>
      </c>
      <c r="U266" s="1" t="str">
        <f>IF(S266&lt;&gt;"",INDEX($P$2:$Q$441,MATCH($S266,$R$2:$R$441,0),COLUMNS($S$2:T266)),"")</f>
        <v/>
      </c>
      <c r="AE266" s="1">
        <f>Table2[[#This Row],[Year]]</f>
        <v>2013</v>
      </c>
      <c r="AF266" s="1">
        <f>Table2[[#This Row],['#]]</f>
        <v>5</v>
      </c>
      <c r="AG266" s="1" t="str">
        <f>Table2[[#This Row],[Team]]</f>
        <v>Everton</v>
      </c>
      <c r="AH266" s="1">
        <f>Table2[[#This Row],[Pl]]</f>
        <v>38</v>
      </c>
      <c r="AI266" s="1">
        <f>Table2[[#This Row],[W]]</f>
        <v>21</v>
      </c>
      <c r="AJ266" s="1">
        <f>Table2[[#This Row],[D]]</f>
        <v>9</v>
      </c>
      <c r="AK266" s="1">
        <f>Table2[[#This Row],[L]]</f>
        <v>8</v>
      </c>
      <c r="AL266" s="1">
        <f>Table2[[#This Row],[F]]</f>
        <v>61</v>
      </c>
      <c r="AM266" s="1">
        <f>Table2[[#This Row],[A]]</f>
        <v>39</v>
      </c>
      <c r="AN266" s="1">
        <f>Table2[[#This Row],[GD]]</f>
        <v>22</v>
      </c>
      <c r="AO266" s="1">
        <f>Table2[[#This Row],[Pts]]</f>
        <v>72</v>
      </c>
      <c r="AP266" s="1">
        <f>Table2[[#This Row],[Column1]]</f>
        <v>5</v>
      </c>
      <c r="AR266" t="b">
        <f t="shared" si="8"/>
        <v>1</v>
      </c>
      <c r="AS266">
        <f>IF(AR266,ROWS($AR$2:AR266),"")</f>
        <v>265</v>
      </c>
      <c r="AT266">
        <f>IFERROR(SMALL($AS$2:$AS$440,ROWS($AS$2:AS266)),"")</f>
        <v>265</v>
      </c>
      <c r="AU266">
        <f>IF(AT266&lt;&gt;"",INDEX($AE$2:$AP$440,MATCH($AT266,$AS$2:$AS$440,0),COLUMNS($AT$2:AT266)),"")</f>
        <v>2013</v>
      </c>
      <c r="AV266">
        <f>IF(AU266&lt;&gt;"",INDEX($AE$2:$AP$440,MATCH($AT266,$AS$2:$AS$440,0),COLUMNS($AT$2:AU266)),"")</f>
        <v>5</v>
      </c>
      <c r="AW266" t="str">
        <f>IF(AV266&lt;&gt;"",INDEX($AE$2:$AP$440,MATCH($AT266,$AS$2:$AS$440,0),COLUMNS($AT$2:AV266)),"")</f>
        <v>Everton</v>
      </c>
      <c r="AX266">
        <f>IF(AW266&lt;&gt;"",INDEX($AE$2:$AP$440,MATCH($AT266,$AS$2:$AS$440,0),COLUMNS($AT$2:AW266)),"")</f>
        <v>38</v>
      </c>
      <c r="AY266">
        <f>IF(AX266&lt;&gt;"",INDEX($AE$2:$AP$440,MATCH($AT266,$AS$2:$AS$440,0),COLUMNS($AT$2:AX266)),"")</f>
        <v>21</v>
      </c>
      <c r="AZ266">
        <f>IF(AY266&lt;&gt;"",INDEX($AE$2:$AP$440,MATCH($AT266,$AS$2:$AS$440,0),COLUMNS($AT$2:AY266)),"")</f>
        <v>9</v>
      </c>
      <c r="BA266">
        <f>IF(AZ266&lt;&gt;"",INDEX($AE$2:$AP$440,MATCH($AT266,$AS$2:$AS$440,0),COLUMNS($AT$2:AZ266)),"")</f>
        <v>8</v>
      </c>
      <c r="BB266">
        <f>IF(BA266&lt;&gt;"",INDEX($AE$2:$AP$440,MATCH($AT266,$AS$2:$AS$440,0),COLUMNS($AT$2:BA266)),"")</f>
        <v>61</v>
      </c>
      <c r="BC266">
        <f>IF(BB266&lt;&gt;"",INDEX($AE$2:$AP$440,MATCH($AT266,$AS$2:$AS$440,0),COLUMNS($AT$2:BB266)),"")</f>
        <v>39</v>
      </c>
      <c r="BD266">
        <f>IF(BC266&lt;&gt;"",INDEX($AE$2:$AP$440,MATCH($AT266,$AS$2:$AS$440,0),COLUMNS($AT$2:BC266)),"")</f>
        <v>22</v>
      </c>
      <c r="BE266">
        <f>IF(BD266&lt;&gt;"",INDEX($AE$2:$AP$440,MATCH($AT266,$AS$2:$AS$440,0),COLUMNS($AT$2:BD266)),"")</f>
        <v>72</v>
      </c>
      <c r="BF266">
        <f>IF(BE266&lt;&gt;"",INDEX($AE$2:$AP$440,MATCH($AT266,$AS$2:$AS$440,0),COLUMNS($AT$2:BE266)),"")</f>
        <v>5</v>
      </c>
    </row>
    <row r="267" spans="1:58" x14ac:dyDescent="0.25">
      <c r="A267" s="5">
        <v>2013</v>
      </c>
      <c r="B267" s="5">
        <v>6</v>
      </c>
      <c r="C267" s="6" t="s">
        <v>22</v>
      </c>
      <c r="D267" s="5">
        <v>38</v>
      </c>
      <c r="E267" s="5">
        <v>21</v>
      </c>
      <c r="F267" s="5">
        <v>6</v>
      </c>
      <c r="G267" s="5">
        <v>11</v>
      </c>
      <c r="H267" s="5">
        <v>55</v>
      </c>
      <c r="I267" s="5">
        <v>51</v>
      </c>
      <c r="J267" s="5">
        <v>4</v>
      </c>
      <c r="K267" s="5">
        <v>69</v>
      </c>
      <c r="L267" s="5">
        <f>IF(Table2[[#This Row],['#]]=1,"Champion", IF(Table2[[#This Row],['#]]&gt;=18,"Relegated",Table2[[#This Row],['#]]))</f>
        <v>6</v>
      </c>
      <c r="N267">
        <f>IF(COUNTIF($O$2:O267,O267)=1,N266+1,N266)</f>
        <v>39</v>
      </c>
      <c r="O267" s="4" t="str">
        <f>Table2[[#This Row],[Team]]</f>
        <v>Tottenham Hotspur</v>
      </c>
      <c r="P267" s="1" t="str">
        <f>IFERROR(VLOOKUP(ROWS($O$2:O267),$N$2:$O$441,2,0),"")</f>
        <v/>
      </c>
      <c r="Q267" s="1" t="str">
        <f>IF(P267&lt;&gt;"",SUMPRODUCT(--(Table2[Team]=P267)),"")</f>
        <v/>
      </c>
      <c r="R267" s="11" t="str">
        <f>IF(Q267&lt;&gt;"",Q267+ROWS($Q$2:Q267)/100,"")</f>
        <v/>
      </c>
      <c r="S267" t="str">
        <f>IF(R267&lt;&gt;"",LARGE($R$2:$R$441,ROWS($R$2:R267)),"")</f>
        <v/>
      </c>
      <c r="T267" s="1" t="str">
        <f>IF(R267&lt;&gt;"",INDEX($P$2:$Q$441,MATCH($S267,$R$2:$R$441,0),COLUMNS($S$2:S267)),"")</f>
        <v/>
      </c>
      <c r="U267" s="1" t="str">
        <f>IF(S267&lt;&gt;"",INDEX($P$2:$Q$441,MATCH($S267,$R$2:$R$441,0),COLUMNS($S$2:T267)),"")</f>
        <v/>
      </c>
      <c r="AE267" s="1">
        <f>Table2[[#This Row],[Year]]</f>
        <v>2013</v>
      </c>
      <c r="AF267" s="1">
        <f>Table2[[#This Row],['#]]</f>
        <v>6</v>
      </c>
      <c r="AG267" s="1" t="str">
        <f>Table2[[#This Row],[Team]]</f>
        <v>Tottenham Hotspur</v>
      </c>
      <c r="AH267" s="1">
        <f>Table2[[#This Row],[Pl]]</f>
        <v>38</v>
      </c>
      <c r="AI267" s="1">
        <f>Table2[[#This Row],[W]]</f>
        <v>21</v>
      </c>
      <c r="AJ267" s="1">
        <f>Table2[[#This Row],[D]]</f>
        <v>6</v>
      </c>
      <c r="AK267" s="1">
        <f>Table2[[#This Row],[L]]</f>
        <v>11</v>
      </c>
      <c r="AL267" s="1">
        <f>Table2[[#This Row],[F]]</f>
        <v>55</v>
      </c>
      <c r="AM267" s="1">
        <f>Table2[[#This Row],[A]]</f>
        <v>51</v>
      </c>
      <c r="AN267" s="1">
        <f>Table2[[#This Row],[GD]]</f>
        <v>4</v>
      </c>
      <c r="AO267" s="1">
        <f>Table2[[#This Row],[Pts]]</f>
        <v>69</v>
      </c>
      <c r="AP267" s="1">
        <f>Table2[[#This Row],[Column1]]</f>
        <v>6</v>
      </c>
      <c r="AR267" t="b">
        <f t="shared" si="8"/>
        <v>1</v>
      </c>
      <c r="AS267">
        <f>IF(AR267,ROWS($AR$2:AR267),"")</f>
        <v>266</v>
      </c>
      <c r="AT267">
        <f>IFERROR(SMALL($AS$2:$AS$440,ROWS($AS$2:AS267)),"")</f>
        <v>266</v>
      </c>
      <c r="AU267">
        <f>IF(AT267&lt;&gt;"",INDEX($AE$2:$AP$440,MATCH($AT267,$AS$2:$AS$440,0),COLUMNS($AT$2:AT267)),"")</f>
        <v>2013</v>
      </c>
      <c r="AV267">
        <f>IF(AU267&lt;&gt;"",INDEX($AE$2:$AP$440,MATCH($AT267,$AS$2:$AS$440,0),COLUMNS($AT$2:AU267)),"")</f>
        <v>6</v>
      </c>
      <c r="AW267" t="str">
        <f>IF(AV267&lt;&gt;"",INDEX($AE$2:$AP$440,MATCH($AT267,$AS$2:$AS$440,0),COLUMNS($AT$2:AV267)),"")</f>
        <v>Tottenham Hotspur</v>
      </c>
      <c r="AX267">
        <f>IF(AW267&lt;&gt;"",INDEX($AE$2:$AP$440,MATCH($AT267,$AS$2:$AS$440,0),COLUMNS($AT$2:AW267)),"")</f>
        <v>38</v>
      </c>
      <c r="AY267">
        <f>IF(AX267&lt;&gt;"",INDEX($AE$2:$AP$440,MATCH($AT267,$AS$2:$AS$440,0),COLUMNS($AT$2:AX267)),"")</f>
        <v>21</v>
      </c>
      <c r="AZ267">
        <f>IF(AY267&lt;&gt;"",INDEX($AE$2:$AP$440,MATCH($AT267,$AS$2:$AS$440,0),COLUMNS($AT$2:AY267)),"")</f>
        <v>6</v>
      </c>
      <c r="BA267">
        <f>IF(AZ267&lt;&gt;"",INDEX($AE$2:$AP$440,MATCH($AT267,$AS$2:$AS$440,0),COLUMNS($AT$2:AZ267)),"")</f>
        <v>11</v>
      </c>
      <c r="BB267">
        <f>IF(BA267&lt;&gt;"",INDEX($AE$2:$AP$440,MATCH($AT267,$AS$2:$AS$440,0),COLUMNS($AT$2:BA267)),"")</f>
        <v>55</v>
      </c>
      <c r="BC267">
        <f>IF(BB267&lt;&gt;"",INDEX($AE$2:$AP$440,MATCH($AT267,$AS$2:$AS$440,0),COLUMNS($AT$2:BB267)),"")</f>
        <v>51</v>
      </c>
      <c r="BD267">
        <f>IF(BC267&lt;&gt;"",INDEX($AE$2:$AP$440,MATCH($AT267,$AS$2:$AS$440,0),COLUMNS($AT$2:BC267)),"")</f>
        <v>4</v>
      </c>
      <c r="BE267">
        <f>IF(BD267&lt;&gt;"",INDEX($AE$2:$AP$440,MATCH($AT267,$AS$2:$AS$440,0),COLUMNS($AT$2:BD267)),"")</f>
        <v>69</v>
      </c>
      <c r="BF267">
        <f>IF(BE267&lt;&gt;"",INDEX($AE$2:$AP$440,MATCH($AT267,$AS$2:$AS$440,0),COLUMNS($AT$2:BE267)),"")</f>
        <v>6</v>
      </c>
    </row>
    <row r="268" spans="1:58" x14ac:dyDescent="0.25">
      <c r="A268" s="3">
        <v>2013</v>
      </c>
      <c r="B268" s="3">
        <v>7</v>
      </c>
      <c r="C268" s="4" t="s">
        <v>11</v>
      </c>
      <c r="D268" s="3">
        <v>38</v>
      </c>
      <c r="E268" s="3">
        <v>19</v>
      </c>
      <c r="F268" s="3">
        <v>7</v>
      </c>
      <c r="G268" s="3">
        <v>12</v>
      </c>
      <c r="H268" s="3">
        <v>64</v>
      </c>
      <c r="I268" s="3">
        <v>43</v>
      </c>
      <c r="J268" s="3">
        <v>21</v>
      </c>
      <c r="K268" s="3">
        <v>64</v>
      </c>
      <c r="L268" s="5">
        <f>IF(Table2[[#This Row],['#]]=1,"Champion", IF(Table2[[#This Row],['#]]&gt;=18,"Relegated",Table2[[#This Row],['#]]))</f>
        <v>7</v>
      </c>
      <c r="N268">
        <f>IF(COUNTIF($O$2:O268,O268)=1,N267+1,N267)</f>
        <v>39</v>
      </c>
      <c r="O268" s="4" t="str">
        <f>Table2[[#This Row],[Team]]</f>
        <v>Manchester United</v>
      </c>
      <c r="P268" s="1" t="str">
        <f>IFERROR(VLOOKUP(ROWS($O$2:O268),$N$2:$O$441,2,0),"")</f>
        <v/>
      </c>
      <c r="Q268" s="1" t="str">
        <f>IF(P268&lt;&gt;"",SUMPRODUCT(--(Table2[Team]=P268)),"")</f>
        <v/>
      </c>
      <c r="R268" s="11" t="str">
        <f>IF(Q268&lt;&gt;"",Q268+ROWS($Q$2:Q268)/100,"")</f>
        <v/>
      </c>
      <c r="S268" t="str">
        <f>IF(R268&lt;&gt;"",LARGE($R$2:$R$441,ROWS($R$2:R268)),"")</f>
        <v/>
      </c>
      <c r="T268" s="1" t="str">
        <f>IF(R268&lt;&gt;"",INDEX($P$2:$Q$441,MATCH($S268,$R$2:$R$441,0),COLUMNS($S$2:S268)),"")</f>
        <v/>
      </c>
      <c r="U268" s="1" t="str">
        <f>IF(S268&lt;&gt;"",INDEX($P$2:$Q$441,MATCH($S268,$R$2:$R$441,0),COLUMNS($S$2:T268)),"")</f>
        <v/>
      </c>
      <c r="AE268" s="1">
        <f>Table2[[#This Row],[Year]]</f>
        <v>2013</v>
      </c>
      <c r="AF268" s="1">
        <f>Table2[[#This Row],['#]]</f>
        <v>7</v>
      </c>
      <c r="AG268" s="1" t="str">
        <f>Table2[[#This Row],[Team]]</f>
        <v>Manchester United</v>
      </c>
      <c r="AH268" s="1">
        <f>Table2[[#This Row],[Pl]]</f>
        <v>38</v>
      </c>
      <c r="AI268" s="1">
        <f>Table2[[#This Row],[W]]</f>
        <v>19</v>
      </c>
      <c r="AJ268" s="1">
        <f>Table2[[#This Row],[D]]</f>
        <v>7</v>
      </c>
      <c r="AK268" s="1">
        <f>Table2[[#This Row],[L]]</f>
        <v>12</v>
      </c>
      <c r="AL268" s="1">
        <f>Table2[[#This Row],[F]]</f>
        <v>64</v>
      </c>
      <c r="AM268" s="1">
        <f>Table2[[#This Row],[A]]</f>
        <v>43</v>
      </c>
      <c r="AN268" s="1">
        <f>Table2[[#This Row],[GD]]</f>
        <v>21</v>
      </c>
      <c r="AO268" s="1">
        <f>Table2[[#This Row],[Pts]]</f>
        <v>64</v>
      </c>
      <c r="AP268" s="1">
        <f>Table2[[#This Row],[Column1]]</f>
        <v>7</v>
      </c>
      <c r="AR268" t="b">
        <f t="shared" si="8"/>
        <v>1</v>
      </c>
      <c r="AS268">
        <f>IF(AR268,ROWS($AR$2:AR268),"")</f>
        <v>267</v>
      </c>
      <c r="AT268">
        <f>IFERROR(SMALL($AS$2:$AS$440,ROWS($AS$2:AS268)),"")</f>
        <v>267</v>
      </c>
      <c r="AU268">
        <f>IF(AT268&lt;&gt;"",INDEX($AE$2:$AP$440,MATCH($AT268,$AS$2:$AS$440,0),COLUMNS($AT$2:AT268)),"")</f>
        <v>2013</v>
      </c>
      <c r="AV268">
        <f>IF(AU268&lt;&gt;"",INDEX($AE$2:$AP$440,MATCH($AT268,$AS$2:$AS$440,0),COLUMNS($AT$2:AU268)),"")</f>
        <v>7</v>
      </c>
      <c r="AW268" t="str">
        <f>IF(AV268&lt;&gt;"",INDEX($AE$2:$AP$440,MATCH($AT268,$AS$2:$AS$440,0),COLUMNS($AT$2:AV268)),"")</f>
        <v>Manchester United</v>
      </c>
      <c r="AX268">
        <f>IF(AW268&lt;&gt;"",INDEX($AE$2:$AP$440,MATCH($AT268,$AS$2:$AS$440,0),COLUMNS($AT$2:AW268)),"")</f>
        <v>38</v>
      </c>
      <c r="AY268">
        <f>IF(AX268&lt;&gt;"",INDEX($AE$2:$AP$440,MATCH($AT268,$AS$2:$AS$440,0),COLUMNS($AT$2:AX268)),"")</f>
        <v>19</v>
      </c>
      <c r="AZ268">
        <f>IF(AY268&lt;&gt;"",INDEX($AE$2:$AP$440,MATCH($AT268,$AS$2:$AS$440,0),COLUMNS($AT$2:AY268)),"")</f>
        <v>7</v>
      </c>
      <c r="BA268">
        <f>IF(AZ268&lt;&gt;"",INDEX($AE$2:$AP$440,MATCH($AT268,$AS$2:$AS$440,0),COLUMNS($AT$2:AZ268)),"")</f>
        <v>12</v>
      </c>
      <c r="BB268">
        <f>IF(BA268&lt;&gt;"",INDEX($AE$2:$AP$440,MATCH($AT268,$AS$2:$AS$440,0),COLUMNS($AT$2:BA268)),"")</f>
        <v>64</v>
      </c>
      <c r="BC268">
        <f>IF(BB268&lt;&gt;"",INDEX($AE$2:$AP$440,MATCH($AT268,$AS$2:$AS$440,0),COLUMNS($AT$2:BB268)),"")</f>
        <v>43</v>
      </c>
      <c r="BD268">
        <f>IF(BC268&lt;&gt;"",INDEX($AE$2:$AP$440,MATCH($AT268,$AS$2:$AS$440,0),COLUMNS($AT$2:BC268)),"")</f>
        <v>21</v>
      </c>
      <c r="BE268">
        <f>IF(BD268&lt;&gt;"",INDEX($AE$2:$AP$440,MATCH($AT268,$AS$2:$AS$440,0),COLUMNS($AT$2:BD268)),"")</f>
        <v>64</v>
      </c>
      <c r="BF268">
        <f>IF(BE268&lt;&gt;"",INDEX($AE$2:$AP$440,MATCH($AT268,$AS$2:$AS$440,0),COLUMNS($AT$2:BE268)),"")</f>
        <v>7</v>
      </c>
    </row>
    <row r="269" spans="1:58" x14ac:dyDescent="0.25">
      <c r="A269" s="5">
        <v>2013</v>
      </c>
      <c r="B269" s="5">
        <v>8</v>
      </c>
      <c r="C269" s="6" t="s">
        <v>20</v>
      </c>
      <c r="D269" s="5">
        <v>38</v>
      </c>
      <c r="E269" s="5">
        <v>15</v>
      </c>
      <c r="F269" s="5">
        <v>11</v>
      </c>
      <c r="G269" s="5">
        <v>12</v>
      </c>
      <c r="H269" s="5">
        <v>54</v>
      </c>
      <c r="I269" s="5">
        <v>46</v>
      </c>
      <c r="J269" s="5">
        <v>8</v>
      </c>
      <c r="K269" s="5">
        <v>56</v>
      </c>
      <c r="L269" s="5">
        <f>IF(Table2[[#This Row],['#]]=1,"Champion", IF(Table2[[#This Row],['#]]&gt;=18,"Relegated",Table2[[#This Row],['#]]))</f>
        <v>8</v>
      </c>
      <c r="N269">
        <f>IF(COUNTIF($O$2:O269,O269)=1,N268+1,N268)</f>
        <v>39</v>
      </c>
      <c r="O269" s="4" t="str">
        <f>Table2[[#This Row],[Team]]</f>
        <v>Southampton</v>
      </c>
      <c r="P269" s="1" t="str">
        <f>IFERROR(VLOOKUP(ROWS($O$2:O269),$N$2:$O$441,2,0),"")</f>
        <v/>
      </c>
      <c r="Q269" s="1" t="str">
        <f>IF(P269&lt;&gt;"",SUMPRODUCT(--(Table2[Team]=P269)),"")</f>
        <v/>
      </c>
      <c r="R269" s="11" t="str">
        <f>IF(Q269&lt;&gt;"",Q269+ROWS($Q$2:Q269)/100,"")</f>
        <v/>
      </c>
      <c r="S269" t="str">
        <f>IF(R269&lt;&gt;"",LARGE($R$2:$R$441,ROWS($R$2:R269)),"")</f>
        <v/>
      </c>
      <c r="T269" s="1" t="str">
        <f>IF(R269&lt;&gt;"",INDEX($P$2:$Q$441,MATCH($S269,$R$2:$R$441,0),COLUMNS($S$2:S269)),"")</f>
        <v/>
      </c>
      <c r="U269" s="1" t="str">
        <f>IF(S269&lt;&gt;"",INDEX($P$2:$Q$441,MATCH($S269,$R$2:$R$441,0),COLUMNS($S$2:T269)),"")</f>
        <v/>
      </c>
      <c r="AE269" s="1">
        <f>Table2[[#This Row],[Year]]</f>
        <v>2013</v>
      </c>
      <c r="AF269" s="1">
        <f>Table2[[#This Row],['#]]</f>
        <v>8</v>
      </c>
      <c r="AG269" s="1" t="str">
        <f>Table2[[#This Row],[Team]]</f>
        <v>Southampton</v>
      </c>
      <c r="AH269" s="1">
        <f>Table2[[#This Row],[Pl]]</f>
        <v>38</v>
      </c>
      <c r="AI269" s="1">
        <f>Table2[[#This Row],[W]]</f>
        <v>15</v>
      </c>
      <c r="AJ269" s="1">
        <f>Table2[[#This Row],[D]]</f>
        <v>11</v>
      </c>
      <c r="AK269" s="1">
        <f>Table2[[#This Row],[L]]</f>
        <v>12</v>
      </c>
      <c r="AL269" s="1">
        <f>Table2[[#This Row],[F]]</f>
        <v>54</v>
      </c>
      <c r="AM269" s="1">
        <f>Table2[[#This Row],[A]]</f>
        <v>46</v>
      </c>
      <c r="AN269" s="1">
        <f>Table2[[#This Row],[GD]]</f>
        <v>8</v>
      </c>
      <c r="AO269" s="1">
        <f>Table2[[#This Row],[Pts]]</f>
        <v>56</v>
      </c>
      <c r="AP269" s="1">
        <f>Table2[[#This Row],[Column1]]</f>
        <v>8</v>
      </c>
      <c r="AR269" t="b">
        <f t="shared" si="8"/>
        <v>1</v>
      </c>
      <c r="AS269">
        <f>IF(AR269,ROWS($AR$2:AR269),"")</f>
        <v>268</v>
      </c>
      <c r="AT269">
        <f>IFERROR(SMALL($AS$2:$AS$440,ROWS($AS$2:AS269)),"")</f>
        <v>268</v>
      </c>
      <c r="AU269">
        <f>IF(AT269&lt;&gt;"",INDEX($AE$2:$AP$440,MATCH($AT269,$AS$2:$AS$440,0),COLUMNS($AT$2:AT269)),"")</f>
        <v>2013</v>
      </c>
      <c r="AV269">
        <f>IF(AU269&lt;&gt;"",INDEX($AE$2:$AP$440,MATCH($AT269,$AS$2:$AS$440,0),COLUMNS($AT$2:AU269)),"")</f>
        <v>8</v>
      </c>
      <c r="AW269" t="str">
        <f>IF(AV269&lt;&gt;"",INDEX($AE$2:$AP$440,MATCH($AT269,$AS$2:$AS$440,0),COLUMNS($AT$2:AV269)),"")</f>
        <v>Southampton</v>
      </c>
      <c r="AX269">
        <f>IF(AW269&lt;&gt;"",INDEX($AE$2:$AP$440,MATCH($AT269,$AS$2:$AS$440,0),COLUMNS($AT$2:AW269)),"")</f>
        <v>38</v>
      </c>
      <c r="AY269">
        <f>IF(AX269&lt;&gt;"",INDEX($AE$2:$AP$440,MATCH($AT269,$AS$2:$AS$440,0),COLUMNS($AT$2:AX269)),"")</f>
        <v>15</v>
      </c>
      <c r="AZ269">
        <f>IF(AY269&lt;&gt;"",INDEX($AE$2:$AP$440,MATCH($AT269,$AS$2:$AS$440,0),COLUMNS($AT$2:AY269)),"")</f>
        <v>11</v>
      </c>
      <c r="BA269">
        <f>IF(AZ269&lt;&gt;"",INDEX($AE$2:$AP$440,MATCH($AT269,$AS$2:$AS$440,0),COLUMNS($AT$2:AZ269)),"")</f>
        <v>12</v>
      </c>
      <c r="BB269">
        <f>IF(BA269&lt;&gt;"",INDEX($AE$2:$AP$440,MATCH($AT269,$AS$2:$AS$440,0),COLUMNS($AT$2:BA269)),"")</f>
        <v>54</v>
      </c>
      <c r="BC269">
        <f>IF(BB269&lt;&gt;"",INDEX($AE$2:$AP$440,MATCH($AT269,$AS$2:$AS$440,0),COLUMNS($AT$2:BB269)),"")</f>
        <v>46</v>
      </c>
      <c r="BD269">
        <f>IF(BC269&lt;&gt;"",INDEX($AE$2:$AP$440,MATCH($AT269,$AS$2:$AS$440,0),COLUMNS($AT$2:BC269)),"")</f>
        <v>8</v>
      </c>
      <c r="BE269">
        <f>IF(BD269&lt;&gt;"",INDEX($AE$2:$AP$440,MATCH($AT269,$AS$2:$AS$440,0),COLUMNS($AT$2:BD269)),"")</f>
        <v>56</v>
      </c>
      <c r="BF269">
        <f>IF(BE269&lt;&gt;"",INDEX($AE$2:$AP$440,MATCH($AT269,$AS$2:$AS$440,0),COLUMNS($AT$2:BE269)),"")</f>
        <v>8</v>
      </c>
    </row>
    <row r="270" spans="1:58" x14ac:dyDescent="0.25">
      <c r="A270" s="3">
        <v>2013</v>
      </c>
      <c r="B270" s="3">
        <v>9</v>
      </c>
      <c r="C270" s="4" t="s">
        <v>44</v>
      </c>
      <c r="D270" s="3">
        <v>38</v>
      </c>
      <c r="E270" s="3">
        <v>13</v>
      </c>
      <c r="F270" s="3">
        <v>11</v>
      </c>
      <c r="G270" s="3">
        <v>14</v>
      </c>
      <c r="H270" s="3">
        <v>45</v>
      </c>
      <c r="I270" s="3">
        <v>52</v>
      </c>
      <c r="J270" s="3">
        <v>-7</v>
      </c>
      <c r="K270" s="3">
        <v>50</v>
      </c>
      <c r="L270" s="5">
        <f>IF(Table2[[#This Row],['#]]=1,"Champion", IF(Table2[[#This Row],['#]]&gt;=18,"Relegated",Table2[[#This Row],['#]]))</f>
        <v>9</v>
      </c>
      <c r="N270">
        <f>IF(COUNTIF($O$2:O270,O270)=1,N269+1,N269)</f>
        <v>39</v>
      </c>
      <c r="O270" s="4" t="str">
        <f>Table2[[#This Row],[Team]]</f>
        <v>Stoke City</v>
      </c>
      <c r="P270" s="1" t="str">
        <f>IFERROR(VLOOKUP(ROWS($O$2:O270),$N$2:$O$441,2,0),"")</f>
        <v/>
      </c>
      <c r="Q270" s="1" t="str">
        <f>IF(P270&lt;&gt;"",SUMPRODUCT(--(Table2[Team]=P270)),"")</f>
        <v/>
      </c>
      <c r="R270" s="11" t="str">
        <f>IF(Q270&lt;&gt;"",Q270+ROWS($Q$2:Q270)/100,"")</f>
        <v/>
      </c>
      <c r="S270" t="str">
        <f>IF(R270&lt;&gt;"",LARGE($R$2:$R$441,ROWS($R$2:R270)),"")</f>
        <v/>
      </c>
      <c r="T270" s="1" t="str">
        <f>IF(R270&lt;&gt;"",INDEX($P$2:$Q$441,MATCH($S270,$R$2:$R$441,0),COLUMNS($S$2:S270)),"")</f>
        <v/>
      </c>
      <c r="U270" s="1" t="str">
        <f>IF(S270&lt;&gt;"",INDEX($P$2:$Q$441,MATCH($S270,$R$2:$R$441,0),COLUMNS($S$2:T270)),"")</f>
        <v/>
      </c>
      <c r="AE270" s="1">
        <f>Table2[[#This Row],[Year]]</f>
        <v>2013</v>
      </c>
      <c r="AF270" s="1">
        <f>Table2[[#This Row],['#]]</f>
        <v>9</v>
      </c>
      <c r="AG270" s="1" t="str">
        <f>Table2[[#This Row],[Team]]</f>
        <v>Stoke City</v>
      </c>
      <c r="AH270" s="1">
        <f>Table2[[#This Row],[Pl]]</f>
        <v>38</v>
      </c>
      <c r="AI270" s="1">
        <f>Table2[[#This Row],[W]]</f>
        <v>13</v>
      </c>
      <c r="AJ270" s="1">
        <f>Table2[[#This Row],[D]]</f>
        <v>11</v>
      </c>
      <c r="AK270" s="1">
        <f>Table2[[#This Row],[L]]</f>
        <v>14</v>
      </c>
      <c r="AL270" s="1">
        <f>Table2[[#This Row],[F]]</f>
        <v>45</v>
      </c>
      <c r="AM270" s="1">
        <f>Table2[[#This Row],[A]]</f>
        <v>52</v>
      </c>
      <c r="AN270" s="1">
        <f>Table2[[#This Row],[GD]]</f>
        <v>-7</v>
      </c>
      <c r="AO270" s="1">
        <f>Table2[[#This Row],[Pts]]</f>
        <v>50</v>
      </c>
      <c r="AP270" s="1">
        <f>Table2[[#This Row],[Column1]]</f>
        <v>9</v>
      </c>
      <c r="AR270" t="b">
        <f t="shared" si="8"/>
        <v>1</v>
      </c>
      <c r="AS270">
        <f>IF(AR270,ROWS($AR$2:AR270),"")</f>
        <v>269</v>
      </c>
      <c r="AT270">
        <f>IFERROR(SMALL($AS$2:$AS$440,ROWS($AS$2:AS270)),"")</f>
        <v>269</v>
      </c>
      <c r="AU270">
        <f>IF(AT270&lt;&gt;"",INDEX($AE$2:$AP$440,MATCH($AT270,$AS$2:$AS$440,0),COLUMNS($AT$2:AT270)),"")</f>
        <v>2013</v>
      </c>
      <c r="AV270">
        <f>IF(AU270&lt;&gt;"",INDEX($AE$2:$AP$440,MATCH($AT270,$AS$2:$AS$440,0),COLUMNS($AT$2:AU270)),"")</f>
        <v>9</v>
      </c>
      <c r="AW270" t="str">
        <f>IF(AV270&lt;&gt;"",INDEX($AE$2:$AP$440,MATCH($AT270,$AS$2:$AS$440,0),COLUMNS($AT$2:AV270)),"")</f>
        <v>Stoke City</v>
      </c>
      <c r="AX270">
        <f>IF(AW270&lt;&gt;"",INDEX($AE$2:$AP$440,MATCH($AT270,$AS$2:$AS$440,0),COLUMNS($AT$2:AW270)),"")</f>
        <v>38</v>
      </c>
      <c r="AY270">
        <f>IF(AX270&lt;&gt;"",INDEX($AE$2:$AP$440,MATCH($AT270,$AS$2:$AS$440,0),COLUMNS($AT$2:AX270)),"")</f>
        <v>13</v>
      </c>
      <c r="AZ270">
        <f>IF(AY270&lt;&gt;"",INDEX($AE$2:$AP$440,MATCH($AT270,$AS$2:$AS$440,0),COLUMNS($AT$2:AY270)),"")</f>
        <v>11</v>
      </c>
      <c r="BA270">
        <f>IF(AZ270&lt;&gt;"",INDEX($AE$2:$AP$440,MATCH($AT270,$AS$2:$AS$440,0),COLUMNS($AT$2:AZ270)),"")</f>
        <v>14</v>
      </c>
      <c r="BB270">
        <f>IF(BA270&lt;&gt;"",INDEX($AE$2:$AP$440,MATCH($AT270,$AS$2:$AS$440,0),COLUMNS($AT$2:BA270)),"")</f>
        <v>45</v>
      </c>
      <c r="BC270">
        <f>IF(BB270&lt;&gt;"",INDEX($AE$2:$AP$440,MATCH($AT270,$AS$2:$AS$440,0),COLUMNS($AT$2:BB270)),"")</f>
        <v>52</v>
      </c>
      <c r="BD270">
        <f>IF(BC270&lt;&gt;"",INDEX($AE$2:$AP$440,MATCH($AT270,$AS$2:$AS$440,0),COLUMNS($AT$2:BC270)),"")</f>
        <v>-7</v>
      </c>
      <c r="BE270">
        <f>IF(BD270&lt;&gt;"",INDEX($AE$2:$AP$440,MATCH($AT270,$AS$2:$AS$440,0),COLUMNS($AT$2:BD270)),"")</f>
        <v>50</v>
      </c>
      <c r="BF270">
        <f>IF(BE270&lt;&gt;"",INDEX($AE$2:$AP$440,MATCH($AT270,$AS$2:$AS$440,0),COLUMNS($AT$2:BE270)),"")</f>
        <v>9</v>
      </c>
    </row>
    <row r="271" spans="1:58" x14ac:dyDescent="0.25">
      <c r="A271" s="5">
        <v>2013</v>
      </c>
      <c r="B271" s="5">
        <v>10</v>
      </c>
      <c r="C271" s="6" t="s">
        <v>21</v>
      </c>
      <c r="D271" s="5">
        <v>38</v>
      </c>
      <c r="E271" s="5">
        <v>15</v>
      </c>
      <c r="F271" s="5">
        <v>4</v>
      </c>
      <c r="G271" s="5">
        <v>19</v>
      </c>
      <c r="H271" s="5">
        <v>43</v>
      </c>
      <c r="I271" s="5">
        <v>59</v>
      </c>
      <c r="J271" s="5">
        <v>-16</v>
      </c>
      <c r="K271" s="5">
        <v>49</v>
      </c>
      <c r="L271" s="5">
        <f>IF(Table2[[#This Row],['#]]=1,"Champion", IF(Table2[[#This Row],['#]]&gt;=18,"Relegated",Table2[[#This Row],['#]]))</f>
        <v>10</v>
      </c>
      <c r="N271">
        <f>IF(COUNTIF($O$2:O271,O271)=1,N270+1,N270)</f>
        <v>39</v>
      </c>
      <c r="O271" s="4" t="str">
        <f>Table2[[#This Row],[Team]]</f>
        <v>Newcastle United</v>
      </c>
      <c r="P271" s="1" t="str">
        <f>IFERROR(VLOOKUP(ROWS($O$2:O271),$N$2:$O$441,2,0),"")</f>
        <v/>
      </c>
      <c r="Q271" s="1" t="str">
        <f>IF(P271&lt;&gt;"",SUMPRODUCT(--(Table2[Team]=P271)),"")</f>
        <v/>
      </c>
      <c r="R271" s="11" t="str">
        <f>IF(Q271&lt;&gt;"",Q271+ROWS($Q$2:Q271)/100,"")</f>
        <v/>
      </c>
      <c r="S271" t="str">
        <f>IF(R271&lt;&gt;"",LARGE($R$2:$R$441,ROWS($R$2:R271)),"")</f>
        <v/>
      </c>
      <c r="T271" s="1" t="str">
        <f>IF(R271&lt;&gt;"",INDEX($P$2:$Q$441,MATCH($S271,$R$2:$R$441,0),COLUMNS($S$2:S271)),"")</f>
        <v/>
      </c>
      <c r="U271" s="1" t="str">
        <f>IF(S271&lt;&gt;"",INDEX($P$2:$Q$441,MATCH($S271,$R$2:$R$441,0),COLUMNS($S$2:T271)),"")</f>
        <v/>
      </c>
      <c r="AE271" s="1">
        <f>Table2[[#This Row],[Year]]</f>
        <v>2013</v>
      </c>
      <c r="AF271" s="1">
        <f>Table2[[#This Row],['#]]</f>
        <v>10</v>
      </c>
      <c r="AG271" s="1" t="str">
        <f>Table2[[#This Row],[Team]]</f>
        <v>Newcastle United</v>
      </c>
      <c r="AH271" s="1">
        <f>Table2[[#This Row],[Pl]]</f>
        <v>38</v>
      </c>
      <c r="AI271" s="1">
        <f>Table2[[#This Row],[W]]</f>
        <v>15</v>
      </c>
      <c r="AJ271" s="1">
        <f>Table2[[#This Row],[D]]</f>
        <v>4</v>
      </c>
      <c r="AK271" s="1">
        <f>Table2[[#This Row],[L]]</f>
        <v>19</v>
      </c>
      <c r="AL271" s="1">
        <f>Table2[[#This Row],[F]]</f>
        <v>43</v>
      </c>
      <c r="AM271" s="1">
        <f>Table2[[#This Row],[A]]</f>
        <v>59</v>
      </c>
      <c r="AN271" s="1">
        <f>Table2[[#This Row],[GD]]</f>
        <v>-16</v>
      </c>
      <c r="AO271" s="1">
        <f>Table2[[#This Row],[Pts]]</f>
        <v>49</v>
      </c>
      <c r="AP271" s="1">
        <f>Table2[[#This Row],[Column1]]</f>
        <v>10</v>
      </c>
      <c r="AR271" t="b">
        <f t="shared" si="8"/>
        <v>1</v>
      </c>
      <c r="AS271">
        <f>IF(AR271,ROWS($AR$2:AR271),"")</f>
        <v>270</v>
      </c>
      <c r="AT271">
        <f>IFERROR(SMALL($AS$2:$AS$440,ROWS($AS$2:AS271)),"")</f>
        <v>270</v>
      </c>
      <c r="AU271">
        <f>IF(AT271&lt;&gt;"",INDEX($AE$2:$AP$440,MATCH($AT271,$AS$2:$AS$440,0),COLUMNS($AT$2:AT271)),"")</f>
        <v>2013</v>
      </c>
      <c r="AV271">
        <f>IF(AU271&lt;&gt;"",INDEX($AE$2:$AP$440,MATCH($AT271,$AS$2:$AS$440,0),COLUMNS($AT$2:AU271)),"")</f>
        <v>10</v>
      </c>
      <c r="AW271" t="str">
        <f>IF(AV271&lt;&gt;"",INDEX($AE$2:$AP$440,MATCH($AT271,$AS$2:$AS$440,0),COLUMNS($AT$2:AV271)),"")</f>
        <v>Newcastle United</v>
      </c>
      <c r="AX271">
        <f>IF(AW271&lt;&gt;"",INDEX($AE$2:$AP$440,MATCH($AT271,$AS$2:$AS$440,0),COLUMNS($AT$2:AW271)),"")</f>
        <v>38</v>
      </c>
      <c r="AY271">
        <f>IF(AX271&lt;&gt;"",INDEX($AE$2:$AP$440,MATCH($AT271,$AS$2:$AS$440,0),COLUMNS($AT$2:AX271)),"")</f>
        <v>15</v>
      </c>
      <c r="AZ271">
        <f>IF(AY271&lt;&gt;"",INDEX($AE$2:$AP$440,MATCH($AT271,$AS$2:$AS$440,0),COLUMNS($AT$2:AY271)),"")</f>
        <v>4</v>
      </c>
      <c r="BA271">
        <f>IF(AZ271&lt;&gt;"",INDEX($AE$2:$AP$440,MATCH($AT271,$AS$2:$AS$440,0),COLUMNS($AT$2:AZ271)),"")</f>
        <v>19</v>
      </c>
      <c r="BB271">
        <f>IF(BA271&lt;&gt;"",INDEX($AE$2:$AP$440,MATCH($AT271,$AS$2:$AS$440,0),COLUMNS($AT$2:BA271)),"")</f>
        <v>43</v>
      </c>
      <c r="BC271">
        <f>IF(BB271&lt;&gt;"",INDEX($AE$2:$AP$440,MATCH($AT271,$AS$2:$AS$440,0),COLUMNS($AT$2:BB271)),"")</f>
        <v>59</v>
      </c>
      <c r="BD271">
        <f>IF(BC271&lt;&gt;"",INDEX($AE$2:$AP$440,MATCH($AT271,$AS$2:$AS$440,0),COLUMNS($AT$2:BC271)),"")</f>
        <v>-16</v>
      </c>
      <c r="BE271">
        <f>IF(BD271&lt;&gt;"",INDEX($AE$2:$AP$440,MATCH($AT271,$AS$2:$AS$440,0),COLUMNS($AT$2:BD271)),"")</f>
        <v>49</v>
      </c>
      <c r="BF271">
        <f>IF(BE271&lt;&gt;"",INDEX($AE$2:$AP$440,MATCH($AT271,$AS$2:$AS$440,0),COLUMNS($AT$2:BE271)),"")</f>
        <v>10</v>
      </c>
    </row>
    <row r="272" spans="1:58" x14ac:dyDescent="0.25">
      <c r="A272" s="3">
        <v>2013</v>
      </c>
      <c r="B272" s="3">
        <v>11</v>
      </c>
      <c r="C272" s="4" t="s">
        <v>38</v>
      </c>
      <c r="D272" s="3">
        <v>38</v>
      </c>
      <c r="E272" s="3">
        <v>13</v>
      </c>
      <c r="F272" s="3">
        <v>6</v>
      </c>
      <c r="G272" s="3">
        <v>19</v>
      </c>
      <c r="H272" s="3">
        <v>33</v>
      </c>
      <c r="I272" s="3">
        <v>48</v>
      </c>
      <c r="J272" s="3">
        <v>-15</v>
      </c>
      <c r="K272" s="3">
        <v>45</v>
      </c>
      <c r="L272" s="5">
        <f>IF(Table2[[#This Row],['#]]=1,"Champion", IF(Table2[[#This Row],['#]]&gt;=18,"Relegated",Table2[[#This Row],['#]]))</f>
        <v>11</v>
      </c>
      <c r="N272">
        <f>IF(COUNTIF($O$2:O272,O272)=1,N271+1,N271)</f>
        <v>39</v>
      </c>
      <c r="O272" s="4" t="str">
        <f>Table2[[#This Row],[Team]]</f>
        <v>Crystal Palace</v>
      </c>
      <c r="P272" s="1" t="str">
        <f>IFERROR(VLOOKUP(ROWS($O$2:O272),$N$2:$O$441,2,0),"")</f>
        <v/>
      </c>
      <c r="Q272" s="1" t="str">
        <f>IF(P272&lt;&gt;"",SUMPRODUCT(--(Table2[Team]=P272)),"")</f>
        <v/>
      </c>
      <c r="R272" s="11" t="str">
        <f>IF(Q272&lt;&gt;"",Q272+ROWS($Q$2:Q272)/100,"")</f>
        <v/>
      </c>
      <c r="S272" t="str">
        <f>IF(R272&lt;&gt;"",LARGE($R$2:$R$441,ROWS($R$2:R272)),"")</f>
        <v/>
      </c>
      <c r="T272" s="1" t="str">
        <f>IF(R272&lt;&gt;"",INDEX($P$2:$Q$441,MATCH($S272,$R$2:$R$441,0),COLUMNS($S$2:S272)),"")</f>
        <v/>
      </c>
      <c r="U272" s="1" t="str">
        <f>IF(S272&lt;&gt;"",INDEX($P$2:$Q$441,MATCH($S272,$R$2:$R$441,0),COLUMNS($S$2:T272)),"")</f>
        <v/>
      </c>
      <c r="AE272" s="1">
        <f>Table2[[#This Row],[Year]]</f>
        <v>2013</v>
      </c>
      <c r="AF272" s="1">
        <f>Table2[[#This Row],['#]]</f>
        <v>11</v>
      </c>
      <c r="AG272" s="1" t="str">
        <f>Table2[[#This Row],[Team]]</f>
        <v>Crystal Palace</v>
      </c>
      <c r="AH272" s="1">
        <f>Table2[[#This Row],[Pl]]</f>
        <v>38</v>
      </c>
      <c r="AI272" s="1">
        <f>Table2[[#This Row],[W]]</f>
        <v>13</v>
      </c>
      <c r="AJ272" s="1">
        <f>Table2[[#This Row],[D]]</f>
        <v>6</v>
      </c>
      <c r="AK272" s="1">
        <f>Table2[[#This Row],[L]]</f>
        <v>19</v>
      </c>
      <c r="AL272" s="1">
        <f>Table2[[#This Row],[F]]</f>
        <v>33</v>
      </c>
      <c r="AM272" s="1">
        <f>Table2[[#This Row],[A]]</f>
        <v>48</v>
      </c>
      <c r="AN272" s="1">
        <f>Table2[[#This Row],[GD]]</f>
        <v>-15</v>
      </c>
      <c r="AO272" s="1">
        <f>Table2[[#This Row],[Pts]]</f>
        <v>45</v>
      </c>
      <c r="AP272" s="1">
        <f>Table2[[#This Row],[Column1]]</f>
        <v>11</v>
      </c>
      <c r="AR272" t="b">
        <f t="shared" si="8"/>
        <v>1</v>
      </c>
      <c r="AS272">
        <f>IF(AR272,ROWS($AR$2:AR272),"")</f>
        <v>271</v>
      </c>
      <c r="AT272">
        <f>IFERROR(SMALL($AS$2:$AS$440,ROWS($AS$2:AS272)),"")</f>
        <v>271</v>
      </c>
      <c r="AU272">
        <f>IF(AT272&lt;&gt;"",INDEX($AE$2:$AP$440,MATCH($AT272,$AS$2:$AS$440,0),COLUMNS($AT$2:AT272)),"")</f>
        <v>2013</v>
      </c>
      <c r="AV272">
        <f>IF(AU272&lt;&gt;"",INDEX($AE$2:$AP$440,MATCH($AT272,$AS$2:$AS$440,0),COLUMNS($AT$2:AU272)),"")</f>
        <v>11</v>
      </c>
      <c r="AW272" t="str">
        <f>IF(AV272&lt;&gt;"",INDEX($AE$2:$AP$440,MATCH($AT272,$AS$2:$AS$440,0),COLUMNS($AT$2:AV272)),"")</f>
        <v>Crystal Palace</v>
      </c>
      <c r="AX272">
        <f>IF(AW272&lt;&gt;"",INDEX($AE$2:$AP$440,MATCH($AT272,$AS$2:$AS$440,0),COLUMNS($AT$2:AW272)),"")</f>
        <v>38</v>
      </c>
      <c r="AY272">
        <f>IF(AX272&lt;&gt;"",INDEX($AE$2:$AP$440,MATCH($AT272,$AS$2:$AS$440,0),COLUMNS($AT$2:AX272)),"")</f>
        <v>13</v>
      </c>
      <c r="AZ272">
        <f>IF(AY272&lt;&gt;"",INDEX($AE$2:$AP$440,MATCH($AT272,$AS$2:$AS$440,0),COLUMNS($AT$2:AY272)),"")</f>
        <v>6</v>
      </c>
      <c r="BA272">
        <f>IF(AZ272&lt;&gt;"",INDEX($AE$2:$AP$440,MATCH($AT272,$AS$2:$AS$440,0),COLUMNS($AT$2:AZ272)),"")</f>
        <v>19</v>
      </c>
      <c r="BB272">
        <f>IF(BA272&lt;&gt;"",INDEX($AE$2:$AP$440,MATCH($AT272,$AS$2:$AS$440,0),COLUMNS($AT$2:BA272)),"")</f>
        <v>33</v>
      </c>
      <c r="BC272">
        <f>IF(BB272&lt;&gt;"",INDEX($AE$2:$AP$440,MATCH($AT272,$AS$2:$AS$440,0),COLUMNS($AT$2:BB272)),"")</f>
        <v>48</v>
      </c>
      <c r="BD272">
        <f>IF(BC272&lt;&gt;"",INDEX($AE$2:$AP$440,MATCH($AT272,$AS$2:$AS$440,0),COLUMNS($AT$2:BC272)),"")</f>
        <v>-15</v>
      </c>
      <c r="BE272">
        <f>IF(BD272&lt;&gt;"",INDEX($AE$2:$AP$440,MATCH($AT272,$AS$2:$AS$440,0),COLUMNS($AT$2:BD272)),"")</f>
        <v>45</v>
      </c>
      <c r="BF272">
        <f>IF(BE272&lt;&gt;"",INDEX($AE$2:$AP$440,MATCH($AT272,$AS$2:$AS$440,0),COLUMNS($AT$2:BE272)),"")</f>
        <v>11</v>
      </c>
    </row>
    <row r="273" spans="1:58" x14ac:dyDescent="0.25">
      <c r="A273" s="5">
        <v>2013</v>
      </c>
      <c r="B273" s="5">
        <v>12</v>
      </c>
      <c r="C273" s="6" t="s">
        <v>48</v>
      </c>
      <c r="D273" s="5">
        <v>38</v>
      </c>
      <c r="E273" s="5">
        <v>11</v>
      </c>
      <c r="F273" s="5">
        <v>9</v>
      </c>
      <c r="G273" s="5">
        <v>18</v>
      </c>
      <c r="H273" s="5">
        <v>54</v>
      </c>
      <c r="I273" s="5">
        <v>54</v>
      </c>
      <c r="J273" s="5">
        <v>0</v>
      </c>
      <c r="K273" s="5">
        <v>42</v>
      </c>
      <c r="L273" s="5">
        <f>IF(Table2[[#This Row],['#]]=1,"Champion", IF(Table2[[#This Row],['#]]&gt;=18,"Relegated",Table2[[#This Row],['#]]))</f>
        <v>12</v>
      </c>
      <c r="N273">
        <f>IF(COUNTIF($O$2:O273,O273)=1,N272+1,N272)</f>
        <v>39</v>
      </c>
      <c r="O273" s="4" t="str">
        <f>Table2[[#This Row],[Team]]</f>
        <v>Swansea City</v>
      </c>
      <c r="P273" s="1" t="str">
        <f>IFERROR(VLOOKUP(ROWS($O$2:O273),$N$2:$O$441,2,0),"")</f>
        <v/>
      </c>
      <c r="Q273" s="1" t="str">
        <f>IF(P273&lt;&gt;"",SUMPRODUCT(--(Table2[Team]=P273)),"")</f>
        <v/>
      </c>
      <c r="R273" s="11" t="str">
        <f>IF(Q273&lt;&gt;"",Q273+ROWS($Q$2:Q273)/100,"")</f>
        <v/>
      </c>
      <c r="S273" t="str">
        <f>IF(R273&lt;&gt;"",LARGE($R$2:$R$441,ROWS($R$2:R273)),"")</f>
        <v/>
      </c>
      <c r="T273" s="1" t="str">
        <f>IF(R273&lt;&gt;"",INDEX($P$2:$Q$441,MATCH($S273,$R$2:$R$441,0),COLUMNS($S$2:S273)),"")</f>
        <v/>
      </c>
      <c r="U273" s="1" t="str">
        <f>IF(S273&lt;&gt;"",INDEX($P$2:$Q$441,MATCH($S273,$R$2:$R$441,0),COLUMNS($S$2:T273)),"")</f>
        <v/>
      </c>
      <c r="AE273" s="1">
        <f>Table2[[#This Row],[Year]]</f>
        <v>2013</v>
      </c>
      <c r="AF273" s="1">
        <f>Table2[[#This Row],['#]]</f>
        <v>12</v>
      </c>
      <c r="AG273" s="1" t="str">
        <f>Table2[[#This Row],[Team]]</f>
        <v>Swansea City</v>
      </c>
      <c r="AH273" s="1">
        <f>Table2[[#This Row],[Pl]]</f>
        <v>38</v>
      </c>
      <c r="AI273" s="1">
        <f>Table2[[#This Row],[W]]</f>
        <v>11</v>
      </c>
      <c r="AJ273" s="1">
        <f>Table2[[#This Row],[D]]</f>
        <v>9</v>
      </c>
      <c r="AK273" s="1">
        <f>Table2[[#This Row],[L]]</f>
        <v>18</v>
      </c>
      <c r="AL273" s="1">
        <f>Table2[[#This Row],[F]]</f>
        <v>54</v>
      </c>
      <c r="AM273" s="1">
        <f>Table2[[#This Row],[A]]</f>
        <v>54</v>
      </c>
      <c r="AN273" s="1">
        <f>Table2[[#This Row],[GD]]</f>
        <v>0</v>
      </c>
      <c r="AO273" s="1">
        <f>Table2[[#This Row],[Pts]]</f>
        <v>42</v>
      </c>
      <c r="AP273" s="1">
        <f>Table2[[#This Row],[Column1]]</f>
        <v>12</v>
      </c>
      <c r="AR273" t="b">
        <f t="shared" si="8"/>
        <v>1</v>
      </c>
      <c r="AS273">
        <f>IF(AR273,ROWS($AR$2:AR273),"")</f>
        <v>272</v>
      </c>
      <c r="AT273">
        <f>IFERROR(SMALL($AS$2:$AS$440,ROWS($AS$2:AS273)),"")</f>
        <v>272</v>
      </c>
      <c r="AU273">
        <f>IF(AT273&lt;&gt;"",INDEX($AE$2:$AP$440,MATCH($AT273,$AS$2:$AS$440,0),COLUMNS($AT$2:AT273)),"")</f>
        <v>2013</v>
      </c>
      <c r="AV273">
        <f>IF(AU273&lt;&gt;"",INDEX($AE$2:$AP$440,MATCH($AT273,$AS$2:$AS$440,0),COLUMNS($AT$2:AU273)),"")</f>
        <v>12</v>
      </c>
      <c r="AW273" t="str">
        <f>IF(AV273&lt;&gt;"",INDEX($AE$2:$AP$440,MATCH($AT273,$AS$2:$AS$440,0),COLUMNS($AT$2:AV273)),"")</f>
        <v>Swansea City</v>
      </c>
      <c r="AX273">
        <f>IF(AW273&lt;&gt;"",INDEX($AE$2:$AP$440,MATCH($AT273,$AS$2:$AS$440,0),COLUMNS($AT$2:AW273)),"")</f>
        <v>38</v>
      </c>
      <c r="AY273">
        <f>IF(AX273&lt;&gt;"",INDEX($AE$2:$AP$440,MATCH($AT273,$AS$2:$AS$440,0),COLUMNS($AT$2:AX273)),"")</f>
        <v>11</v>
      </c>
      <c r="AZ273">
        <f>IF(AY273&lt;&gt;"",INDEX($AE$2:$AP$440,MATCH($AT273,$AS$2:$AS$440,0),COLUMNS($AT$2:AY273)),"")</f>
        <v>9</v>
      </c>
      <c r="BA273">
        <f>IF(AZ273&lt;&gt;"",INDEX($AE$2:$AP$440,MATCH($AT273,$AS$2:$AS$440,0),COLUMNS($AT$2:AZ273)),"")</f>
        <v>18</v>
      </c>
      <c r="BB273">
        <f>IF(BA273&lt;&gt;"",INDEX($AE$2:$AP$440,MATCH($AT273,$AS$2:$AS$440,0),COLUMNS($AT$2:BA273)),"")</f>
        <v>54</v>
      </c>
      <c r="BC273">
        <f>IF(BB273&lt;&gt;"",INDEX($AE$2:$AP$440,MATCH($AT273,$AS$2:$AS$440,0),COLUMNS($AT$2:BB273)),"")</f>
        <v>54</v>
      </c>
      <c r="BD273">
        <f>IF(BC273&lt;&gt;"",INDEX($AE$2:$AP$440,MATCH($AT273,$AS$2:$AS$440,0),COLUMNS($AT$2:BC273)),"")</f>
        <v>0</v>
      </c>
      <c r="BE273">
        <f>IF(BD273&lt;&gt;"",INDEX($AE$2:$AP$440,MATCH($AT273,$AS$2:$AS$440,0),COLUMNS($AT$2:BD273)),"")</f>
        <v>42</v>
      </c>
      <c r="BF273">
        <f>IF(BE273&lt;&gt;"",INDEX($AE$2:$AP$440,MATCH($AT273,$AS$2:$AS$440,0),COLUMNS($AT$2:BE273)),"")</f>
        <v>12</v>
      </c>
    </row>
    <row r="274" spans="1:58" x14ac:dyDescent="0.25">
      <c r="A274" s="3">
        <v>2013</v>
      </c>
      <c r="B274" s="3">
        <v>13</v>
      </c>
      <c r="C274" s="4" t="s">
        <v>25</v>
      </c>
      <c r="D274" s="3">
        <v>38</v>
      </c>
      <c r="E274" s="3">
        <v>11</v>
      </c>
      <c r="F274" s="3">
        <v>7</v>
      </c>
      <c r="G274" s="3">
        <v>20</v>
      </c>
      <c r="H274" s="3">
        <v>40</v>
      </c>
      <c r="I274" s="3">
        <v>51</v>
      </c>
      <c r="J274" s="3">
        <v>-11</v>
      </c>
      <c r="K274" s="3">
        <v>40</v>
      </c>
      <c r="L274" s="5">
        <f>IF(Table2[[#This Row],['#]]=1,"Champion", IF(Table2[[#This Row],['#]]&gt;=18,"Relegated",Table2[[#This Row],['#]]))</f>
        <v>13</v>
      </c>
      <c r="N274">
        <f>IF(COUNTIF($O$2:O274,O274)=1,N273+1,N273)</f>
        <v>39</v>
      </c>
      <c r="O274" s="4" t="str">
        <f>Table2[[#This Row],[Team]]</f>
        <v>West Ham United</v>
      </c>
      <c r="P274" s="1" t="str">
        <f>IFERROR(VLOOKUP(ROWS($O$2:O274),$N$2:$O$441,2,0),"")</f>
        <v/>
      </c>
      <c r="Q274" s="1" t="str">
        <f>IF(P274&lt;&gt;"",SUMPRODUCT(--(Table2[Team]=P274)),"")</f>
        <v/>
      </c>
      <c r="R274" s="11" t="str">
        <f>IF(Q274&lt;&gt;"",Q274+ROWS($Q$2:Q274)/100,"")</f>
        <v/>
      </c>
      <c r="S274" t="str">
        <f>IF(R274&lt;&gt;"",LARGE($R$2:$R$441,ROWS($R$2:R274)),"")</f>
        <v/>
      </c>
      <c r="T274" s="1" t="str">
        <f>IF(R274&lt;&gt;"",INDEX($P$2:$Q$441,MATCH($S274,$R$2:$R$441,0),COLUMNS($S$2:S274)),"")</f>
        <v/>
      </c>
      <c r="U274" s="1" t="str">
        <f>IF(S274&lt;&gt;"",INDEX($P$2:$Q$441,MATCH($S274,$R$2:$R$441,0),COLUMNS($S$2:T274)),"")</f>
        <v/>
      </c>
      <c r="AE274" s="1">
        <f>Table2[[#This Row],[Year]]</f>
        <v>2013</v>
      </c>
      <c r="AF274" s="1">
        <f>Table2[[#This Row],['#]]</f>
        <v>13</v>
      </c>
      <c r="AG274" s="1" t="str">
        <f>Table2[[#This Row],[Team]]</f>
        <v>West Ham United</v>
      </c>
      <c r="AH274" s="1">
        <f>Table2[[#This Row],[Pl]]</f>
        <v>38</v>
      </c>
      <c r="AI274" s="1">
        <f>Table2[[#This Row],[W]]</f>
        <v>11</v>
      </c>
      <c r="AJ274" s="1">
        <f>Table2[[#This Row],[D]]</f>
        <v>7</v>
      </c>
      <c r="AK274" s="1">
        <f>Table2[[#This Row],[L]]</f>
        <v>20</v>
      </c>
      <c r="AL274" s="1">
        <f>Table2[[#This Row],[F]]</f>
        <v>40</v>
      </c>
      <c r="AM274" s="1">
        <f>Table2[[#This Row],[A]]</f>
        <v>51</v>
      </c>
      <c r="AN274" s="1">
        <f>Table2[[#This Row],[GD]]</f>
        <v>-11</v>
      </c>
      <c r="AO274" s="1">
        <f>Table2[[#This Row],[Pts]]</f>
        <v>40</v>
      </c>
      <c r="AP274" s="1">
        <f>Table2[[#This Row],[Column1]]</f>
        <v>13</v>
      </c>
      <c r="AR274" t="b">
        <f t="shared" si="8"/>
        <v>1</v>
      </c>
      <c r="AS274">
        <f>IF(AR274,ROWS($AR$2:AR274),"")</f>
        <v>273</v>
      </c>
      <c r="AT274">
        <f>IFERROR(SMALL($AS$2:$AS$440,ROWS($AS$2:AS274)),"")</f>
        <v>273</v>
      </c>
      <c r="AU274">
        <f>IF(AT274&lt;&gt;"",INDEX($AE$2:$AP$440,MATCH($AT274,$AS$2:$AS$440,0),COLUMNS($AT$2:AT274)),"")</f>
        <v>2013</v>
      </c>
      <c r="AV274">
        <f>IF(AU274&lt;&gt;"",INDEX($AE$2:$AP$440,MATCH($AT274,$AS$2:$AS$440,0),COLUMNS($AT$2:AU274)),"")</f>
        <v>13</v>
      </c>
      <c r="AW274" t="str">
        <f>IF(AV274&lt;&gt;"",INDEX($AE$2:$AP$440,MATCH($AT274,$AS$2:$AS$440,0),COLUMNS($AT$2:AV274)),"")</f>
        <v>West Ham United</v>
      </c>
      <c r="AX274">
        <f>IF(AW274&lt;&gt;"",INDEX($AE$2:$AP$440,MATCH($AT274,$AS$2:$AS$440,0),COLUMNS($AT$2:AW274)),"")</f>
        <v>38</v>
      </c>
      <c r="AY274">
        <f>IF(AX274&lt;&gt;"",INDEX($AE$2:$AP$440,MATCH($AT274,$AS$2:$AS$440,0),COLUMNS($AT$2:AX274)),"")</f>
        <v>11</v>
      </c>
      <c r="AZ274">
        <f>IF(AY274&lt;&gt;"",INDEX($AE$2:$AP$440,MATCH($AT274,$AS$2:$AS$440,0),COLUMNS($AT$2:AY274)),"")</f>
        <v>7</v>
      </c>
      <c r="BA274">
        <f>IF(AZ274&lt;&gt;"",INDEX($AE$2:$AP$440,MATCH($AT274,$AS$2:$AS$440,0),COLUMNS($AT$2:AZ274)),"")</f>
        <v>20</v>
      </c>
      <c r="BB274">
        <f>IF(BA274&lt;&gt;"",INDEX($AE$2:$AP$440,MATCH($AT274,$AS$2:$AS$440,0),COLUMNS($AT$2:BA274)),"")</f>
        <v>40</v>
      </c>
      <c r="BC274">
        <f>IF(BB274&lt;&gt;"",INDEX($AE$2:$AP$440,MATCH($AT274,$AS$2:$AS$440,0),COLUMNS($AT$2:BB274)),"")</f>
        <v>51</v>
      </c>
      <c r="BD274">
        <f>IF(BC274&lt;&gt;"",INDEX($AE$2:$AP$440,MATCH($AT274,$AS$2:$AS$440,0),COLUMNS($AT$2:BC274)),"")</f>
        <v>-11</v>
      </c>
      <c r="BE274">
        <f>IF(BD274&lt;&gt;"",INDEX($AE$2:$AP$440,MATCH($AT274,$AS$2:$AS$440,0),COLUMNS($AT$2:BD274)),"")</f>
        <v>40</v>
      </c>
      <c r="BF274">
        <f>IF(BE274&lt;&gt;"",INDEX($AE$2:$AP$440,MATCH($AT274,$AS$2:$AS$440,0),COLUMNS($AT$2:BE274)),"")</f>
        <v>13</v>
      </c>
    </row>
    <row r="275" spans="1:58" x14ac:dyDescent="0.25">
      <c r="A275" s="5">
        <v>2013</v>
      </c>
      <c r="B275" s="5">
        <v>14</v>
      </c>
      <c r="C275" s="6" t="s">
        <v>17</v>
      </c>
      <c r="D275" s="5">
        <v>38</v>
      </c>
      <c r="E275" s="5">
        <v>10</v>
      </c>
      <c r="F275" s="5">
        <v>8</v>
      </c>
      <c r="G275" s="5">
        <v>20</v>
      </c>
      <c r="H275" s="5">
        <v>41</v>
      </c>
      <c r="I275" s="5">
        <v>60</v>
      </c>
      <c r="J275" s="5">
        <v>-19</v>
      </c>
      <c r="K275" s="5">
        <v>38</v>
      </c>
      <c r="L275" s="5">
        <f>IF(Table2[[#This Row],['#]]=1,"Champion", IF(Table2[[#This Row],['#]]&gt;=18,"Relegated",Table2[[#This Row],['#]]))</f>
        <v>14</v>
      </c>
      <c r="N275">
        <f>IF(COUNTIF($O$2:O275,O275)=1,N274+1,N274)</f>
        <v>39</v>
      </c>
      <c r="O275" s="4" t="str">
        <f>Table2[[#This Row],[Team]]</f>
        <v>Sunderland</v>
      </c>
      <c r="P275" s="1" t="str">
        <f>IFERROR(VLOOKUP(ROWS($O$2:O275),$N$2:$O$441,2,0),"")</f>
        <v/>
      </c>
      <c r="Q275" s="1" t="str">
        <f>IF(P275&lt;&gt;"",SUMPRODUCT(--(Table2[Team]=P275)),"")</f>
        <v/>
      </c>
      <c r="R275" s="11" t="str">
        <f>IF(Q275&lt;&gt;"",Q275+ROWS($Q$2:Q275)/100,"")</f>
        <v/>
      </c>
      <c r="S275" t="str">
        <f>IF(R275&lt;&gt;"",LARGE($R$2:$R$441,ROWS($R$2:R275)),"")</f>
        <v/>
      </c>
      <c r="T275" s="1" t="str">
        <f>IF(R275&lt;&gt;"",INDEX($P$2:$Q$441,MATCH($S275,$R$2:$R$441,0),COLUMNS($S$2:S275)),"")</f>
        <v/>
      </c>
      <c r="U275" s="1" t="str">
        <f>IF(S275&lt;&gt;"",INDEX($P$2:$Q$441,MATCH($S275,$R$2:$R$441,0),COLUMNS($S$2:T275)),"")</f>
        <v/>
      </c>
      <c r="AE275" s="1">
        <f>Table2[[#This Row],[Year]]</f>
        <v>2013</v>
      </c>
      <c r="AF275" s="1">
        <f>Table2[[#This Row],['#]]</f>
        <v>14</v>
      </c>
      <c r="AG275" s="1" t="str">
        <f>Table2[[#This Row],[Team]]</f>
        <v>Sunderland</v>
      </c>
      <c r="AH275" s="1">
        <f>Table2[[#This Row],[Pl]]</f>
        <v>38</v>
      </c>
      <c r="AI275" s="1">
        <f>Table2[[#This Row],[W]]</f>
        <v>10</v>
      </c>
      <c r="AJ275" s="1">
        <f>Table2[[#This Row],[D]]</f>
        <v>8</v>
      </c>
      <c r="AK275" s="1">
        <f>Table2[[#This Row],[L]]</f>
        <v>20</v>
      </c>
      <c r="AL275" s="1">
        <f>Table2[[#This Row],[F]]</f>
        <v>41</v>
      </c>
      <c r="AM275" s="1">
        <f>Table2[[#This Row],[A]]</f>
        <v>60</v>
      </c>
      <c r="AN275" s="1">
        <f>Table2[[#This Row],[GD]]</f>
        <v>-19</v>
      </c>
      <c r="AO275" s="1">
        <f>Table2[[#This Row],[Pts]]</f>
        <v>38</v>
      </c>
      <c r="AP275" s="1">
        <f>Table2[[#This Row],[Column1]]</f>
        <v>14</v>
      </c>
      <c r="AR275" t="b">
        <f t="shared" si="8"/>
        <v>1</v>
      </c>
      <c r="AS275">
        <f>IF(AR275,ROWS($AR$2:AR275),"")</f>
        <v>274</v>
      </c>
      <c r="AT275">
        <f>IFERROR(SMALL($AS$2:$AS$440,ROWS($AS$2:AS275)),"")</f>
        <v>274</v>
      </c>
      <c r="AU275">
        <f>IF(AT275&lt;&gt;"",INDEX($AE$2:$AP$440,MATCH($AT275,$AS$2:$AS$440,0),COLUMNS($AT$2:AT275)),"")</f>
        <v>2013</v>
      </c>
      <c r="AV275">
        <f>IF(AU275&lt;&gt;"",INDEX($AE$2:$AP$440,MATCH($AT275,$AS$2:$AS$440,0),COLUMNS($AT$2:AU275)),"")</f>
        <v>14</v>
      </c>
      <c r="AW275" t="str">
        <f>IF(AV275&lt;&gt;"",INDEX($AE$2:$AP$440,MATCH($AT275,$AS$2:$AS$440,0),COLUMNS($AT$2:AV275)),"")</f>
        <v>Sunderland</v>
      </c>
      <c r="AX275">
        <f>IF(AW275&lt;&gt;"",INDEX($AE$2:$AP$440,MATCH($AT275,$AS$2:$AS$440,0),COLUMNS($AT$2:AW275)),"")</f>
        <v>38</v>
      </c>
      <c r="AY275">
        <f>IF(AX275&lt;&gt;"",INDEX($AE$2:$AP$440,MATCH($AT275,$AS$2:$AS$440,0),COLUMNS($AT$2:AX275)),"")</f>
        <v>10</v>
      </c>
      <c r="AZ275">
        <f>IF(AY275&lt;&gt;"",INDEX($AE$2:$AP$440,MATCH($AT275,$AS$2:$AS$440,0),COLUMNS($AT$2:AY275)),"")</f>
        <v>8</v>
      </c>
      <c r="BA275">
        <f>IF(AZ275&lt;&gt;"",INDEX($AE$2:$AP$440,MATCH($AT275,$AS$2:$AS$440,0),COLUMNS($AT$2:AZ275)),"")</f>
        <v>20</v>
      </c>
      <c r="BB275">
        <f>IF(BA275&lt;&gt;"",INDEX($AE$2:$AP$440,MATCH($AT275,$AS$2:$AS$440,0),COLUMNS($AT$2:BA275)),"")</f>
        <v>41</v>
      </c>
      <c r="BC275">
        <f>IF(BB275&lt;&gt;"",INDEX($AE$2:$AP$440,MATCH($AT275,$AS$2:$AS$440,0),COLUMNS($AT$2:BB275)),"")</f>
        <v>60</v>
      </c>
      <c r="BD275">
        <f>IF(BC275&lt;&gt;"",INDEX($AE$2:$AP$440,MATCH($AT275,$AS$2:$AS$440,0),COLUMNS($AT$2:BC275)),"")</f>
        <v>-19</v>
      </c>
      <c r="BE275">
        <f>IF(BD275&lt;&gt;"",INDEX($AE$2:$AP$440,MATCH($AT275,$AS$2:$AS$440,0),COLUMNS($AT$2:BD275)),"")</f>
        <v>38</v>
      </c>
      <c r="BF275">
        <f>IF(BE275&lt;&gt;"",INDEX($AE$2:$AP$440,MATCH($AT275,$AS$2:$AS$440,0),COLUMNS($AT$2:BE275)),"")</f>
        <v>14</v>
      </c>
    </row>
    <row r="276" spans="1:58" x14ac:dyDescent="0.25">
      <c r="A276" s="3">
        <v>2013</v>
      </c>
      <c r="B276" s="3">
        <v>15</v>
      </c>
      <c r="C276" s="4" t="s">
        <v>18</v>
      </c>
      <c r="D276" s="3">
        <v>38</v>
      </c>
      <c r="E276" s="3">
        <v>10</v>
      </c>
      <c r="F276" s="3">
        <v>8</v>
      </c>
      <c r="G276" s="3">
        <v>20</v>
      </c>
      <c r="H276" s="3">
        <v>39</v>
      </c>
      <c r="I276" s="3">
        <v>61</v>
      </c>
      <c r="J276" s="3">
        <v>-22</v>
      </c>
      <c r="K276" s="3">
        <v>38</v>
      </c>
      <c r="L276" s="5">
        <f>IF(Table2[[#This Row],['#]]=1,"Champion", IF(Table2[[#This Row],['#]]&gt;=18,"Relegated",Table2[[#This Row],['#]]))</f>
        <v>15</v>
      </c>
      <c r="N276">
        <f>IF(COUNTIF($O$2:O276,O276)=1,N275+1,N275)</f>
        <v>39</v>
      </c>
      <c r="O276" s="4" t="str">
        <f>Table2[[#This Row],[Team]]</f>
        <v>Aston Villa</v>
      </c>
      <c r="P276" s="1" t="str">
        <f>IFERROR(VLOOKUP(ROWS($O$2:O276),$N$2:$O$441,2,0),"")</f>
        <v/>
      </c>
      <c r="Q276" s="1" t="str">
        <f>IF(P276&lt;&gt;"",SUMPRODUCT(--(Table2[Team]=P276)),"")</f>
        <v/>
      </c>
      <c r="R276" s="11" t="str">
        <f>IF(Q276&lt;&gt;"",Q276+ROWS($Q$2:Q276)/100,"")</f>
        <v/>
      </c>
      <c r="S276" t="str">
        <f>IF(R276&lt;&gt;"",LARGE($R$2:$R$441,ROWS($R$2:R276)),"")</f>
        <v/>
      </c>
      <c r="T276" s="1" t="str">
        <f>IF(R276&lt;&gt;"",INDEX($P$2:$Q$441,MATCH($S276,$R$2:$R$441,0),COLUMNS($S$2:S276)),"")</f>
        <v/>
      </c>
      <c r="U276" s="1" t="str">
        <f>IF(S276&lt;&gt;"",INDEX($P$2:$Q$441,MATCH($S276,$R$2:$R$441,0),COLUMNS($S$2:T276)),"")</f>
        <v/>
      </c>
      <c r="AE276" s="1">
        <f>Table2[[#This Row],[Year]]</f>
        <v>2013</v>
      </c>
      <c r="AF276" s="1">
        <f>Table2[[#This Row],['#]]</f>
        <v>15</v>
      </c>
      <c r="AG276" s="1" t="str">
        <f>Table2[[#This Row],[Team]]</f>
        <v>Aston Villa</v>
      </c>
      <c r="AH276" s="1">
        <f>Table2[[#This Row],[Pl]]</f>
        <v>38</v>
      </c>
      <c r="AI276" s="1">
        <f>Table2[[#This Row],[W]]</f>
        <v>10</v>
      </c>
      <c r="AJ276" s="1">
        <f>Table2[[#This Row],[D]]</f>
        <v>8</v>
      </c>
      <c r="AK276" s="1">
        <f>Table2[[#This Row],[L]]</f>
        <v>20</v>
      </c>
      <c r="AL276" s="1">
        <f>Table2[[#This Row],[F]]</f>
        <v>39</v>
      </c>
      <c r="AM276" s="1">
        <f>Table2[[#This Row],[A]]</f>
        <v>61</v>
      </c>
      <c r="AN276" s="1">
        <f>Table2[[#This Row],[GD]]</f>
        <v>-22</v>
      </c>
      <c r="AO276" s="1">
        <f>Table2[[#This Row],[Pts]]</f>
        <v>38</v>
      </c>
      <c r="AP276" s="1">
        <f>Table2[[#This Row],[Column1]]</f>
        <v>15</v>
      </c>
      <c r="AR276" t="b">
        <f t="shared" si="8"/>
        <v>1</v>
      </c>
      <c r="AS276">
        <f>IF(AR276,ROWS($AR$2:AR276),"")</f>
        <v>275</v>
      </c>
      <c r="AT276">
        <f>IFERROR(SMALL($AS$2:$AS$440,ROWS($AS$2:AS276)),"")</f>
        <v>275</v>
      </c>
      <c r="AU276">
        <f>IF(AT276&lt;&gt;"",INDEX($AE$2:$AP$440,MATCH($AT276,$AS$2:$AS$440,0),COLUMNS($AT$2:AT276)),"")</f>
        <v>2013</v>
      </c>
      <c r="AV276">
        <f>IF(AU276&lt;&gt;"",INDEX($AE$2:$AP$440,MATCH($AT276,$AS$2:$AS$440,0),COLUMNS($AT$2:AU276)),"")</f>
        <v>15</v>
      </c>
      <c r="AW276" t="str">
        <f>IF(AV276&lt;&gt;"",INDEX($AE$2:$AP$440,MATCH($AT276,$AS$2:$AS$440,0),COLUMNS($AT$2:AV276)),"")</f>
        <v>Aston Villa</v>
      </c>
      <c r="AX276">
        <f>IF(AW276&lt;&gt;"",INDEX($AE$2:$AP$440,MATCH($AT276,$AS$2:$AS$440,0),COLUMNS($AT$2:AW276)),"")</f>
        <v>38</v>
      </c>
      <c r="AY276">
        <f>IF(AX276&lt;&gt;"",INDEX($AE$2:$AP$440,MATCH($AT276,$AS$2:$AS$440,0),COLUMNS($AT$2:AX276)),"")</f>
        <v>10</v>
      </c>
      <c r="AZ276">
        <f>IF(AY276&lt;&gt;"",INDEX($AE$2:$AP$440,MATCH($AT276,$AS$2:$AS$440,0),COLUMNS($AT$2:AY276)),"")</f>
        <v>8</v>
      </c>
      <c r="BA276">
        <f>IF(AZ276&lt;&gt;"",INDEX($AE$2:$AP$440,MATCH($AT276,$AS$2:$AS$440,0),COLUMNS($AT$2:AZ276)),"")</f>
        <v>20</v>
      </c>
      <c r="BB276">
        <f>IF(BA276&lt;&gt;"",INDEX($AE$2:$AP$440,MATCH($AT276,$AS$2:$AS$440,0),COLUMNS($AT$2:BA276)),"")</f>
        <v>39</v>
      </c>
      <c r="BC276">
        <f>IF(BB276&lt;&gt;"",INDEX($AE$2:$AP$440,MATCH($AT276,$AS$2:$AS$440,0),COLUMNS($AT$2:BB276)),"")</f>
        <v>61</v>
      </c>
      <c r="BD276">
        <f>IF(BC276&lt;&gt;"",INDEX($AE$2:$AP$440,MATCH($AT276,$AS$2:$AS$440,0),COLUMNS($AT$2:BC276)),"")</f>
        <v>-22</v>
      </c>
      <c r="BE276">
        <f>IF(BD276&lt;&gt;"",INDEX($AE$2:$AP$440,MATCH($AT276,$AS$2:$AS$440,0),COLUMNS($AT$2:BD276)),"")</f>
        <v>38</v>
      </c>
      <c r="BF276">
        <f>IF(BE276&lt;&gt;"",INDEX($AE$2:$AP$440,MATCH($AT276,$AS$2:$AS$440,0),COLUMNS($AT$2:BE276)),"")</f>
        <v>15</v>
      </c>
    </row>
    <row r="277" spans="1:58" x14ac:dyDescent="0.25">
      <c r="A277" s="5">
        <v>2013</v>
      </c>
      <c r="B277" s="5">
        <v>16</v>
      </c>
      <c r="C277" s="6" t="s">
        <v>45</v>
      </c>
      <c r="D277" s="5">
        <v>38</v>
      </c>
      <c r="E277" s="5">
        <v>10</v>
      </c>
      <c r="F277" s="5">
        <v>7</v>
      </c>
      <c r="G277" s="5">
        <v>21</v>
      </c>
      <c r="H277" s="5">
        <v>38</v>
      </c>
      <c r="I277" s="5">
        <v>53</v>
      </c>
      <c r="J277" s="5">
        <v>-15</v>
      </c>
      <c r="K277" s="5">
        <v>37</v>
      </c>
      <c r="L277" s="5">
        <f>IF(Table2[[#This Row],['#]]=1,"Champion", IF(Table2[[#This Row],['#]]&gt;=18,"Relegated",Table2[[#This Row],['#]]))</f>
        <v>16</v>
      </c>
      <c r="N277">
        <f>IF(COUNTIF($O$2:O277,O277)=1,N276+1,N276)</f>
        <v>39</v>
      </c>
      <c r="O277" s="4" t="str">
        <f>Table2[[#This Row],[Team]]</f>
        <v>Hull City</v>
      </c>
      <c r="P277" s="1" t="str">
        <f>IFERROR(VLOOKUP(ROWS($O$2:O277),$N$2:$O$441,2,0),"")</f>
        <v/>
      </c>
      <c r="Q277" s="1" t="str">
        <f>IF(P277&lt;&gt;"",SUMPRODUCT(--(Table2[Team]=P277)),"")</f>
        <v/>
      </c>
      <c r="R277" s="11" t="str">
        <f>IF(Q277&lt;&gt;"",Q277+ROWS($Q$2:Q277)/100,"")</f>
        <v/>
      </c>
      <c r="S277" t="str">
        <f>IF(R277&lt;&gt;"",LARGE($R$2:$R$441,ROWS($R$2:R277)),"")</f>
        <v/>
      </c>
      <c r="T277" s="1" t="str">
        <f>IF(R277&lt;&gt;"",INDEX($P$2:$Q$441,MATCH($S277,$R$2:$R$441,0),COLUMNS($S$2:S277)),"")</f>
        <v/>
      </c>
      <c r="U277" s="1" t="str">
        <f>IF(S277&lt;&gt;"",INDEX($P$2:$Q$441,MATCH($S277,$R$2:$R$441,0),COLUMNS($S$2:T277)),"")</f>
        <v/>
      </c>
      <c r="AE277" s="1">
        <f>Table2[[#This Row],[Year]]</f>
        <v>2013</v>
      </c>
      <c r="AF277" s="1">
        <f>Table2[[#This Row],['#]]</f>
        <v>16</v>
      </c>
      <c r="AG277" s="1" t="str">
        <f>Table2[[#This Row],[Team]]</f>
        <v>Hull City</v>
      </c>
      <c r="AH277" s="1">
        <f>Table2[[#This Row],[Pl]]</f>
        <v>38</v>
      </c>
      <c r="AI277" s="1">
        <f>Table2[[#This Row],[W]]</f>
        <v>10</v>
      </c>
      <c r="AJ277" s="1">
        <f>Table2[[#This Row],[D]]</f>
        <v>7</v>
      </c>
      <c r="AK277" s="1">
        <f>Table2[[#This Row],[L]]</f>
        <v>21</v>
      </c>
      <c r="AL277" s="1">
        <f>Table2[[#This Row],[F]]</f>
        <v>38</v>
      </c>
      <c r="AM277" s="1">
        <f>Table2[[#This Row],[A]]</f>
        <v>53</v>
      </c>
      <c r="AN277" s="1">
        <f>Table2[[#This Row],[GD]]</f>
        <v>-15</v>
      </c>
      <c r="AO277" s="1">
        <f>Table2[[#This Row],[Pts]]</f>
        <v>37</v>
      </c>
      <c r="AP277" s="1">
        <f>Table2[[#This Row],[Column1]]</f>
        <v>16</v>
      </c>
      <c r="AR277" t="b">
        <f t="shared" si="8"/>
        <v>1</v>
      </c>
      <c r="AS277">
        <f>IF(AR277,ROWS($AR$2:AR277),"")</f>
        <v>276</v>
      </c>
      <c r="AT277">
        <f>IFERROR(SMALL($AS$2:$AS$440,ROWS($AS$2:AS277)),"")</f>
        <v>276</v>
      </c>
      <c r="AU277">
        <f>IF(AT277&lt;&gt;"",INDEX($AE$2:$AP$440,MATCH($AT277,$AS$2:$AS$440,0),COLUMNS($AT$2:AT277)),"")</f>
        <v>2013</v>
      </c>
      <c r="AV277">
        <f>IF(AU277&lt;&gt;"",INDEX($AE$2:$AP$440,MATCH($AT277,$AS$2:$AS$440,0),COLUMNS($AT$2:AU277)),"")</f>
        <v>16</v>
      </c>
      <c r="AW277" t="str">
        <f>IF(AV277&lt;&gt;"",INDEX($AE$2:$AP$440,MATCH($AT277,$AS$2:$AS$440,0),COLUMNS($AT$2:AV277)),"")</f>
        <v>Hull City</v>
      </c>
      <c r="AX277">
        <f>IF(AW277&lt;&gt;"",INDEX($AE$2:$AP$440,MATCH($AT277,$AS$2:$AS$440,0),COLUMNS($AT$2:AW277)),"")</f>
        <v>38</v>
      </c>
      <c r="AY277">
        <f>IF(AX277&lt;&gt;"",INDEX($AE$2:$AP$440,MATCH($AT277,$AS$2:$AS$440,0),COLUMNS($AT$2:AX277)),"")</f>
        <v>10</v>
      </c>
      <c r="AZ277">
        <f>IF(AY277&lt;&gt;"",INDEX($AE$2:$AP$440,MATCH($AT277,$AS$2:$AS$440,0),COLUMNS($AT$2:AY277)),"")</f>
        <v>7</v>
      </c>
      <c r="BA277">
        <f>IF(AZ277&lt;&gt;"",INDEX($AE$2:$AP$440,MATCH($AT277,$AS$2:$AS$440,0),COLUMNS($AT$2:AZ277)),"")</f>
        <v>21</v>
      </c>
      <c r="BB277">
        <f>IF(BA277&lt;&gt;"",INDEX($AE$2:$AP$440,MATCH($AT277,$AS$2:$AS$440,0),COLUMNS($AT$2:BA277)),"")</f>
        <v>38</v>
      </c>
      <c r="BC277">
        <f>IF(BB277&lt;&gt;"",INDEX($AE$2:$AP$440,MATCH($AT277,$AS$2:$AS$440,0),COLUMNS($AT$2:BB277)),"")</f>
        <v>53</v>
      </c>
      <c r="BD277">
        <f>IF(BC277&lt;&gt;"",INDEX($AE$2:$AP$440,MATCH($AT277,$AS$2:$AS$440,0),COLUMNS($AT$2:BC277)),"")</f>
        <v>-15</v>
      </c>
      <c r="BE277">
        <f>IF(BD277&lt;&gt;"",INDEX($AE$2:$AP$440,MATCH($AT277,$AS$2:$AS$440,0),COLUMNS($AT$2:BD277)),"")</f>
        <v>37</v>
      </c>
      <c r="BF277">
        <f>IF(BE277&lt;&gt;"",INDEX($AE$2:$AP$440,MATCH($AT277,$AS$2:$AS$440,0),COLUMNS($AT$2:BE277)),"")</f>
        <v>16</v>
      </c>
    </row>
    <row r="278" spans="1:58" x14ac:dyDescent="0.25">
      <c r="A278" s="3">
        <v>2013</v>
      </c>
      <c r="B278" s="3">
        <v>17</v>
      </c>
      <c r="C278" s="4" t="s">
        <v>35</v>
      </c>
      <c r="D278" s="3">
        <v>38</v>
      </c>
      <c r="E278" s="3">
        <v>7</v>
      </c>
      <c r="F278" s="3">
        <v>15</v>
      </c>
      <c r="G278" s="3">
        <v>16</v>
      </c>
      <c r="H278" s="3">
        <v>43</v>
      </c>
      <c r="I278" s="3">
        <v>59</v>
      </c>
      <c r="J278" s="3">
        <v>-16</v>
      </c>
      <c r="K278" s="3">
        <v>36</v>
      </c>
      <c r="L278" s="5">
        <f>IF(Table2[[#This Row],['#]]=1,"Champion", IF(Table2[[#This Row],['#]]&gt;=18,"Relegated",Table2[[#This Row],['#]]))</f>
        <v>17</v>
      </c>
      <c r="N278">
        <f>IF(COUNTIF($O$2:O278,O278)=1,N277+1,N277)</f>
        <v>39</v>
      </c>
      <c r="O278" s="4" t="str">
        <f>Table2[[#This Row],[Team]]</f>
        <v>West Bromwich Albion</v>
      </c>
      <c r="P278" s="1" t="str">
        <f>IFERROR(VLOOKUP(ROWS($O$2:O278),$N$2:$O$441,2,0),"")</f>
        <v/>
      </c>
      <c r="Q278" s="1" t="str">
        <f>IF(P278&lt;&gt;"",SUMPRODUCT(--(Table2[Team]=P278)),"")</f>
        <v/>
      </c>
      <c r="R278" s="11" t="str">
        <f>IF(Q278&lt;&gt;"",Q278+ROWS($Q$2:Q278)/100,"")</f>
        <v/>
      </c>
      <c r="S278" t="str">
        <f>IF(R278&lt;&gt;"",LARGE($R$2:$R$441,ROWS($R$2:R278)),"")</f>
        <v/>
      </c>
      <c r="T278" s="1" t="str">
        <f>IF(R278&lt;&gt;"",INDEX($P$2:$Q$441,MATCH($S278,$R$2:$R$441,0),COLUMNS($S$2:S278)),"")</f>
        <v/>
      </c>
      <c r="U278" s="1" t="str">
        <f>IF(S278&lt;&gt;"",INDEX($P$2:$Q$441,MATCH($S278,$R$2:$R$441,0),COLUMNS($S$2:T278)),"")</f>
        <v/>
      </c>
      <c r="AE278" s="1">
        <f>Table2[[#This Row],[Year]]</f>
        <v>2013</v>
      </c>
      <c r="AF278" s="1">
        <f>Table2[[#This Row],['#]]</f>
        <v>17</v>
      </c>
      <c r="AG278" s="1" t="str">
        <f>Table2[[#This Row],[Team]]</f>
        <v>West Bromwich Albion</v>
      </c>
      <c r="AH278" s="1">
        <f>Table2[[#This Row],[Pl]]</f>
        <v>38</v>
      </c>
      <c r="AI278" s="1">
        <f>Table2[[#This Row],[W]]</f>
        <v>7</v>
      </c>
      <c r="AJ278" s="1">
        <f>Table2[[#This Row],[D]]</f>
        <v>15</v>
      </c>
      <c r="AK278" s="1">
        <f>Table2[[#This Row],[L]]</f>
        <v>16</v>
      </c>
      <c r="AL278" s="1">
        <f>Table2[[#This Row],[F]]</f>
        <v>43</v>
      </c>
      <c r="AM278" s="1">
        <f>Table2[[#This Row],[A]]</f>
        <v>59</v>
      </c>
      <c r="AN278" s="1">
        <f>Table2[[#This Row],[GD]]</f>
        <v>-16</v>
      </c>
      <c r="AO278" s="1">
        <f>Table2[[#This Row],[Pts]]</f>
        <v>36</v>
      </c>
      <c r="AP278" s="1">
        <f>Table2[[#This Row],[Column1]]</f>
        <v>17</v>
      </c>
      <c r="AR278" t="b">
        <f t="shared" si="8"/>
        <v>1</v>
      </c>
      <c r="AS278">
        <f>IF(AR278,ROWS($AR$2:AR278),"")</f>
        <v>277</v>
      </c>
      <c r="AT278">
        <f>IFERROR(SMALL($AS$2:$AS$440,ROWS($AS$2:AS278)),"")</f>
        <v>277</v>
      </c>
      <c r="AU278">
        <f>IF(AT278&lt;&gt;"",INDEX($AE$2:$AP$440,MATCH($AT278,$AS$2:$AS$440,0),COLUMNS($AT$2:AT278)),"")</f>
        <v>2013</v>
      </c>
      <c r="AV278">
        <f>IF(AU278&lt;&gt;"",INDEX($AE$2:$AP$440,MATCH($AT278,$AS$2:$AS$440,0),COLUMNS($AT$2:AU278)),"")</f>
        <v>17</v>
      </c>
      <c r="AW278" t="str">
        <f>IF(AV278&lt;&gt;"",INDEX($AE$2:$AP$440,MATCH($AT278,$AS$2:$AS$440,0),COLUMNS($AT$2:AV278)),"")</f>
        <v>West Bromwich Albion</v>
      </c>
      <c r="AX278">
        <f>IF(AW278&lt;&gt;"",INDEX($AE$2:$AP$440,MATCH($AT278,$AS$2:$AS$440,0),COLUMNS($AT$2:AW278)),"")</f>
        <v>38</v>
      </c>
      <c r="AY278">
        <f>IF(AX278&lt;&gt;"",INDEX($AE$2:$AP$440,MATCH($AT278,$AS$2:$AS$440,0),COLUMNS($AT$2:AX278)),"")</f>
        <v>7</v>
      </c>
      <c r="AZ278">
        <f>IF(AY278&lt;&gt;"",INDEX($AE$2:$AP$440,MATCH($AT278,$AS$2:$AS$440,0),COLUMNS($AT$2:AY278)),"")</f>
        <v>15</v>
      </c>
      <c r="BA278">
        <f>IF(AZ278&lt;&gt;"",INDEX($AE$2:$AP$440,MATCH($AT278,$AS$2:$AS$440,0),COLUMNS($AT$2:AZ278)),"")</f>
        <v>16</v>
      </c>
      <c r="BB278">
        <f>IF(BA278&lt;&gt;"",INDEX($AE$2:$AP$440,MATCH($AT278,$AS$2:$AS$440,0),COLUMNS($AT$2:BA278)),"")</f>
        <v>43</v>
      </c>
      <c r="BC278">
        <f>IF(BB278&lt;&gt;"",INDEX($AE$2:$AP$440,MATCH($AT278,$AS$2:$AS$440,0),COLUMNS($AT$2:BB278)),"")</f>
        <v>59</v>
      </c>
      <c r="BD278">
        <f>IF(BC278&lt;&gt;"",INDEX($AE$2:$AP$440,MATCH($AT278,$AS$2:$AS$440,0),COLUMNS($AT$2:BC278)),"")</f>
        <v>-16</v>
      </c>
      <c r="BE278">
        <f>IF(BD278&lt;&gt;"",INDEX($AE$2:$AP$440,MATCH($AT278,$AS$2:$AS$440,0),COLUMNS($AT$2:BD278)),"")</f>
        <v>36</v>
      </c>
      <c r="BF278">
        <f>IF(BE278&lt;&gt;"",INDEX($AE$2:$AP$440,MATCH($AT278,$AS$2:$AS$440,0),COLUMNS($AT$2:BE278)),"")</f>
        <v>17</v>
      </c>
    </row>
    <row r="279" spans="1:58" x14ac:dyDescent="0.25">
      <c r="A279" s="5">
        <v>2013</v>
      </c>
      <c r="B279" s="5">
        <v>18</v>
      </c>
      <c r="C279" s="6" t="s">
        <v>39</v>
      </c>
      <c r="D279" s="5">
        <v>38</v>
      </c>
      <c r="E279" s="5">
        <v>8</v>
      </c>
      <c r="F279" s="5">
        <v>9</v>
      </c>
      <c r="G279" s="5">
        <v>21</v>
      </c>
      <c r="H279" s="5">
        <v>28</v>
      </c>
      <c r="I279" s="5">
        <v>62</v>
      </c>
      <c r="J279" s="5">
        <v>-34</v>
      </c>
      <c r="K279" s="5">
        <v>33</v>
      </c>
      <c r="L279" s="5" t="str">
        <f>IF(Table2[[#This Row],['#]]=1,"Champion", IF(Table2[[#This Row],['#]]&gt;=18,"Relegated",Table2[[#This Row],['#]]))</f>
        <v>Relegated</v>
      </c>
      <c r="N279">
        <f>IF(COUNTIF($O$2:O279,O279)=1,N278+1,N278)</f>
        <v>39</v>
      </c>
      <c r="O279" s="4" t="str">
        <f>Table2[[#This Row],[Team]]</f>
        <v>Norwich City</v>
      </c>
      <c r="P279" s="1" t="str">
        <f>IFERROR(VLOOKUP(ROWS($O$2:O279),$N$2:$O$441,2,0),"")</f>
        <v/>
      </c>
      <c r="Q279" s="1" t="str">
        <f>IF(P279&lt;&gt;"",SUMPRODUCT(--(Table2[Team]=P279)),"")</f>
        <v/>
      </c>
      <c r="R279" s="11" t="str">
        <f>IF(Q279&lt;&gt;"",Q279+ROWS($Q$2:Q279)/100,"")</f>
        <v/>
      </c>
      <c r="S279" t="str">
        <f>IF(R279&lt;&gt;"",LARGE($R$2:$R$441,ROWS($R$2:R279)),"")</f>
        <v/>
      </c>
      <c r="T279" s="1" t="str">
        <f>IF(R279&lt;&gt;"",INDEX($P$2:$Q$441,MATCH($S279,$R$2:$R$441,0),COLUMNS($S$2:S279)),"")</f>
        <v/>
      </c>
      <c r="U279" s="1" t="str">
        <f>IF(S279&lt;&gt;"",INDEX($P$2:$Q$441,MATCH($S279,$R$2:$R$441,0),COLUMNS($S$2:T279)),"")</f>
        <v/>
      </c>
      <c r="AE279" s="1">
        <f>Table2[[#This Row],[Year]]</f>
        <v>2013</v>
      </c>
      <c r="AF279" s="1">
        <f>Table2[[#This Row],['#]]</f>
        <v>18</v>
      </c>
      <c r="AG279" s="1" t="str">
        <f>Table2[[#This Row],[Team]]</f>
        <v>Norwich City</v>
      </c>
      <c r="AH279" s="1">
        <f>Table2[[#This Row],[Pl]]</f>
        <v>38</v>
      </c>
      <c r="AI279" s="1">
        <f>Table2[[#This Row],[W]]</f>
        <v>8</v>
      </c>
      <c r="AJ279" s="1">
        <f>Table2[[#This Row],[D]]</f>
        <v>9</v>
      </c>
      <c r="AK279" s="1">
        <f>Table2[[#This Row],[L]]</f>
        <v>21</v>
      </c>
      <c r="AL279" s="1">
        <f>Table2[[#This Row],[F]]</f>
        <v>28</v>
      </c>
      <c r="AM279" s="1">
        <f>Table2[[#This Row],[A]]</f>
        <v>62</v>
      </c>
      <c r="AN279" s="1">
        <f>Table2[[#This Row],[GD]]</f>
        <v>-34</v>
      </c>
      <c r="AO279" s="1">
        <f>Table2[[#This Row],[Pts]]</f>
        <v>33</v>
      </c>
      <c r="AP279" s="1" t="str">
        <f>Table2[[#This Row],[Column1]]</f>
        <v>Relegated</v>
      </c>
      <c r="AR279" t="b">
        <f t="shared" si="8"/>
        <v>1</v>
      </c>
      <c r="AS279">
        <f>IF(AR279,ROWS($AR$2:AR279),"")</f>
        <v>278</v>
      </c>
      <c r="AT279">
        <f>IFERROR(SMALL($AS$2:$AS$440,ROWS($AS$2:AS279)),"")</f>
        <v>278</v>
      </c>
      <c r="AU279">
        <f>IF(AT279&lt;&gt;"",INDEX($AE$2:$AP$440,MATCH($AT279,$AS$2:$AS$440,0),COLUMNS($AT$2:AT279)),"")</f>
        <v>2013</v>
      </c>
      <c r="AV279">
        <f>IF(AU279&lt;&gt;"",INDEX($AE$2:$AP$440,MATCH($AT279,$AS$2:$AS$440,0),COLUMNS($AT$2:AU279)),"")</f>
        <v>18</v>
      </c>
      <c r="AW279" t="str">
        <f>IF(AV279&lt;&gt;"",INDEX($AE$2:$AP$440,MATCH($AT279,$AS$2:$AS$440,0),COLUMNS($AT$2:AV279)),"")</f>
        <v>Norwich City</v>
      </c>
      <c r="AX279">
        <f>IF(AW279&lt;&gt;"",INDEX($AE$2:$AP$440,MATCH($AT279,$AS$2:$AS$440,0),COLUMNS($AT$2:AW279)),"")</f>
        <v>38</v>
      </c>
      <c r="AY279">
        <f>IF(AX279&lt;&gt;"",INDEX($AE$2:$AP$440,MATCH($AT279,$AS$2:$AS$440,0),COLUMNS($AT$2:AX279)),"")</f>
        <v>8</v>
      </c>
      <c r="AZ279">
        <f>IF(AY279&lt;&gt;"",INDEX($AE$2:$AP$440,MATCH($AT279,$AS$2:$AS$440,0),COLUMNS($AT$2:AY279)),"")</f>
        <v>9</v>
      </c>
      <c r="BA279">
        <f>IF(AZ279&lt;&gt;"",INDEX($AE$2:$AP$440,MATCH($AT279,$AS$2:$AS$440,0),COLUMNS($AT$2:AZ279)),"")</f>
        <v>21</v>
      </c>
      <c r="BB279">
        <f>IF(BA279&lt;&gt;"",INDEX($AE$2:$AP$440,MATCH($AT279,$AS$2:$AS$440,0),COLUMNS($AT$2:BA279)),"")</f>
        <v>28</v>
      </c>
      <c r="BC279">
        <f>IF(BB279&lt;&gt;"",INDEX($AE$2:$AP$440,MATCH($AT279,$AS$2:$AS$440,0),COLUMNS($AT$2:BB279)),"")</f>
        <v>62</v>
      </c>
      <c r="BD279">
        <f>IF(BC279&lt;&gt;"",INDEX($AE$2:$AP$440,MATCH($AT279,$AS$2:$AS$440,0),COLUMNS($AT$2:BC279)),"")</f>
        <v>-34</v>
      </c>
      <c r="BE279">
        <f>IF(BD279&lt;&gt;"",INDEX($AE$2:$AP$440,MATCH($AT279,$AS$2:$AS$440,0),COLUMNS($AT$2:BD279)),"")</f>
        <v>33</v>
      </c>
      <c r="BF279" t="str">
        <f>IF(BE279&lt;&gt;"",INDEX($AE$2:$AP$440,MATCH($AT279,$AS$2:$AS$440,0),COLUMNS($AT$2:BE279)),"")</f>
        <v>Relegated</v>
      </c>
    </row>
    <row r="280" spans="1:58" x14ac:dyDescent="0.25">
      <c r="A280" s="3">
        <v>2013</v>
      </c>
      <c r="B280" s="3">
        <v>19</v>
      </c>
      <c r="C280" s="4" t="s">
        <v>32</v>
      </c>
      <c r="D280" s="3">
        <v>38</v>
      </c>
      <c r="E280" s="3">
        <v>9</v>
      </c>
      <c r="F280" s="3">
        <v>5</v>
      </c>
      <c r="G280" s="3">
        <v>24</v>
      </c>
      <c r="H280" s="3">
        <v>40</v>
      </c>
      <c r="I280" s="3">
        <v>85</v>
      </c>
      <c r="J280" s="3">
        <v>-45</v>
      </c>
      <c r="K280" s="3">
        <v>32</v>
      </c>
      <c r="L280" s="5" t="str">
        <f>IF(Table2[[#This Row],['#]]=1,"Champion", IF(Table2[[#This Row],['#]]&gt;=18,"Relegated",Table2[[#This Row],['#]]))</f>
        <v>Relegated</v>
      </c>
      <c r="N280">
        <f>IF(COUNTIF($O$2:O280,O280)=1,N279+1,N279)</f>
        <v>39</v>
      </c>
      <c r="O280" s="4" t="str">
        <f>Table2[[#This Row],[Team]]</f>
        <v>Fulham</v>
      </c>
      <c r="P280" s="1" t="str">
        <f>IFERROR(VLOOKUP(ROWS($O$2:O280),$N$2:$O$441,2,0),"")</f>
        <v/>
      </c>
      <c r="Q280" s="1" t="str">
        <f>IF(P280&lt;&gt;"",SUMPRODUCT(--(Table2[Team]=P280)),"")</f>
        <v/>
      </c>
      <c r="R280" s="11" t="str">
        <f>IF(Q280&lt;&gt;"",Q280+ROWS($Q$2:Q280)/100,"")</f>
        <v/>
      </c>
      <c r="S280" t="str">
        <f>IF(R280&lt;&gt;"",LARGE($R$2:$R$441,ROWS($R$2:R280)),"")</f>
        <v/>
      </c>
      <c r="T280" s="1" t="str">
        <f>IF(R280&lt;&gt;"",INDEX($P$2:$Q$441,MATCH($S280,$R$2:$R$441,0),COLUMNS($S$2:S280)),"")</f>
        <v/>
      </c>
      <c r="U280" s="1" t="str">
        <f>IF(S280&lt;&gt;"",INDEX($P$2:$Q$441,MATCH($S280,$R$2:$R$441,0),COLUMNS($S$2:T280)),"")</f>
        <v/>
      </c>
      <c r="AE280" s="1">
        <f>Table2[[#This Row],[Year]]</f>
        <v>2013</v>
      </c>
      <c r="AF280" s="1">
        <f>Table2[[#This Row],['#]]</f>
        <v>19</v>
      </c>
      <c r="AG280" s="1" t="str">
        <f>Table2[[#This Row],[Team]]</f>
        <v>Fulham</v>
      </c>
      <c r="AH280" s="1">
        <f>Table2[[#This Row],[Pl]]</f>
        <v>38</v>
      </c>
      <c r="AI280" s="1">
        <f>Table2[[#This Row],[W]]</f>
        <v>9</v>
      </c>
      <c r="AJ280" s="1">
        <f>Table2[[#This Row],[D]]</f>
        <v>5</v>
      </c>
      <c r="AK280" s="1">
        <f>Table2[[#This Row],[L]]</f>
        <v>24</v>
      </c>
      <c r="AL280" s="1">
        <f>Table2[[#This Row],[F]]</f>
        <v>40</v>
      </c>
      <c r="AM280" s="1">
        <f>Table2[[#This Row],[A]]</f>
        <v>85</v>
      </c>
      <c r="AN280" s="1">
        <f>Table2[[#This Row],[GD]]</f>
        <v>-45</v>
      </c>
      <c r="AO280" s="1">
        <f>Table2[[#This Row],[Pts]]</f>
        <v>32</v>
      </c>
      <c r="AP280" s="1" t="str">
        <f>Table2[[#This Row],[Column1]]</f>
        <v>Relegated</v>
      </c>
      <c r="AR280" t="b">
        <f t="shared" si="8"/>
        <v>1</v>
      </c>
      <c r="AS280">
        <f>IF(AR280,ROWS($AR$2:AR280),"")</f>
        <v>279</v>
      </c>
      <c r="AT280">
        <f>IFERROR(SMALL($AS$2:$AS$440,ROWS($AS$2:AS280)),"")</f>
        <v>279</v>
      </c>
      <c r="AU280">
        <f>IF(AT280&lt;&gt;"",INDEX($AE$2:$AP$440,MATCH($AT280,$AS$2:$AS$440,0),COLUMNS($AT$2:AT280)),"")</f>
        <v>2013</v>
      </c>
      <c r="AV280">
        <f>IF(AU280&lt;&gt;"",INDEX($AE$2:$AP$440,MATCH($AT280,$AS$2:$AS$440,0),COLUMNS($AT$2:AU280)),"")</f>
        <v>19</v>
      </c>
      <c r="AW280" t="str">
        <f>IF(AV280&lt;&gt;"",INDEX($AE$2:$AP$440,MATCH($AT280,$AS$2:$AS$440,0),COLUMNS($AT$2:AV280)),"")</f>
        <v>Fulham</v>
      </c>
      <c r="AX280">
        <f>IF(AW280&lt;&gt;"",INDEX($AE$2:$AP$440,MATCH($AT280,$AS$2:$AS$440,0),COLUMNS($AT$2:AW280)),"")</f>
        <v>38</v>
      </c>
      <c r="AY280">
        <f>IF(AX280&lt;&gt;"",INDEX($AE$2:$AP$440,MATCH($AT280,$AS$2:$AS$440,0),COLUMNS($AT$2:AX280)),"")</f>
        <v>9</v>
      </c>
      <c r="AZ280">
        <f>IF(AY280&lt;&gt;"",INDEX($AE$2:$AP$440,MATCH($AT280,$AS$2:$AS$440,0),COLUMNS($AT$2:AY280)),"")</f>
        <v>5</v>
      </c>
      <c r="BA280">
        <f>IF(AZ280&lt;&gt;"",INDEX($AE$2:$AP$440,MATCH($AT280,$AS$2:$AS$440,0),COLUMNS($AT$2:AZ280)),"")</f>
        <v>24</v>
      </c>
      <c r="BB280">
        <f>IF(BA280&lt;&gt;"",INDEX($AE$2:$AP$440,MATCH($AT280,$AS$2:$AS$440,0),COLUMNS($AT$2:BA280)),"")</f>
        <v>40</v>
      </c>
      <c r="BC280">
        <f>IF(BB280&lt;&gt;"",INDEX($AE$2:$AP$440,MATCH($AT280,$AS$2:$AS$440,0),COLUMNS($AT$2:BB280)),"")</f>
        <v>85</v>
      </c>
      <c r="BD280">
        <f>IF(BC280&lt;&gt;"",INDEX($AE$2:$AP$440,MATCH($AT280,$AS$2:$AS$440,0),COLUMNS($AT$2:BC280)),"")</f>
        <v>-45</v>
      </c>
      <c r="BE280">
        <f>IF(BD280&lt;&gt;"",INDEX($AE$2:$AP$440,MATCH($AT280,$AS$2:$AS$440,0),COLUMNS($AT$2:BD280)),"")</f>
        <v>32</v>
      </c>
      <c r="BF280" t="str">
        <f>IF(BE280&lt;&gt;"",INDEX($AE$2:$AP$440,MATCH($AT280,$AS$2:$AS$440,0),COLUMNS($AT$2:BE280)),"")</f>
        <v>Relegated</v>
      </c>
    </row>
    <row r="281" spans="1:58" x14ac:dyDescent="0.25">
      <c r="A281" s="5">
        <v>2013</v>
      </c>
      <c r="B281" s="5">
        <v>20</v>
      </c>
      <c r="C281" s="6" t="s">
        <v>50</v>
      </c>
      <c r="D281" s="5">
        <v>38</v>
      </c>
      <c r="E281" s="5">
        <v>7</v>
      </c>
      <c r="F281" s="5">
        <v>9</v>
      </c>
      <c r="G281" s="5">
        <v>22</v>
      </c>
      <c r="H281" s="5">
        <v>32</v>
      </c>
      <c r="I281" s="5">
        <v>74</v>
      </c>
      <c r="J281" s="5">
        <v>-42</v>
      </c>
      <c r="K281" s="5">
        <v>30</v>
      </c>
      <c r="L281" s="5" t="str">
        <f>IF(Table2[[#This Row],['#]]=1,"Champion", IF(Table2[[#This Row],['#]]&gt;=18,"Relegated",Table2[[#This Row],['#]]))</f>
        <v>Relegated</v>
      </c>
      <c r="N281">
        <f>IF(COUNTIF($O$2:O281,O281)=1,N280+1,N280)</f>
        <v>40</v>
      </c>
      <c r="O281" s="4" t="str">
        <f>Table2[[#This Row],[Team]]</f>
        <v>Cardiff City</v>
      </c>
      <c r="P281" s="1" t="str">
        <f>IFERROR(VLOOKUP(ROWS($O$2:O281),$N$2:$O$441,2,0),"")</f>
        <v/>
      </c>
      <c r="Q281" s="1" t="str">
        <f>IF(P281&lt;&gt;"",SUMPRODUCT(--(Table2[Team]=P281)),"")</f>
        <v/>
      </c>
      <c r="R281" s="11" t="str">
        <f>IF(Q281&lt;&gt;"",Q281+ROWS($Q$2:Q281)/100,"")</f>
        <v/>
      </c>
      <c r="S281" t="str">
        <f>IF(R281&lt;&gt;"",LARGE($R$2:$R$441,ROWS($R$2:R281)),"")</f>
        <v/>
      </c>
      <c r="T281" s="1" t="str">
        <f>IF(R281&lt;&gt;"",INDEX($P$2:$Q$441,MATCH($S281,$R$2:$R$441,0),COLUMNS($S$2:S281)),"")</f>
        <v/>
      </c>
      <c r="U281" s="1" t="str">
        <f>IF(S281&lt;&gt;"",INDEX($P$2:$Q$441,MATCH($S281,$R$2:$R$441,0),COLUMNS($S$2:T281)),"")</f>
        <v/>
      </c>
      <c r="AE281" s="1">
        <f>Table2[[#This Row],[Year]]</f>
        <v>2013</v>
      </c>
      <c r="AF281" s="1">
        <f>Table2[[#This Row],['#]]</f>
        <v>20</v>
      </c>
      <c r="AG281" s="1" t="str">
        <f>Table2[[#This Row],[Team]]</f>
        <v>Cardiff City</v>
      </c>
      <c r="AH281" s="1">
        <f>Table2[[#This Row],[Pl]]</f>
        <v>38</v>
      </c>
      <c r="AI281" s="1">
        <f>Table2[[#This Row],[W]]</f>
        <v>7</v>
      </c>
      <c r="AJ281" s="1">
        <f>Table2[[#This Row],[D]]</f>
        <v>9</v>
      </c>
      <c r="AK281" s="1">
        <f>Table2[[#This Row],[L]]</f>
        <v>22</v>
      </c>
      <c r="AL281" s="1">
        <f>Table2[[#This Row],[F]]</f>
        <v>32</v>
      </c>
      <c r="AM281" s="1">
        <f>Table2[[#This Row],[A]]</f>
        <v>74</v>
      </c>
      <c r="AN281" s="1">
        <f>Table2[[#This Row],[GD]]</f>
        <v>-42</v>
      </c>
      <c r="AO281" s="1">
        <f>Table2[[#This Row],[Pts]]</f>
        <v>30</v>
      </c>
      <c r="AP281" s="1" t="str">
        <f>Table2[[#This Row],[Column1]]</f>
        <v>Relegated</v>
      </c>
      <c r="AR281" t="b">
        <f t="shared" si="8"/>
        <v>1</v>
      </c>
      <c r="AS281">
        <f>IF(AR281,ROWS($AR$2:AR281),"")</f>
        <v>280</v>
      </c>
      <c r="AT281">
        <f>IFERROR(SMALL($AS$2:$AS$440,ROWS($AS$2:AS281)),"")</f>
        <v>280</v>
      </c>
      <c r="AU281">
        <f>IF(AT281&lt;&gt;"",INDEX($AE$2:$AP$440,MATCH($AT281,$AS$2:$AS$440,0),COLUMNS($AT$2:AT281)),"")</f>
        <v>2013</v>
      </c>
      <c r="AV281">
        <f>IF(AU281&lt;&gt;"",INDEX($AE$2:$AP$440,MATCH($AT281,$AS$2:$AS$440,0),COLUMNS($AT$2:AU281)),"")</f>
        <v>20</v>
      </c>
      <c r="AW281" t="str">
        <f>IF(AV281&lt;&gt;"",INDEX($AE$2:$AP$440,MATCH($AT281,$AS$2:$AS$440,0),COLUMNS($AT$2:AV281)),"")</f>
        <v>Cardiff City</v>
      </c>
      <c r="AX281">
        <f>IF(AW281&lt;&gt;"",INDEX($AE$2:$AP$440,MATCH($AT281,$AS$2:$AS$440,0),COLUMNS($AT$2:AW281)),"")</f>
        <v>38</v>
      </c>
      <c r="AY281">
        <f>IF(AX281&lt;&gt;"",INDEX($AE$2:$AP$440,MATCH($AT281,$AS$2:$AS$440,0),COLUMNS($AT$2:AX281)),"")</f>
        <v>7</v>
      </c>
      <c r="AZ281">
        <f>IF(AY281&lt;&gt;"",INDEX($AE$2:$AP$440,MATCH($AT281,$AS$2:$AS$440,0),COLUMNS($AT$2:AY281)),"")</f>
        <v>9</v>
      </c>
      <c r="BA281">
        <f>IF(AZ281&lt;&gt;"",INDEX($AE$2:$AP$440,MATCH($AT281,$AS$2:$AS$440,0),COLUMNS($AT$2:AZ281)),"")</f>
        <v>22</v>
      </c>
      <c r="BB281">
        <f>IF(BA281&lt;&gt;"",INDEX($AE$2:$AP$440,MATCH($AT281,$AS$2:$AS$440,0),COLUMNS($AT$2:BA281)),"")</f>
        <v>32</v>
      </c>
      <c r="BC281">
        <f>IF(BB281&lt;&gt;"",INDEX($AE$2:$AP$440,MATCH($AT281,$AS$2:$AS$440,0),COLUMNS($AT$2:BB281)),"")</f>
        <v>74</v>
      </c>
      <c r="BD281">
        <f>IF(BC281&lt;&gt;"",INDEX($AE$2:$AP$440,MATCH($AT281,$AS$2:$AS$440,0),COLUMNS($AT$2:BC281)),"")</f>
        <v>-42</v>
      </c>
      <c r="BE281">
        <f>IF(BD281&lt;&gt;"",INDEX($AE$2:$AP$440,MATCH($AT281,$AS$2:$AS$440,0),COLUMNS($AT$2:BD281)),"")</f>
        <v>30</v>
      </c>
      <c r="BF281" t="str">
        <f>IF(BE281&lt;&gt;"",INDEX($AE$2:$AP$440,MATCH($AT281,$AS$2:$AS$440,0),COLUMNS($AT$2:BE281)),"")</f>
        <v>Relegated</v>
      </c>
    </row>
    <row r="282" spans="1:58" x14ac:dyDescent="0.25">
      <c r="A282" s="3">
        <v>2014</v>
      </c>
      <c r="B282" s="3">
        <v>1</v>
      </c>
      <c r="C282" s="4" t="s">
        <v>16</v>
      </c>
      <c r="D282" s="3">
        <v>38</v>
      </c>
      <c r="E282" s="3">
        <v>26</v>
      </c>
      <c r="F282" s="3">
        <v>9</v>
      </c>
      <c r="G282" s="3">
        <v>3</v>
      </c>
      <c r="H282" s="3">
        <v>73</v>
      </c>
      <c r="I282" s="3">
        <v>32</v>
      </c>
      <c r="J282" s="3">
        <v>41</v>
      </c>
      <c r="K282" s="3">
        <v>87</v>
      </c>
      <c r="L282" s="5" t="str">
        <f>IF(Table2[[#This Row],['#]]=1,"Champion", IF(Table2[[#This Row],['#]]&gt;=18,"Relegated",Table2[[#This Row],['#]]))</f>
        <v>Champion</v>
      </c>
      <c r="N282">
        <f>IF(COUNTIF($O$2:O282,O282)=1,N281+1,N281)</f>
        <v>40</v>
      </c>
      <c r="O282" s="4" t="str">
        <f>Table2[[#This Row],[Team]]</f>
        <v>Chelsea</v>
      </c>
      <c r="P282" s="1" t="str">
        <f>IFERROR(VLOOKUP(ROWS($O$2:O282),$N$2:$O$441,2,0),"")</f>
        <v/>
      </c>
      <c r="Q282" s="1" t="str">
        <f>IF(P282&lt;&gt;"",SUMPRODUCT(--(Table2[Team]=P282)),"")</f>
        <v/>
      </c>
      <c r="R282" s="11" t="str">
        <f>IF(Q282&lt;&gt;"",Q282+ROWS($Q$2:Q282)/100,"")</f>
        <v/>
      </c>
      <c r="S282" t="str">
        <f>IF(R282&lt;&gt;"",LARGE($R$2:$R$441,ROWS($R$2:R282)),"")</f>
        <v/>
      </c>
      <c r="T282" s="1" t="str">
        <f>IF(R282&lt;&gt;"",INDEX($P$2:$Q$441,MATCH($S282,$R$2:$R$441,0),COLUMNS($S$2:S282)),"")</f>
        <v/>
      </c>
      <c r="U282" s="1" t="str">
        <f>IF(S282&lt;&gt;"",INDEX($P$2:$Q$441,MATCH($S282,$R$2:$R$441,0),COLUMNS($S$2:T282)),"")</f>
        <v/>
      </c>
      <c r="AE282" s="1">
        <f>Table2[[#This Row],[Year]]</f>
        <v>2014</v>
      </c>
      <c r="AF282" s="1">
        <f>Table2[[#This Row],['#]]</f>
        <v>1</v>
      </c>
      <c r="AG282" s="1" t="str">
        <f>Table2[[#This Row],[Team]]</f>
        <v>Chelsea</v>
      </c>
      <c r="AH282" s="1">
        <f>Table2[[#This Row],[Pl]]</f>
        <v>38</v>
      </c>
      <c r="AI282" s="1">
        <f>Table2[[#This Row],[W]]</f>
        <v>26</v>
      </c>
      <c r="AJ282" s="1">
        <f>Table2[[#This Row],[D]]</f>
        <v>9</v>
      </c>
      <c r="AK282" s="1">
        <f>Table2[[#This Row],[L]]</f>
        <v>3</v>
      </c>
      <c r="AL282" s="1">
        <f>Table2[[#This Row],[F]]</f>
        <v>73</v>
      </c>
      <c r="AM282" s="1">
        <f>Table2[[#This Row],[A]]</f>
        <v>32</v>
      </c>
      <c r="AN282" s="1">
        <f>Table2[[#This Row],[GD]]</f>
        <v>41</v>
      </c>
      <c r="AO282" s="1">
        <f>Table2[[#This Row],[Pts]]</f>
        <v>87</v>
      </c>
      <c r="AP282" s="1" t="str">
        <f>Table2[[#This Row],[Column1]]</f>
        <v>Champion</v>
      </c>
      <c r="AR282" t="b">
        <f t="shared" si="8"/>
        <v>1</v>
      </c>
      <c r="AS282">
        <f>IF(AR282,ROWS($AR$2:AR282),"")</f>
        <v>281</v>
      </c>
      <c r="AT282">
        <f>IFERROR(SMALL($AS$2:$AS$440,ROWS($AS$2:AS282)),"")</f>
        <v>281</v>
      </c>
      <c r="AU282">
        <f>IF(AT282&lt;&gt;"",INDEX($AE$2:$AP$440,MATCH($AT282,$AS$2:$AS$440,0),COLUMNS($AT$2:AT282)),"")</f>
        <v>2014</v>
      </c>
      <c r="AV282">
        <f>IF(AU282&lt;&gt;"",INDEX($AE$2:$AP$440,MATCH($AT282,$AS$2:$AS$440,0),COLUMNS($AT$2:AU282)),"")</f>
        <v>1</v>
      </c>
      <c r="AW282" t="str">
        <f>IF(AV282&lt;&gt;"",INDEX($AE$2:$AP$440,MATCH($AT282,$AS$2:$AS$440,0),COLUMNS($AT$2:AV282)),"")</f>
        <v>Chelsea</v>
      </c>
      <c r="AX282">
        <f>IF(AW282&lt;&gt;"",INDEX($AE$2:$AP$440,MATCH($AT282,$AS$2:$AS$440,0),COLUMNS($AT$2:AW282)),"")</f>
        <v>38</v>
      </c>
      <c r="AY282">
        <f>IF(AX282&lt;&gt;"",INDEX($AE$2:$AP$440,MATCH($AT282,$AS$2:$AS$440,0),COLUMNS($AT$2:AX282)),"")</f>
        <v>26</v>
      </c>
      <c r="AZ282">
        <f>IF(AY282&lt;&gt;"",INDEX($AE$2:$AP$440,MATCH($AT282,$AS$2:$AS$440,0),COLUMNS($AT$2:AY282)),"")</f>
        <v>9</v>
      </c>
      <c r="BA282">
        <f>IF(AZ282&lt;&gt;"",INDEX($AE$2:$AP$440,MATCH($AT282,$AS$2:$AS$440,0),COLUMNS($AT$2:AZ282)),"")</f>
        <v>3</v>
      </c>
      <c r="BB282">
        <f>IF(BA282&lt;&gt;"",INDEX($AE$2:$AP$440,MATCH($AT282,$AS$2:$AS$440,0),COLUMNS($AT$2:BA282)),"")</f>
        <v>73</v>
      </c>
      <c r="BC282">
        <f>IF(BB282&lt;&gt;"",INDEX($AE$2:$AP$440,MATCH($AT282,$AS$2:$AS$440,0),COLUMNS($AT$2:BB282)),"")</f>
        <v>32</v>
      </c>
      <c r="BD282">
        <f>IF(BC282&lt;&gt;"",INDEX($AE$2:$AP$440,MATCH($AT282,$AS$2:$AS$440,0),COLUMNS($AT$2:BC282)),"")</f>
        <v>41</v>
      </c>
      <c r="BE282">
        <f>IF(BD282&lt;&gt;"",INDEX($AE$2:$AP$440,MATCH($AT282,$AS$2:$AS$440,0),COLUMNS($AT$2:BD282)),"")</f>
        <v>87</v>
      </c>
      <c r="BF282" t="str">
        <f>IF(BE282&lt;&gt;"",INDEX($AE$2:$AP$440,MATCH($AT282,$AS$2:$AS$440,0),COLUMNS($AT$2:BE282)),"")</f>
        <v>Champion</v>
      </c>
    </row>
    <row r="283" spans="1:58" x14ac:dyDescent="0.25">
      <c r="A283" s="5">
        <v>2014</v>
      </c>
      <c r="B283" s="5">
        <v>2</v>
      </c>
      <c r="C283" s="6" t="s">
        <v>28</v>
      </c>
      <c r="D283" s="5">
        <v>38</v>
      </c>
      <c r="E283" s="5">
        <v>24</v>
      </c>
      <c r="F283" s="5">
        <v>7</v>
      </c>
      <c r="G283" s="5">
        <v>7</v>
      </c>
      <c r="H283" s="5">
        <v>83</v>
      </c>
      <c r="I283" s="5">
        <v>38</v>
      </c>
      <c r="J283" s="5">
        <v>45</v>
      </c>
      <c r="K283" s="5">
        <v>79</v>
      </c>
      <c r="L283" s="5">
        <f>IF(Table2[[#This Row],['#]]=1,"Champion", IF(Table2[[#This Row],['#]]&gt;=18,"Relegated",Table2[[#This Row],['#]]))</f>
        <v>2</v>
      </c>
      <c r="N283">
        <f>IF(COUNTIF($O$2:O283,O283)=1,N282+1,N282)</f>
        <v>40</v>
      </c>
      <c r="O283" s="4" t="str">
        <f>Table2[[#This Row],[Team]]</f>
        <v>Manchester City</v>
      </c>
      <c r="P283" s="1" t="str">
        <f>IFERROR(VLOOKUP(ROWS($O$2:O283),$N$2:$O$441,2,0),"")</f>
        <v/>
      </c>
      <c r="Q283" s="1" t="str">
        <f>IF(P283&lt;&gt;"",SUMPRODUCT(--(Table2[Team]=P283)),"")</f>
        <v/>
      </c>
      <c r="R283" s="11" t="str">
        <f>IF(Q283&lt;&gt;"",Q283+ROWS($Q$2:Q283)/100,"")</f>
        <v/>
      </c>
      <c r="S283" t="str">
        <f>IF(R283&lt;&gt;"",LARGE($R$2:$R$441,ROWS($R$2:R283)),"")</f>
        <v/>
      </c>
      <c r="T283" s="1" t="str">
        <f>IF(R283&lt;&gt;"",INDEX($P$2:$Q$441,MATCH($S283,$R$2:$R$441,0),COLUMNS($S$2:S283)),"")</f>
        <v/>
      </c>
      <c r="U283" s="1" t="str">
        <f>IF(S283&lt;&gt;"",INDEX($P$2:$Q$441,MATCH($S283,$R$2:$R$441,0),COLUMNS($S$2:T283)),"")</f>
        <v/>
      </c>
      <c r="AE283" s="1">
        <f>Table2[[#This Row],[Year]]</f>
        <v>2014</v>
      </c>
      <c r="AF283" s="1">
        <f>Table2[[#This Row],['#]]</f>
        <v>2</v>
      </c>
      <c r="AG283" s="1" t="str">
        <f>Table2[[#This Row],[Team]]</f>
        <v>Manchester City</v>
      </c>
      <c r="AH283" s="1">
        <f>Table2[[#This Row],[Pl]]</f>
        <v>38</v>
      </c>
      <c r="AI283" s="1">
        <f>Table2[[#This Row],[W]]</f>
        <v>24</v>
      </c>
      <c r="AJ283" s="1">
        <f>Table2[[#This Row],[D]]</f>
        <v>7</v>
      </c>
      <c r="AK283" s="1">
        <f>Table2[[#This Row],[L]]</f>
        <v>7</v>
      </c>
      <c r="AL283" s="1">
        <f>Table2[[#This Row],[F]]</f>
        <v>83</v>
      </c>
      <c r="AM283" s="1">
        <f>Table2[[#This Row],[A]]</f>
        <v>38</v>
      </c>
      <c r="AN283" s="1">
        <f>Table2[[#This Row],[GD]]</f>
        <v>45</v>
      </c>
      <c r="AO283" s="1">
        <f>Table2[[#This Row],[Pts]]</f>
        <v>79</v>
      </c>
      <c r="AP283" s="1">
        <f>Table2[[#This Row],[Column1]]</f>
        <v>2</v>
      </c>
      <c r="AR283" t="b">
        <f t="shared" si="8"/>
        <v>1</v>
      </c>
      <c r="AS283">
        <f>IF(AR283,ROWS($AR$2:AR283),"")</f>
        <v>282</v>
      </c>
      <c r="AT283">
        <f>IFERROR(SMALL($AS$2:$AS$440,ROWS($AS$2:AS283)),"")</f>
        <v>282</v>
      </c>
      <c r="AU283">
        <f>IF(AT283&lt;&gt;"",INDEX($AE$2:$AP$440,MATCH($AT283,$AS$2:$AS$440,0),COLUMNS($AT$2:AT283)),"")</f>
        <v>2014</v>
      </c>
      <c r="AV283">
        <f>IF(AU283&lt;&gt;"",INDEX($AE$2:$AP$440,MATCH($AT283,$AS$2:$AS$440,0),COLUMNS($AT$2:AU283)),"")</f>
        <v>2</v>
      </c>
      <c r="AW283" t="str">
        <f>IF(AV283&lt;&gt;"",INDEX($AE$2:$AP$440,MATCH($AT283,$AS$2:$AS$440,0),COLUMNS($AT$2:AV283)),"")</f>
        <v>Manchester City</v>
      </c>
      <c r="AX283">
        <f>IF(AW283&lt;&gt;"",INDEX($AE$2:$AP$440,MATCH($AT283,$AS$2:$AS$440,0),COLUMNS($AT$2:AW283)),"")</f>
        <v>38</v>
      </c>
      <c r="AY283">
        <f>IF(AX283&lt;&gt;"",INDEX($AE$2:$AP$440,MATCH($AT283,$AS$2:$AS$440,0),COLUMNS($AT$2:AX283)),"")</f>
        <v>24</v>
      </c>
      <c r="AZ283">
        <f>IF(AY283&lt;&gt;"",INDEX($AE$2:$AP$440,MATCH($AT283,$AS$2:$AS$440,0),COLUMNS($AT$2:AY283)),"")</f>
        <v>7</v>
      </c>
      <c r="BA283">
        <f>IF(AZ283&lt;&gt;"",INDEX($AE$2:$AP$440,MATCH($AT283,$AS$2:$AS$440,0),COLUMNS($AT$2:AZ283)),"")</f>
        <v>7</v>
      </c>
      <c r="BB283">
        <f>IF(BA283&lt;&gt;"",INDEX($AE$2:$AP$440,MATCH($AT283,$AS$2:$AS$440,0),COLUMNS($AT$2:BA283)),"")</f>
        <v>83</v>
      </c>
      <c r="BC283">
        <f>IF(BB283&lt;&gt;"",INDEX($AE$2:$AP$440,MATCH($AT283,$AS$2:$AS$440,0),COLUMNS($AT$2:BB283)),"")</f>
        <v>38</v>
      </c>
      <c r="BD283">
        <f>IF(BC283&lt;&gt;"",INDEX($AE$2:$AP$440,MATCH($AT283,$AS$2:$AS$440,0),COLUMNS($AT$2:BC283)),"")</f>
        <v>45</v>
      </c>
      <c r="BE283">
        <f>IF(BD283&lt;&gt;"",INDEX($AE$2:$AP$440,MATCH($AT283,$AS$2:$AS$440,0),COLUMNS($AT$2:BD283)),"")</f>
        <v>79</v>
      </c>
      <c r="BF283">
        <f>IF(BE283&lt;&gt;"",INDEX($AE$2:$AP$440,MATCH($AT283,$AS$2:$AS$440,0),COLUMNS($AT$2:BE283)),"")</f>
        <v>2</v>
      </c>
    </row>
    <row r="284" spans="1:58" x14ac:dyDescent="0.25">
      <c r="A284" s="3">
        <v>2014</v>
      </c>
      <c r="B284" s="3">
        <v>3</v>
      </c>
      <c r="C284" s="6" t="s">
        <v>12</v>
      </c>
      <c r="D284" s="3">
        <v>38</v>
      </c>
      <c r="E284" s="3">
        <v>22</v>
      </c>
      <c r="F284" s="3">
        <v>9</v>
      </c>
      <c r="G284" s="3">
        <v>7</v>
      </c>
      <c r="H284" s="3">
        <v>71</v>
      </c>
      <c r="I284" s="3">
        <v>36</v>
      </c>
      <c r="J284" s="3">
        <v>35</v>
      </c>
      <c r="K284" s="3">
        <v>75</v>
      </c>
      <c r="L284" s="5">
        <f>IF(Table2[[#This Row],['#]]=1,"Champion", IF(Table2[[#This Row],['#]]&gt;=18,"Relegated",Table2[[#This Row],['#]]))</f>
        <v>3</v>
      </c>
      <c r="N284">
        <f>IF(COUNTIF($O$2:O284,O284)=1,N283+1,N283)</f>
        <v>40</v>
      </c>
      <c r="O284" s="4" t="str">
        <f>Table2[[#This Row],[Team]]</f>
        <v>Arsenal</v>
      </c>
      <c r="P284" s="1" t="str">
        <f>IFERROR(VLOOKUP(ROWS($O$2:O284),$N$2:$O$441,2,0),"")</f>
        <v/>
      </c>
      <c r="Q284" s="1" t="str">
        <f>IF(P284&lt;&gt;"",SUMPRODUCT(--(Table2[Team]=P284)),"")</f>
        <v/>
      </c>
      <c r="R284" s="11" t="str">
        <f>IF(Q284&lt;&gt;"",Q284+ROWS($Q$2:Q284)/100,"")</f>
        <v/>
      </c>
      <c r="S284" t="str">
        <f>IF(R284&lt;&gt;"",LARGE($R$2:$R$441,ROWS($R$2:R284)),"")</f>
        <v/>
      </c>
      <c r="T284" s="1" t="str">
        <f>IF(R284&lt;&gt;"",INDEX($P$2:$Q$441,MATCH($S284,$R$2:$R$441,0),COLUMNS($S$2:S284)),"")</f>
        <v/>
      </c>
      <c r="U284" s="1" t="str">
        <f>IF(S284&lt;&gt;"",INDEX($P$2:$Q$441,MATCH($S284,$R$2:$R$441,0),COLUMNS($S$2:T284)),"")</f>
        <v/>
      </c>
      <c r="AE284" s="1">
        <f>Table2[[#This Row],[Year]]</f>
        <v>2014</v>
      </c>
      <c r="AF284" s="1">
        <f>Table2[[#This Row],['#]]</f>
        <v>3</v>
      </c>
      <c r="AG284" s="1" t="str">
        <f>Table2[[#This Row],[Team]]</f>
        <v>Arsenal</v>
      </c>
      <c r="AH284" s="1">
        <f>Table2[[#This Row],[Pl]]</f>
        <v>38</v>
      </c>
      <c r="AI284" s="1">
        <f>Table2[[#This Row],[W]]</f>
        <v>22</v>
      </c>
      <c r="AJ284" s="1">
        <f>Table2[[#This Row],[D]]</f>
        <v>9</v>
      </c>
      <c r="AK284" s="1">
        <f>Table2[[#This Row],[L]]</f>
        <v>7</v>
      </c>
      <c r="AL284" s="1">
        <f>Table2[[#This Row],[F]]</f>
        <v>71</v>
      </c>
      <c r="AM284" s="1">
        <f>Table2[[#This Row],[A]]</f>
        <v>36</v>
      </c>
      <c r="AN284" s="1">
        <f>Table2[[#This Row],[GD]]</f>
        <v>35</v>
      </c>
      <c r="AO284" s="1">
        <f>Table2[[#This Row],[Pts]]</f>
        <v>75</v>
      </c>
      <c r="AP284" s="1">
        <f>Table2[[#This Row],[Column1]]</f>
        <v>3</v>
      </c>
      <c r="AR284" t="b">
        <f t="shared" si="8"/>
        <v>1</v>
      </c>
      <c r="AS284">
        <f>IF(AR284,ROWS($AR$2:AR284),"")</f>
        <v>283</v>
      </c>
      <c r="AT284">
        <f>IFERROR(SMALL($AS$2:$AS$440,ROWS($AS$2:AS284)),"")</f>
        <v>283</v>
      </c>
      <c r="AU284">
        <f>IF(AT284&lt;&gt;"",INDEX($AE$2:$AP$440,MATCH($AT284,$AS$2:$AS$440,0),COLUMNS($AT$2:AT284)),"")</f>
        <v>2014</v>
      </c>
      <c r="AV284">
        <f>IF(AU284&lt;&gt;"",INDEX($AE$2:$AP$440,MATCH($AT284,$AS$2:$AS$440,0),COLUMNS($AT$2:AU284)),"")</f>
        <v>3</v>
      </c>
      <c r="AW284" t="str">
        <f>IF(AV284&lt;&gt;"",INDEX($AE$2:$AP$440,MATCH($AT284,$AS$2:$AS$440,0),COLUMNS($AT$2:AV284)),"")</f>
        <v>Arsenal</v>
      </c>
      <c r="AX284">
        <f>IF(AW284&lt;&gt;"",INDEX($AE$2:$AP$440,MATCH($AT284,$AS$2:$AS$440,0),COLUMNS($AT$2:AW284)),"")</f>
        <v>38</v>
      </c>
      <c r="AY284">
        <f>IF(AX284&lt;&gt;"",INDEX($AE$2:$AP$440,MATCH($AT284,$AS$2:$AS$440,0),COLUMNS($AT$2:AX284)),"")</f>
        <v>22</v>
      </c>
      <c r="AZ284">
        <f>IF(AY284&lt;&gt;"",INDEX($AE$2:$AP$440,MATCH($AT284,$AS$2:$AS$440,0),COLUMNS($AT$2:AY284)),"")</f>
        <v>9</v>
      </c>
      <c r="BA284">
        <f>IF(AZ284&lt;&gt;"",INDEX($AE$2:$AP$440,MATCH($AT284,$AS$2:$AS$440,0),COLUMNS($AT$2:AZ284)),"")</f>
        <v>7</v>
      </c>
      <c r="BB284">
        <f>IF(BA284&lt;&gt;"",INDEX($AE$2:$AP$440,MATCH($AT284,$AS$2:$AS$440,0),COLUMNS($AT$2:BA284)),"")</f>
        <v>71</v>
      </c>
      <c r="BC284">
        <f>IF(BB284&lt;&gt;"",INDEX($AE$2:$AP$440,MATCH($AT284,$AS$2:$AS$440,0),COLUMNS($AT$2:BB284)),"")</f>
        <v>36</v>
      </c>
      <c r="BD284">
        <f>IF(BC284&lt;&gt;"",INDEX($AE$2:$AP$440,MATCH($AT284,$AS$2:$AS$440,0),COLUMNS($AT$2:BC284)),"")</f>
        <v>35</v>
      </c>
      <c r="BE284">
        <f>IF(BD284&lt;&gt;"",INDEX($AE$2:$AP$440,MATCH($AT284,$AS$2:$AS$440,0),COLUMNS($AT$2:BD284)),"")</f>
        <v>75</v>
      </c>
      <c r="BF284">
        <f>IF(BE284&lt;&gt;"",INDEX($AE$2:$AP$440,MATCH($AT284,$AS$2:$AS$440,0),COLUMNS($AT$2:BE284)),"")</f>
        <v>3</v>
      </c>
    </row>
    <row r="285" spans="1:58" x14ac:dyDescent="0.25">
      <c r="A285" s="5">
        <v>2014</v>
      </c>
      <c r="B285" s="5">
        <v>4</v>
      </c>
      <c r="C285" s="6" t="s">
        <v>11</v>
      </c>
      <c r="D285" s="5">
        <v>38</v>
      </c>
      <c r="E285" s="5">
        <v>20</v>
      </c>
      <c r="F285" s="5">
        <v>10</v>
      </c>
      <c r="G285" s="5">
        <v>8</v>
      </c>
      <c r="H285" s="5">
        <v>62</v>
      </c>
      <c r="I285" s="5">
        <v>37</v>
      </c>
      <c r="J285" s="5">
        <v>25</v>
      </c>
      <c r="K285" s="5">
        <v>70</v>
      </c>
      <c r="L285" s="5">
        <f>IF(Table2[[#This Row],['#]]=1,"Champion", IF(Table2[[#This Row],['#]]&gt;=18,"Relegated",Table2[[#This Row],['#]]))</f>
        <v>4</v>
      </c>
      <c r="N285">
        <f>IF(COUNTIF($O$2:O285,O285)=1,N284+1,N284)</f>
        <v>40</v>
      </c>
      <c r="O285" s="4" t="str">
        <f>Table2[[#This Row],[Team]]</f>
        <v>Manchester United</v>
      </c>
      <c r="P285" s="1" t="str">
        <f>IFERROR(VLOOKUP(ROWS($O$2:O285),$N$2:$O$441,2,0),"")</f>
        <v/>
      </c>
      <c r="Q285" s="1" t="str">
        <f>IF(P285&lt;&gt;"",SUMPRODUCT(--(Table2[Team]=P285)),"")</f>
        <v/>
      </c>
      <c r="R285" s="11" t="str">
        <f>IF(Q285&lt;&gt;"",Q285+ROWS($Q$2:Q285)/100,"")</f>
        <v/>
      </c>
      <c r="S285" t="str">
        <f>IF(R285&lt;&gt;"",LARGE($R$2:$R$441,ROWS($R$2:R285)),"")</f>
        <v/>
      </c>
      <c r="T285" s="1" t="str">
        <f>IF(R285&lt;&gt;"",INDEX($P$2:$Q$441,MATCH($S285,$R$2:$R$441,0),COLUMNS($S$2:S285)),"")</f>
        <v/>
      </c>
      <c r="U285" s="1" t="str">
        <f>IF(S285&lt;&gt;"",INDEX($P$2:$Q$441,MATCH($S285,$R$2:$R$441,0),COLUMNS($S$2:T285)),"")</f>
        <v/>
      </c>
      <c r="AE285" s="1">
        <f>Table2[[#This Row],[Year]]</f>
        <v>2014</v>
      </c>
      <c r="AF285" s="1">
        <f>Table2[[#This Row],['#]]</f>
        <v>4</v>
      </c>
      <c r="AG285" s="1" t="str">
        <f>Table2[[#This Row],[Team]]</f>
        <v>Manchester United</v>
      </c>
      <c r="AH285" s="1">
        <f>Table2[[#This Row],[Pl]]</f>
        <v>38</v>
      </c>
      <c r="AI285" s="1">
        <f>Table2[[#This Row],[W]]</f>
        <v>20</v>
      </c>
      <c r="AJ285" s="1">
        <f>Table2[[#This Row],[D]]</f>
        <v>10</v>
      </c>
      <c r="AK285" s="1">
        <f>Table2[[#This Row],[L]]</f>
        <v>8</v>
      </c>
      <c r="AL285" s="1">
        <f>Table2[[#This Row],[F]]</f>
        <v>62</v>
      </c>
      <c r="AM285" s="1">
        <f>Table2[[#This Row],[A]]</f>
        <v>37</v>
      </c>
      <c r="AN285" s="1">
        <f>Table2[[#This Row],[GD]]</f>
        <v>25</v>
      </c>
      <c r="AO285" s="1">
        <f>Table2[[#This Row],[Pts]]</f>
        <v>70</v>
      </c>
      <c r="AP285" s="1">
        <f>Table2[[#This Row],[Column1]]</f>
        <v>4</v>
      </c>
      <c r="AR285" t="b">
        <f t="shared" si="8"/>
        <v>1</v>
      </c>
      <c r="AS285">
        <f>IF(AR285,ROWS($AR$2:AR285),"")</f>
        <v>284</v>
      </c>
      <c r="AT285">
        <f>IFERROR(SMALL($AS$2:$AS$440,ROWS($AS$2:AS285)),"")</f>
        <v>284</v>
      </c>
      <c r="AU285">
        <f>IF(AT285&lt;&gt;"",INDEX($AE$2:$AP$440,MATCH($AT285,$AS$2:$AS$440,0),COLUMNS($AT$2:AT285)),"")</f>
        <v>2014</v>
      </c>
      <c r="AV285">
        <f>IF(AU285&lt;&gt;"",INDEX($AE$2:$AP$440,MATCH($AT285,$AS$2:$AS$440,0),COLUMNS($AT$2:AU285)),"")</f>
        <v>4</v>
      </c>
      <c r="AW285" t="str">
        <f>IF(AV285&lt;&gt;"",INDEX($AE$2:$AP$440,MATCH($AT285,$AS$2:$AS$440,0),COLUMNS($AT$2:AV285)),"")</f>
        <v>Manchester United</v>
      </c>
      <c r="AX285">
        <f>IF(AW285&lt;&gt;"",INDEX($AE$2:$AP$440,MATCH($AT285,$AS$2:$AS$440,0),COLUMNS($AT$2:AW285)),"")</f>
        <v>38</v>
      </c>
      <c r="AY285">
        <f>IF(AX285&lt;&gt;"",INDEX($AE$2:$AP$440,MATCH($AT285,$AS$2:$AS$440,0),COLUMNS($AT$2:AX285)),"")</f>
        <v>20</v>
      </c>
      <c r="AZ285">
        <f>IF(AY285&lt;&gt;"",INDEX($AE$2:$AP$440,MATCH($AT285,$AS$2:$AS$440,0),COLUMNS($AT$2:AY285)),"")</f>
        <v>10</v>
      </c>
      <c r="BA285">
        <f>IF(AZ285&lt;&gt;"",INDEX($AE$2:$AP$440,MATCH($AT285,$AS$2:$AS$440,0),COLUMNS($AT$2:AZ285)),"")</f>
        <v>8</v>
      </c>
      <c r="BB285">
        <f>IF(BA285&lt;&gt;"",INDEX($AE$2:$AP$440,MATCH($AT285,$AS$2:$AS$440,0),COLUMNS($AT$2:BA285)),"")</f>
        <v>62</v>
      </c>
      <c r="BC285">
        <f>IF(BB285&lt;&gt;"",INDEX($AE$2:$AP$440,MATCH($AT285,$AS$2:$AS$440,0),COLUMNS($AT$2:BB285)),"")</f>
        <v>37</v>
      </c>
      <c r="BD285">
        <f>IF(BC285&lt;&gt;"",INDEX($AE$2:$AP$440,MATCH($AT285,$AS$2:$AS$440,0),COLUMNS($AT$2:BC285)),"")</f>
        <v>25</v>
      </c>
      <c r="BE285">
        <f>IF(BD285&lt;&gt;"",INDEX($AE$2:$AP$440,MATCH($AT285,$AS$2:$AS$440,0),COLUMNS($AT$2:BD285)),"")</f>
        <v>70</v>
      </c>
      <c r="BF285">
        <f>IF(BE285&lt;&gt;"",INDEX($AE$2:$AP$440,MATCH($AT285,$AS$2:$AS$440,0),COLUMNS($AT$2:BE285)),"")</f>
        <v>4</v>
      </c>
    </row>
    <row r="286" spans="1:58" x14ac:dyDescent="0.25">
      <c r="A286" s="3">
        <v>2014</v>
      </c>
      <c r="B286" s="3">
        <v>5</v>
      </c>
      <c r="C286" s="4" t="s">
        <v>22</v>
      </c>
      <c r="D286" s="3">
        <v>38</v>
      </c>
      <c r="E286" s="3">
        <v>19</v>
      </c>
      <c r="F286" s="3">
        <v>7</v>
      </c>
      <c r="G286" s="3">
        <v>12</v>
      </c>
      <c r="H286" s="3">
        <v>58</v>
      </c>
      <c r="I286" s="3">
        <v>53</v>
      </c>
      <c r="J286" s="3">
        <v>5</v>
      </c>
      <c r="K286" s="3">
        <v>64</v>
      </c>
      <c r="L286" s="5">
        <f>IF(Table2[[#This Row],['#]]=1,"Champion", IF(Table2[[#This Row],['#]]&gt;=18,"Relegated",Table2[[#This Row],['#]]))</f>
        <v>5</v>
      </c>
      <c r="N286">
        <f>IF(COUNTIF($O$2:O286,O286)=1,N285+1,N285)</f>
        <v>40</v>
      </c>
      <c r="O286" s="4" t="str">
        <f>Table2[[#This Row],[Team]]</f>
        <v>Tottenham Hotspur</v>
      </c>
      <c r="P286" s="1" t="str">
        <f>IFERROR(VLOOKUP(ROWS($O$2:O286),$N$2:$O$441,2,0),"")</f>
        <v/>
      </c>
      <c r="Q286" s="1" t="str">
        <f>IF(P286&lt;&gt;"",SUMPRODUCT(--(Table2[Team]=P286)),"")</f>
        <v/>
      </c>
      <c r="R286" s="11" t="str">
        <f>IF(Q286&lt;&gt;"",Q286+ROWS($Q$2:Q286)/100,"")</f>
        <v/>
      </c>
      <c r="S286" t="str">
        <f>IF(R286&lt;&gt;"",LARGE($R$2:$R$441,ROWS($R$2:R286)),"")</f>
        <v/>
      </c>
      <c r="T286" s="1" t="str">
        <f>IF(R286&lt;&gt;"",INDEX($P$2:$Q$441,MATCH($S286,$R$2:$R$441,0),COLUMNS($S$2:S286)),"")</f>
        <v/>
      </c>
      <c r="U286" s="1" t="str">
        <f>IF(S286&lt;&gt;"",INDEX($P$2:$Q$441,MATCH($S286,$R$2:$R$441,0),COLUMNS($S$2:T286)),"")</f>
        <v/>
      </c>
      <c r="AE286" s="1">
        <f>Table2[[#This Row],[Year]]</f>
        <v>2014</v>
      </c>
      <c r="AF286" s="1">
        <f>Table2[[#This Row],['#]]</f>
        <v>5</v>
      </c>
      <c r="AG286" s="1" t="str">
        <f>Table2[[#This Row],[Team]]</f>
        <v>Tottenham Hotspur</v>
      </c>
      <c r="AH286" s="1">
        <f>Table2[[#This Row],[Pl]]</f>
        <v>38</v>
      </c>
      <c r="AI286" s="1">
        <f>Table2[[#This Row],[W]]</f>
        <v>19</v>
      </c>
      <c r="AJ286" s="1">
        <f>Table2[[#This Row],[D]]</f>
        <v>7</v>
      </c>
      <c r="AK286" s="1">
        <f>Table2[[#This Row],[L]]</f>
        <v>12</v>
      </c>
      <c r="AL286" s="1">
        <f>Table2[[#This Row],[F]]</f>
        <v>58</v>
      </c>
      <c r="AM286" s="1">
        <f>Table2[[#This Row],[A]]</f>
        <v>53</v>
      </c>
      <c r="AN286" s="1">
        <f>Table2[[#This Row],[GD]]</f>
        <v>5</v>
      </c>
      <c r="AO286" s="1">
        <f>Table2[[#This Row],[Pts]]</f>
        <v>64</v>
      </c>
      <c r="AP286" s="1">
        <f>Table2[[#This Row],[Column1]]</f>
        <v>5</v>
      </c>
      <c r="AR286" t="b">
        <f t="shared" si="8"/>
        <v>1</v>
      </c>
      <c r="AS286">
        <f>IF(AR286,ROWS($AR$2:AR286),"")</f>
        <v>285</v>
      </c>
      <c r="AT286">
        <f>IFERROR(SMALL($AS$2:$AS$440,ROWS($AS$2:AS286)),"")</f>
        <v>285</v>
      </c>
      <c r="AU286">
        <f>IF(AT286&lt;&gt;"",INDEX($AE$2:$AP$440,MATCH($AT286,$AS$2:$AS$440,0),COLUMNS($AT$2:AT286)),"")</f>
        <v>2014</v>
      </c>
      <c r="AV286">
        <f>IF(AU286&lt;&gt;"",INDEX($AE$2:$AP$440,MATCH($AT286,$AS$2:$AS$440,0),COLUMNS($AT$2:AU286)),"")</f>
        <v>5</v>
      </c>
      <c r="AW286" t="str">
        <f>IF(AV286&lt;&gt;"",INDEX($AE$2:$AP$440,MATCH($AT286,$AS$2:$AS$440,0),COLUMNS($AT$2:AV286)),"")</f>
        <v>Tottenham Hotspur</v>
      </c>
      <c r="AX286">
        <f>IF(AW286&lt;&gt;"",INDEX($AE$2:$AP$440,MATCH($AT286,$AS$2:$AS$440,0),COLUMNS($AT$2:AW286)),"")</f>
        <v>38</v>
      </c>
      <c r="AY286">
        <f>IF(AX286&lt;&gt;"",INDEX($AE$2:$AP$440,MATCH($AT286,$AS$2:$AS$440,0),COLUMNS($AT$2:AX286)),"")</f>
        <v>19</v>
      </c>
      <c r="AZ286">
        <f>IF(AY286&lt;&gt;"",INDEX($AE$2:$AP$440,MATCH($AT286,$AS$2:$AS$440,0),COLUMNS($AT$2:AY286)),"")</f>
        <v>7</v>
      </c>
      <c r="BA286">
        <f>IF(AZ286&lt;&gt;"",INDEX($AE$2:$AP$440,MATCH($AT286,$AS$2:$AS$440,0),COLUMNS($AT$2:AZ286)),"")</f>
        <v>12</v>
      </c>
      <c r="BB286">
        <f>IF(BA286&lt;&gt;"",INDEX($AE$2:$AP$440,MATCH($AT286,$AS$2:$AS$440,0),COLUMNS($AT$2:BA286)),"")</f>
        <v>58</v>
      </c>
      <c r="BC286">
        <f>IF(BB286&lt;&gt;"",INDEX($AE$2:$AP$440,MATCH($AT286,$AS$2:$AS$440,0),COLUMNS($AT$2:BB286)),"")</f>
        <v>53</v>
      </c>
      <c r="BD286">
        <f>IF(BC286&lt;&gt;"",INDEX($AE$2:$AP$440,MATCH($AT286,$AS$2:$AS$440,0),COLUMNS($AT$2:BC286)),"")</f>
        <v>5</v>
      </c>
      <c r="BE286">
        <f>IF(BD286&lt;&gt;"",INDEX($AE$2:$AP$440,MATCH($AT286,$AS$2:$AS$440,0),COLUMNS($AT$2:BD286)),"")</f>
        <v>64</v>
      </c>
      <c r="BF286">
        <f>IF(BE286&lt;&gt;"",INDEX($AE$2:$AP$440,MATCH($AT286,$AS$2:$AS$440,0),COLUMNS($AT$2:BE286)),"")</f>
        <v>5</v>
      </c>
    </row>
    <row r="287" spans="1:58" x14ac:dyDescent="0.25">
      <c r="A287" s="5">
        <v>2014</v>
      </c>
      <c r="B287" s="5">
        <v>6</v>
      </c>
      <c r="C287" s="4" t="s">
        <v>13</v>
      </c>
      <c r="D287" s="5">
        <v>38</v>
      </c>
      <c r="E287" s="5">
        <v>18</v>
      </c>
      <c r="F287" s="5">
        <v>8</v>
      </c>
      <c r="G287" s="5">
        <v>12</v>
      </c>
      <c r="H287" s="5">
        <v>52</v>
      </c>
      <c r="I287" s="5">
        <v>48</v>
      </c>
      <c r="J287" s="5">
        <v>4</v>
      </c>
      <c r="K287" s="5">
        <v>62</v>
      </c>
      <c r="L287" s="5">
        <f>IF(Table2[[#This Row],['#]]=1,"Champion", IF(Table2[[#This Row],['#]]&gt;=18,"Relegated",Table2[[#This Row],['#]]))</f>
        <v>6</v>
      </c>
      <c r="N287">
        <f>IF(COUNTIF($O$2:O287,O287)=1,N286+1,N286)</f>
        <v>40</v>
      </c>
      <c r="O287" s="4" t="str">
        <f>Table2[[#This Row],[Team]]</f>
        <v>Liverpool</v>
      </c>
      <c r="P287" s="1" t="str">
        <f>IFERROR(VLOOKUP(ROWS($O$2:O287),$N$2:$O$441,2,0),"")</f>
        <v/>
      </c>
      <c r="Q287" s="1" t="str">
        <f>IF(P287&lt;&gt;"",SUMPRODUCT(--(Table2[Team]=P287)),"")</f>
        <v/>
      </c>
      <c r="R287" s="11" t="str">
        <f>IF(Q287&lt;&gt;"",Q287+ROWS($Q$2:Q287)/100,"")</f>
        <v/>
      </c>
      <c r="S287" t="str">
        <f>IF(R287&lt;&gt;"",LARGE($R$2:$R$441,ROWS($R$2:R287)),"")</f>
        <v/>
      </c>
      <c r="T287" s="1" t="str">
        <f>IF(R287&lt;&gt;"",INDEX($P$2:$Q$441,MATCH($S287,$R$2:$R$441,0),COLUMNS($S$2:S287)),"")</f>
        <v/>
      </c>
      <c r="U287" s="1" t="str">
        <f>IF(S287&lt;&gt;"",INDEX($P$2:$Q$441,MATCH($S287,$R$2:$R$441,0),COLUMNS($S$2:T287)),"")</f>
        <v/>
      </c>
      <c r="AE287" s="1">
        <f>Table2[[#This Row],[Year]]</f>
        <v>2014</v>
      </c>
      <c r="AF287" s="1">
        <f>Table2[[#This Row],['#]]</f>
        <v>6</v>
      </c>
      <c r="AG287" s="1" t="str">
        <f>Table2[[#This Row],[Team]]</f>
        <v>Liverpool</v>
      </c>
      <c r="AH287" s="1">
        <f>Table2[[#This Row],[Pl]]</f>
        <v>38</v>
      </c>
      <c r="AI287" s="1">
        <f>Table2[[#This Row],[W]]</f>
        <v>18</v>
      </c>
      <c r="AJ287" s="1">
        <f>Table2[[#This Row],[D]]</f>
        <v>8</v>
      </c>
      <c r="AK287" s="1">
        <f>Table2[[#This Row],[L]]</f>
        <v>12</v>
      </c>
      <c r="AL287" s="1">
        <f>Table2[[#This Row],[F]]</f>
        <v>52</v>
      </c>
      <c r="AM287" s="1">
        <f>Table2[[#This Row],[A]]</f>
        <v>48</v>
      </c>
      <c r="AN287" s="1">
        <f>Table2[[#This Row],[GD]]</f>
        <v>4</v>
      </c>
      <c r="AO287" s="1">
        <f>Table2[[#This Row],[Pts]]</f>
        <v>62</v>
      </c>
      <c r="AP287" s="1">
        <f>Table2[[#This Row],[Column1]]</f>
        <v>6</v>
      </c>
      <c r="AR287" t="b">
        <f t="shared" si="8"/>
        <v>1</v>
      </c>
      <c r="AS287">
        <f>IF(AR287,ROWS($AR$2:AR287),"")</f>
        <v>286</v>
      </c>
      <c r="AT287">
        <f>IFERROR(SMALL($AS$2:$AS$440,ROWS($AS$2:AS287)),"")</f>
        <v>286</v>
      </c>
      <c r="AU287">
        <f>IF(AT287&lt;&gt;"",INDEX($AE$2:$AP$440,MATCH($AT287,$AS$2:$AS$440,0),COLUMNS($AT$2:AT287)),"")</f>
        <v>2014</v>
      </c>
      <c r="AV287">
        <f>IF(AU287&lt;&gt;"",INDEX($AE$2:$AP$440,MATCH($AT287,$AS$2:$AS$440,0),COLUMNS($AT$2:AU287)),"")</f>
        <v>6</v>
      </c>
      <c r="AW287" t="str">
        <f>IF(AV287&lt;&gt;"",INDEX($AE$2:$AP$440,MATCH($AT287,$AS$2:$AS$440,0),COLUMNS($AT$2:AV287)),"")</f>
        <v>Liverpool</v>
      </c>
      <c r="AX287">
        <f>IF(AW287&lt;&gt;"",INDEX($AE$2:$AP$440,MATCH($AT287,$AS$2:$AS$440,0),COLUMNS($AT$2:AW287)),"")</f>
        <v>38</v>
      </c>
      <c r="AY287">
        <f>IF(AX287&lt;&gt;"",INDEX($AE$2:$AP$440,MATCH($AT287,$AS$2:$AS$440,0),COLUMNS($AT$2:AX287)),"")</f>
        <v>18</v>
      </c>
      <c r="AZ287">
        <f>IF(AY287&lt;&gt;"",INDEX($AE$2:$AP$440,MATCH($AT287,$AS$2:$AS$440,0),COLUMNS($AT$2:AY287)),"")</f>
        <v>8</v>
      </c>
      <c r="BA287">
        <f>IF(AZ287&lt;&gt;"",INDEX($AE$2:$AP$440,MATCH($AT287,$AS$2:$AS$440,0),COLUMNS($AT$2:AZ287)),"")</f>
        <v>12</v>
      </c>
      <c r="BB287">
        <f>IF(BA287&lt;&gt;"",INDEX($AE$2:$AP$440,MATCH($AT287,$AS$2:$AS$440,0),COLUMNS($AT$2:BA287)),"")</f>
        <v>52</v>
      </c>
      <c r="BC287">
        <f>IF(BB287&lt;&gt;"",INDEX($AE$2:$AP$440,MATCH($AT287,$AS$2:$AS$440,0),COLUMNS($AT$2:BB287)),"")</f>
        <v>48</v>
      </c>
      <c r="BD287">
        <f>IF(BC287&lt;&gt;"",INDEX($AE$2:$AP$440,MATCH($AT287,$AS$2:$AS$440,0),COLUMNS($AT$2:BC287)),"")</f>
        <v>4</v>
      </c>
      <c r="BE287">
        <f>IF(BD287&lt;&gt;"",INDEX($AE$2:$AP$440,MATCH($AT287,$AS$2:$AS$440,0),COLUMNS($AT$2:BD287)),"")</f>
        <v>62</v>
      </c>
      <c r="BF287">
        <f>IF(BE287&lt;&gt;"",INDEX($AE$2:$AP$440,MATCH($AT287,$AS$2:$AS$440,0),COLUMNS($AT$2:BE287)),"")</f>
        <v>6</v>
      </c>
    </row>
    <row r="288" spans="1:58" x14ac:dyDescent="0.25">
      <c r="A288" s="3">
        <v>2014</v>
      </c>
      <c r="B288" s="3">
        <v>7</v>
      </c>
      <c r="C288" s="4" t="s">
        <v>20</v>
      </c>
      <c r="D288" s="3">
        <v>38</v>
      </c>
      <c r="E288" s="3">
        <v>18</v>
      </c>
      <c r="F288" s="3">
        <v>6</v>
      </c>
      <c r="G288" s="3">
        <v>14</v>
      </c>
      <c r="H288" s="3">
        <v>54</v>
      </c>
      <c r="I288" s="3">
        <v>33</v>
      </c>
      <c r="J288" s="3">
        <v>21</v>
      </c>
      <c r="K288" s="3">
        <v>60</v>
      </c>
      <c r="L288" s="5">
        <f>IF(Table2[[#This Row],['#]]=1,"Champion", IF(Table2[[#This Row],['#]]&gt;=18,"Relegated",Table2[[#This Row],['#]]))</f>
        <v>7</v>
      </c>
      <c r="N288">
        <f>IF(COUNTIF($O$2:O288,O288)=1,N287+1,N287)</f>
        <v>40</v>
      </c>
      <c r="O288" s="4" t="str">
        <f>Table2[[#This Row],[Team]]</f>
        <v>Southampton</v>
      </c>
      <c r="P288" s="1" t="str">
        <f>IFERROR(VLOOKUP(ROWS($O$2:O288),$N$2:$O$441,2,0),"")</f>
        <v/>
      </c>
      <c r="Q288" s="1" t="str">
        <f>IF(P288&lt;&gt;"",SUMPRODUCT(--(Table2[Team]=P288)),"")</f>
        <v/>
      </c>
      <c r="R288" s="11" t="str">
        <f>IF(Q288&lt;&gt;"",Q288+ROWS($Q$2:Q288)/100,"")</f>
        <v/>
      </c>
      <c r="S288" t="str">
        <f>IF(R288&lt;&gt;"",LARGE($R$2:$R$441,ROWS($R$2:R288)),"")</f>
        <v/>
      </c>
      <c r="T288" s="1" t="str">
        <f>IF(R288&lt;&gt;"",INDEX($P$2:$Q$441,MATCH($S288,$R$2:$R$441,0),COLUMNS($S$2:S288)),"")</f>
        <v/>
      </c>
      <c r="U288" s="1" t="str">
        <f>IF(S288&lt;&gt;"",INDEX($P$2:$Q$441,MATCH($S288,$R$2:$R$441,0),COLUMNS($S$2:T288)),"")</f>
        <v/>
      </c>
      <c r="AE288" s="1">
        <f>Table2[[#This Row],[Year]]</f>
        <v>2014</v>
      </c>
      <c r="AF288" s="1">
        <f>Table2[[#This Row],['#]]</f>
        <v>7</v>
      </c>
      <c r="AG288" s="1" t="str">
        <f>Table2[[#This Row],[Team]]</f>
        <v>Southampton</v>
      </c>
      <c r="AH288" s="1">
        <f>Table2[[#This Row],[Pl]]</f>
        <v>38</v>
      </c>
      <c r="AI288" s="1">
        <f>Table2[[#This Row],[W]]</f>
        <v>18</v>
      </c>
      <c r="AJ288" s="1">
        <f>Table2[[#This Row],[D]]</f>
        <v>6</v>
      </c>
      <c r="AK288" s="1">
        <f>Table2[[#This Row],[L]]</f>
        <v>14</v>
      </c>
      <c r="AL288" s="1">
        <f>Table2[[#This Row],[F]]</f>
        <v>54</v>
      </c>
      <c r="AM288" s="1">
        <f>Table2[[#This Row],[A]]</f>
        <v>33</v>
      </c>
      <c r="AN288" s="1">
        <f>Table2[[#This Row],[GD]]</f>
        <v>21</v>
      </c>
      <c r="AO288" s="1">
        <f>Table2[[#This Row],[Pts]]</f>
        <v>60</v>
      </c>
      <c r="AP288" s="1">
        <f>Table2[[#This Row],[Column1]]</f>
        <v>7</v>
      </c>
      <c r="AR288" t="b">
        <f t="shared" si="8"/>
        <v>1</v>
      </c>
      <c r="AS288">
        <f>IF(AR288,ROWS($AR$2:AR288),"")</f>
        <v>287</v>
      </c>
      <c r="AT288">
        <f>IFERROR(SMALL($AS$2:$AS$440,ROWS($AS$2:AS288)),"")</f>
        <v>287</v>
      </c>
      <c r="AU288">
        <f>IF(AT288&lt;&gt;"",INDEX($AE$2:$AP$440,MATCH($AT288,$AS$2:$AS$440,0),COLUMNS($AT$2:AT288)),"")</f>
        <v>2014</v>
      </c>
      <c r="AV288">
        <f>IF(AU288&lt;&gt;"",INDEX($AE$2:$AP$440,MATCH($AT288,$AS$2:$AS$440,0),COLUMNS($AT$2:AU288)),"")</f>
        <v>7</v>
      </c>
      <c r="AW288" t="str">
        <f>IF(AV288&lt;&gt;"",INDEX($AE$2:$AP$440,MATCH($AT288,$AS$2:$AS$440,0),COLUMNS($AT$2:AV288)),"")</f>
        <v>Southampton</v>
      </c>
      <c r="AX288">
        <f>IF(AW288&lt;&gt;"",INDEX($AE$2:$AP$440,MATCH($AT288,$AS$2:$AS$440,0),COLUMNS($AT$2:AW288)),"")</f>
        <v>38</v>
      </c>
      <c r="AY288">
        <f>IF(AX288&lt;&gt;"",INDEX($AE$2:$AP$440,MATCH($AT288,$AS$2:$AS$440,0),COLUMNS($AT$2:AX288)),"")</f>
        <v>18</v>
      </c>
      <c r="AZ288">
        <f>IF(AY288&lt;&gt;"",INDEX($AE$2:$AP$440,MATCH($AT288,$AS$2:$AS$440,0),COLUMNS($AT$2:AY288)),"")</f>
        <v>6</v>
      </c>
      <c r="BA288">
        <f>IF(AZ288&lt;&gt;"",INDEX($AE$2:$AP$440,MATCH($AT288,$AS$2:$AS$440,0),COLUMNS($AT$2:AZ288)),"")</f>
        <v>14</v>
      </c>
      <c r="BB288">
        <f>IF(BA288&lt;&gt;"",INDEX($AE$2:$AP$440,MATCH($AT288,$AS$2:$AS$440,0),COLUMNS($AT$2:BA288)),"")</f>
        <v>54</v>
      </c>
      <c r="BC288">
        <f>IF(BB288&lt;&gt;"",INDEX($AE$2:$AP$440,MATCH($AT288,$AS$2:$AS$440,0),COLUMNS($AT$2:BB288)),"")</f>
        <v>33</v>
      </c>
      <c r="BD288">
        <f>IF(BC288&lt;&gt;"",INDEX($AE$2:$AP$440,MATCH($AT288,$AS$2:$AS$440,0),COLUMNS($AT$2:BC288)),"")</f>
        <v>21</v>
      </c>
      <c r="BE288">
        <f>IF(BD288&lt;&gt;"",INDEX($AE$2:$AP$440,MATCH($AT288,$AS$2:$AS$440,0),COLUMNS($AT$2:BD288)),"")</f>
        <v>60</v>
      </c>
      <c r="BF288">
        <f>IF(BE288&lt;&gt;"",INDEX($AE$2:$AP$440,MATCH($AT288,$AS$2:$AS$440,0),COLUMNS($AT$2:BE288)),"")</f>
        <v>7</v>
      </c>
    </row>
    <row r="289" spans="1:58" x14ac:dyDescent="0.25">
      <c r="A289" s="5">
        <v>2014</v>
      </c>
      <c r="B289" s="5">
        <v>8</v>
      </c>
      <c r="C289" s="6" t="s">
        <v>48</v>
      </c>
      <c r="D289" s="5">
        <v>38</v>
      </c>
      <c r="E289" s="5">
        <v>16</v>
      </c>
      <c r="F289" s="5">
        <v>8</v>
      </c>
      <c r="G289" s="5">
        <v>14</v>
      </c>
      <c r="H289" s="5">
        <v>46</v>
      </c>
      <c r="I289" s="5">
        <v>49</v>
      </c>
      <c r="J289" s="5">
        <v>-3</v>
      </c>
      <c r="K289" s="5">
        <v>56</v>
      </c>
      <c r="L289" s="5">
        <f>IF(Table2[[#This Row],['#]]=1,"Champion", IF(Table2[[#This Row],['#]]&gt;=18,"Relegated",Table2[[#This Row],['#]]))</f>
        <v>8</v>
      </c>
      <c r="N289">
        <f>IF(COUNTIF($O$2:O289,O289)=1,N288+1,N288)</f>
        <v>40</v>
      </c>
      <c r="O289" s="4" t="str">
        <f>Table2[[#This Row],[Team]]</f>
        <v>Swansea City</v>
      </c>
      <c r="P289" s="1" t="str">
        <f>IFERROR(VLOOKUP(ROWS($O$2:O289),$N$2:$O$441,2,0),"")</f>
        <v/>
      </c>
      <c r="Q289" s="1" t="str">
        <f>IF(P289&lt;&gt;"",SUMPRODUCT(--(Table2[Team]=P289)),"")</f>
        <v/>
      </c>
      <c r="R289" s="11" t="str">
        <f>IF(Q289&lt;&gt;"",Q289+ROWS($Q$2:Q289)/100,"")</f>
        <v/>
      </c>
      <c r="S289" t="str">
        <f>IF(R289&lt;&gt;"",LARGE($R$2:$R$441,ROWS($R$2:R289)),"")</f>
        <v/>
      </c>
      <c r="T289" s="1" t="str">
        <f>IF(R289&lt;&gt;"",INDEX($P$2:$Q$441,MATCH($S289,$R$2:$R$441,0),COLUMNS($S$2:S289)),"")</f>
        <v/>
      </c>
      <c r="U289" s="1" t="str">
        <f>IF(S289&lt;&gt;"",INDEX($P$2:$Q$441,MATCH($S289,$R$2:$R$441,0),COLUMNS($S$2:T289)),"")</f>
        <v/>
      </c>
      <c r="AE289" s="1">
        <f>Table2[[#This Row],[Year]]</f>
        <v>2014</v>
      </c>
      <c r="AF289" s="1">
        <f>Table2[[#This Row],['#]]</f>
        <v>8</v>
      </c>
      <c r="AG289" s="1" t="str">
        <f>Table2[[#This Row],[Team]]</f>
        <v>Swansea City</v>
      </c>
      <c r="AH289" s="1">
        <f>Table2[[#This Row],[Pl]]</f>
        <v>38</v>
      </c>
      <c r="AI289" s="1">
        <f>Table2[[#This Row],[W]]</f>
        <v>16</v>
      </c>
      <c r="AJ289" s="1">
        <f>Table2[[#This Row],[D]]</f>
        <v>8</v>
      </c>
      <c r="AK289" s="1">
        <f>Table2[[#This Row],[L]]</f>
        <v>14</v>
      </c>
      <c r="AL289" s="1">
        <f>Table2[[#This Row],[F]]</f>
        <v>46</v>
      </c>
      <c r="AM289" s="1">
        <f>Table2[[#This Row],[A]]</f>
        <v>49</v>
      </c>
      <c r="AN289" s="1">
        <f>Table2[[#This Row],[GD]]</f>
        <v>-3</v>
      </c>
      <c r="AO289" s="1">
        <f>Table2[[#This Row],[Pts]]</f>
        <v>56</v>
      </c>
      <c r="AP289" s="1">
        <f>Table2[[#This Row],[Column1]]</f>
        <v>8</v>
      </c>
      <c r="AR289" t="b">
        <f t="shared" si="8"/>
        <v>1</v>
      </c>
      <c r="AS289">
        <f>IF(AR289,ROWS($AR$2:AR289),"")</f>
        <v>288</v>
      </c>
      <c r="AT289">
        <f>IFERROR(SMALL($AS$2:$AS$440,ROWS($AS$2:AS289)),"")</f>
        <v>288</v>
      </c>
      <c r="AU289">
        <f>IF(AT289&lt;&gt;"",INDEX($AE$2:$AP$440,MATCH($AT289,$AS$2:$AS$440,0),COLUMNS($AT$2:AT289)),"")</f>
        <v>2014</v>
      </c>
      <c r="AV289">
        <f>IF(AU289&lt;&gt;"",INDEX($AE$2:$AP$440,MATCH($AT289,$AS$2:$AS$440,0),COLUMNS($AT$2:AU289)),"")</f>
        <v>8</v>
      </c>
      <c r="AW289" t="str">
        <f>IF(AV289&lt;&gt;"",INDEX($AE$2:$AP$440,MATCH($AT289,$AS$2:$AS$440,0),COLUMNS($AT$2:AV289)),"")</f>
        <v>Swansea City</v>
      </c>
      <c r="AX289">
        <f>IF(AW289&lt;&gt;"",INDEX($AE$2:$AP$440,MATCH($AT289,$AS$2:$AS$440,0),COLUMNS($AT$2:AW289)),"")</f>
        <v>38</v>
      </c>
      <c r="AY289">
        <f>IF(AX289&lt;&gt;"",INDEX($AE$2:$AP$440,MATCH($AT289,$AS$2:$AS$440,0),COLUMNS($AT$2:AX289)),"")</f>
        <v>16</v>
      </c>
      <c r="AZ289">
        <f>IF(AY289&lt;&gt;"",INDEX($AE$2:$AP$440,MATCH($AT289,$AS$2:$AS$440,0),COLUMNS($AT$2:AY289)),"")</f>
        <v>8</v>
      </c>
      <c r="BA289">
        <f>IF(AZ289&lt;&gt;"",INDEX($AE$2:$AP$440,MATCH($AT289,$AS$2:$AS$440,0),COLUMNS($AT$2:AZ289)),"")</f>
        <v>14</v>
      </c>
      <c r="BB289">
        <f>IF(BA289&lt;&gt;"",INDEX($AE$2:$AP$440,MATCH($AT289,$AS$2:$AS$440,0),COLUMNS($AT$2:BA289)),"")</f>
        <v>46</v>
      </c>
      <c r="BC289">
        <f>IF(BB289&lt;&gt;"",INDEX($AE$2:$AP$440,MATCH($AT289,$AS$2:$AS$440,0),COLUMNS($AT$2:BB289)),"")</f>
        <v>49</v>
      </c>
      <c r="BD289">
        <f>IF(BC289&lt;&gt;"",INDEX($AE$2:$AP$440,MATCH($AT289,$AS$2:$AS$440,0),COLUMNS($AT$2:BC289)),"")</f>
        <v>-3</v>
      </c>
      <c r="BE289">
        <f>IF(BD289&lt;&gt;"",INDEX($AE$2:$AP$440,MATCH($AT289,$AS$2:$AS$440,0),COLUMNS($AT$2:BD289)),"")</f>
        <v>56</v>
      </c>
      <c r="BF289">
        <f>IF(BE289&lt;&gt;"",INDEX($AE$2:$AP$440,MATCH($AT289,$AS$2:$AS$440,0),COLUMNS($AT$2:BE289)),"")</f>
        <v>8</v>
      </c>
    </row>
    <row r="290" spans="1:58" x14ac:dyDescent="0.25">
      <c r="A290" s="3">
        <v>2014</v>
      </c>
      <c r="B290" s="3">
        <v>9</v>
      </c>
      <c r="C290" s="4" t="s">
        <v>44</v>
      </c>
      <c r="D290" s="3">
        <v>38</v>
      </c>
      <c r="E290" s="3">
        <v>15</v>
      </c>
      <c r="F290" s="3">
        <v>9</v>
      </c>
      <c r="G290" s="3">
        <v>14</v>
      </c>
      <c r="H290" s="3">
        <v>48</v>
      </c>
      <c r="I290" s="3">
        <v>45</v>
      </c>
      <c r="J290" s="3">
        <v>3</v>
      </c>
      <c r="K290" s="3">
        <v>54</v>
      </c>
      <c r="L290" s="5">
        <f>IF(Table2[[#This Row],['#]]=1,"Champion", IF(Table2[[#This Row],['#]]&gt;=18,"Relegated",Table2[[#This Row],['#]]))</f>
        <v>9</v>
      </c>
      <c r="N290">
        <f>IF(COUNTIF($O$2:O290,O290)=1,N289+1,N289)</f>
        <v>40</v>
      </c>
      <c r="O290" s="4" t="str">
        <f>Table2[[#This Row],[Team]]</f>
        <v>Stoke City</v>
      </c>
      <c r="P290" s="1" t="str">
        <f>IFERROR(VLOOKUP(ROWS($O$2:O290),$N$2:$O$441,2,0),"")</f>
        <v/>
      </c>
      <c r="Q290" s="1" t="str">
        <f>IF(P290&lt;&gt;"",SUMPRODUCT(--(Table2[Team]=P290)),"")</f>
        <v/>
      </c>
      <c r="R290" s="11" t="str">
        <f>IF(Q290&lt;&gt;"",Q290+ROWS($Q$2:Q290)/100,"")</f>
        <v/>
      </c>
      <c r="S290" t="str">
        <f>IF(R290&lt;&gt;"",LARGE($R$2:$R$441,ROWS($R$2:R290)),"")</f>
        <v/>
      </c>
      <c r="T290" s="1" t="str">
        <f>IF(R290&lt;&gt;"",INDEX($P$2:$Q$441,MATCH($S290,$R$2:$R$441,0),COLUMNS($S$2:S290)),"")</f>
        <v/>
      </c>
      <c r="U290" s="1" t="str">
        <f>IF(S290&lt;&gt;"",INDEX($P$2:$Q$441,MATCH($S290,$R$2:$R$441,0),COLUMNS($S$2:T290)),"")</f>
        <v/>
      </c>
      <c r="AE290" s="1">
        <f>Table2[[#This Row],[Year]]</f>
        <v>2014</v>
      </c>
      <c r="AF290" s="1">
        <f>Table2[[#This Row],['#]]</f>
        <v>9</v>
      </c>
      <c r="AG290" s="1" t="str">
        <f>Table2[[#This Row],[Team]]</f>
        <v>Stoke City</v>
      </c>
      <c r="AH290" s="1">
        <f>Table2[[#This Row],[Pl]]</f>
        <v>38</v>
      </c>
      <c r="AI290" s="1">
        <f>Table2[[#This Row],[W]]</f>
        <v>15</v>
      </c>
      <c r="AJ290" s="1">
        <f>Table2[[#This Row],[D]]</f>
        <v>9</v>
      </c>
      <c r="AK290" s="1">
        <f>Table2[[#This Row],[L]]</f>
        <v>14</v>
      </c>
      <c r="AL290" s="1">
        <f>Table2[[#This Row],[F]]</f>
        <v>48</v>
      </c>
      <c r="AM290" s="1">
        <f>Table2[[#This Row],[A]]</f>
        <v>45</v>
      </c>
      <c r="AN290" s="1">
        <f>Table2[[#This Row],[GD]]</f>
        <v>3</v>
      </c>
      <c r="AO290" s="1">
        <f>Table2[[#This Row],[Pts]]</f>
        <v>54</v>
      </c>
      <c r="AP290" s="1">
        <f>Table2[[#This Row],[Column1]]</f>
        <v>9</v>
      </c>
      <c r="AR290" t="b">
        <f t="shared" si="8"/>
        <v>1</v>
      </c>
      <c r="AS290">
        <f>IF(AR290,ROWS($AR$2:AR290),"")</f>
        <v>289</v>
      </c>
      <c r="AT290">
        <f>IFERROR(SMALL($AS$2:$AS$440,ROWS($AS$2:AS290)),"")</f>
        <v>289</v>
      </c>
      <c r="AU290">
        <f>IF(AT290&lt;&gt;"",INDEX($AE$2:$AP$440,MATCH($AT290,$AS$2:$AS$440,0),COLUMNS($AT$2:AT290)),"")</f>
        <v>2014</v>
      </c>
      <c r="AV290">
        <f>IF(AU290&lt;&gt;"",INDEX($AE$2:$AP$440,MATCH($AT290,$AS$2:$AS$440,0),COLUMNS($AT$2:AU290)),"")</f>
        <v>9</v>
      </c>
      <c r="AW290" t="str">
        <f>IF(AV290&lt;&gt;"",INDEX($AE$2:$AP$440,MATCH($AT290,$AS$2:$AS$440,0),COLUMNS($AT$2:AV290)),"")</f>
        <v>Stoke City</v>
      </c>
      <c r="AX290">
        <f>IF(AW290&lt;&gt;"",INDEX($AE$2:$AP$440,MATCH($AT290,$AS$2:$AS$440,0),COLUMNS($AT$2:AW290)),"")</f>
        <v>38</v>
      </c>
      <c r="AY290">
        <f>IF(AX290&lt;&gt;"",INDEX($AE$2:$AP$440,MATCH($AT290,$AS$2:$AS$440,0),COLUMNS($AT$2:AX290)),"")</f>
        <v>15</v>
      </c>
      <c r="AZ290">
        <f>IF(AY290&lt;&gt;"",INDEX($AE$2:$AP$440,MATCH($AT290,$AS$2:$AS$440,0),COLUMNS($AT$2:AY290)),"")</f>
        <v>9</v>
      </c>
      <c r="BA290">
        <f>IF(AZ290&lt;&gt;"",INDEX($AE$2:$AP$440,MATCH($AT290,$AS$2:$AS$440,0),COLUMNS($AT$2:AZ290)),"")</f>
        <v>14</v>
      </c>
      <c r="BB290">
        <f>IF(BA290&lt;&gt;"",INDEX($AE$2:$AP$440,MATCH($AT290,$AS$2:$AS$440,0),COLUMNS($AT$2:BA290)),"")</f>
        <v>48</v>
      </c>
      <c r="BC290">
        <f>IF(BB290&lt;&gt;"",INDEX($AE$2:$AP$440,MATCH($AT290,$AS$2:$AS$440,0),COLUMNS($AT$2:BB290)),"")</f>
        <v>45</v>
      </c>
      <c r="BD290">
        <f>IF(BC290&lt;&gt;"",INDEX($AE$2:$AP$440,MATCH($AT290,$AS$2:$AS$440,0),COLUMNS($AT$2:BC290)),"")</f>
        <v>3</v>
      </c>
      <c r="BE290">
        <f>IF(BD290&lt;&gt;"",INDEX($AE$2:$AP$440,MATCH($AT290,$AS$2:$AS$440,0),COLUMNS($AT$2:BD290)),"")</f>
        <v>54</v>
      </c>
      <c r="BF290">
        <f>IF(BE290&lt;&gt;"",INDEX($AE$2:$AP$440,MATCH($AT290,$AS$2:$AS$440,0),COLUMNS($AT$2:BE290)),"")</f>
        <v>9</v>
      </c>
    </row>
    <row r="291" spans="1:58" x14ac:dyDescent="0.25">
      <c r="A291" s="5">
        <v>2014</v>
      </c>
      <c r="B291" s="5">
        <v>10</v>
      </c>
      <c r="C291" s="6" t="s">
        <v>38</v>
      </c>
      <c r="D291" s="5">
        <v>38</v>
      </c>
      <c r="E291" s="5">
        <v>13</v>
      </c>
      <c r="F291" s="5">
        <v>9</v>
      </c>
      <c r="G291" s="5">
        <v>16</v>
      </c>
      <c r="H291" s="5">
        <v>47</v>
      </c>
      <c r="I291" s="5">
        <v>51</v>
      </c>
      <c r="J291" s="5">
        <v>-4</v>
      </c>
      <c r="K291" s="5">
        <v>48</v>
      </c>
      <c r="L291" s="5">
        <f>IF(Table2[[#This Row],['#]]=1,"Champion", IF(Table2[[#This Row],['#]]&gt;=18,"Relegated",Table2[[#This Row],['#]]))</f>
        <v>10</v>
      </c>
      <c r="N291">
        <f>IF(COUNTIF($O$2:O291,O291)=1,N290+1,N290)</f>
        <v>40</v>
      </c>
      <c r="O291" s="4" t="str">
        <f>Table2[[#This Row],[Team]]</f>
        <v>Crystal Palace</v>
      </c>
      <c r="P291" s="1" t="str">
        <f>IFERROR(VLOOKUP(ROWS($O$2:O291),$N$2:$O$441,2,0),"")</f>
        <v/>
      </c>
      <c r="Q291" s="1" t="str">
        <f>IF(P291&lt;&gt;"",SUMPRODUCT(--(Table2[Team]=P291)),"")</f>
        <v/>
      </c>
      <c r="R291" s="11" t="str">
        <f>IF(Q291&lt;&gt;"",Q291+ROWS($Q$2:Q291)/100,"")</f>
        <v/>
      </c>
      <c r="S291" t="str">
        <f>IF(R291&lt;&gt;"",LARGE($R$2:$R$441,ROWS($R$2:R291)),"")</f>
        <v/>
      </c>
      <c r="T291" s="1" t="str">
        <f>IF(R291&lt;&gt;"",INDEX($P$2:$Q$441,MATCH($S291,$R$2:$R$441,0),COLUMNS($S$2:S291)),"")</f>
        <v/>
      </c>
      <c r="U291" s="1" t="str">
        <f>IF(S291&lt;&gt;"",INDEX($P$2:$Q$441,MATCH($S291,$R$2:$R$441,0),COLUMNS($S$2:T291)),"")</f>
        <v/>
      </c>
      <c r="AE291" s="1">
        <f>Table2[[#This Row],[Year]]</f>
        <v>2014</v>
      </c>
      <c r="AF291" s="1">
        <f>Table2[[#This Row],['#]]</f>
        <v>10</v>
      </c>
      <c r="AG291" s="1" t="str">
        <f>Table2[[#This Row],[Team]]</f>
        <v>Crystal Palace</v>
      </c>
      <c r="AH291" s="1">
        <f>Table2[[#This Row],[Pl]]</f>
        <v>38</v>
      </c>
      <c r="AI291" s="1">
        <f>Table2[[#This Row],[W]]</f>
        <v>13</v>
      </c>
      <c r="AJ291" s="1">
        <f>Table2[[#This Row],[D]]</f>
        <v>9</v>
      </c>
      <c r="AK291" s="1">
        <f>Table2[[#This Row],[L]]</f>
        <v>16</v>
      </c>
      <c r="AL291" s="1">
        <f>Table2[[#This Row],[F]]</f>
        <v>47</v>
      </c>
      <c r="AM291" s="1">
        <f>Table2[[#This Row],[A]]</f>
        <v>51</v>
      </c>
      <c r="AN291" s="1">
        <f>Table2[[#This Row],[GD]]</f>
        <v>-4</v>
      </c>
      <c r="AO291" s="1">
        <f>Table2[[#This Row],[Pts]]</f>
        <v>48</v>
      </c>
      <c r="AP291" s="1">
        <f>Table2[[#This Row],[Column1]]</f>
        <v>10</v>
      </c>
      <c r="AR291" t="b">
        <f t="shared" si="8"/>
        <v>1</v>
      </c>
      <c r="AS291">
        <f>IF(AR291,ROWS($AR$2:AR291),"")</f>
        <v>290</v>
      </c>
      <c r="AT291">
        <f>IFERROR(SMALL($AS$2:$AS$440,ROWS($AS$2:AS291)),"")</f>
        <v>290</v>
      </c>
      <c r="AU291">
        <f>IF(AT291&lt;&gt;"",INDEX($AE$2:$AP$440,MATCH($AT291,$AS$2:$AS$440,0),COLUMNS($AT$2:AT291)),"")</f>
        <v>2014</v>
      </c>
      <c r="AV291">
        <f>IF(AU291&lt;&gt;"",INDEX($AE$2:$AP$440,MATCH($AT291,$AS$2:$AS$440,0),COLUMNS($AT$2:AU291)),"")</f>
        <v>10</v>
      </c>
      <c r="AW291" t="str">
        <f>IF(AV291&lt;&gt;"",INDEX($AE$2:$AP$440,MATCH($AT291,$AS$2:$AS$440,0),COLUMNS($AT$2:AV291)),"")</f>
        <v>Crystal Palace</v>
      </c>
      <c r="AX291">
        <f>IF(AW291&lt;&gt;"",INDEX($AE$2:$AP$440,MATCH($AT291,$AS$2:$AS$440,0),COLUMNS($AT$2:AW291)),"")</f>
        <v>38</v>
      </c>
      <c r="AY291">
        <f>IF(AX291&lt;&gt;"",INDEX($AE$2:$AP$440,MATCH($AT291,$AS$2:$AS$440,0),COLUMNS($AT$2:AX291)),"")</f>
        <v>13</v>
      </c>
      <c r="AZ291">
        <f>IF(AY291&lt;&gt;"",INDEX($AE$2:$AP$440,MATCH($AT291,$AS$2:$AS$440,0),COLUMNS($AT$2:AY291)),"")</f>
        <v>9</v>
      </c>
      <c r="BA291">
        <f>IF(AZ291&lt;&gt;"",INDEX($AE$2:$AP$440,MATCH($AT291,$AS$2:$AS$440,0),COLUMNS($AT$2:AZ291)),"")</f>
        <v>16</v>
      </c>
      <c r="BB291">
        <f>IF(BA291&lt;&gt;"",INDEX($AE$2:$AP$440,MATCH($AT291,$AS$2:$AS$440,0),COLUMNS($AT$2:BA291)),"")</f>
        <v>47</v>
      </c>
      <c r="BC291">
        <f>IF(BB291&lt;&gt;"",INDEX($AE$2:$AP$440,MATCH($AT291,$AS$2:$AS$440,0),COLUMNS($AT$2:BB291)),"")</f>
        <v>51</v>
      </c>
      <c r="BD291">
        <f>IF(BC291&lt;&gt;"",INDEX($AE$2:$AP$440,MATCH($AT291,$AS$2:$AS$440,0),COLUMNS($AT$2:BC291)),"")</f>
        <v>-4</v>
      </c>
      <c r="BE291">
        <f>IF(BD291&lt;&gt;"",INDEX($AE$2:$AP$440,MATCH($AT291,$AS$2:$AS$440,0),COLUMNS($AT$2:BD291)),"")</f>
        <v>48</v>
      </c>
      <c r="BF291">
        <f>IF(BE291&lt;&gt;"",INDEX($AE$2:$AP$440,MATCH($AT291,$AS$2:$AS$440,0),COLUMNS($AT$2:BE291)),"")</f>
        <v>10</v>
      </c>
    </row>
    <row r="292" spans="1:58" x14ac:dyDescent="0.25">
      <c r="A292" s="3">
        <v>2014</v>
      </c>
      <c r="B292" s="3">
        <v>11</v>
      </c>
      <c r="C292" s="4" t="s">
        <v>26</v>
      </c>
      <c r="D292" s="3">
        <v>38</v>
      </c>
      <c r="E292" s="3">
        <v>12</v>
      </c>
      <c r="F292" s="3">
        <v>11</v>
      </c>
      <c r="G292" s="3">
        <v>15</v>
      </c>
      <c r="H292" s="3">
        <v>48</v>
      </c>
      <c r="I292" s="3">
        <v>50</v>
      </c>
      <c r="J292" s="3">
        <v>-2</v>
      </c>
      <c r="K292" s="3">
        <v>47</v>
      </c>
      <c r="L292" s="5">
        <f>IF(Table2[[#This Row],['#]]=1,"Champion", IF(Table2[[#This Row],['#]]&gt;=18,"Relegated",Table2[[#This Row],['#]]))</f>
        <v>11</v>
      </c>
      <c r="N292">
        <f>IF(COUNTIF($O$2:O292,O292)=1,N291+1,N291)</f>
        <v>40</v>
      </c>
      <c r="O292" s="4" t="str">
        <f>Table2[[#This Row],[Team]]</f>
        <v>Everton</v>
      </c>
      <c r="P292" s="1" t="str">
        <f>IFERROR(VLOOKUP(ROWS($O$2:O292),$N$2:$O$441,2,0),"")</f>
        <v/>
      </c>
      <c r="Q292" s="1" t="str">
        <f>IF(P292&lt;&gt;"",SUMPRODUCT(--(Table2[Team]=P292)),"")</f>
        <v/>
      </c>
      <c r="R292" s="11" t="str">
        <f>IF(Q292&lt;&gt;"",Q292+ROWS($Q$2:Q292)/100,"")</f>
        <v/>
      </c>
      <c r="S292" t="str">
        <f>IF(R292&lt;&gt;"",LARGE($R$2:$R$441,ROWS($R$2:R292)),"")</f>
        <v/>
      </c>
      <c r="T292" s="1" t="str">
        <f>IF(R292&lt;&gt;"",INDEX($P$2:$Q$441,MATCH($S292,$R$2:$R$441,0),COLUMNS($S$2:S292)),"")</f>
        <v/>
      </c>
      <c r="U292" s="1" t="str">
        <f>IF(S292&lt;&gt;"",INDEX($P$2:$Q$441,MATCH($S292,$R$2:$R$441,0),COLUMNS($S$2:T292)),"")</f>
        <v/>
      </c>
      <c r="AE292" s="1">
        <f>Table2[[#This Row],[Year]]</f>
        <v>2014</v>
      </c>
      <c r="AF292" s="1">
        <f>Table2[[#This Row],['#]]</f>
        <v>11</v>
      </c>
      <c r="AG292" s="1" t="str">
        <f>Table2[[#This Row],[Team]]</f>
        <v>Everton</v>
      </c>
      <c r="AH292" s="1">
        <f>Table2[[#This Row],[Pl]]</f>
        <v>38</v>
      </c>
      <c r="AI292" s="1">
        <f>Table2[[#This Row],[W]]</f>
        <v>12</v>
      </c>
      <c r="AJ292" s="1">
        <f>Table2[[#This Row],[D]]</f>
        <v>11</v>
      </c>
      <c r="AK292" s="1">
        <f>Table2[[#This Row],[L]]</f>
        <v>15</v>
      </c>
      <c r="AL292" s="1">
        <f>Table2[[#This Row],[F]]</f>
        <v>48</v>
      </c>
      <c r="AM292" s="1">
        <f>Table2[[#This Row],[A]]</f>
        <v>50</v>
      </c>
      <c r="AN292" s="1">
        <f>Table2[[#This Row],[GD]]</f>
        <v>-2</v>
      </c>
      <c r="AO292" s="1">
        <f>Table2[[#This Row],[Pts]]</f>
        <v>47</v>
      </c>
      <c r="AP292" s="1">
        <f>Table2[[#This Row],[Column1]]</f>
        <v>11</v>
      </c>
      <c r="AR292" t="b">
        <f t="shared" si="8"/>
        <v>1</v>
      </c>
      <c r="AS292">
        <f>IF(AR292,ROWS($AR$2:AR292),"")</f>
        <v>291</v>
      </c>
      <c r="AT292">
        <f>IFERROR(SMALL($AS$2:$AS$440,ROWS($AS$2:AS292)),"")</f>
        <v>291</v>
      </c>
      <c r="AU292">
        <f>IF(AT292&lt;&gt;"",INDEX($AE$2:$AP$440,MATCH($AT292,$AS$2:$AS$440,0),COLUMNS($AT$2:AT292)),"")</f>
        <v>2014</v>
      </c>
      <c r="AV292">
        <f>IF(AU292&lt;&gt;"",INDEX($AE$2:$AP$440,MATCH($AT292,$AS$2:$AS$440,0),COLUMNS($AT$2:AU292)),"")</f>
        <v>11</v>
      </c>
      <c r="AW292" t="str">
        <f>IF(AV292&lt;&gt;"",INDEX($AE$2:$AP$440,MATCH($AT292,$AS$2:$AS$440,0),COLUMNS($AT$2:AV292)),"")</f>
        <v>Everton</v>
      </c>
      <c r="AX292">
        <f>IF(AW292&lt;&gt;"",INDEX($AE$2:$AP$440,MATCH($AT292,$AS$2:$AS$440,0),COLUMNS($AT$2:AW292)),"")</f>
        <v>38</v>
      </c>
      <c r="AY292">
        <f>IF(AX292&lt;&gt;"",INDEX($AE$2:$AP$440,MATCH($AT292,$AS$2:$AS$440,0),COLUMNS($AT$2:AX292)),"")</f>
        <v>12</v>
      </c>
      <c r="AZ292">
        <f>IF(AY292&lt;&gt;"",INDEX($AE$2:$AP$440,MATCH($AT292,$AS$2:$AS$440,0),COLUMNS($AT$2:AY292)),"")</f>
        <v>11</v>
      </c>
      <c r="BA292">
        <f>IF(AZ292&lt;&gt;"",INDEX($AE$2:$AP$440,MATCH($AT292,$AS$2:$AS$440,0),COLUMNS($AT$2:AZ292)),"")</f>
        <v>15</v>
      </c>
      <c r="BB292">
        <f>IF(BA292&lt;&gt;"",INDEX($AE$2:$AP$440,MATCH($AT292,$AS$2:$AS$440,0),COLUMNS($AT$2:BA292)),"")</f>
        <v>48</v>
      </c>
      <c r="BC292">
        <f>IF(BB292&lt;&gt;"",INDEX($AE$2:$AP$440,MATCH($AT292,$AS$2:$AS$440,0),COLUMNS($AT$2:BB292)),"")</f>
        <v>50</v>
      </c>
      <c r="BD292">
        <f>IF(BC292&lt;&gt;"",INDEX($AE$2:$AP$440,MATCH($AT292,$AS$2:$AS$440,0),COLUMNS($AT$2:BC292)),"")</f>
        <v>-2</v>
      </c>
      <c r="BE292">
        <f>IF(BD292&lt;&gt;"",INDEX($AE$2:$AP$440,MATCH($AT292,$AS$2:$AS$440,0),COLUMNS($AT$2:BD292)),"")</f>
        <v>47</v>
      </c>
      <c r="BF292">
        <f>IF(BE292&lt;&gt;"",INDEX($AE$2:$AP$440,MATCH($AT292,$AS$2:$AS$440,0),COLUMNS($AT$2:BE292)),"")</f>
        <v>11</v>
      </c>
    </row>
    <row r="293" spans="1:58" x14ac:dyDescent="0.25">
      <c r="A293" s="5">
        <v>2014</v>
      </c>
      <c r="B293" s="5">
        <v>12</v>
      </c>
      <c r="C293" s="6" t="s">
        <v>25</v>
      </c>
      <c r="D293" s="5">
        <v>38</v>
      </c>
      <c r="E293" s="5">
        <v>12</v>
      </c>
      <c r="F293" s="5">
        <v>11</v>
      </c>
      <c r="G293" s="5">
        <v>15</v>
      </c>
      <c r="H293" s="5">
        <v>44</v>
      </c>
      <c r="I293" s="5">
        <v>47</v>
      </c>
      <c r="J293" s="5">
        <v>-3</v>
      </c>
      <c r="K293" s="5">
        <v>47</v>
      </c>
      <c r="L293" s="5">
        <f>IF(Table2[[#This Row],['#]]=1,"Champion", IF(Table2[[#This Row],['#]]&gt;=18,"Relegated",Table2[[#This Row],['#]]))</f>
        <v>12</v>
      </c>
      <c r="N293">
        <f>IF(COUNTIF($O$2:O293,O293)=1,N292+1,N292)</f>
        <v>40</v>
      </c>
      <c r="O293" s="4" t="str">
        <f>Table2[[#This Row],[Team]]</f>
        <v>West Ham United</v>
      </c>
      <c r="P293" s="1" t="str">
        <f>IFERROR(VLOOKUP(ROWS($O$2:O293),$N$2:$O$441,2,0),"")</f>
        <v/>
      </c>
      <c r="Q293" s="1" t="str">
        <f>IF(P293&lt;&gt;"",SUMPRODUCT(--(Table2[Team]=P293)),"")</f>
        <v/>
      </c>
      <c r="R293" s="11" t="str">
        <f>IF(Q293&lt;&gt;"",Q293+ROWS($Q$2:Q293)/100,"")</f>
        <v/>
      </c>
      <c r="S293" t="str">
        <f>IF(R293&lt;&gt;"",LARGE($R$2:$R$441,ROWS($R$2:R293)),"")</f>
        <v/>
      </c>
      <c r="T293" s="1" t="str">
        <f>IF(R293&lt;&gt;"",INDEX($P$2:$Q$441,MATCH($S293,$R$2:$R$441,0),COLUMNS($S$2:S293)),"")</f>
        <v/>
      </c>
      <c r="U293" s="1" t="str">
        <f>IF(S293&lt;&gt;"",INDEX($P$2:$Q$441,MATCH($S293,$R$2:$R$441,0),COLUMNS($S$2:T293)),"")</f>
        <v/>
      </c>
      <c r="AE293" s="1">
        <f>Table2[[#This Row],[Year]]</f>
        <v>2014</v>
      </c>
      <c r="AF293" s="1">
        <f>Table2[[#This Row],['#]]</f>
        <v>12</v>
      </c>
      <c r="AG293" s="1" t="str">
        <f>Table2[[#This Row],[Team]]</f>
        <v>West Ham United</v>
      </c>
      <c r="AH293" s="1">
        <f>Table2[[#This Row],[Pl]]</f>
        <v>38</v>
      </c>
      <c r="AI293" s="1">
        <f>Table2[[#This Row],[W]]</f>
        <v>12</v>
      </c>
      <c r="AJ293" s="1">
        <f>Table2[[#This Row],[D]]</f>
        <v>11</v>
      </c>
      <c r="AK293" s="1">
        <f>Table2[[#This Row],[L]]</f>
        <v>15</v>
      </c>
      <c r="AL293" s="1">
        <f>Table2[[#This Row],[F]]</f>
        <v>44</v>
      </c>
      <c r="AM293" s="1">
        <f>Table2[[#This Row],[A]]</f>
        <v>47</v>
      </c>
      <c r="AN293" s="1">
        <f>Table2[[#This Row],[GD]]</f>
        <v>-3</v>
      </c>
      <c r="AO293" s="1">
        <f>Table2[[#This Row],[Pts]]</f>
        <v>47</v>
      </c>
      <c r="AP293" s="1">
        <f>Table2[[#This Row],[Column1]]</f>
        <v>12</v>
      </c>
      <c r="AR293" t="b">
        <f t="shared" si="8"/>
        <v>1</v>
      </c>
      <c r="AS293">
        <f>IF(AR293,ROWS($AR$2:AR293),"")</f>
        <v>292</v>
      </c>
      <c r="AT293">
        <f>IFERROR(SMALL($AS$2:$AS$440,ROWS($AS$2:AS293)),"")</f>
        <v>292</v>
      </c>
      <c r="AU293">
        <f>IF(AT293&lt;&gt;"",INDEX($AE$2:$AP$440,MATCH($AT293,$AS$2:$AS$440,0),COLUMNS($AT$2:AT293)),"")</f>
        <v>2014</v>
      </c>
      <c r="AV293">
        <f>IF(AU293&lt;&gt;"",INDEX($AE$2:$AP$440,MATCH($AT293,$AS$2:$AS$440,0),COLUMNS($AT$2:AU293)),"")</f>
        <v>12</v>
      </c>
      <c r="AW293" t="str">
        <f>IF(AV293&lt;&gt;"",INDEX($AE$2:$AP$440,MATCH($AT293,$AS$2:$AS$440,0),COLUMNS($AT$2:AV293)),"")</f>
        <v>West Ham United</v>
      </c>
      <c r="AX293">
        <f>IF(AW293&lt;&gt;"",INDEX($AE$2:$AP$440,MATCH($AT293,$AS$2:$AS$440,0),COLUMNS($AT$2:AW293)),"")</f>
        <v>38</v>
      </c>
      <c r="AY293">
        <f>IF(AX293&lt;&gt;"",INDEX($AE$2:$AP$440,MATCH($AT293,$AS$2:$AS$440,0),COLUMNS($AT$2:AX293)),"")</f>
        <v>12</v>
      </c>
      <c r="AZ293">
        <f>IF(AY293&lt;&gt;"",INDEX($AE$2:$AP$440,MATCH($AT293,$AS$2:$AS$440,0),COLUMNS($AT$2:AY293)),"")</f>
        <v>11</v>
      </c>
      <c r="BA293">
        <f>IF(AZ293&lt;&gt;"",INDEX($AE$2:$AP$440,MATCH($AT293,$AS$2:$AS$440,0),COLUMNS($AT$2:AZ293)),"")</f>
        <v>15</v>
      </c>
      <c r="BB293">
        <f>IF(BA293&lt;&gt;"",INDEX($AE$2:$AP$440,MATCH($AT293,$AS$2:$AS$440,0),COLUMNS($AT$2:BA293)),"")</f>
        <v>44</v>
      </c>
      <c r="BC293">
        <f>IF(BB293&lt;&gt;"",INDEX($AE$2:$AP$440,MATCH($AT293,$AS$2:$AS$440,0),COLUMNS($AT$2:BB293)),"")</f>
        <v>47</v>
      </c>
      <c r="BD293">
        <f>IF(BC293&lt;&gt;"",INDEX($AE$2:$AP$440,MATCH($AT293,$AS$2:$AS$440,0),COLUMNS($AT$2:BC293)),"")</f>
        <v>-3</v>
      </c>
      <c r="BE293">
        <f>IF(BD293&lt;&gt;"",INDEX($AE$2:$AP$440,MATCH($AT293,$AS$2:$AS$440,0),COLUMNS($AT$2:BD293)),"")</f>
        <v>47</v>
      </c>
      <c r="BF293">
        <f>IF(BE293&lt;&gt;"",INDEX($AE$2:$AP$440,MATCH($AT293,$AS$2:$AS$440,0),COLUMNS($AT$2:BE293)),"")</f>
        <v>12</v>
      </c>
    </row>
    <row r="294" spans="1:58" x14ac:dyDescent="0.25">
      <c r="A294" s="3">
        <v>2014</v>
      </c>
      <c r="B294" s="3">
        <v>13</v>
      </c>
      <c r="C294" s="4" t="s">
        <v>35</v>
      </c>
      <c r="D294" s="3">
        <v>38</v>
      </c>
      <c r="E294" s="3">
        <v>11</v>
      </c>
      <c r="F294" s="3">
        <v>11</v>
      </c>
      <c r="G294" s="3">
        <v>16</v>
      </c>
      <c r="H294" s="3">
        <v>38</v>
      </c>
      <c r="I294" s="3">
        <v>51</v>
      </c>
      <c r="J294" s="3">
        <v>-13</v>
      </c>
      <c r="K294" s="3">
        <v>44</v>
      </c>
      <c r="L294" s="5">
        <f>IF(Table2[[#This Row],['#]]=1,"Champion", IF(Table2[[#This Row],['#]]&gt;=18,"Relegated",Table2[[#This Row],['#]]))</f>
        <v>13</v>
      </c>
      <c r="N294">
        <f>IF(COUNTIF($O$2:O294,O294)=1,N293+1,N293)</f>
        <v>40</v>
      </c>
      <c r="O294" s="4" t="str">
        <f>Table2[[#This Row],[Team]]</f>
        <v>West Bromwich Albion</v>
      </c>
      <c r="P294" s="1" t="str">
        <f>IFERROR(VLOOKUP(ROWS($O$2:O294),$N$2:$O$441,2,0),"")</f>
        <v/>
      </c>
      <c r="Q294" s="1" t="str">
        <f>IF(P294&lt;&gt;"",SUMPRODUCT(--(Table2[Team]=P294)),"")</f>
        <v/>
      </c>
      <c r="R294" s="11" t="str">
        <f>IF(Q294&lt;&gt;"",Q294+ROWS($Q$2:Q294)/100,"")</f>
        <v/>
      </c>
      <c r="S294" t="str">
        <f>IF(R294&lt;&gt;"",LARGE($R$2:$R$441,ROWS($R$2:R294)),"")</f>
        <v/>
      </c>
      <c r="T294" s="1" t="str">
        <f>IF(R294&lt;&gt;"",INDEX($P$2:$Q$441,MATCH($S294,$R$2:$R$441,0),COLUMNS($S$2:S294)),"")</f>
        <v/>
      </c>
      <c r="U294" s="1" t="str">
        <f>IF(S294&lt;&gt;"",INDEX($P$2:$Q$441,MATCH($S294,$R$2:$R$441,0),COLUMNS($S$2:T294)),"")</f>
        <v/>
      </c>
      <c r="AE294" s="1">
        <f>Table2[[#This Row],[Year]]</f>
        <v>2014</v>
      </c>
      <c r="AF294" s="1">
        <f>Table2[[#This Row],['#]]</f>
        <v>13</v>
      </c>
      <c r="AG294" s="1" t="str">
        <f>Table2[[#This Row],[Team]]</f>
        <v>West Bromwich Albion</v>
      </c>
      <c r="AH294" s="1">
        <f>Table2[[#This Row],[Pl]]</f>
        <v>38</v>
      </c>
      <c r="AI294" s="1">
        <f>Table2[[#This Row],[W]]</f>
        <v>11</v>
      </c>
      <c r="AJ294" s="1">
        <f>Table2[[#This Row],[D]]</f>
        <v>11</v>
      </c>
      <c r="AK294" s="1">
        <f>Table2[[#This Row],[L]]</f>
        <v>16</v>
      </c>
      <c r="AL294" s="1">
        <f>Table2[[#This Row],[F]]</f>
        <v>38</v>
      </c>
      <c r="AM294" s="1">
        <f>Table2[[#This Row],[A]]</f>
        <v>51</v>
      </c>
      <c r="AN294" s="1">
        <f>Table2[[#This Row],[GD]]</f>
        <v>-13</v>
      </c>
      <c r="AO294" s="1">
        <f>Table2[[#This Row],[Pts]]</f>
        <v>44</v>
      </c>
      <c r="AP294" s="1">
        <f>Table2[[#This Row],[Column1]]</f>
        <v>13</v>
      </c>
      <c r="AR294" t="b">
        <f t="shared" si="8"/>
        <v>1</v>
      </c>
      <c r="AS294">
        <f>IF(AR294,ROWS($AR$2:AR294),"")</f>
        <v>293</v>
      </c>
      <c r="AT294">
        <f>IFERROR(SMALL($AS$2:$AS$440,ROWS($AS$2:AS294)),"")</f>
        <v>293</v>
      </c>
      <c r="AU294">
        <f>IF(AT294&lt;&gt;"",INDEX($AE$2:$AP$440,MATCH($AT294,$AS$2:$AS$440,0),COLUMNS($AT$2:AT294)),"")</f>
        <v>2014</v>
      </c>
      <c r="AV294">
        <f>IF(AU294&lt;&gt;"",INDEX($AE$2:$AP$440,MATCH($AT294,$AS$2:$AS$440,0),COLUMNS($AT$2:AU294)),"")</f>
        <v>13</v>
      </c>
      <c r="AW294" t="str">
        <f>IF(AV294&lt;&gt;"",INDEX($AE$2:$AP$440,MATCH($AT294,$AS$2:$AS$440,0),COLUMNS($AT$2:AV294)),"")</f>
        <v>West Bromwich Albion</v>
      </c>
      <c r="AX294">
        <f>IF(AW294&lt;&gt;"",INDEX($AE$2:$AP$440,MATCH($AT294,$AS$2:$AS$440,0),COLUMNS($AT$2:AW294)),"")</f>
        <v>38</v>
      </c>
      <c r="AY294">
        <f>IF(AX294&lt;&gt;"",INDEX($AE$2:$AP$440,MATCH($AT294,$AS$2:$AS$440,0),COLUMNS($AT$2:AX294)),"")</f>
        <v>11</v>
      </c>
      <c r="AZ294">
        <f>IF(AY294&lt;&gt;"",INDEX($AE$2:$AP$440,MATCH($AT294,$AS$2:$AS$440,0),COLUMNS($AT$2:AY294)),"")</f>
        <v>11</v>
      </c>
      <c r="BA294">
        <f>IF(AZ294&lt;&gt;"",INDEX($AE$2:$AP$440,MATCH($AT294,$AS$2:$AS$440,0),COLUMNS($AT$2:AZ294)),"")</f>
        <v>16</v>
      </c>
      <c r="BB294">
        <f>IF(BA294&lt;&gt;"",INDEX($AE$2:$AP$440,MATCH($AT294,$AS$2:$AS$440,0),COLUMNS($AT$2:BA294)),"")</f>
        <v>38</v>
      </c>
      <c r="BC294">
        <f>IF(BB294&lt;&gt;"",INDEX($AE$2:$AP$440,MATCH($AT294,$AS$2:$AS$440,0),COLUMNS($AT$2:BB294)),"")</f>
        <v>51</v>
      </c>
      <c r="BD294">
        <f>IF(BC294&lt;&gt;"",INDEX($AE$2:$AP$440,MATCH($AT294,$AS$2:$AS$440,0),COLUMNS($AT$2:BC294)),"")</f>
        <v>-13</v>
      </c>
      <c r="BE294">
        <f>IF(BD294&lt;&gt;"",INDEX($AE$2:$AP$440,MATCH($AT294,$AS$2:$AS$440,0),COLUMNS($AT$2:BD294)),"")</f>
        <v>44</v>
      </c>
      <c r="BF294">
        <f>IF(BE294&lt;&gt;"",INDEX($AE$2:$AP$440,MATCH($AT294,$AS$2:$AS$440,0),COLUMNS($AT$2:BE294)),"")</f>
        <v>13</v>
      </c>
    </row>
    <row r="295" spans="1:58" x14ac:dyDescent="0.25">
      <c r="A295" s="5">
        <v>2014</v>
      </c>
      <c r="B295" s="5">
        <v>14</v>
      </c>
      <c r="C295" s="6" t="s">
        <v>23</v>
      </c>
      <c r="D295" s="5">
        <v>38</v>
      </c>
      <c r="E295" s="5">
        <v>11</v>
      </c>
      <c r="F295" s="5">
        <v>8</v>
      </c>
      <c r="G295" s="5">
        <v>19</v>
      </c>
      <c r="H295" s="5">
        <v>46</v>
      </c>
      <c r="I295" s="5">
        <v>55</v>
      </c>
      <c r="J295" s="5">
        <v>-9</v>
      </c>
      <c r="K295" s="5">
        <v>41</v>
      </c>
      <c r="L295" s="5">
        <f>IF(Table2[[#This Row],['#]]=1,"Champion", IF(Table2[[#This Row],['#]]&gt;=18,"Relegated",Table2[[#This Row],['#]]))</f>
        <v>14</v>
      </c>
      <c r="N295">
        <f>IF(COUNTIF($O$2:O295,O295)=1,N294+1,N294)</f>
        <v>40</v>
      </c>
      <c r="O295" s="4" t="str">
        <f>Table2[[#This Row],[Team]]</f>
        <v>Leicester City</v>
      </c>
      <c r="P295" s="1" t="str">
        <f>IFERROR(VLOOKUP(ROWS($O$2:O295),$N$2:$O$441,2,0),"")</f>
        <v/>
      </c>
      <c r="Q295" s="1" t="str">
        <f>IF(P295&lt;&gt;"",SUMPRODUCT(--(Table2[Team]=P295)),"")</f>
        <v/>
      </c>
      <c r="R295" s="11" t="str">
        <f>IF(Q295&lt;&gt;"",Q295+ROWS($Q$2:Q295)/100,"")</f>
        <v/>
      </c>
      <c r="S295" t="str">
        <f>IF(R295&lt;&gt;"",LARGE($R$2:$R$441,ROWS($R$2:R295)),"")</f>
        <v/>
      </c>
      <c r="T295" s="1" t="str">
        <f>IF(R295&lt;&gt;"",INDEX($P$2:$Q$441,MATCH($S295,$R$2:$R$441,0),COLUMNS($S$2:S295)),"")</f>
        <v/>
      </c>
      <c r="U295" s="1" t="str">
        <f>IF(S295&lt;&gt;"",INDEX($P$2:$Q$441,MATCH($S295,$R$2:$R$441,0),COLUMNS($S$2:T295)),"")</f>
        <v/>
      </c>
      <c r="AE295" s="1">
        <f>Table2[[#This Row],[Year]]</f>
        <v>2014</v>
      </c>
      <c r="AF295" s="1">
        <f>Table2[[#This Row],['#]]</f>
        <v>14</v>
      </c>
      <c r="AG295" s="1" t="str">
        <f>Table2[[#This Row],[Team]]</f>
        <v>Leicester City</v>
      </c>
      <c r="AH295" s="1">
        <f>Table2[[#This Row],[Pl]]</f>
        <v>38</v>
      </c>
      <c r="AI295" s="1">
        <f>Table2[[#This Row],[W]]</f>
        <v>11</v>
      </c>
      <c r="AJ295" s="1">
        <f>Table2[[#This Row],[D]]</f>
        <v>8</v>
      </c>
      <c r="AK295" s="1">
        <f>Table2[[#This Row],[L]]</f>
        <v>19</v>
      </c>
      <c r="AL295" s="1">
        <f>Table2[[#This Row],[F]]</f>
        <v>46</v>
      </c>
      <c r="AM295" s="1">
        <f>Table2[[#This Row],[A]]</f>
        <v>55</v>
      </c>
      <c r="AN295" s="1">
        <f>Table2[[#This Row],[GD]]</f>
        <v>-9</v>
      </c>
      <c r="AO295" s="1">
        <f>Table2[[#This Row],[Pts]]</f>
        <v>41</v>
      </c>
      <c r="AP295" s="1">
        <f>Table2[[#This Row],[Column1]]</f>
        <v>14</v>
      </c>
      <c r="AR295" t="b">
        <f t="shared" si="8"/>
        <v>1</v>
      </c>
      <c r="AS295">
        <f>IF(AR295,ROWS($AR$2:AR295),"")</f>
        <v>294</v>
      </c>
      <c r="AT295">
        <f>IFERROR(SMALL($AS$2:$AS$440,ROWS($AS$2:AS295)),"")</f>
        <v>294</v>
      </c>
      <c r="AU295">
        <f>IF(AT295&lt;&gt;"",INDEX($AE$2:$AP$440,MATCH($AT295,$AS$2:$AS$440,0),COLUMNS($AT$2:AT295)),"")</f>
        <v>2014</v>
      </c>
      <c r="AV295">
        <f>IF(AU295&lt;&gt;"",INDEX($AE$2:$AP$440,MATCH($AT295,$AS$2:$AS$440,0),COLUMNS($AT$2:AU295)),"")</f>
        <v>14</v>
      </c>
      <c r="AW295" t="str">
        <f>IF(AV295&lt;&gt;"",INDEX($AE$2:$AP$440,MATCH($AT295,$AS$2:$AS$440,0),COLUMNS($AT$2:AV295)),"")</f>
        <v>Leicester City</v>
      </c>
      <c r="AX295">
        <f>IF(AW295&lt;&gt;"",INDEX($AE$2:$AP$440,MATCH($AT295,$AS$2:$AS$440,0),COLUMNS($AT$2:AW295)),"")</f>
        <v>38</v>
      </c>
      <c r="AY295">
        <f>IF(AX295&lt;&gt;"",INDEX($AE$2:$AP$440,MATCH($AT295,$AS$2:$AS$440,0),COLUMNS($AT$2:AX295)),"")</f>
        <v>11</v>
      </c>
      <c r="AZ295">
        <f>IF(AY295&lt;&gt;"",INDEX($AE$2:$AP$440,MATCH($AT295,$AS$2:$AS$440,0),COLUMNS($AT$2:AY295)),"")</f>
        <v>8</v>
      </c>
      <c r="BA295">
        <f>IF(AZ295&lt;&gt;"",INDEX($AE$2:$AP$440,MATCH($AT295,$AS$2:$AS$440,0),COLUMNS($AT$2:AZ295)),"")</f>
        <v>19</v>
      </c>
      <c r="BB295">
        <f>IF(BA295&lt;&gt;"",INDEX($AE$2:$AP$440,MATCH($AT295,$AS$2:$AS$440,0),COLUMNS($AT$2:BA295)),"")</f>
        <v>46</v>
      </c>
      <c r="BC295">
        <f>IF(BB295&lt;&gt;"",INDEX($AE$2:$AP$440,MATCH($AT295,$AS$2:$AS$440,0),COLUMNS($AT$2:BB295)),"")</f>
        <v>55</v>
      </c>
      <c r="BD295">
        <f>IF(BC295&lt;&gt;"",INDEX($AE$2:$AP$440,MATCH($AT295,$AS$2:$AS$440,0),COLUMNS($AT$2:BC295)),"")</f>
        <v>-9</v>
      </c>
      <c r="BE295">
        <f>IF(BD295&lt;&gt;"",INDEX($AE$2:$AP$440,MATCH($AT295,$AS$2:$AS$440,0),COLUMNS($AT$2:BD295)),"")</f>
        <v>41</v>
      </c>
      <c r="BF295">
        <f>IF(BE295&lt;&gt;"",INDEX($AE$2:$AP$440,MATCH($AT295,$AS$2:$AS$440,0),COLUMNS($AT$2:BE295)),"")</f>
        <v>14</v>
      </c>
    </row>
    <row r="296" spans="1:58" x14ac:dyDescent="0.25">
      <c r="A296" s="3">
        <v>2014</v>
      </c>
      <c r="B296" s="3">
        <v>15</v>
      </c>
      <c r="C296" s="4" t="s">
        <v>21</v>
      </c>
      <c r="D296" s="3">
        <v>38</v>
      </c>
      <c r="E296" s="3">
        <v>10</v>
      </c>
      <c r="F296" s="3">
        <v>9</v>
      </c>
      <c r="G296" s="3">
        <v>19</v>
      </c>
      <c r="H296" s="3">
        <v>40</v>
      </c>
      <c r="I296" s="3">
        <v>63</v>
      </c>
      <c r="J296" s="3">
        <v>-23</v>
      </c>
      <c r="K296" s="3">
        <v>39</v>
      </c>
      <c r="L296" s="5">
        <f>IF(Table2[[#This Row],['#]]=1,"Champion", IF(Table2[[#This Row],['#]]&gt;=18,"Relegated",Table2[[#This Row],['#]]))</f>
        <v>15</v>
      </c>
      <c r="N296">
        <f>IF(COUNTIF($O$2:O296,O296)=1,N295+1,N295)</f>
        <v>40</v>
      </c>
      <c r="O296" s="4" t="str">
        <f>Table2[[#This Row],[Team]]</f>
        <v>Newcastle United</v>
      </c>
      <c r="P296" s="1" t="str">
        <f>IFERROR(VLOOKUP(ROWS($O$2:O296),$N$2:$O$441,2,0),"")</f>
        <v/>
      </c>
      <c r="Q296" s="1" t="str">
        <f>IF(P296&lt;&gt;"",SUMPRODUCT(--(Table2[Team]=P296)),"")</f>
        <v/>
      </c>
      <c r="R296" s="11" t="str">
        <f>IF(Q296&lt;&gt;"",Q296+ROWS($Q$2:Q296)/100,"")</f>
        <v/>
      </c>
      <c r="S296" t="str">
        <f>IF(R296&lt;&gt;"",LARGE($R$2:$R$441,ROWS($R$2:R296)),"")</f>
        <v/>
      </c>
      <c r="T296" s="1" t="str">
        <f>IF(R296&lt;&gt;"",INDEX($P$2:$Q$441,MATCH($S296,$R$2:$R$441,0),COLUMNS($S$2:S296)),"")</f>
        <v/>
      </c>
      <c r="U296" s="1" t="str">
        <f>IF(S296&lt;&gt;"",INDEX($P$2:$Q$441,MATCH($S296,$R$2:$R$441,0),COLUMNS($S$2:T296)),"")</f>
        <v/>
      </c>
      <c r="AE296" s="1">
        <f>Table2[[#This Row],[Year]]</f>
        <v>2014</v>
      </c>
      <c r="AF296" s="1">
        <f>Table2[[#This Row],['#]]</f>
        <v>15</v>
      </c>
      <c r="AG296" s="1" t="str">
        <f>Table2[[#This Row],[Team]]</f>
        <v>Newcastle United</v>
      </c>
      <c r="AH296" s="1">
        <f>Table2[[#This Row],[Pl]]</f>
        <v>38</v>
      </c>
      <c r="AI296" s="1">
        <f>Table2[[#This Row],[W]]</f>
        <v>10</v>
      </c>
      <c r="AJ296" s="1">
        <f>Table2[[#This Row],[D]]</f>
        <v>9</v>
      </c>
      <c r="AK296" s="1">
        <f>Table2[[#This Row],[L]]</f>
        <v>19</v>
      </c>
      <c r="AL296" s="1">
        <f>Table2[[#This Row],[F]]</f>
        <v>40</v>
      </c>
      <c r="AM296" s="1">
        <f>Table2[[#This Row],[A]]</f>
        <v>63</v>
      </c>
      <c r="AN296" s="1">
        <f>Table2[[#This Row],[GD]]</f>
        <v>-23</v>
      </c>
      <c r="AO296" s="1">
        <f>Table2[[#This Row],[Pts]]</f>
        <v>39</v>
      </c>
      <c r="AP296" s="1">
        <f>Table2[[#This Row],[Column1]]</f>
        <v>15</v>
      </c>
      <c r="AR296" t="b">
        <f t="shared" si="8"/>
        <v>1</v>
      </c>
      <c r="AS296">
        <f>IF(AR296,ROWS($AR$2:AR296),"")</f>
        <v>295</v>
      </c>
      <c r="AT296">
        <f>IFERROR(SMALL($AS$2:$AS$440,ROWS($AS$2:AS296)),"")</f>
        <v>295</v>
      </c>
      <c r="AU296">
        <f>IF(AT296&lt;&gt;"",INDEX($AE$2:$AP$440,MATCH($AT296,$AS$2:$AS$440,0),COLUMNS($AT$2:AT296)),"")</f>
        <v>2014</v>
      </c>
      <c r="AV296">
        <f>IF(AU296&lt;&gt;"",INDEX($AE$2:$AP$440,MATCH($AT296,$AS$2:$AS$440,0),COLUMNS($AT$2:AU296)),"")</f>
        <v>15</v>
      </c>
      <c r="AW296" t="str">
        <f>IF(AV296&lt;&gt;"",INDEX($AE$2:$AP$440,MATCH($AT296,$AS$2:$AS$440,0),COLUMNS($AT$2:AV296)),"")</f>
        <v>Newcastle United</v>
      </c>
      <c r="AX296">
        <f>IF(AW296&lt;&gt;"",INDEX($AE$2:$AP$440,MATCH($AT296,$AS$2:$AS$440,0),COLUMNS($AT$2:AW296)),"")</f>
        <v>38</v>
      </c>
      <c r="AY296">
        <f>IF(AX296&lt;&gt;"",INDEX($AE$2:$AP$440,MATCH($AT296,$AS$2:$AS$440,0),COLUMNS($AT$2:AX296)),"")</f>
        <v>10</v>
      </c>
      <c r="AZ296">
        <f>IF(AY296&lt;&gt;"",INDEX($AE$2:$AP$440,MATCH($AT296,$AS$2:$AS$440,0),COLUMNS($AT$2:AY296)),"")</f>
        <v>9</v>
      </c>
      <c r="BA296">
        <f>IF(AZ296&lt;&gt;"",INDEX($AE$2:$AP$440,MATCH($AT296,$AS$2:$AS$440,0),COLUMNS($AT$2:AZ296)),"")</f>
        <v>19</v>
      </c>
      <c r="BB296">
        <f>IF(BA296&lt;&gt;"",INDEX($AE$2:$AP$440,MATCH($AT296,$AS$2:$AS$440,0),COLUMNS($AT$2:BA296)),"")</f>
        <v>40</v>
      </c>
      <c r="BC296">
        <f>IF(BB296&lt;&gt;"",INDEX($AE$2:$AP$440,MATCH($AT296,$AS$2:$AS$440,0),COLUMNS($AT$2:BB296)),"")</f>
        <v>63</v>
      </c>
      <c r="BD296">
        <f>IF(BC296&lt;&gt;"",INDEX($AE$2:$AP$440,MATCH($AT296,$AS$2:$AS$440,0),COLUMNS($AT$2:BC296)),"")</f>
        <v>-23</v>
      </c>
      <c r="BE296">
        <f>IF(BD296&lt;&gt;"",INDEX($AE$2:$AP$440,MATCH($AT296,$AS$2:$AS$440,0),COLUMNS($AT$2:BD296)),"")</f>
        <v>39</v>
      </c>
      <c r="BF296">
        <f>IF(BE296&lt;&gt;"",INDEX($AE$2:$AP$440,MATCH($AT296,$AS$2:$AS$440,0),COLUMNS($AT$2:BE296)),"")</f>
        <v>15</v>
      </c>
    </row>
    <row r="297" spans="1:58" x14ac:dyDescent="0.25">
      <c r="A297" s="5">
        <v>2014</v>
      </c>
      <c r="B297" s="5">
        <v>16</v>
      </c>
      <c r="C297" s="6" t="s">
        <v>17</v>
      </c>
      <c r="D297" s="5">
        <v>38</v>
      </c>
      <c r="E297" s="5">
        <v>7</v>
      </c>
      <c r="F297" s="5">
        <v>17</v>
      </c>
      <c r="G297" s="5">
        <v>14</v>
      </c>
      <c r="H297" s="5">
        <v>31</v>
      </c>
      <c r="I297" s="5">
        <v>53</v>
      </c>
      <c r="J297" s="5">
        <v>-22</v>
      </c>
      <c r="K297" s="5">
        <v>38</v>
      </c>
      <c r="L297" s="5">
        <f>IF(Table2[[#This Row],['#]]=1,"Champion", IF(Table2[[#This Row],['#]]&gt;=18,"Relegated",Table2[[#This Row],['#]]))</f>
        <v>16</v>
      </c>
      <c r="N297">
        <f>IF(COUNTIF($O$2:O297,O297)=1,N296+1,N296)</f>
        <v>40</v>
      </c>
      <c r="O297" s="4" t="str">
        <f>Table2[[#This Row],[Team]]</f>
        <v>Sunderland</v>
      </c>
      <c r="P297" s="1" t="str">
        <f>IFERROR(VLOOKUP(ROWS($O$2:O297),$N$2:$O$441,2,0),"")</f>
        <v/>
      </c>
      <c r="Q297" s="1" t="str">
        <f>IF(P297&lt;&gt;"",SUMPRODUCT(--(Table2[Team]=P297)),"")</f>
        <v/>
      </c>
      <c r="R297" s="11" t="str">
        <f>IF(Q297&lt;&gt;"",Q297+ROWS($Q$2:Q297)/100,"")</f>
        <v/>
      </c>
      <c r="S297" t="str">
        <f>IF(R297&lt;&gt;"",LARGE($R$2:$R$441,ROWS($R$2:R297)),"")</f>
        <v/>
      </c>
      <c r="T297" s="1" t="str">
        <f>IF(R297&lt;&gt;"",INDEX($P$2:$Q$441,MATCH($S297,$R$2:$R$441,0),COLUMNS($S$2:S297)),"")</f>
        <v/>
      </c>
      <c r="U297" s="1" t="str">
        <f>IF(S297&lt;&gt;"",INDEX($P$2:$Q$441,MATCH($S297,$R$2:$R$441,0),COLUMNS($S$2:T297)),"")</f>
        <v/>
      </c>
      <c r="AE297" s="1">
        <f>Table2[[#This Row],[Year]]</f>
        <v>2014</v>
      </c>
      <c r="AF297" s="1">
        <f>Table2[[#This Row],['#]]</f>
        <v>16</v>
      </c>
      <c r="AG297" s="1" t="str">
        <f>Table2[[#This Row],[Team]]</f>
        <v>Sunderland</v>
      </c>
      <c r="AH297" s="1">
        <f>Table2[[#This Row],[Pl]]</f>
        <v>38</v>
      </c>
      <c r="AI297" s="1">
        <f>Table2[[#This Row],[W]]</f>
        <v>7</v>
      </c>
      <c r="AJ297" s="1">
        <f>Table2[[#This Row],[D]]</f>
        <v>17</v>
      </c>
      <c r="AK297" s="1">
        <f>Table2[[#This Row],[L]]</f>
        <v>14</v>
      </c>
      <c r="AL297" s="1">
        <f>Table2[[#This Row],[F]]</f>
        <v>31</v>
      </c>
      <c r="AM297" s="1">
        <f>Table2[[#This Row],[A]]</f>
        <v>53</v>
      </c>
      <c r="AN297" s="1">
        <f>Table2[[#This Row],[GD]]</f>
        <v>-22</v>
      </c>
      <c r="AO297" s="1">
        <f>Table2[[#This Row],[Pts]]</f>
        <v>38</v>
      </c>
      <c r="AP297" s="1">
        <f>Table2[[#This Row],[Column1]]</f>
        <v>16</v>
      </c>
      <c r="AR297" t="b">
        <f t="shared" si="8"/>
        <v>1</v>
      </c>
      <c r="AS297">
        <f>IF(AR297,ROWS($AR$2:AR297),"")</f>
        <v>296</v>
      </c>
      <c r="AT297">
        <f>IFERROR(SMALL($AS$2:$AS$440,ROWS($AS$2:AS297)),"")</f>
        <v>296</v>
      </c>
      <c r="AU297">
        <f>IF(AT297&lt;&gt;"",INDEX($AE$2:$AP$440,MATCH($AT297,$AS$2:$AS$440,0),COLUMNS($AT$2:AT297)),"")</f>
        <v>2014</v>
      </c>
      <c r="AV297">
        <f>IF(AU297&lt;&gt;"",INDEX($AE$2:$AP$440,MATCH($AT297,$AS$2:$AS$440,0),COLUMNS($AT$2:AU297)),"")</f>
        <v>16</v>
      </c>
      <c r="AW297" t="str">
        <f>IF(AV297&lt;&gt;"",INDEX($AE$2:$AP$440,MATCH($AT297,$AS$2:$AS$440,0),COLUMNS($AT$2:AV297)),"")</f>
        <v>Sunderland</v>
      </c>
      <c r="AX297">
        <f>IF(AW297&lt;&gt;"",INDEX($AE$2:$AP$440,MATCH($AT297,$AS$2:$AS$440,0),COLUMNS($AT$2:AW297)),"")</f>
        <v>38</v>
      </c>
      <c r="AY297">
        <f>IF(AX297&lt;&gt;"",INDEX($AE$2:$AP$440,MATCH($AT297,$AS$2:$AS$440,0),COLUMNS($AT$2:AX297)),"")</f>
        <v>7</v>
      </c>
      <c r="AZ297">
        <f>IF(AY297&lt;&gt;"",INDEX($AE$2:$AP$440,MATCH($AT297,$AS$2:$AS$440,0),COLUMNS($AT$2:AY297)),"")</f>
        <v>17</v>
      </c>
      <c r="BA297">
        <f>IF(AZ297&lt;&gt;"",INDEX($AE$2:$AP$440,MATCH($AT297,$AS$2:$AS$440,0),COLUMNS($AT$2:AZ297)),"")</f>
        <v>14</v>
      </c>
      <c r="BB297">
        <f>IF(BA297&lt;&gt;"",INDEX($AE$2:$AP$440,MATCH($AT297,$AS$2:$AS$440,0),COLUMNS($AT$2:BA297)),"")</f>
        <v>31</v>
      </c>
      <c r="BC297">
        <f>IF(BB297&lt;&gt;"",INDEX($AE$2:$AP$440,MATCH($AT297,$AS$2:$AS$440,0),COLUMNS($AT$2:BB297)),"")</f>
        <v>53</v>
      </c>
      <c r="BD297">
        <f>IF(BC297&lt;&gt;"",INDEX($AE$2:$AP$440,MATCH($AT297,$AS$2:$AS$440,0),COLUMNS($AT$2:BC297)),"")</f>
        <v>-22</v>
      </c>
      <c r="BE297">
        <f>IF(BD297&lt;&gt;"",INDEX($AE$2:$AP$440,MATCH($AT297,$AS$2:$AS$440,0),COLUMNS($AT$2:BD297)),"")</f>
        <v>38</v>
      </c>
      <c r="BF297">
        <f>IF(BE297&lt;&gt;"",INDEX($AE$2:$AP$440,MATCH($AT297,$AS$2:$AS$440,0),COLUMNS($AT$2:BE297)),"")</f>
        <v>16</v>
      </c>
    </row>
    <row r="298" spans="1:58" x14ac:dyDescent="0.25">
      <c r="A298" s="3">
        <v>2014</v>
      </c>
      <c r="B298" s="3">
        <v>17</v>
      </c>
      <c r="C298" s="4" t="s">
        <v>18</v>
      </c>
      <c r="D298" s="3">
        <v>38</v>
      </c>
      <c r="E298" s="3">
        <v>10</v>
      </c>
      <c r="F298" s="3">
        <v>8</v>
      </c>
      <c r="G298" s="3">
        <v>20</v>
      </c>
      <c r="H298" s="3">
        <v>31</v>
      </c>
      <c r="I298" s="3">
        <v>57</v>
      </c>
      <c r="J298" s="3">
        <v>-26</v>
      </c>
      <c r="K298" s="3">
        <v>38</v>
      </c>
      <c r="L298" s="5">
        <f>IF(Table2[[#This Row],['#]]=1,"Champion", IF(Table2[[#This Row],['#]]&gt;=18,"Relegated",Table2[[#This Row],['#]]))</f>
        <v>17</v>
      </c>
      <c r="N298">
        <f>IF(COUNTIF($O$2:O298,O298)=1,N297+1,N297)</f>
        <v>40</v>
      </c>
      <c r="O298" s="4" t="str">
        <f>Table2[[#This Row],[Team]]</f>
        <v>Aston Villa</v>
      </c>
      <c r="P298" s="1" t="str">
        <f>IFERROR(VLOOKUP(ROWS($O$2:O298),$N$2:$O$441,2,0),"")</f>
        <v/>
      </c>
      <c r="Q298" s="1" t="str">
        <f>IF(P298&lt;&gt;"",SUMPRODUCT(--(Table2[Team]=P298)),"")</f>
        <v/>
      </c>
      <c r="R298" s="11" t="str">
        <f>IF(Q298&lt;&gt;"",Q298+ROWS($Q$2:Q298)/100,"")</f>
        <v/>
      </c>
      <c r="S298" t="str">
        <f>IF(R298&lt;&gt;"",LARGE($R$2:$R$441,ROWS($R$2:R298)),"")</f>
        <v/>
      </c>
      <c r="T298" s="1" t="str">
        <f>IF(R298&lt;&gt;"",INDEX($P$2:$Q$441,MATCH($S298,$R$2:$R$441,0),COLUMNS($S$2:S298)),"")</f>
        <v/>
      </c>
      <c r="U298" s="1" t="str">
        <f>IF(S298&lt;&gt;"",INDEX($P$2:$Q$441,MATCH($S298,$R$2:$R$441,0),COLUMNS($S$2:T298)),"")</f>
        <v/>
      </c>
      <c r="AE298" s="1">
        <f>Table2[[#This Row],[Year]]</f>
        <v>2014</v>
      </c>
      <c r="AF298" s="1">
        <f>Table2[[#This Row],['#]]</f>
        <v>17</v>
      </c>
      <c r="AG298" s="1" t="str">
        <f>Table2[[#This Row],[Team]]</f>
        <v>Aston Villa</v>
      </c>
      <c r="AH298" s="1">
        <f>Table2[[#This Row],[Pl]]</f>
        <v>38</v>
      </c>
      <c r="AI298" s="1">
        <f>Table2[[#This Row],[W]]</f>
        <v>10</v>
      </c>
      <c r="AJ298" s="1">
        <f>Table2[[#This Row],[D]]</f>
        <v>8</v>
      </c>
      <c r="AK298" s="1">
        <f>Table2[[#This Row],[L]]</f>
        <v>20</v>
      </c>
      <c r="AL298" s="1">
        <f>Table2[[#This Row],[F]]</f>
        <v>31</v>
      </c>
      <c r="AM298" s="1">
        <f>Table2[[#This Row],[A]]</f>
        <v>57</v>
      </c>
      <c r="AN298" s="1">
        <f>Table2[[#This Row],[GD]]</f>
        <v>-26</v>
      </c>
      <c r="AO298" s="1">
        <f>Table2[[#This Row],[Pts]]</f>
        <v>38</v>
      </c>
      <c r="AP298" s="1">
        <f>Table2[[#This Row],[Column1]]</f>
        <v>17</v>
      </c>
      <c r="AR298" t="b">
        <f t="shared" si="8"/>
        <v>1</v>
      </c>
      <c r="AS298">
        <f>IF(AR298,ROWS($AR$2:AR298),"")</f>
        <v>297</v>
      </c>
      <c r="AT298">
        <f>IFERROR(SMALL($AS$2:$AS$440,ROWS($AS$2:AS298)),"")</f>
        <v>297</v>
      </c>
      <c r="AU298">
        <f>IF(AT298&lt;&gt;"",INDEX($AE$2:$AP$440,MATCH($AT298,$AS$2:$AS$440,0),COLUMNS($AT$2:AT298)),"")</f>
        <v>2014</v>
      </c>
      <c r="AV298">
        <f>IF(AU298&lt;&gt;"",INDEX($AE$2:$AP$440,MATCH($AT298,$AS$2:$AS$440,0),COLUMNS($AT$2:AU298)),"")</f>
        <v>17</v>
      </c>
      <c r="AW298" t="str">
        <f>IF(AV298&lt;&gt;"",INDEX($AE$2:$AP$440,MATCH($AT298,$AS$2:$AS$440,0),COLUMNS($AT$2:AV298)),"")</f>
        <v>Aston Villa</v>
      </c>
      <c r="AX298">
        <f>IF(AW298&lt;&gt;"",INDEX($AE$2:$AP$440,MATCH($AT298,$AS$2:$AS$440,0),COLUMNS($AT$2:AW298)),"")</f>
        <v>38</v>
      </c>
      <c r="AY298">
        <f>IF(AX298&lt;&gt;"",INDEX($AE$2:$AP$440,MATCH($AT298,$AS$2:$AS$440,0),COLUMNS($AT$2:AX298)),"")</f>
        <v>10</v>
      </c>
      <c r="AZ298">
        <f>IF(AY298&lt;&gt;"",INDEX($AE$2:$AP$440,MATCH($AT298,$AS$2:$AS$440,0),COLUMNS($AT$2:AY298)),"")</f>
        <v>8</v>
      </c>
      <c r="BA298">
        <f>IF(AZ298&lt;&gt;"",INDEX($AE$2:$AP$440,MATCH($AT298,$AS$2:$AS$440,0),COLUMNS($AT$2:AZ298)),"")</f>
        <v>20</v>
      </c>
      <c r="BB298">
        <f>IF(BA298&lt;&gt;"",INDEX($AE$2:$AP$440,MATCH($AT298,$AS$2:$AS$440,0),COLUMNS($AT$2:BA298)),"")</f>
        <v>31</v>
      </c>
      <c r="BC298">
        <f>IF(BB298&lt;&gt;"",INDEX($AE$2:$AP$440,MATCH($AT298,$AS$2:$AS$440,0),COLUMNS($AT$2:BB298)),"")</f>
        <v>57</v>
      </c>
      <c r="BD298">
        <f>IF(BC298&lt;&gt;"",INDEX($AE$2:$AP$440,MATCH($AT298,$AS$2:$AS$440,0),COLUMNS($AT$2:BC298)),"")</f>
        <v>-26</v>
      </c>
      <c r="BE298">
        <f>IF(BD298&lt;&gt;"",INDEX($AE$2:$AP$440,MATCH($AT298,$AS$2:$AS$440,0),COLUMNS($AT$2:BD298)),"")</f>
        <v>38</v>
      </c>
      <c r="BF298">
        <f>IF(BE298&lt;&gt;"",INDEX($AE$2:$AP$440,MATCH($AT298,$AS$2:$AS$440,0),COLUMNS($AT$2:BE298)),"")</f>
        <v>17</v>
      </c>
    </row>
    <row r="299" spans="1:58" x14ac:dyDescent="0.25">
      <c r="A299" s="5">
        <v>2014</v>
      </c>
      <c r="B299" s="5">
        <v>18</v>
      </c>
      <c r="C299" s="6" t="s">
        <v>45</v>
      </c>
      <c r="D299" s="5">
        <v>38</v>
      </c>
      <c r="E299" s="5">
        <v>8</v>
      </c>
      <c r="F299" s="5">
        <v>11</v>
      </c>
      <c r="G299" s="5">
        <v>19</v>
      </c>
      <c r="H299" s="5">
        <v>33</v>
      </c>
      <c r="I299" s="5">
        <v>51</v>
      </c>
      <c r="J299" s="5">
        <v>-18</v>
      </c>
      <c r="K299" s="5">
        <v>35</v>
      </c>
      <c r="L299" s="5" t="str">
        <f>IF(Table2[[#This Row],['#]]=1,"Champion", IF(Table2[[#This Row],['#]]&gt;=18,"Relegated",Table2[[#This Row],['#]]))</f>
        <v>Relegated</v>
      </c>
      <c r="N299">
        <f>IF(COUNTIF($O$2:O299,O299)=1,N298+1,N298)</f>
        <v>40</v>
      </c>
      <c r="O299" s="4" t="str">
        <f>Table2[[#This Row],[Team]]</f>
        <v>Hull City</v>
      </c>
      <c r="P299" s="1" t="str">
        <f>IFERROR(VLOOKUP(ROWS($O$2:O299),$N$2:$O$441,2,0),"")</f>
        <v/>
      </c>
      <c r="Q299" s="1" t="str">
        <f>IF(P299&lt;&gt;"",SUMPRODUCT(--(Table2[Team]=P299)),"")</f>
        <v/>
      </c>
      <c r="R299" s="11" t="str">
        <f>IF(Q299&lt;&gt;"",Q299+ROWS($Q$2:Q299)/100,"")</f>
        <v/>
      </c>
      <c r="S299" t="str">
        <f>IF(R299&lt;&gt;"",LARGE($R$2:$R$441,ROWS($R$2:R299)),"")</f>
        <v/>
      </c>
      <c r="T299" s="1" t="str">
        <f>IF(R299&lt;&gt;"",INDEX($P$2:$Q$441,MATCH($S299,$R$2:$R$441,0),COLUMNS($S$2:S299)),"")</f>
        <v/>
      </c>
      <c r="U299" s="1" t="str">
        <f>IF(S299&lt;&gt;"",INDEX($P$2:$Q$441,MATCH($S299,$R$2:$R$441,0),COLUMNS($S$2:T299)),"")</f>
        <v/>
      </c>
      <c r="AE299" s="1">
        <f>Table2[[#This Row],[Year]]</f>
        <v>2014</v>
      </c>
      <c r="AF299" s="1">
        <f>Table2[[#This Row],['#]]</f>
        <v>18</v>
      </c>
      <c r="AG299" s="1" t="str">
        <f>Table2[[#This Row],[Team]]</f>
        <v>Hull City</v>
      </c>
      <c r="AH299" s="1">
        <f>Table2[[#This Row],[Pl]]</f>
        <v>38</v>
      </c>
      <c r="AI299" s="1">
        <f>Table2[[#This Row],[W]]</f>
        <v>8</v>
      </c>
      <c r="AJ299" s="1">
        <f>Table2[[#This Row],[D]]</f>
        <v>11</v>
      </c>
      <c r="AK299" s="1">
        <f>Table2[[#This Row],[L]]</f>
        <v>19</v>
      </c>
      <c r="AL299" s="1">
        <f>Table2[[#This Row],[F]]</f>
        <v>33</v>
      </c>
      <c r="AM299" s="1">
        <f>Table2[[#This Row],[A]]</f>
        <v>51</v>
      </c>
      <c r="AN299" s="1">
        <f>Table2[[#This Row],[GD]]</f>
        <v>-18</v>
      </c>
      <c r="AO299" s="1">
        <f>Table2[[#This Row],[Pts]]</f>
        <v>35</v>
      </c>
      <c r="AP299" s="1" t="str">
        <f>Table2[[#This Row],[Column1]]</f>
        <v>Relegated</v>
      </c>
      <c r="AR299" t="b">
        <f t="shared" si="8"/>
        <v>1</v>
      </c>
      <c r="AS299">
        <f>IF(AR299,ROWS($AR$2:AR299),"")</f>
        <v>298</v>
      </c>
      <c r="AT299">
        <f>IFERROR(SMALL($AS$2:$AS$440,ROWS($AS$2:AS299)),"")</f>
        <v>298</v>
      </c>
      <c r="AU299">
        <f>IF(AT299&lt;&gt;"",INDEX($AE$2:$AP$440,MATCH($AT299,$AS$2:$AS$440,0),COLUMNS($AT$2:AT299)),"")</f>
        <v>2014</v>
      </c>
      <c r="AV299">
        <f>IF(AU299&lt;&gt;"",INDEX($AE$2:$AP$440,MATCH($AT299,$AS$2:$AS$440,0),COLUMNS($AT$2:AU299)),"")</f>
        <v>18</v>
      </c>
      <c r="AW299" t="str">
        <f>IF(AV299&lt;&gt;"",INDEX($AE$2:$AP$440,MATCH($AT299,$AS$2:$AS$440,0),COLUMNS($AT$2:AV299)),"")</f>
        <v>Hull City</v>
      </c>
      <c r="AX299">
        <f>IF(AW299&lt;&gt;"",INDEX($AE$2:$AP$440,MATCH($AT299,$AS$2:$AS$440,0),COLUMNS($AT$2:AW299)),"")</f>
        <v>38</v>
      </c>
      <c r="AY299">
        <f>IF(AX299&lt;&gt;"",INDEX($AE$2:$AP$440,MATCH($AT299,$AS$2:$AS$440,0),COLUMNS($AT$2:AX299)),"")</f>
        <v>8</v>
      </c>
      <c r="AZ299">
        <f>IF(AY299&lt;&gt;"",INDEX($AE$2:$AP$440,MATCH($AT299,$AS$2:$AS$440,0),COLUMNS($AT$2:AY299)),"")</f>
        <v>11</v>
      </c>
      <c r="BA299">
        <f>IF(AZ299&lt;&gt;"",INDEX($AE$2:$AP$440,MATCH($AT299,$AS$2:$AS$440,0),COLUMNS($AT$2:AZ299)),"")</f>
        <v>19</v>
      </c>
      <c r="BB299">
        <f>IF(BA299&lt;&gt;"",INDEX($AE$2:$AP$440,MATCH($AT299,$AS$2:$AS$440,0),COLUMNS($AT$2:BA299)),"")</f>
        <v>33</v>
      </c>
      <c r="BC299">
        <f>IF(BB299&lt;&gt;"",INDEX($AE$2:$AP$440,MATCH($AT299,$AS$2:$AS$440,0),COLUMNS($AT$2:BB299)),"")</f>
        <v>51</v>
      </c>
      <c r="BD299">
        <f>IF(BC299&lt;&gt;"",INDEX($AE$2:$AP$440,MATCH($AT299,$AS$2:$AS$440,0),COLUMNS($AT$2:BC299)),"")</f>
        <v>-18</v>
      </c>
      <c r="BE299">
        <f>IF(BD299&lt;&gt;"",INDEX($AE$2:$AP$440,MATCH($AT299,$AS$2:$AS$440,0),COLUMNS($AT$2:BD299)),"")</f>
        <v>35</v>
      </c>
      <c r="BF299" t="str">
        <f>IF(BE299&lt;&gt;"",INDEX($AE$2:$AP$440,MATCH($AT299,$AS$2:$AS$440,0),COLUMNS($AT$2:BE299)),"")</f>
        <v>Relegated</v>
      </c>
    </row>
    <row r="300" spans="1:58" x14ac:dyDescent="0.25">
      <c r="A300" s="3">
        <v>2014</v>
      </c>
      <c r="B300" s="3">
        <v>19</v>
      </c>
      <c r="C300" s="4" t="s">
        <v>46</v>
      </c>
      <c r="D300" s="3">
        <v>38</v>
      </c>
      <c r="E300" s="3">
        <v>7</v>
      </c>
      <c r="F300" s="3">
        <v>12</v>
      </c>
      <c r="G300" s="3">
        <v>19</v>
      </c>
      <c r="H300" s="3">
        <v>28</v>
      </c>
      <c r="I300" s="3">
        <v>53</v>
      </c>
      <c r="J300" s="3">
        <v>-25</v>
      </c>
      <c r="K300" s="3">
        <v>33</v>
      </c>
      <c r="L300" s="5" t="str">
        <f>IF(Table2[[#This Row],['#]]=1,"Champion", IF(Table2[[#This Row],['#]]&gt;=18,"Relegated",Table2[[#This Row],['#]]))</f>
        <v>Relegated</v>
      </c>
      <c r="N300">
        <f>IF(COUNTIF($O$2:O300,O300)=1,N299+1,N299)</f>
        <v>40</v>
      </c>
      <c r="O300" s="4" t="str">
        <f>Table2[[#This Row],[Team]]</f>
        <v>Burnley</v>
      </c>
      <c r="P300" s="1" t="str">
        <f>IFERROR(VLOOKUP(ROWS($O$2:O300),$N$2:$O$441,2,0),"")</f>
        <v/>
      </c>
      <c r="Q300" s="1" t="str">
        <f>IF(P300&lt;&gt;"",SUMPRODUCT(--(Table2[Team]=P300)),"")</f>
        <v/>
      </c>
      <c r="R300" s="11" t="str">
        <f>IF(Q300&lt;&gt;"",Q300+ROWS($Q$2:Q300)/100,"")</f>
        <v/>
      </c>
      <c r="S300" t="str">
        <f>IF(R300&lt;&gt;"",LARGE($R$2:$R$441,ROWS($R$2:R300)),"")</f>
        <v/>
      </c>
      <c r="T300" s="1" t="str">
        <f>IF(R300&lt;&gt;"",INDEX($P$2:$Q$441,MATCH($S300,$R$2:$R$441,0),COLUMNS($S$2:S300)),"")</f>
        <v/>
      </c>
      <c r="U300" s="1" t="str">
        <f>IF(S300&lt;&gt;"",INDEX($P$2:$Q$441,MATCH($S300,$R$2:$R$441,0),COLUMNS($S$2:T300)),"")</f>
        <v/>
      </c>
      <c r="AE300" s="1">
        <f>Table2[[#This Row],[Year]]</f>
        <v>2014</v>
      </c>
      <c r="AF300" s="1">
        <f>Table2[[#This Row],['#]]</f>
        <v>19</v>
      </c>
      <c r="AG300" s="1" t="str">
        <f>Table2[[#This Row],[Team]]</f>
        <v>Burnley</v>
      </c>
      <c r="AH300" s="1">
        <f>Table2[[#This Row],[Pl]]</f>
        <v>38</v>
      </c>
      <c r="AI300" s="1">
        <f>Table2[[#This Row],[W]]</f>
        <v>7</v>
      </c>
      <c r="AJ300" s="1">
        <f>Table2[[#This Row],[D]]</f>
        <v>12</v>
      </c>
      <c r="AK300" s="1">
        <f>Table2[[#This Row],[L]]</f>
        <v>19</v>
      </c>
      <c r="AL300" s="1">
        <f>Table2[[#This Row],[F]]</f>
        <v>28</v>
      </c>
      <c r="AM300" s="1">
        <f>Table2[[#This Row],[A]]</f>
        <v>53</v>
      </c>
      <c r="AN300" s="1">
        <f>Table2[[#This Row],[GD]]</f>
        <v>-25</v>
      </c>
      <c r="AO300" s="1">
        <f>Table2[[#This Row],[Pts]]</f>
        <v>33</v>
      </c>
      <c r="AP300" s="1" t="str">
        <f>Table2[[#This Row],[Column1]]</f>
        <v>Relegated</v>
      </c>
      <c r="AR300" t="b">
        <f t="shared" si="8"/>
        <v>1</v>
      </c>
      <c r="AS300">
        <f>IF(AR300,ROWS($AR$2:AR300),"")</f>
        <v>299</v>
      </c>
      <c r="AT300">
        <f>IFERROR(SMALL($AS$2:$AS$440,ROWS($AS$2:AS300)),"")</f>
        <v>299</v>
      </c>
      <c r="AU300">
        <f>IF(AT300&lt;&gt;"",INDEX($AE$2:$AP$440,MATCH($AT300,$AS$2:$AS$440,0),COLUMNS($AT$2:AT300)),"")</f>
        <v>2014</v>
      </c>
      <c r="AV300">
        <f>IF(AU300&lt;&gt;"",INDEX($AE$2:$AP$440,MATCH($AT300,$AS$2:$AS$440,0),COLUMNS($AT$2:AU300)),"")</f>
        <v>19</v>
      </c>
      <c r="AW300" t="str">
        <f>IF(AV300&lt;&gt;"",INDEX($AE$2:$AP$440,MATCH($AT300,$AS$2:$AS$440,0),COLUMNS($AT$2:AV300)),"")</f>
        <v>Burnley</v>
      </c>
      <c r="AX300">
        <f>IF(AW300&lt;&gt;"",INDEX($AE$2:$AP$440,MATCH($AT300,$AS$2:$AS$440,0),COLUMNS($AT$2:AW300)),"")</f>
        <v>38</v>
      </c>
      <c r="AY300">
        <f>IF(AX300&lt;&gt;"",INDEX($AE$2:$AP$440,MATCH($AT300,$AS$2:$AS$440,0),COLUMNS($AT$2:AX300)),"")</f>
        <v>7</v>
      </c>
      <c r="AZ300">
        <f>IF(AY300&lt;&gt;"",INDEX($AE$2:$AP$440,MATCH($AT300,$AS$2:$AS$440,0),COLUMNS($AT$2:AY300)),"")</f>
        <v>12</v>
      </c>
      <c r="BA300">
        <f>IF(AZ300&lt;&gt;"",INDEX($AE$2:$AP$440,MATCH($AT300,$AS$2:$AS$440,0),COLUMNS($AT$2:AZ300)),"")</f>
        <v>19</v>
      </c>
      <c r="BB300">
        <f>IF(BA300&lt;&gt;"",INDEX($AE$2:$AP$440,MATCH($AT300,$AS$2:$AS$440,0),COLUMNS($AT$2:BA300)),"")</f>
        <v>28</v>
      </c>
      <c r="BC300">
        <f>IF(BB300&lt;&gt;"",INDEX($AE$2:$AP$440,MATCH($AT300,$AS$2:$AS$440,0),COLUMNS($AT$2:BB300)),"")</f>
        <v>53</v>
      </c>
      <c r="BD300">
        <f>IF(BC300&lt;&gt;"",INDEX($AE$2:$AP$440,MATCH($AT300,$AS$2:$AS$440,0),COLUMNS($AT$2:BC300)),"")</f>
        <v>-25</v>
      </c>
      <c r="BE300">
        <f>IF(BD300&lt;&gt;"",INDEX($AE$2:$AP$440,MATCH($AT300,$AS$2:$AS$440,0),COLUMNS($AT$2:BD300)),"")</f>
        <v>33</v>
      </c>
      <c r="BF300" t="str">
        <f>IF(BE300&lt;&gt;"",INDEX($AE$2:$AP$440,MATCH($AT300,$AS$2:$AS$440,0),COLUMNS($AT$2:BE300)),"")</f>
        <v>Relegated</v>
      </c>
    </row>
    <row r="301" spans="1:58" x14ac:dyDescent="0.25">
      <c r="A301" s="5">
        <v>2014</v>
      </c>
      <c r="B301" s="5">
        <v>20</v>
      </c>
      <c r="C301" s="6" t="s">
        <v>49</v>
      </c>
      <c r="D301" s="5">
        <v>38</v>
      </c>
      <c r="E301" s="5">
        <v>8</v>
      </c>
      <c r="F301" s="5">
        <v>6</v>
      </c>
      <c r="G301" s="5">
        <v>24</v>
      </c>
      <c r="H301" s="5">
        <v>42</v>
      </c>
      <c r="I301" s="5">
        <v>73</v>
      </c>
      <c r="J301" s="5">
        <v>-31</v>
      </c>
      <c r="K301" s="5">
        <v>30</v>
      </c>
      <c r="L301" s="5" t="str">
        <f>IF(Table2[[#This Row],['#]]=1,"Champion", IF(Table2[[#This Row],['#]]&gt;=18,"Relegated",Table2[[#This Row],['#]]))</f>
        <v>Relegated</v>
      </c>
      <c r="N301">
        <f>IF(COUNTIF($O$2:O301,O301)=1,N300+1,N300)</f>
        <v>40</v>
      </c>
      <c r="O301" s="4" t="str">
        <f>Table2[[#This Row],[Team]]</f>
        <v>Queens Park Rangers</v>
      </c>
      <c r="P301" s="1" t="str">
        <f>IFERROR(VLOOKUP(ROWS($O$2:O301),$N$2:$O$441,2,0),"")</f>
        <v/>
      </c>
      <c r="Q301" s="1" t="str">
        <f>IF(P301&lt;&gt;"",SUMPRODUCT(--(Table2[Team]=P301)),"")</f>
        <v/>
      </c>
      <c r="R301" s="11" t="str">
        <f>IF(Q301&lt;&gt;"",Q301+ROWS($Q$2:Q301)/100,"")</f>
        <v/>
      </c>
      <c r="S301" t="str">
        <f>IF(R301&lt;&gt;"",LARGE($R$2:$R$441,ROWS($R$2:R301)),"")</f>
        <v/>
      </c>
      <c r="T301" s="1" t="str">
        <f>IF(R301&lt;&gt;"",INDEX($P$2:$Q$441,MATCH($S301,$R$2:$R$441,0),COLUMNS($S$2:S301)),"")</f>
        <v/>
      </c>
      <c r="U301" s="1" t="str">
        <f>IF(S301&lt;&gt;"",INDEX($P$2:$Q$441,MATCH($S301,$R$2:$R$441,0),COLUMNS($S$2:T301)),"")</f>
        <v/>
      </c>
      <c r="AE301" s="1">
        <f>Table2[[#This Row],[Year]]</f>
        <v>2014</v>
      </c>
      <c r="AF301" s="1">
        <f>Table2[[#This Row],['#]]</f>
        <v>20</v>
      </c>
      <c r="AG301" s="1" t="str">
        <f>Table2[[#This Row],[Team]]</f>
        <v>Queens Park Rangers</v>
      </c>
      <c r="AH301" s="1">
        <f>Table2[[#This Row],[Pl]]</f>
        <v>38</v>
      </c>
      <c r="AI301" s="1">
        <f>Table2[[#This Row],[W]]</f>
        <v>8</v>
      </c>
      <c r="AJ301" s="1">
        <f>Table2[[#This Row],[D]]</f>
        <v>6</v>
      </c>
      <c r="AK301" s="1">
        <f>Table2[[#This Row],[L]]</f>
        <v>24</v>
      </c>
      <c r="AL301" s="1">
        <f>Table2[[#This Row],[F]]</f>
        <v>42</v>
      </c>
      <c r="AM301" s="1">
        <f>Table2[[#This Row],[A]]</f>
        <v>73</v>
      </c>
      <c r="AN301" s="1">
        <f>Table2[[#This Row],[GD]]</f>
        <v>-31</v>
      </c>
      <c r="AO301" s="1">
        <f>Table2[[#This Row],[Pts]]</f>
        <v>30</v>
      </c>
      <c r="AP301" s="1" t="str">
        <f>Table2[[#This Row],[Column1]]</f>
        <v>Relegated</v>
      </c>
      <c r="AR301" t="b">
        <f t="shared" si="8"/>
        <v>1</v>
      </c>
      <c r="AS301">
        <f>IF(AR301,ROWS($AR$2:AR301),"")</f>
        <v>300</v>
      </c>
      <c r="AT301">
        <f>IFERROR(SMALL($AS$2:$AS$440,ROWS($AS$2:AS301)),"")</f>
        <v>300</v>
      </c>
      <c r="AU301">
        <f>IF(AT301&lt;&gt;"",INDEX($AE$2:$AP$440,MATCH($AT301,$AS$2:$AS$440,0),COLUMNS($AT$2:AT301)),"")</f>
        <v>2014</v>
      </c>
      <c r="AV301">
        <f>IF(AU301&lt;&gt;"",INDEX($AE$2:$AP$440,MATCH($AT301,$AS$2:$AS$440,0),COLUMNS($AT$2:AU301)),"")</f>
        <v>20</v>
      </c>
      <c r="AW301" t="str">
        <f>IF(AV301&lt;&gt;"",INDEX($AE$2:$AP$440,MATCH($AT301,$AS$2:$AS$440,0),COLUMNS($AT$2:AV301)),"")</f>
        <v>Queens Park Rangers</v>
      </c>
      <c r="AX301">
        <f>IF(AW301&lt;&gt;"",INDEX($AE$2:$AP$440,MATCH($AT301,$AS$2:$AS$440,0),COLUMNS($AT$2:AW301)),"")</f>
        <v>38</v>
      </c>
      <c r="AY301">
        <f>IF(AX301&lt;&gt;"",INDEX($AE$2:$AP$440,MATCH($AT301,$AS$2:$AS$440,0),COLUMNS($AT$2:AX301)),"")</f>
        <v>8</v>
      </c>
      <c r="AZ301">
        <f>IF(AY301&lt;&gt;"",INDEX($AE$2:$AP$440,MATCH($AT301,$AS$2:$AS$440,0),COLUMNS($AT$2:AY301)),"")</f>
        <v>6</v>
      </c>
      <c r="BA301">
        <f>IF(AZ301&lt;&gt;"",INDEX($AE$2:$AP$440,MATCH($AT301,$AS$2:$AS$440,0),COLUMNS($AT$2:AZ301)),"")</f>
        <v>24</v>
      </c>
      <c r="BB301">
        <f>IF(BA301&lt;&gt;"",INDEX($AE$2:$AP$440,MATCH($AT301,$AS$2:$AS$440,0),COLUMNS($AT$2:BA301)),"")</f>
        <v>42</v>
      </c>
      <c r="BC301">
        <f>IF(BB301&lt;&gt;"",INDEX($AE$2:$AP$440,MATCH($AT301,$AS$2:$AS$440,0),COLUMNS($AT$2:BB301)),"")</f>
        <v>73</v>
      </c>
      <c r="BD301">
        <f>IF(BC301&lt;&gt;"",INDEX($AE$2:$AP$440,MATCH($AT301,$AS$2:$AS$440,0),COLUMNS($AT$2:BC301)),"")</f>
        <v>-31</v>
      </c>
      <c r="BE301">
        <f>IF(BD301&lt;&gt;"",INDEX($AE$2:$AP$440,MATCH($AT301,$AS$2:$AS$440,0),COLUMNS($AT$2:BD301)),"")</f>
        <v>30</v>
      </c>
      <c r="BF301" t="str">
        <f>IF(BE301&lt;&gt;"",INDEX($AE$2:$AP$440,MATCH($AT301,$AS$2:$AS$440,0),COLUMNS($AT$2:BE301)),"")</f>
        <v>Relegated</v>
      </c>
    </row>
    <row r="302" spans="1:58" x14ac:dyDescent="0.25">
      <c r="A302" s="3">
        <v>2015</v>
      </c>
      <c r="B302" s="3">
        <v>1</v>
      </c>
      <c r="C302" s="4" t="s">
        <v>23</v>
      </c>
      <c r="D302" s="3">
        <v>38</v>
      </c>
      <c r="E302" s="3">
        <v>23</v>
      </c>
      <c r="F302" s="3">
        <v>12</v>
      </c>
      <c r="G302" s="3">
        <v>3</v>
      </c>
      <c r="H302" s="3">
        <v>68</v>
      </c>
      <c r="I302" s="3">
        <v>36</v>
      </c>
      <c r="J302" s="3">
        <v>32</v>
      </c>
      <c r="K302" s="3">
        <v>81</v>
      </c>
      <c r="L302" s="5" t="str">
        <f>IF(Table2[[#This Row],['#]]=1,"Champion", IF(Table2[[#This Row],['#]]&gt;=18,"Relegated",Table2[[#This Row],['#]]))</f>
        <v>Champion</v>
      </c>
      <c r="N302">
        <f>IF(COUNTIF($O$2:O302,O302)=1,N301+1,N301)</f>
        <v>40</v>
      </c>
      <c r="O302" s="4" t="str">
        <f>Table2[[#This Row],[Team]]</f>
        <v>Leicester City</v>
      </c>
      <c r="P302" s="1" t="str">
        <f>IFERROR(VLOOKUP(ROWS($O$2:O302),$N$2:$O$441,2,0),"")</f>
        <v/>
      </c>
      <c r="Q302" s="1" t="str">
        <f>IF(P302&lt;&gt;"",SUMPRODUCT(--(Table2[Team]=P302)),"")</f>
        <v/>
      </c>
      <c r="R302" s="11" t="str">
        <f>IF(Q302&lt;&gt;"",Q302+ROWS($Q$2:Q302)/100,"")</f>
        <v/>
      </c>
      <c r="S302" t="str">
        <f>IF(R302&lt;&gt;"",LARGE($R$2:$R$441,ROWS($R$2:R302)),"")</f>
        <v/>
      </c>
      <c r="T302" s="1" t="str">
        <f>IF(R302&lt;&gt;"",INDEX($P$2:$Q$441,MATCH($S302,$R$2:$R$441,0),COLUMNS($S$2:S302)),"")</f>
        <v/>
      </c>
      <c r="U302" s="1" t="str">
        <f>IF(S302&lt;&gt;"",INDEX($P$2:$Q$441,MATCH($S302,$R$2:$R$441,0),COLUMNS($S$2:T302)),"")</f>
        <v/>
      </c>
      <c r="AE302" s="1">
        <f>Table2[[#This Row],[Year]]</f>
        <v>2015</v>
      </c>
      <c r="AF302" s="1">
        <f>Table2[[#This Row],['#]]</f>
        <v>1</v>
      </c>
      <c r="AG302" s="1" t="str">
        <f>Table2[[#This Row],[Team]]</f>
        <v>Leicester City</v>
      </c>
      <c r="AH302" s="1">
        <f>Table2[[#This Row],[Pl]]</f>
        <v>38</v>
      </c>
      <c r="AI302" s="1">
        <f>Table2[[#This Row],[W]]</f>
        <v>23</v>
      </c>
      <c r="AJ302" s="1">
        <f>Table2[[#This Row],[D]]</f>
        <v>12</v>
      </c>
      <c r="AK302" s="1">
        <f>Table2[[#This Row],[L]]</f>
        <v>3</v>
      </c>
      <c r="AL302" s="1">
        <f>Table2[[#This Row],[F]]</f>
        <v>68</v>
      </c>
      <c r="AM302" s="1">
        <f>Table2[[#This Row],[A]]</f>
        <v>36</v>
      </c>
      <c r="AN302" s="1">
        <f>Table2[[#This Row],[GD]]</f>
        <v>32</v>
      </c>
      <c r="AO302" s="1">
        <f>Table2[[#This Row],[Pts]]</f>
        <v>81</v>
      </c>
      <c r="AP302" s="1" t="str">
        <f>Table2[[#This Row],[Column1]]</f>
        <v>Champion</v>
      </c>
      <c r="AR302" t="b">
        <f t="shared" si="8"/>
        <v>1</v>
      </c>
      <c r="AS302">
        <f>IF(AR302,ROWS($AR$2:AR302),"")</f>
        <v>301</v>
      </c>
      <c r="AT302">
        <f>IFERROR(SMALL($AS$2:$AS$440,ROWS($AS$2:AS302)),"")</f>
        <v>301</v>
      </c>
      <c r="AU302">
        <f>IF(AT302&lt;&gt;"",INDEX($AE$2:$AP$440,MATCH($AT302,$AS$2:$AS$440,0),COLUMNS($AT$2:AT302)),"")</f>
        <v>2015</v>
      </c>
      <c r="AV302">
        <f>IF(AU302&lt;&gt;"",INDEX($AE$2:$AP$440,MATCH($AT302,$AS$2:$AS$440,0),COLUMNS($AT$2:AU302)),"")</f>
        <v>1</v>
      </c>
      <c r="AW302" t="str">
        <f>IF(AV302&lt;&gt;"",INDEX($AE$2:$AP$440,MATCH($AT302,$AS$2:$AS$440,0),COLUMNS($AT$2:AV302)),"")</f>
        <v>Leicester City</v>
      </c>
      <c r="AX302">
        <f>IF(AW302&lt;&gt;"",INDEX($AE$2:$AP$440,MATCH($AT302,$AS$2:$AS$440,0),COLUMNS($AT$2:AW302)),"")</f>
        <v>38</v>
      </c>
      <c r="AY302">
        <f>IF(AX302&lt;&gt;"",INDEX($AE$2:$AP$440,MATCH($AT302,$AS$2:$AS$440,0),COLUMNS($AT$2:AX302)),"")</f>
        <v>23</v>
      </c>
      <c r="AZ302">
        <f>IF(AY302&lt;&gt;"",INDEX($AE$2:$AP$440,MATCH($AT302,$AS$2:$AS$440,0),COLUMNS($AT$2:AY302)),"")</f>
        <v>12</v>
      </c>
      <c r="BA302">
        <f>IF(AZ302&lt;&gt;"",INDEX($AE$2:$AP$440,MATCH($AT302,$AS$2:$AS$440,0),COLUMNS($AT$2:AZ302)),"")</f>
        <v>3</v>
      </c>
      <c r="BB302">
        <f>IF(BA302&lt;&gt;"",INDEX($AE$2:$AP$440,MATCH($AT302,$AS$2:$AS$440,0),COLUMNS($AT$2:BA302)),"")</f>
        <v>68</v>
      </c>
      <c r="BC302">
        <f>IF(BB302&lt;&gt;"",INDEX($AE$2:$AP$440,MATCH($AT302,$AS$2:$AS$440,0),COLUMNS($AT$2:BB302)),"")</f>
        <v>36</v>
      </c>
      <c r="BD302">
        <f>IF(BC302&lt;&gt;"",INDEX($AE$2:$AP$440,MATCH($AT302,$AS$2:$AS$440,0),COLUMNS($AT$2:BC302)),"")</f>
        <v>32</v>
      </c>
      <c r="BE302">
        <f>IF(BD302&lt;&gt;"",INDEX($AE$2:$AP$440,MATCH($AT302,$AS$2:$AS$440,0),COLUMNS($AT$2:BD302)),"")</f>
        <v>81</v>
      </c>
      <c r="BF302" t="str">
        <f>IF(BE302&lt;&gt;"",INDEX($AE$2:$AP$440,MATCH($AT302,$AS$2:$AS$440,0),COLUMNS($AT$2:BE302)),"")</f>
        <v>Champion</v>
      </c>
    </row>
    <row r="303" spans="1:58" x14ac:dyDescent="0.25">
      <c r="A303" s="5">
        <v>2015</v>
      </c>
      <c r="B303" s="5">
        <v>2</v>
      </c>
      <c r="C303" s="6" t="s">
        <v>12</v>
      </c>
      <c r="D303" s="5">
        <v>38</v>
      </c>
      <c r="E303" s="5">
        <v>20</v>
      </c>
      <c r="F303" s="5">
        <v>11</v>
      </c>
      <c r="G303" s="5">
        <v>7</v>
      </c>
      <c r="H303" s="5">
        <v>65</v>
      </c>
      <c r="I303" s="5">
        <v>36</v>
      </c>
      <c r="J303" s="5">
        <v>29</v>
      </c>
      <c r="K303" s="5">
        <v>71</v>
      </c>
      <c r="L303" s="5">
        <f>IF(Table2[[#This Row],['#]]=1,"Champion", IF(Table2[[#This Row],['#]]&gt;=18,"Relegated",Table2[[#This Row],['#]]))</f>
        <v>2</v>
      </c>
      <c r="N303">
        <f>IF(COUNTIF($O$2:O303,O303)=1,N302+1,N302)</f>
        <v>40</v>
      </c>
      <c r="O303" s="4" t="str">
        <f>Table2[[#This Row],[Team]]</f>
        <v>Arsenal</v>
      </c>
      <c r="P303" s="1" t="str">
        <f>IFERROR(VLOOKUP(ROWS($O$2:O303),$N$2:$O$441,2,0),"")</f>
        <v/>
      </c>
      <c r="Q303" s="1" t="str">
        <f>IF(P303&lt;&gt;"",SUMPRODUCT(--(Table2[Team]=P303)),"")</f>
        <v/>
      </c>
      <c r="R303" s="11" t="str">
        <f>IF(Q303&lt;&gt;"",Q303+ROWS($Q$2:Q303)/100,"")</f>
        <v/>
      </c>
      <c r="S303" t="str">
        <f>IF(R303&lt;&gt;"",LARGE($R$2:$R$441,ROWS($R$2:R303)),"")</f>
        <v/>
      </c>
      <c r="T303" s="1" t="str">
        <f>IF(R303&lt;&gt;"",INDEX($P$2:$Q$441,MATCH($S303,$R$2:$R$441,0),COLUMNS($S$2:S303)),"")</f>
        <v/>
      </c>
      <c r="U303" s="1" t="str">
        <f>IF(S303&lt;&gt;"",INDEX($P$2:$Q$441,MATCH($S303,$R$2:$R$441,0),COLUMNS($S$2:T303)),"")</f>
        <v/>
      </c>
      <c r="AE303" s="1">
        <f>Table2[[#This Row],[Year]]</f>
        <v>2015</v>
      </c>
      <c r="AF303" s="1">
        <f>Table2[[#This Row],['#]]</f>
        <v>2</v>
      </c>
      <c r="AG303" s="1" t="str">
        <f>Table2[[#This Row],[Team]]</f>
        <v>Arsenal</v>
      </c>
      <c r="AH303" s="1">
        <f>Table2[[#This Row],[Pl]]</f>
        <v>38</v>
      </c>
      <c r="AI303" s="1">
        <f>Table2[[#This Row],[W]]</f>
        <v>20</v>
      </c>
      <c r="AJ303" s="1">
        <f>Table2[[#This Row],[D]]</f>
        <v>11</v>
      </c>
      <c r="AK303" s="1">
        <f>Table2[[#This Row],[L]]</f>
        <v>7</v>
      </c>
      <c r="AL303" s="1">
        <f>Table2[[#This Row],[F]]</f>
        <v>65</v>
      </c>
      <c r="AM303" s="1">
        <f>Table2[[#This Row],[A]]</f>
        <v>36</v>
      </c>
      <c r="AN303" s="1">
        <f>Table2[[#This Row],[GD]]</f>
        <v>29</v>
      </c>
      <c r="AO303" s="1">
        <f>Table2[[#This Row],[Pts]]</f>
        <v>71</v>
      </c>
      <c r="AP303" s="1">
        <f>Table2[[#This Row],[Column1]]</f>
        <v>2</v>
      </c>
      <c r="AR303" t="b">
        <f t="shared" si="8"/>
        <v>1</v>
      </c>
      <c r="AS303">
        <f>IF(AR303,ROWS($AR$2:AR303),"")</f>
        <v>302</v>
      </c>
      <c r="AT303">
        <f>IFERROR(SMALL($AS$2:$AS$440,ROWS($AS$2:AS303)),"")</f>
        <v>302</v>
      </c>
      <c r="AU303">
        <f>IF(AT303&lt;&gt;"",INDEX($AE$2:$AP$440,MATCH($AT303,$AS$2:$AS$440,0),COLUMNS($AT$2:AT303)),"")</f>
        <v>2015</v>
      </c>
      <c r="AV303">
        <f>IF(AU303&lt;&gt;"",INDEX($AE$2:$AP$440,MATCH($AT303,$AS$2:$AS$440,0),COLUMNS($AT$2:AU303)),"")</f>
        <v>2</v>
      </c>
      <c r="AW303" t="str">
        <f>IF(AV303&lt;&gt;"",INDEX($AE$2:$AP$440,MATCH($AT303,$AS$2:$AS$440,0),COLUMNS($AT$2:AV303)),"")</f>
        <v>Arsenal</v>
      </c>
      <c r="AX303">
        <f>IF(AW303&lt;&gt;"",INDEX($AE$2:$AP$440,MATCH($AT303,$AS$2:$AS$440,0),COLUMNS($AT$2:AW303)),"")</f>
        <v>38</v>
      </c>
      <c r="AY303">
        <f>IF(AX303&lt;&gt;"",INDEX($AE$2:$AP$440,MATCH($AT303,$AS$2:$AS$440,0),COLUMNS($AT$2:AX303)),"")</f>
        <v>20</v>
      </c>
      <c r="AZ303">
        <f>IF(AY303&lt;&gt;"",INDEX($AE$2:$AP$440,MATCH($AT303,$AS$2:$AS$440,0),COLUMNS($AT$2:AY303)),"")</f>
        <v>11</v>
      </c>
      <c r="BA303">
        <f>IF(AZ303&lt;&gt;"",INDEX($AE$2:$AP$440,MATCH($AT303,$AS$2:$AS$440,0),COLUMNS($AT$2:AZ303)),"")</f>
        <v>7</v>
      </c>
      <c r="BB303">
        <f>IF(BA303&lt;&gt;"",INDEX($AE$2:$AP$440,MATCH($AT303,$AS$2:$AS$440,0),COLUMNS($AT$2:BA303)),"")</f>
        <v>65</v>
      </c>
      <c r="BC303">
        <f>IF(BB303&lt;&gt;"",INDEX($AE$2:$AP$440,MATCH($AT303,$AS$2:$AS$440,0),COLUMNS($AT$2:BB303)),"")</f>
        <v>36</v>
      </c>
      <c r="BD303">
        <f>IF(BC303&lt;&gt;"",INDEX($AE$2:$AP$440,MATCH($AT303,$AS$2:$AS$440,0),COLUMNS($AT$2:BC303)),"")</f>
        <v>29</v>
      </c>
      <c r="BE303">
        <f>IF(BD303&lt;&gt;"",INDEX($AE$2:$AP$440,MATCH($AT303,$AS$2:$AS$440,0),COLUMNS($AT$2:BD303)),"")</f>
        <v>71</v>
      </c>
      <c r="BF303">
        <f>IF(BE303&lt;&gt;"",INDEX($AE$2:$AP$440,MATCH($AT303,$AS$2:$AS$440,0),COLUMNS($AT$2:BE303)),"")</f>
        <v>2</v>
      </c>
    </row>
    <row r="304" spans="1:58" x14ac:dyDescent="0.25">
      <c r="A304" s="3">
        <v>2015</v>
      </c>
      <c r="B304" s="3">
        <v>3</v>
      </c>
      <c r="C304" s="4" t="s">
        <v>22</v>
      </c>
      <c r="D304" s="3">
        <v>38</v>
      </c>
      <c r="E304" s="3">
        <v>19</v>
      </c>
      <c r="F304" s="3">
        <v>13</v>
      </c>
      <c r="G304" s="3">
        <v>6</v>
      </c>
      <c r="H304" s="3">
        <v>69</v>
      </c>
      <c r="I304" s="3">
        <v>35</v>
      </c>
      <c r="J304" s="3">
        <v>34</v>
      </c>
      <c r="K304" s="3">
        <v>70</v>
      </c>
      <c r="L304" s="5">
        <f>IF(Table2[[#This Row],['#]]=1,"Champion", IF(Table2[[#This Row],['#]]&gt;=18,"Relegated",Table2[[#This Row],['#]]))</f>
        <v>3</v>
      </c>
      <c r="N304">
        <f>IF(COUNTIF($O$2:O304,O304)=1,N303+1,N303)</f>
        <v>40</v>
      </c>
      <c r="O304" s="4" t="str">
        <f>Table2[[#This Row],[Team]]</f>
        <v>Tottenham Hotspur</v>
      </c>
      <c r="P304" s="1" t="str">
        <f>IFERROR(VLOOKUP(ROWS($O$2:O304),$N$2:$O$441,2,0),"")</f>
        <v/>
      </c>
      <c r="Q304" s="1" t="str">
        <f>IF(P304&lt;&gt;"",SUMPRODUCT(--(Table2[Team]=P304)),"")</f>
        <v/>
      </c>
      <c r="R304" s="11" t="str">
        <f>IF(Q304&lt;&gt;"",Q304+ROWS($Q$2:Q304)/100,"")</f>
        <v/>
      </c>
      <c r="S304" t="str">
        <f>IF(R304&lt;&gt;"",LARGE($R$2:$R$441,ROWS($R$2:R304)),"")</f>
        <v/>
      </c>
      <c r="T304" s="1" t="str">
        <f>IF(R304&lt;&gt;"",INDEX($P$2:$Q$441,MATCH($S304,$R$2:$R$441,0),COLUMNS($S$2:S304)),"")</f>
        <v/>
      </c>
      <c r="U304" s="1" t="str">
        <f>IF(S304&lt;&gt;"",INDEX($P$2:$Q$441,MATCH($S304,$R$2:$R$441,0),COLUMNS($S$2:T304)),"")</f>
        <v/>
      </c>
      <c r="AE304" s="1">
        <f>Table2[[#This Row],[Year]]</f>
        <v>2015</v>
      </c>
      <c r="AF304" s="1">
        <f>Table2[[#This Row],['#]]</f>
        <v>3</v>
      </c>
      <c r="AG304" s="1" t="str">
        <f>Table2[[#This Row],[Team]]</f>
        <v>Tottenham Hotspur</v>
      </c>
      <c r="AH304" s="1">
        <f>Table2[[#This Row],[Pl]]</f>
        <v>38</v>
      </c>
      <c r="AI304" s="1">
        <f>Table2[[#This Row],[W]]</f>
        <v>19</v>
      </c>
      <c r="AJ304" s="1">
        <f>Table2[[#This Row],[D]]</f>
        <v>13</v>
      </c>
      <c r="AK304" s="1">
        <f>Table2[[#This Row],[L]]</f>
        <v>6</v>
      </c>
      <c r="AL304" s="1">
        <f>Table2[[#This Row],[F]]</f>
        <v>69</v>
      </c>
      <c r="AM304" s="1">
        <f>Table2[[#This Row],[A]]</f>
        <v>35</v>
      </c>
      <c r="AN304" s="1">
        <f>Table2[[#This Row],[GD]]</f>
        <v>34</v>
      </c>
      <c r="AO304" s="1">
        <f>Table2[[#This Row],[Pts]]</f>
        <v>70</v>
      </c>
      <c r="AP304" s="1">
        <f>Table2[[#This Row],[Column1]]</f>
        <v>3</v>
      </c>
      <c r="AR304" t="b">
        <f t="shared" si="8"/>
        <v>1</v>
      </c>
      <c r="AS304">
        <f>IF(AR304,ROWS($AR$2:AR304),"")</f>
        <v>303</v>
      </c>
      <c r="AT304">
        <f>IFERROR(SMALL($AS$2:$AS$440,ROWS($AS$2:AS304)),"")</f>
        <v>303</v>
      </c>
      <c r="AU304">
        <f>IF(AT304&lt;&gt;"",INDEX($AE$2:$AP$440,MATCH($AT304,$AS$2:$AS$440,0),COLUMNS($AT$2:AT304)),"")</f>
        <v>2015</v>
      </c>
      <c r="AV304">
        <f>IF(AU304&lt;&gt;"",INDEX($AE$2:$AP$440,MATCH($AT304,$AS$2:$AS$440,0),COLUMNS($AT$2:AU304)),"")</f>
        <v>3</v>
      </c>
      <c r="AW304" t="str">
        <f>IF(AV304&lt;&gt;"",INDEX($AE$2:$AP$440,MATCH($AT304,$AS$2:$AS$440,0),COLUMNS($AT$2:AV304)),"")</f>
        <v>Tottenham Hotspur</v>
      </c>
      <c r="AX304">
        <f>IF(AW304&lt;&gt;"",INDEX($AE$2:$AP$440,MATCH($AT304,$AS$2:$AS$440,0),COLUMNS($AT$2:AW304)),"")</f>
        <v>38</v>
      </c>
      <c r="AY304">
        <f>IF(AX304&lt;&gt;"",INDEX($AE$2:$AP$440,MATCH($AT304,$AS$2:$AS$440,0),COLUMNS($AT$2:AX304)),"")</f>
        <v>19</v>
      </c>
      <c r="AZ304">
        <f>IF(AY304&lt;&gt;"",INDEX($AE$2:$AP$440,MATCH($AT304,$AS$2:$AS$440,0),COLUMNS($AT$2:AY304)),"")</f>
        <v>13</v>
      </c>
      <c r="BA304">
        <f>IF(AZ304&lt;&gt;"",INDEX($AE$2:$AP$440,MATCH($AT304,$AS$2:$AS$440,0),COLUMNS($AT$2:AZ304)),"")</f>
        <v>6</v>
      </c>
      <c r="BB304">
        <f>IF(BA304&lt;&gt;"",INDEX($AE$2:$AP$440,MATCH($AT304,$AS$2:$AS$440,0),COLUMNS($AT$2:BA304)),"")</f>
        <v>69</v>
      </c>
      <c r="BC304">
        <f>IF(BB304&lt;&gt;"",INDEX($AE$2:$AP$440,MATCH($AT304,$AS$2:$AS$440,0),COLUMNS($AT$2:BB304)),"")</f>
        <v>35</v>
      </c>
      <c r="BD304">
        <f>IF(BC304&lt;&gt;"",INDEX($AE$2:$AP$440,MATCH($AT304,$AS$2:$AS$440,0),COLUMNS($AT$2:BC304)),"")</f>
        <v>34</v>
      </c>
      <c r="BE304">
        <f>IF(BD304&lt;&gt;"",INDEX($AE$2:$AP$440,MATCH($AT304,$AS$2:$AS$440,0),COLUMNS($AT$2:BD304)),"")</f>
        <v>70</v>
      </c>
      <c r="BF304">
        <f>IF(BE304&lt;&gt;"",INDEX($AE$2:$AP$440,MATCH($AT304,$AS$2:$AS$440,0),COLUMNS($AT$2:BE304)),"")</f>
        <v>3</v>
      </c>
    </row>
    <row r="305" spans="1:58" x14ac:dyDescent="0.25">
      <c r="A305" s="5">
        <v>2015</v>
      </c>
      <c r="B305" s="5">
        <v>4</v>
      </c>
      <c r="C305" s="6" t="s">
        <v>28</v>
      </c>
      <c r="D305" s="5">
        <v>38</v>
      </c>
      <c r="E305" s="5">
        <v>19</v>
      </c>
      <c r="F305" s="5">
        <v>9</v>
      </c>
      <c r="G305" s="5">
        <v>10</v>
      </c>
      <c r="H305" s="5">
        <v>71</v>
      </c>
      <c r="I305" s="5">
        <v>41</v>
      </c>
      <c r="J305" s="5">
        <v>30</v>
      </c>
      <c r="K305" s="5">
        <v>66</v>
      </c>
      <c r="L305" s="5">
        <f>IF(Table2[[#This Row],['#]]=1,"Champion", IF(Table2[[#This Row],['#]]&gt;=18,"Relegated",Table2[[#This Row],['#]]))</f>
        <v>4</v>
      </c>
      <c r="N305">
        <f>IF(COUNTIF($O$2:O305,O305)=1,N304+1,N304)</f>
        <v>40</v>
      </c>
      <c r="O305" s="4" t="str">
        <f>Table2[[#This Row],[Team]]</f>
        <v>Manchester City</v>
      </c>
      <c r="P305" s="1" t="str">
        <f>IFERROR(VLOOKUP(ROWS($O$2:O305),$N$2:$O$441,2,0),"")</f>
        <v/>
      </c>
      <c r="Q305" s="1" t="str">
        <f>IF(P305&lt;&gt;"",SUMPRODUCT(--(Table2[Team]=P305)),"")</f>
        <v/>
      </c>
      <c r="R305" s="11" t="str">
        <f>IF(Q305&lt;&gt;"",Q305+ROWS($Q$2:Q305)/100,"")</f>
        <v/>
      </c>
      <c r="S305" t="str">
        <f>IF(R305&lt;&gt;"",LARGE($R$2:$R$441,ROWS($R$2:R305)),"")</f>
        <v/>
      </c>
      <c r="T305" s="1" t="str">
        <f>IF(R305&lt;&gt;"",INDEX($P$2:$Q$441,MATCH($S305,$R$2:$R$441,0),COLUMNS($S$2:S305)),"")</f>
        <v/>
      </c>
      <c r="U305" s="1" t="str">
        <f>IF(S305&lt;&gt;"",INDEX($P$2:$Q$441,MATCH($S305,$R$2:$R$441,0),COLUMNS($S$2:T305)),"")</f>
        <v/>
      </c>
      <c r="AE305" s="1">
        <f>Table2[[#This Row],[Year]]</f>
        <v>2015</v>
      </c>
      <c r="AF305" s="1">
        <f>Table2[[#This Row],['#]]</f>
        <v>4</v>
      </c>
      <c r="AG305" s="1" t="str">
        <f>Table2[[#This Row],[Team]]</f>
        <v>Manchester City</v>
      </c>
      <c r="AH305" s="1">
        <f>Table2[[#This Row],[Pl]]</f>
        <v>38</v>
      </c>
      <c r="AI305" s="1">
        <f>Table2[[#This Row],[W]]</f>
        <v>19</v>
      </c>
      <c r="AJ305" s="1">
        <f>Table2[[#This Row],[D]]</f>
        <v>9</v>
      </c>
      <c r="AK305" s="1">
        <f>Table2[[#This Row],[L]]</f>
        <v>10</v>
      </c>
      <c r="AL305" s="1">
        <f>Table2[[#This Row],[F]]</f>
        <v>71</v>
      </c>
      <c r="AM305" s="1">
        <f>Table2[[#This Row],[A]]</f>
        <v>41</v>
      </c>
      <c r="AN305" s="1">
        <f>Table2[[#This Row],[GD]]</f>
        <v>30</v>
      </c>
      <c r="AO305" s="1">
        <f>Table2[[#This Row],[Pts]]</f>
        <v>66</v>
      </c>
      <c r="AP305" s="1">
        <f>Table2[[#This Row],[Column1]]</f>
        <v>4</v>
      </c>
      <c r="AR305" t="b">
        <f t="shared" si="8"/>
        <v>1</v>
      </c>
      <c r="AS305">
        <f>IF(AR305,ROWS($AR$2:AR305),"")</f>
        <v>304</v>
      </c>
      <c r="AT305">
        <f>IFERROR(SMALL($AS$2:$AS$440,ROWS($AS$2:AS305)),"")</f>
        <v>304</v>
      </c>
      <c r="AU305">
        <f>IF(AT305&lt;&gt;"",INDEX($AE$2:$AP$440,MATCH($AT305,$AS$2:$AS$440,0),COLUMNS($AT$2:AT305)),"")</f>
        <v>2015</v>
      </c>
      <c r="AV305">
        <f>IF(AU305&lt;&gt;"",INDEX($AE$2:$AP$440,MATCH($AT305,$AS$2:$AS$440,0),COLUMNS($AT$2:AU305)),"")</f>
        <v>4</v>
      </c>
      <c r="AW305" t="str">
        <f>IF(AV305&lt;&gt;"",INDEX($AE$2:$AP$440,MATCH($AT305,$AS$2:$AS$440,0),COLUMNS($AT$2:AV305)),"")</f>
        <v>Manchester City</v>
      </c>
      <c r="AX305">
        <f>IF(AW305&lt;&gt;"",INDEX($AE$2:$AP$440,MATCH($AT305,$AS$2:$AS$440,0),COLUMNS($AT$2:AW305)),"")</f>
        <v>38</v>
      </c>
      <c r="AY305">
        <f>IF(AX305&lt;&gt;"",INDEX($AE$2:$AP$440,MATCH($AT305,$AS$2:$AS$440,0),COLUMNS($AT$2:AX305)),"")</f>
        <v>19</v>
      </c>
      <c r="AZ305">
        <f>IF(AY305&lt;&gt;"",INDEX($AE$2:$AP$440,MATCH($AT305,$AS$2:$AS$440,0),COLUMNS($AT$2:AY305)),"")</f>
        <v>9</v>
      </c>
      <c r="BA305">
        <f>IF(AZ305&lt;&gt;"",INDEX($AE$2:$AP$440,MATCH($AT305,$AS$2:$AS$440,0),COLUMNS($AT$2:AZ305)),"")</f>
        <v>10</v>
      </c>
      <c r="BB305">
        <f>IF(BA305&lt;&gt;"",INDEX($AE$2:$AP$440,MATCH($AT305,$AS$2:$AS$440,0),COLUMNS($AT$2:BA305)),"")</f>
        <v>71</v>
      </c>
      <c r="BC305">
        <f>IF(BB305&lt;&gt;"",INDEX($AE$2:$AP$440,MATCH($AT305,$AS$2:$AS$440,0),COLUMNS($AT$2:BB305)),"")</f>
        <v>41</v>
      </c>
      <c r="BD305">
        <f>IF(BC305&lt;&gt;"",INDEX($AE$2:$AP$440,MATCH($AT305,$AS$2:$AS$440,0),COLUMNS($AT$2:BC305)),"")</f>
        <v>30</v>
      </c>
      <c r="BE305">
        <f>IF(BD305&lt;&gt;"",INDEX($AE$2:$AP$440,MATCH($AT305,$AS$2:$AS$440,0),COLUMNS($AT$2:BD305)),"")</f>
        <v>66</v>
      </c>
      <c r="BF305">
        <f>IF(BE305&lt;&gt;"",INDEX($AE$2:$AP$440,MATCH($AT305,$AS$2:$AS$440,0),COLUMNS($AT$2:BE305)),"")</f>
        <v>4</v>
      </c>
    </row>
    <row r="306" spans="1:58" x14ac:dyDescent="0.25">
      <c r="A306" s="3">
        <v>2015</v>
      </c>
      <c r="B306" s="3">
        <v>5</v>
      </c>
      <c r="C306" s="4" t="s">
        <v>11</v>
      </c>
      <c r="D306" s="3">
        <v>38</v>
      </c>
      <c r="E306" s="3">
        <v>19</v>
      </c>
      <c r="F306" s="3">
        <v>9</v>
      </c>
      <c r="G306" s="3">
        <v>10</v>
      </c>
      <c r="H306" s="3">
        <v>49</v>
      </c>
      <c r="I306" s="3">
        <v>35</v>
      </c>
      <c r="J306" s="3">
        <v>14</v>
      </c>
      <c r="K306" s="3">
        <v>66</v>
      </c>
      <c r="L306" s="5">
        <f>IF(Table2[[#This Row],['#]]=1,"Champion", IF(Table2[[#This Row],['#]]&gt;=18,"Relegated",Table2[[#This Row],['#]]))</f>
        <v>5</v>
      </c>
      <c r="N306">
        <f>IF(COUNTIF($O$2:O306,O306)=1,N305+1,N305)</f>
        <v>40</v>
      </c>
      <c r="O306" s="4" t="str">
        <f>Table2[[#This Row],[Team]]</f>
        <v>Manchester United</v>
      </c>
      <c r="P306" s="1" t="str">
        <f>IFERROR(VLOOKUP(ROWS($O$2:O306),$N$2:$O$441,2,0),"")</f>
        <v/>
      </c>
      <c r="Q306" s="1" t="str">
        <f>IF(P306&lt;&gt;"",SUMPRODUCT(--(Table2[Team]=P306)),"")</f>
        <v/>
      </c>
      <c r="R306" s="11" t="str">
        <f>IF(Q306&lt;&gt;"",Q306+ROWS($Q$2:Q306)/100,"")</f>
        <v/>
      </c>
      <c r="S306" t="str">
        <f>IF(R306&lt;&gt;"",LARGE($R$2:$R$441,ROWS($R$2:R306)),"")</f>
        <v/>
      </c>
      <c r="T306" s="1" t="str">
        <f>IF(R306&lt;&gt;"",INDEX($P$2:$Q$441,MATCH($S306,$R$2:$R$441,0),COLUMNS($S$2:S306)),"")</f>
        <v/>
      </c>
      <c r="U306" s="1" t="str">
        <f>IF(S306&lt;&gt;"",INDEX($P$2:$Q$441,MATCH($S306,$R$2:$R$441,0),COLUMNS($S$2:T306)),"")</f>
        <v/>
      </c>
      <c r="AE306" s="1">
        <f>Table2[[#This Row],[Year]]</f>
        <v>2015</v>
      </c>
      <c r="AF306" s="1">
        <f>Table2[[#This Row],['#]]</f>
        <v>5</v>
      </c>
      <c r="AG306" s="1" t="str">
        <f>Table2[[#This Row],[Team]]</f>
        <v>Manchester United</v>
      </c>
      <c r="AH306" s="1">
        <f>Table2[[#This Row],[Pl]]</f>
        <v>38</v>
      </c>
      <c r="AI306" s="1">
        <f>Table2[[#This Row],[W]]</f>
        <v>19</v>
      </c>
      <c r="AJ306" s="1">
        <f>Table2[[#This Row],[D]]</f>
        <v>9</v>
      </c>
      <c r="AK306" s="1">
        <f>Table2[[#This Row],[L]]</f>
        <v>10</v>
      </c>
      <c r="AL306" s="1">
        <f>Table2[[#This Row],[F]]</f>
        <v>49</v>
      </c>
      <c r="AM306" s="1">
        <f>Table2[[#This Row],[A]]</f>
        <v>35</v>
      </c>
      <c r="AN306" s="1">
        <f>Table2[[#This Row],[GD]]</f>
        <v>14</v>
      </c>
      <c r="AO306" s="1">
        <f>Table2[[#This Row],[Pts]]</f>
        <v>66</v>
      </c>
      <c r="AP306" s="1">
        <f>Table2[[#This Row],[Column1]]</f>
        <v>5</v>
      </c>
      <c r="AR306" t="b">
        <f t="shared" si="8"/>
        <v>1</v>
      </c>
      <c r="AS306">
        <f>IF(AR306,ROWS($AR$2:AR306),"")</f>
        <v>305</v>
      </c>
      <c r="AT306">
        <f>IFERROR(SMALL($AS$2:$AS$440,ROWS($AS$2:AS306)),"")</f>
        <v>305</v>
      </c>
      <c r="AU306">
        <f>IF(AT306&lt;&gt;"",INDEX($AE$2:$AP$440,MATCH($AT306,$AS$2:$AS$440,0),COLUMNS($AT$2:AT306)),"")</f>
        <v>2015</v>
      </c>
      <c r="AV306">
        <f>IF(AU306&lt;&gt;"",INDEX($AE$2:$AP$440,MATCH($AT306,$AS$2:$AS$440,0),COLUMNS($AT$2:AU306)),"")</f>
        <v>5</v>
      </c>
      <c r="AW306" t="str">
        <f>IF(AV306&lt;&gt;"",INDEX($AE$2:$AP$440,MATCH($AT306,$AS$2:$AS$440,0),COLUMNS($AT$2:AV306)),"")</f>
        <v>Manchester United</v>
      </c>
      <c r="AX306">
        <f>IF(AW306&lt;&gt;"",INDEX($AE$2:$AP$440,MATCH($AT306,$AS$2:$AS$440,0),COLUMNS($AT$2:AW306)),"")</f>
        <v>38</v>
      </c>
      <c r="AY306">
        <f>IF(AX306&lt;&gt;"",INDEX($AE$2:$AP$440,MATCH($AT306,$AS$2:$AS$440,0),COLUMNS($AT$2:AX306)),"")</f>
        <v>19</v>
      </c>
      <c r="AZ306">
        <f>IF(AY306&lt;&gt;"",INDEX($AE$2:$AP$440,MATCH($AT306,$AS$2:$AS$440,0),COLUMNS($AT$2:AY306)),"")</f>
        <v>9</v>
      </c>
      <c r="BA306">
        <f>IF(AZ306&lt;&gt;"",INDEX($AE$2:$AP$440,MATCH($AT306,$AS$2:$AS$440,0),COLUMNS($AT$2:AZ306)),"")</f>
        <v>10</v>
      </c>
      <c r="BB306">
        <f>IF(BA306&lt;&gt;"",INDEX($AE$2:$AP$440,MATCH($AT306,$AS$2:$AS$440,0),COLUMNS($AT$2:BA306)),"")</f>
        <v>49</v>
      </c>
      <c r="BC306">
        <f>IF(BB306&lt;&gt;"",INDEX($AE$2:$AP$440,MATCH($AT306,$AS$2:$AS$440,0),COLUMNS($AT$2:BB306)),"")</f>
        <v>35</v>
      </c>
      <c r="BD306">
        <f>IF(BC306&lt;&gt;"",INDEX($AE$2:$AP$440,MATCH($AT306,$AS$2:$AS$440,0),COLUMNS($AT$2:BC306)),"")</f>
        <v>14</v>
      </c>
      <c r="BE306">
        <f>IF(BD306&lt;&gt;"",INDEX($AE$2:$AP$440,MATCH($AT306,$AS$2:$AS$440,0),COLUMNS($AT$2:BD306)),"")</f>
        <v>66</v>
      </c>
      <c r="BF306">
        <f>IF(BE306&lt;&gt;"",INDEX($AE$2:$AP$440,MATCH($AT306,$AS$2:$AS$440,0),COLUMNS($AT$2:BE306)),"")</f>
        <v>5</v>
      </c>
    </row>
    <row r="307" spans="1:58" x14ac:dyDescent="0.25">
      <c r="A307" s="5">
        <v>2015</v>
      </c>
      <c r="B307" s="5">
        <v>6</v>
      </c>
      <c r="C307" s="6" t="s">
        <v>20</v>
      </c>
      <c r="D307" s="5">
        <v>38</v>
      </c>
      <c r="E307" s="5">
        <v>18</v>
      </c>
      <c r="F307" s="5">
        <v>9</v>
      </c>
      <c r="G307" s="5">
        <v>11</v>
      </c>
      <c r="H307" s="5">
        <v>59</v>
      </c>
      <c r="I307" s="5">
        <v>41</v>
      </c>
      <c r="J307" s="5">
        <v>18</v>
      </c>
      <c r="K307" s="5">
        <v>63</v>
      </c>
      <c r="L307" s="5">
        <f>IF(Table2[[#This Row],['#]]=1,"Champion", IF(Table2[[#This Row],['#]]&gt;=18,"Relegated",Table2[[#This Row],['#]]))</f>
        <v>6</v>
      </c>
      <c r="N307">
        <f>IF(COUNTIF($O$2:O307,O307)=1,N306+1,N306)</f>
        <v>40</v>
      </c>
      <c r="O307" s="4" t="str">
        <f>Table2[[#This Row],[Team]]</f>
        <v>Southampton</v>
      </c>
      <c r="P307" s="1" t="str">
        <f>IFERROR(VLOOKUP(ROWS($O$2:O307),$N$2:$O$441,2,0),"")</f>
        <v/>
      </c>
      <c r="Q307" s="1" t="str">
        <f>IF(P307&lt;&gt;"",SUMPRODUCT(--(Table2[Team]=P307)),"")</f>
        <v/>
      </c>
      <c r="R307" s="11" t="str">
        <f>IF(Q307&lt;&gt;"",Q307+ROWS($Q$2:Q307)/100,"")</f>
        <v/>
      </c>
      <c r="S307" t="str">
        <f>IF(R307&lt;&gt;"",LARGE($R$2:$R$441,ROWS($R$2:R307)),"")</f>
        <v/>
      </c>
      <c r="T307" s="1" t="str">
        <f>IF(R307&lt;&gt;"",INDEX($P$2:$Q$441,MATCH($S307,$R$2:$R$441,0),COLUMNS($S$2:S307)),"")</f>
        <v/>
      </c>
      <c r="U307" s="1" t="str">
        <f>IF(S307&lt;&gt;"",INDEX($P$2:$Q$441,MATCH($S307,$R$2:$R$441,0),COLUMNS($S$2:T307)),"")</f>
        <v/>
      </c>
      <c r="AE307" s="1">
        <f>Table2[[#This Row],[Year]]</f>
        <v>2015</v>
      </c>
      <c r="AF307" s="1">
        <f>Table2[[#This Row],['#]]</f>
        <v>6</v>
      </c>
      <c r="AG307" s="1" t="str">
        <f>Table2[[#This Row],[Team]]</f>
        <v>Southampton</v>
      </c>
      <c r="AH307" s="1">
        <f>Table2[[#This Row],[Pl]]</f>
        <v>38</v>
      </c>
      <c r="AI307" s="1">
        <f>Table2[[#This Row],[W]]</f>
        <v>18</v>
      </c>
      <c r="AJ307" s="1">
        <f>Table2[[#This Row],[D]]</f>
        <v>9</v>
      </c>
      <c r="AK307" s="1">
        <f>Table2[[#This Row],[L]]</f>
        <v>11</v>
      </c>
      <c r="AL307" s="1">
        <f>Table2[[#This Row],[F]]</f>
        <v>59</v>
      </c>
      <c r="AM307" s="1">
        <f>Table2[[#This Row],[A]]</f>
        <v>41</v>
      </c>
      <c r="AN307" s="1">
        <f>Table2[[#This Row],[GD]]</f>
        <v>18</v>
      </c>
      <c r="AO307" s="1">
        <f>Table2[[#This Row],[Pts]]</f>
        <v>63</v>
      </c>
      <c r="AP307" s="1">
        <f>Table2[[#This Row],[Column1]]</f>
        <v>6</v>
      </c>
      <c r="AR307" t="b">
        <f t="shared" si="8"/>
        <v>1</v>
      </c>
      <c r="AS307">
        <f>IF(AR307,ROWS($AR$2:AR307),"")</f>
        <v>306</v>
      </c>
      <c r="AT307">
        <f>IFERROR(SMALL($AS$2:$AS$440,ROWS($AS$2:AS307)),"")</f>
        <v>306</v>
      </c>
      <c r="AU307">
        <f>IF(AT307&lt;&gt;"",INDEX($AE$2:$AP$440,MATCH($AT307,$AS$2:$AS$440,0),COLUMNS($AT$2:AT307)),"")</f>
        <v>2015</v>
      </c>
      <c r="AV307">
        <f>IF(AU307&lt;&gt;"",INDEX($AE$2:$AP$440,MATCH($AT307,$AS$2:$AS$440,0),COLUMNS($AT$2:AU307)),"")</f>
        <v>6</v>
      </c>
      <c r="AW307" t="str">
        <f>IF(AV307&lt;&gt;"",INDEX($AE$2:$AP$440,MATCH($AT307,$AS$2:$AS$440,0),COLUMNS($AT$2:AV307)),"")</f>
        <v>Southampton</v>
      </c>
      <c r="AX307">
        <f>IF(AW307&lt;&gt;"",INDEX($AE$2:$AP$440,MATCH($AT307,$AS$2:$AS$440,0),COLUMNS($AT$2:AW307)),"")</f>
        <v>38</v>
      </c>
      <c r="AY307">
        <f>IF(AX307&lt;&gt;"",INDEX($AE$2:$AP$440,MATCH($AT307,$AS$2:$AS$440,0),COLUMNS($AT$2:AX307)),"")</f>
        <v>18</v>
      </c>
      <c r="AZ307">
        <f>IF(AY307&lt;&gt;"",INDEX($AE$2:$AP$440,MATCH($AT307,$AS$2:$AS$440,0),COLUMNS($AT$2:AY307)),"")</f>
        <v>9</v>
      </c>
      <c r="BA307">
        <f>IF(AZ307&lt;&gt;"",INDEX($AE$2:$AP$440,MATCH($AT307,$AS$2:$AS$440,0),COLUMNS($AT$2:AZ307)),"")</f>
        <v>11</v>
      </c>
      <c r="BB307">
        <f>IF(BA307&lt;&gt;"",INDEX($AE$2:$AP$440,MATCH($AT307,$AS$2:$AS$440,0),COLUMNS($AT$2:BA307)),"")</f>
        <v>59</v>
      </c>
      <c r="BC307">
        <f>IF(BB307&lt;&gt;"",INDEX($AE$2:$AP$440,MATCH($AT307,$AS$2:$AS$440,0),COLUMNS($AT$2:BB307)),"")</f>
        <v>41</v>
      </c>
      <c r="BD307">
        <f>IF(BC307&lt;&gt;"",INDEX($AE$2:$AP$440,MATCH($AT307,$AS$2:$AS$440,0),COLUMNS($AT$2:BC307)),"")</f>
        <v>18</v>
      </c>
      <c r="BE307">
        <f>IF(BD307&lt;&gt;"",INDEX($AE$2:$AP$440,MATCH($AT307,$AS$2:$AS$440,0),COLUMNS($AT$2:BD307)),"")</f>
        <v>63</v>
      </c>
      <c r="BF307">
        <f>IF(BE307&lt;&gt;"",INDEX($AE$2:$AP$440,MATCH($AT307,$AS$2:$AS$440,0),COLUMNS($AT$2:BE307)),"")</f>
        <v>6</v>
      </c>
    </row>
    <row r="308" spans="1:58" x14ac:dyDescent="0.25">
      <c r="A308" s="3">
        <v>2015</v>
      </c>
      <c r="B308" s="3">
        <v>7</v>
      </c>
      <c r="C308" s="4" t="s">
        <v>25</v>
      </c>
      <c r="D308" s="3">
        <v>38</v>
      </c>
      <c r="E308" s="3">
        <v>16</v>
      </c>
      <c r="F308" s="3">
        <v>14</v>
      </c>
      <c r="G308" s="3">
        <v>8</v>
      </c>
      <c r="H308" s="3">
        <v>65</v>
      </c>
      <c r="I308" s="3">
        <v>51</v>
      </c>
      <c r="J308" s="3">
        <v>14</v>
      </c>
      <c r="K308" s="3">
        <v>62</v>
      </c>
      <c r="L308" s="5">
        <f>IF(Table2[[#This Row],['#]]=1,"Champion", IF(Table2[[#This Row],['#]]&gt;=18,"Relegated",Table2[[#This Row],['#]]))</f>
        <v>7</v>
      </c>
      <c r="N308">
        <f>IF(COUNTIF($O$2:O308,O308)=1,N307+1,N307)</f>
        <v>40</v>
      </c>
      <c r="O308" s="4" t="str">
        <f>Table2[[#This Row],[Team]]</f>
        <v>West Ham United</v>
      </c>
      <c r="P308" s="1" t="str">
        <f>IFERROR(VLOOKUP(ROWS($O$2:O308),$N$2:$O$441,2,0),"")</f>
        <v/>
      </c>
      <c r="Q308" s="1" t="str">
        <f>IF(P308&lt;&gt;"",SUMPRODUCT(--(Table2[Team]=P308)),"")</f>
        <v/>
      </c>
      <c r="R308" s="11" t="str">
        <f>IF(Q308&lt;&gt;"",Q308+ROWS($Q$2:Q308)/100,"")</f>
        <v/>
      </c>
      <c r="S308" t="str">
        <f>IF(R308&lt;&gt;"",LARGE($R$2:$R$441,ROWS($R$2:R308)),"")</f>
        <v/>
      </c>
      <c r="T308" s="1" t="str">
        <f>IF(R308&lt;&gt;"",INDEX($P$2:$Q$441,MATCH($S308,$R$2:$R$441,0),COLUMNS($S$2:S308)),"")</f>
        <v/>
      </c>
      <c r="U308" s="1" t="str">
        <f>IF(S308&lt;&gt;"",INDEX($P$2:$Q$441,MATCH($S308,$R$2:$R$441,0),COLUMNS($S$2:T308)),"")</f>
        <v/>
      </c>
      <c r="AE308" s="1">
        <f>Table2[[#This Row],[Year]]</f>
        <v>2015</v>
      </c>
      <c r="AF308" s="1">
        <f>Table2[[#This Row],['#]]</f>
        <v>7</v>
      </c>
      <c r="AG308" s="1" t="str">
        <f>Table2[[#This Row],[Team]]</f>
        <v>West Ham United</v>
      </c>
      <c r="AH308" s="1">
        <f>Table2[[#This Row],[Pl]]</f>
        <v>38</v>
      </c>
      <c r="AI308" s="1">
        <f>Table2[[#This Row],[W]]</f>
        <v>16</v>
      </c>
      <c r="AJ308" s="1">
        <f>Table2[[#This Row],[D]]</f>
        <v>14</v>
      </c>
      <c r="AK308" s="1">
        <f>Table2[[#This Row],[L]]</f>
        <v>8</v>
      </c>
      <c r="AL308" s="1">
        <f>Table2[[#This Row],[F]]</f>
        <v>65</v>
      </c>
      <c r="AM308" s="1">
        <f>Table2[[#This Row],[A]]</f>
        <v>51</v>
      </c>
      <c r="AN308" s="1">
        <f>Table2[[#This Row],[GD]]</f>
        <v>14</v>
      </c>
      <c r="AO308" s="1">
        <f>Table2[[#This Row],[Pts]]</f>
        <v>62</v>
      </c>
      <c r="AP308" s="1">
        <f>Table2[[#This Row],[Column1]]</f>
        <v>7</v>
      </c>
      <c r="AR308" t="b">
        <f t="shared" si="8"/>
        <v>1</v>
      </c>
      <c r="AS308">
        <f>IF(AR308,ROWS($AR$2:AR308),"")</f>
        <v>307</v>
      </c>
      <c r="AT308">
        <f>IFERROR(SMALL($AS$2:$AS$440,ROWS($AS$2:AS308)),"")</f>
        <v>307</v>
      </c>
      <c r="AU308">
        <f>IF(AT308&lt;&gt;"",INDEX($AE$2:$AP$440,MATCH($AT308,$AS$2:$AS$440,0),COLUMNS($AT$2:AT308)),"")</f>
        <v>2015</v>
      </c>
      <c r="AV308">
        <f>IF(AU308&lt;&gt;"",INDEX($AE$2:$AP$440,MATCH($AT308,$AS$2:$AS$440,0),COLUMNS($AT$2:AU308)),"")</f>
        <v>7</v>
      </c>
      <c r="AW308" t="str">
        <f>IF(AV308&lt;&gt;"",INDEX($AE$2:$AP$440,MATCH($AT308,$AS$2:$AS$440,0),COLUMNS($AT$2:AV308)),"")</f>
        <v>West Ham United</v>
      </c>
      <c r="AX308">
        <f>IF(AW308&lt;&gt;"",INDEX($AE$2:$AP$440,MATCH($AT308,$AS$2:$AS$440,0),COLUMNS($AT$2:AW308)),"")</f>
        <v>38</v>
      </c>
      <c r="AY308">
        <f>IF(AX308&lt;&gt;"",INDEX($AE$2:$AP$440,MATCH($AT308,$AS$2:$AS$440,0),COLUMNS($AT$2:AX308)),"")</f>
        <v>16</v>
      </c>
      <c r="AZ308">
        <f>IF(AY308&lt;&gt;"",INDEX($AE$2:$AP$440,MATCH($AT308,$AS$2:$AS$440,0),COLUMNS($AT$2:AY308)),"")</f>
        <v>14</v>
      </c>
      <c r="BA308">
        <f>IF(AZ308&lt;&gt;"",INDEX($AE$2:$AP$440,MATCH($AT308,$AS$2:$AS$440,0),COLUMNS($AT$2:AZ308)),"")</f>
        <v>8</v>
      </c>
      <c r="BB308">
        <f>IF(BA308&lt;&gt;"",INDEX($AE$2:$AP$440,MATCH($AT308,$AS$2:$AS$440,0),COLUMNS($AT$2:BA308)),"")</f>
        <v>65</v>
      </c>
      <c r="BC308">
        <f>IF(BB308&lt;&gt;"",INDEX($AE$2:$AP$440,MATCH($AT308,$AS$2:$AS$440,0),COLUMNS($AT$2:BB308)),"")</f>
        <v>51</v>
      </c>
      <c r="BD308">
        <f>IF(BC308&lt;&gt;"",INDEX($AE$2:$AP$440,MATCH($AT308,$AS$2:$AS$440,0),COLUMNS($AT$2:BC308)),"")</f>
        <v>14</v>
      </c>
      <c r="BE308">
        <f>IF(BD308&lt;&gt;"",INDEX($AE$2:$AP$440,MATCH($AT308,$AS$2:$AS$440,0),COLUMNS($AT$2:BD308)),"")</f>
        <v>62</v>
      </c>
      <c r="BF308">
        <f>IF(BE308&lt;&gt;"",INDEX($AE$2:$AP$440,MATCH($AT308,$AS$2:$AS$440,0),COLUMNS($AT$2:BE308)),"")</f>
        <v>7</v>
      </c>
    </row>
    <row r="309" spans="1:58" x14ac:dyDescent="0.25">
      <c r="A309" s="5">
        <v>2015</v>
      </c>
      <c r="B309" s="5">
        <v>8</v>
      </c>
      <c r="C309" s="4" t="s">
        <v>13</v>
      </c>
      <c r="D309" s="5">
        <v>38</v>
      </c>
      <c r="E309" s="5">
        <v>16</v>
      </c>
      <c r="F309" s="5">
        <v>12</v>
      </c>
      <c r="G309" s="5">
        <v>10</v>
      </c>
      <c r="H309" s="5">
        <v>63</v>
      </c>
      <c r="I309" s="5">
        <v>50</v>
      </c>
      <c r="J309" s="5">
        <v>13</v>
      </c>
      <c r="K309" s="5">
        <v>60</v>
      </c>
      <c r="L309" s="5">
        <f>IF(Table2[[#This Row],['#]]=1,"Champion", IF(Table2[[#This Row],['#]]&gt;=18,"Relegated",Table2[[#This Row],['#]]))</f>
        <v>8</v>
      </c>
      <c r="N309">
        <f>IF(COUNTIF($O$2:O309,O309)=1,N308+1,N308)</f>
        <v>40</v>
      </c>
      <c r="O309" s="4" t="str">
        <f>Table2[[#This Row],[Team]]</f>
        <v>Liverpool</v>
      </c>
      <c r="P309" s="1" t="str">
        <f>IFERROR(VLOOKUP(ROWS($O$2:O309),$N$2:$O$441,2,0),"")</f>
        <v/>
      </c>
      <c r="Q309" s="1" t="str">
        <f>IF(P309&lt;&gt;"",SUMPRODUCT(--(Table2[Team]=P309)),"")</f>
        <v/>
      </c>
      <c r="R309" s="11" t="str">
        <f>IF(Q309&lt;&gt;"",Q309+ROWS($Q$2:Q309)/100,"")</f>
        <v/>
      </c>
      <c r="S309" t="str">
        <f>IF(R309&lt;&gt;"",LARGE($R$2:$R$441,ROWS($R$2:R309)),"")</f>
        <v/>
      </c>
      <c r="T309" s="1" t="str">
        <f>IF(R309&lt;&gt;"",INDEX($P$2:$Q$441,MATCH($S309,$R$2:$R$441,0),COLUMNS($S$2:S309)),"")</f>
        <v/>
      </c>
      <c r="U309" s="1" t="str">
        <f>IF(S309&lt;&gt;"",INDEX($P$2:$Q$441,MATCH($S309,$R$2:$R$441,0),COLUMNS($S$2:T309)),"")</f>
        <v/>
      </c>
      <c r="AE309" s="1">
        <f>Table2[[#This Row],[Year]]</f>
        <v>2015</v>
      </c>
      <c r="AF309" s="1">
        <f>Table2[[#This Row],['#]]</f>
        <v>8</v>
      </c>
      <c r="AG309" s="1" t="str">
        <f>Table2[[#This Row],[Team]]</f>
        <v>Liverpool</v>
      </c>
      <c r="AH309" s="1">
        <f>Table2[[#This Row],[Pl]]</f>
        <v>38</v>
      </c>
      <c r="AI309" s="1">
        <f>Table2[[#This Row],[W]]</f>
        <v>16</v>
      </c>
      <c r="AJ309" s="1">
        <f>Table2[[#This Row],[D]]</f>
        <v>12</v>
      </c>
      <c r="AK309" s="1">
        <f>Table2[[#This Row],[L]]</f>
        <v>10</v>
      </c>
      <c r="AL309" s="1">
        <f>Table2[[#This Row],[F]]</f>
        <v>63</v>
      </c>
      <c r="AM309" s="1">
        <f>Table2[[#This Row],[A]]</f>
        <v>50</v>
      </c>
      <c r="AN309" s="1">
        <f>Table2[[#This Row],[GD]]</f>
        <v>13</v>
      </c>
      <c r="AO309" s="1">
        <f>Table2[[#This Row],[Pts]]</f>
        <v>60</v>
      </c>
      <c r="AP309" s="1">
        <f>Table2[[#This Row],[Column1]]</f>
        <v>8</v>
      </c>
      <c r="AR309" t="b">
        <f t="shared" si="8"/>
        <v>1</v>
      </c>
      <c r="AS309">
        <f>IF(AR309,ROWS($AR$2:AR309),"")</f>
        <v>308</v>
      </c>
      <c r="AT309">
        <f>IFERROR(SMALL($AS$2:$AS$440,ROWS($AS$2:AS309)),"")</f>
        <v>308</v>
      </c>
      <c r="AU309">
        <f>IF(AT309&lt;&gt;"",INDEX($AE$2:$AP$440,MATCH($AT309,$AS$2:$AS$440,0),COLUMNS($AT$2:AT309)),"")</f>
        <v>2015</v>
      </c>
      <c r="AV309">
        <f>IF(AU309&lt;&gt;"",INDEX($AE$2:$AP$440,MATCH($AT309,$AS$2:$AS$440,0),COLUMNS($AT$2:AU309)),"")</f>
        <v>8</v>
      </c>
      <c r="AW309" t="str">
        <f>IF(AV309&lt;&gt;"",INDEX($AE$2:$AP$440,MATCH($AT309,$AS$2:$AS$440,0),COLUMNS($AT$2:AV309)),"")</f>
        <v>Liverpool</v>
      </c>
      <c r="AX309">
        <f>IF(AW309&lt;&gt;"",INDEX($AE$2:$AP$440,MATCH($AT309,$AS$2:$AS$440,0),COLUMNS($AT$2:AW309)),"")</f>
        <v>38</v>
      </c>
      <c r="AY309">
        <f>IF(AX309&lt;&gt;"",INDEX($AE$2:$AP$440,MATCH($AT309,$AS$2:$AS$440,0),COLUMNS($AT$2:AX309)),"")</f>
        <v>16</v>
      </c>
      <c r="AZ309">
        <f>IF(AY309&lt;&gt;"",INDEX($AE$2:$AP$440,MATCH($AT309,$AS$2:$AS$440,0),COLUMNS($AT$2:AY309)),"")</f>
        <v>12</v>
      </c>
      <c r="BA309">
        <f>IF(AZ309&lt;&gt;"",INDEX($AE$2:$AP$440,MATCH($AT309,$AS$2:$AS$440,0),COLUMNS($AT$2:AZ309)),"")</f>
        <v>10</v>
      </c>
      <c r="BB309">
        <f>IF(BA309&lt;&gt;"",INDEX($AE$2:$AP$440,MATCH($AT309,$AS$2:$AS$440,0),COLUMNS($AT$2:BA309)),"")</f>
        <v>63</v>
      </c>
      <c r="BC309">
        <f>IF(BB309&lt;&gt;"",INDEX($AE$2:$AP$440,MATCH($AT309,$AS$2:$AS$440,0),COLUMNS($AT$2:BB309)),"")</f>
        <v>50</v>
      </c>
      <c r="BD309">
        <f>IF(BC309&lt;&gt;"",INDEX($AE$2:$AP$440,MATCH($AT309,$AS$2:$AS$440,0),COLUMNS($AT$2:BC309)),"")</f>
        <v>13</v>
      </c>
      <c r="BE309">
        <f>IF(BD309&lt;&gt;"",INDEX($AE$2:$AP$440,MATCH($AT309,$AS$2:$AS$440,0),COLUMNS($AT$2:BD309)),"")</f>
        <v>60</v>
      </c>
      <c r="BF309">
        <f>IF(BE309&lt;&gt;"",INDEX($AE$2:$AP$440,MATCH($AT309,$AS$2:$AS$440,0),COLUMNS($AT$2:BE309)),"")</f>
        <v>8</v>
      </c>
    </row>
    <row r="310" spans="1:58" x14ac:dyDescent="0.25">
      <c r="A310" s="3">
        <v>2015</v>
      </c>
      <c r="B310" s="3">
        <v>9</v>
      </c>
      <c r="C310" s="4" t="s">
        <v>44</v>
      </c>
      <c r="D310" s="3">
        <v>38</v>
      </c>
      <c r="E310" s="3">
        <v>14</v>
      </c>
      <c r="F310" s="3">
        <v>9</v>
      </c>
      <c r="G310" s="3">
        <v>15</v>
      </c>
      <c r="H310" s="3">
        <v>41</v>
      </c>
      <c r="I310" s="3">
        <v>55</v>
      </c>
      <c r="J310" s="3">
        <v>-14</v>
      </c>
      <c r="K310" s="3">
        <v>51</v>
      </c>
      <c r="L310" s="5">
        <f>IF(Table2[[#This Row],['#]]=1,"Champion", IF(Table2[[#This Row],['#]]&gt;=18,"Relegated",Table2[[#This Row],['#]]))</f>
        <v>9</v>
      </c>
      <c r="N310">
        <f>IF(COUNTIF($O$2:O310,O310)=1,N309+1,N309)</f>
        <v>40</v>
      </c>
      <c r="O310" s="4" t="str">
        <f>Table2[[#This Row],[Team]]</f>
        <v>Stoke City</v>
      </c>
      <c r="P310" s="1" t="str">
        <f>IFERROR(VLOOKUP(ROWS($O$2:O310),$N$2:$O$441,2,0),"")</f>
        <v/>
      </c>
      <c r="Q310" s="1" t="str">
        <f>IF(P310&lt;&gt;"",SUMPRODUCT(--(Table2[Team]=P310)),"")</f>
        <v/>
      </c>
      <c r="R310" s="11" t="str">
        <f>IF(Q310&lt;&gt;"",Q310+ROWS($Q$2:Q310)/100,"")</f>
        <v/>
      </c>
      <c r="S310" t="str">
        <f>IF(R310&lt;&gt;"",LARGE($R$2:$R$441,ROWS($R$2:R310)),"")</f>
        <v/>
      </c>
      <c r="T310" s="1" t="str">
        <f>IF(R310&lt;&gt;"",INDEX($P$2:$Q$441,MATCH($S310,$R$2:$R$441,0),COLUMNS($S$2:S310)),"")</f>
        <v/>
      </c>
      <c r="U310" s="1" t="str">
        <f>IF(S310&lt;&gt;"",INDEX($P$2:$Q$441,MATCH($S310,$R$2:$R$441,0),COLUMNS($S$2:T310)),"")</f>
        <v/>
      </c>
      <c r="AE310" s="1">
        <f>Table2[[#This Row],[Year]]</f>
        <v>2015</v>
      </c>
      <c r="AF310" s="1">
        <f>Table2[[#This Row],['#]]</f>
        <v>9</v>
      </c>
      <c r="AG310" s="1" t="str">
        <f>Table2[[#This Row],[Team]]</f>
        <v>Stoke City</v>
      </c>
      <c r="AH310" s="1">
        <f>Table2[[#This Row],[Pl]]</f>
        <v>38</v>
      </c>
      <c r="AI310" s="1">
        <f>Table2[[#This Row],[W]]</f>
        <v>14</v>
      </c>
      <c r="AJ310" s="1">
        <f>Table2[[#This Row],[D]]</f>
        <v>9</v>
      </c>
      <c r="AK310" s="1">
        <f>Table2[[#This Row],[L]]</f>
        <v>15</v>
      </c>
      <c r="AL310" s="1">
        <f>Table2[[#This Row],[F]]</f>
        <v>41</v>
      </c>
      <c r="AM310" s="1">
        <f>Table2[[#This Row],[A]]</f>
        <v>55</v>
      </c>
      <c r="AN310" s="1">
        <f>Table2[[#This Row],[GD]]</f>
        <v>-14</v>
      </c>
      <c r="AO310" s="1">
        <f>Table2[[#This Row],[Pts]]</f>
        <v>51</v>
      </c>
      <c r="AP310" s="1">
        <f>Table2[[#This Row],[Column1]]</f>
        <v>9</v>
      </c>
      <c r="AR310" t="b">
        <f t="shared" si="8"/>
        <v>1</v>
      </c>
      <c r="AS310">
        <f>IF(AR310,ROWS($AR$2:AR310),"")</f>
        <v>309</v>
      </c>
      <c r="AT310">
        <f>IFERROR(SMALL($AS$2:$AS$440,ROWS($AS$2:AS310)),"")</f>
        <v>309</v>
      </c>
      <c r="AU310">
        <f>IF(AT310&lt;&gt;"",INDEX($AE$2:$AP$440,MATCH($AT310,$AS$2:$AS$440,0),COLUMNS($AT$2:AT310)),"")</f>
        <v>2015</v>
      </c>
      <c r="AV310">
        <f>IF(AU310&lt;&gt;"",INDEX($AE$2:$AP$440,MATCH($AT310,$AS$2:$AS$440,0),COLUMNS($AT$2:AU310)),"")</f>
        <v>9</v>
      </c>
      <c r="AW310" t="str">
        <f>IF(AV310&lt;&gt;"",INDEX($AE$2:$AP$440,MATCH($AT310,$AS$2:$AS$440,0),COLUMNS($AT$2:AV310)),"")</f>
        <v>Stoke City</v>
      </c>
      <c r="AX310">
        <f>IF(AW310&lt;&gt;"",INDEX($AE$2:$AP$440,MATCH($AT310,$AS$2:$AS$440,0),COLUMNS($AT$2:AW310)),"")</f>
        <v>38</v>
      </c>
      <c r="AY310">
        <f>IF(AX310&lt;&gt;"",INDEX($AE$2:$AP$440,MATCH($AT310,$AS$2:$AS$440,0),COLUMNS($AT$2:AX310)),"")</f>
        <v>14</v>
      </c>
      <c r="AZ310">
        <f>IF(AY310&lt;&gt;"",INDEX($AE$2:$AP$440,MATCH($AT310,$AS$2:$AS$440,0),COLUMNS($AT$2:AY310)),"")</f>
        <v>9</v>
      </c>
      <c r="BA310">
        <f>IF(AZ310&lt;&gt;"",INDEX($AE$2:$AP$440,MATCH($AT310,$AS$2:$AS$440,0),COLUMNS($AT$2:AZ310)),"")</f>
        <v>15</v>
      </c>
      <c r="BB310">
        <f>IF(BA310&lt;&gt;"",INDEX($AE$2:$AP$440,MATCH($AT310,$AS$2:$AS$440,0),COLUMNS($AT$2:BA310)),"")</f>
        <v>41</v>
      </c>
      <c r="BC310">
        <f>IF(BB310&lt;&gt;"",INDEX($AE$2:$AP$440,MATCH($AT310,$AS$2:$AS$440,0),COLUMNS($AT$2:BB310)),"")</f>
        <v>55</v>
      </c>
      <c r="BD310">
        <f>IF(BC310&lt;&gt;"",INDEX($AE$2:$AP$440,MATCH($AT310,$AS$2:$AS$440,0),COLUMNS($AT$2:BC310)),"")</f>
        <v>-14</v>
      </c>
      <c r="BE310">
        <f>IF(BD310&lt;&gt;"",INDEX($AE$2:$AP$440,MATCH($AT310,$AS$2:$AS$440,0),COLUMNS($AT$2:BD310)),"")</f>
        <v>51</v>
      </c>
      <c r="BF310">
        <f>IF(BE310&lt;&gt;"",INDEX($AE$2:$AP$440,MATCH($AT310,$AS$2:$AS$440,0),COLUMNS($AT$2:BE310)),"")</f>
        <v>9</v>
      </c>
    </row>
    <row r="311" spans="1:58" x14ac:dyDescent="0.25">
      <c r="A311" s="5">
        <v>2015</v>
      </c>
      <c r="B311" s="5">
        <v>10</v>
      </c>
      <c r="C311" s="6" t="s">
        <v>16</v>
      </c>
      <c r="D311" s="5">
        <v>38</v>
      </c>
      <c r="E311" s="5">
        <v>12</v>
      </c>
      <c r="F311" s="5">
        <v>14</v>
      </c>
      <c r="G311" s="5">
        <v>12</v>
      </c>
      <c r="H311" s="5">
        <v>59</v>
      </c>
      <c r="I311" s="5">
        <v>53</v>
      </c>
      <c r="J311" s="5">
        <v>6</v>
      </c>
      <c r="K311" s="5">
        <v>50</v>
      </c>
      <c r="L311" s="5">
        <f>IF(Table2[[#This Row],['#]]=1,"Champion", IF(Table2[[#This Row],['#]]&gt;=18,"Relegated",Table2[[#This Row],['#]]))</f>
        <v>10</v>
      </c>
      <c r="N311">
        <f>IF(COUNTIF($O$2:O311,O311)=1,N310+1,N310)</f>
        <v>40</v>
      </c>
      <c r="O311" s="4" t="str">
        <f>Table2[[#This Row],[Team]]</f>
        <v>Chelsea</v>
      </c>
      <c r="P311" s="1" t="str">
        <f>IFERROR(VLOOKUP(ROWS($O$2:O311),$N$2:$O$441,2,0),"")</f>
        <v/>
      </c>
      <c r="Q311" s="1" t="str">
        <f>IF(P311&lt;&gt;"",SUMPRODUCT(--(Table2[Team]=P311)),"")</f>
        <v/>
      </c>
      <c r="R311" s="11" t="str">
        <f>IF(Q311&lt;&gt;"",Q311+ROWS($Q$2:Q311)/100,"")</f>
        <v/>
      </c>
      <c r="S311" t="str">
        <f>IF(R311&lt;&gt;"",LARGE($R$2:$R$441,ROWS($R$2:R311)),"")</f>
        <v/>
      </c>
      <c r="T311" s="1" t="str">
        <f>IF(R311&lt;&gt;"",INDEX($P$2:$Q$441,MATCH($S311,$R$2:$R$441,0),COLUMNS($S$2:S311)),"")</f>
        <v/>
      </c>
      <c r="U311" s="1" t="str">
        <f>IF(S311&lt;&gt;"",INDEX($P$2:$Q$441,MATCH($S311,$R$2:$R$441,0),COLUMNS($S$2:T311)),"")</f>
        <v/>
      </c>
      <c r="AE311" s="1">
        <f>Table2[[#This Row],[Year]]</f>
        <v>2015</v>
      </c>
      <c r="AF311" s="1">
        <f>Table2[[#This Row],['#]]</f>
        <v>10</v>
      </c>
      <c r="AG311" s="1" t="str">
        <f>Table2[[#This Row],[Team]]</f>
        <v>Chelsea</v>
      </c>
      <c r="AH311" s="1">
        <f>Table2[[#This Row],[Pl]]</f>
        <v>38</v>
      </c>
      <c r="AI311" s="1">
        <f>Table2[[#This Row],[W]]</f>
        <v>12</v>
      </c>
      <c r="AJ311" s="1">
        <f>Table2[[#This Row],[D]]</f>
        <v>14</v>
      </c>
      <c r="AK311" s="1">
        <f>Table2[[#This Row],[L]]</f>
        <v>12</v>
      </c>
      <c r="AL311" s="1">
        <f>Table2[[#This Row],[F]]</f>
        <v>59</v>
      </c>
      <c r="AM311" s="1">
        <f>Table2[[#This Row],[A]]</f>
        <v>53</v>
      </c>
      <c r="AN311" s="1">
        <f>Table2[[#This Row],[GD]]</f>
        <v>6</v>
      </c>
      <c r="AO311" s="1">
        <f>Table2[[#This Row],[Pts]]</f>
        <v>50</v>
      </c>
      <c r="AP311" s="1">
        <f>Table2[[#This Row],[Column1]]</f>
        <v>10</v>
      </c>
      <c r="AR311" t="b">
        <f t="shared" si="8"/>
        <v>1</v>
      </c>
      <c r="AS311">
        <f>IF(AR311,ROWS($AR$2:AR311),"")</f>
        <v>310</v>
      </c>
      <c r="AT311">
        <f>IFERROR(SMALL($AS$2:$AS$440,ROWS($AS$2:AS311)),"")</f>
        <v>310</v>
      </c>
      <c r="AU311">
        <f>IF(AT311&lt;&gt;"",INDEX($AE$2:$AP$440,MATCH($AT311,$AS$2:$AS$440,0),COLUMNS($AT$2:AT311)),"")</f>
        <v>2015</v>
      </c>
      <c r="AV311">
        <f>IF(AU311&lt;&gt;"",INDEX($AE$2:$AP$440,MATCH($AT311,$AS$2:$AS$440,0),COLUMNS($AT$2:AU311)),"")</f>
        <v>10</v>
      </c>
      <c r="AW311" t="str">
        <f>IF(AV311&lt;&gt;"",INDEX($AE$2:$AP$440,MATCH($AT311,$AS$2:$AS$440,0),COLUMNS($AT$2:AV311)),"")</f>
        <v>Chelsea</v>
      </c>
      <c r="AX311">
        <f>IF(AW311&lt;&gt;"",INDEX($AE$2:$AP$440,MATCH($AT311,$AS$2:$AS$440,0),COLUMNS($AT$2:AW311)),"")</f>
        <v>38</v>
      </c>
      <c r="AY311">
        <f>IF(AX311&lt;&gt;"",INDEX($AE$2:$AP$440,MATCH($AT311,$AS$2:$AS$440,0),COLUMNS($AT$2:AX311)),"")</f>
        <v>12</v>
      </c>
      <c r="AZ311">
        <f>IF(AY311&lt;&gt;"",INDEX($AE$2:$AP$440,MATCH($AT311,$AS$2:$AS$440,0),COLUMNS($AT$2:AY311)),"")</f>
        <v>14</v>
      </c>
      <c r="BA311">
        <f>IF(AZ311&lt;&gt;"",INDEX($AE$2:$AP$440,MATCH($AT311,$AS$2:$AS$440,0),COLUMNS($AT$2:AZ311)),"")</f>
        <v>12</v>
      </c>
      <c r="BB311">
        <f>IF(BA311&lt;&gt;"",INDEX($AE$2:$AP$440,MATCH($AT311,$AS$2:$AS$440,0),COLUMNS($AT$2:BA311)),"")</f>
        <v>59</v>
      </c>
      <c r="BC311">
        <f>IF(BB311&lt;&gt;"",INDEX($AE$2:$AP$440,MATCH($AT311,$AS$2:$AS$440,0),COLUMNS($AT$2:BB311)),"")</f>
        <v>53</v>
      </c>
      <c r="BD311">
        <f>IF(BC311&lt;&gt;"",INDEX($AE$2:$AP$440,MATCH($AT311,$AS$2:$AS$440,0),COLUMNS($AT$2:BC311)),"")</f>
        <v>6</v>
      </c>
      <c r="BE311">
        <f>IF(BD311&lt;&gt;"",INDEX($AE$2:$AP$440,MATCH($AT311,$AS$2:$AS$440,0),COLUMNS($AT$2:BD311)),"")</f>
        <v>50</v>
      </c>
      <c r="BF311">
        <f>IF(BE311&lt;&gt;"",INDEX($AE$2:$AP$440,MATCH($AT311,$AS$2:$AS$440,0),COLUMNS($AT$2:BE311)),"")</f>
        <v>10</v>
      </c>
    </row>
    <row r="312" spans="1:58" x14ac:dyDescent="0.25">
      <c r="A312" s="3">
        <v>2015</v>
      </c>
      <c r="B312" s="3">
        <v>11</v>
      </c>
      <c r="C312" s="4" t="s">
        <v>26</v>
      </c>
      <c r="D312" s="3">
        <v>38</v>
      </c>
      <c r="E312" s="3">
        <v>11</v>
      </c>
      <c r="F312" s="3">
        <v>14</v>
      </c>
      <c r="G312" s="3">
        <v>13</v>
      </c>
      <c r="H312" s="3">
        <v>59</v>
      </c>
      <c r="I312" s="3">
        <v>55</v>
      </c>
      <c r="J312" s="3">
        <v>4</v>
      </c>
      <c r="K312" s="3">
        <v>47</v>
      </c>
      <c r="L312" s="5">
        <f>IF(Table2[[#This Row],['#]]=1,"Champion", IF(Table2[[#This Row],['#]]&gt;=18,"Relegated",Table2[[#This Row],['#]]))</f>
        <v>11</v>
      </c>
      <c r="N312">
        <f>IF(COUNTIF($O$2:O312,O312)=1,N311+1,N311)</f>
        <v>40</v>
      </c>
      <c r="O312" s="4" t="str">
        <f>Table2[[#This Row],[Team]]</f>
        <v>Everton</v>
      </c>
      <c r="P312" s="1" t="str">
        <f>IFERROR(VLOOKUP(ROWS($O$2:O312),$N$2:$O$441,2,0),"")</f>
        <v/>
      </c>
      <c r="Q312" s="1" t="str">
        <f>IF(P312&lt;&gt;"",SUMPRODUCT(--(Table2[Team]=P312)),"")</f>
        <v/>
      </c>
      <c r="R312" s="11" t="str">
        <f>IF(Q312&lt;&gt;"",Q312+ROWS($Q$2:Q312)/100,"")</f>
        <v/>
      </c>
      <c r="S312" t="str">
        <f>IF(R312&lt;&gt;"",LARGE($R$2:$R$441,ROWS($R$2:R312)),"")</f>
        <v/>
      </c>
      <c r="T312" s="1" t="str">
        <f>IF(R312&lt;&gt;"",INDEX($P$2:$Q$441,MATCH($S312,$R$2:$R$441,0),COLUMNS($S$2:S312)),"")</f>
        <v/>
      </c>
      <c r="U312" s="1" t="str">
        <f>IF(S312&lt;&gt;"",INDEX($P$2:$Q$441,MATCH($S312,$R$2:$R$441,0),COLUMNS($S$2:T312)),"")</f>
        <v/>
      </c>
      <c r="AE312" s="1">
        <f>Table2[[#This Row],[Year]]</f>
        <v>2015</v>
      </c>
      <c r="AF312" s="1">
        <f>Table2[[#This Row],['#]]</f>
        <v>11</v>
      </c>
      <c r="AG312" s="1" t="str">
        <f>Table2[[#This Row],[Team]]</f>
        <v>Everton</v>
      </c>
      <c r="AH312" s="1">
        <f>Table2[[#This Row],[Pl]]</f>
        <v>38</v>
      </c>
      <c r="AI312" s="1">
        <f>Table2[[#This Row],[W]]</f>
        <v>11</v>
      </c>
      <c r="AJ312" s="1">
        <f>Table2[[#This Row],[D]]</f>
        <v>14</v>
      </c>
      <c r="AK312" s="1">
        <f>Table2[[#This Row],[L]]</f>
        <v>13</v>
      </c>
      <c r="AL312" s="1">
        <f>Table2[[#This Row],[F]]</f>
        <v>59</v>
      </c>
      <c r="AM312" s="1">
        <f>Table2[[#This Row],[A]]</f>
        <v>55</v>
      </c>
      <c r="AN312" s="1">
        <f>Table2[[#This Row],[GD]]</f>
        <v>4</v>
      </c>
      <c r="AO312" s="1">
        <f>Table2[[#This Row],[Pts]]</f>
        <v>47</v>
      </c>
      <c r="AP312" s="1">
        <f>Table2[[#This Row],[Column1]]</f>
        <v>11</v>
      </c>
      <c r="AR312" t="b">
        <f t="shared" si="8"/>
        <v>1</v>
      </c>
      <c r="AS312">
        <f>IF(AR312,ROWS($AR$2:AR312),"")</f>
        <v>311</v>
      </c>
      <c r="AT312">
        <f>IFERROR(SMALL($AS$2:$AS$440,ROWS($AS$2:AS312)),"")</f>
        <v>311</v>
      </c>
      <c r="AU312">
        <f>IF(AT312&lt;&gt;"",INDEX($AE$2:$AP$440,MATCH($AT312,$AS$2:$AS$440,0),COLUMNS($AT$2:AT312)),"")</f>
        <v>2015</v>
      </c>
      <c r="AV312">
        <f>IF(AU312&lt;&gt;"",INDEX($AE$2:$AP$440,MATCH($AT312,$AS$2:$AS$440,0),COLUMNS($AT$2:AU312)),"")</f>
        <v>11</v>
      </c>
      <c r="AW312" t="str">
        <f>IF(AV312&lt;&gt;"",INDEX($AE$2:$AP$440,MATCH($AT312,$AS$2:$AS$440,0),COLUMNS($AT$2:AV312)),"")</f>
        <v>Everton</v>
      </c>
      <c r="AX312">
        <f>IF(AW312&lt;&gt;"",INDEX($AE$2:$AP$440,MATCH($AT312,$AS$2:$AS$440,0),COLUMNS($AT$2:AW312)),"")</f>
        <v>38</v>
      </c>
      <c r="AY312">
        <f>IF(AX312&lt;&gt;"",INDEX($AE$2:$AP$440,MATCH($AT312,$AS$2:$AS$440,0),COLUMNS($AT$2:AX312)),"")</f>
        <v>11</v>
      </c>
      <c r="AZ312">
        <f>IF(AY312&lt;&gt;"",INDEX($AE$2:$AP$440,MATCH($AT312,$AS$2:$AS$440,0),COLUMNS($AT$2:AY312)),"")</f>
        <v>14</v>
      </c>
      <c r="BA312">
        <f>IF(AZ312&lt;&gt;"",INDEX($AE$2:$AP$440,MATCH($AT312,$AS$2:$AS$440,0),COLUMNS($AT$2:AZ312)),"")</f>
        <v>13</v>
      </c>
      <c r="BB312">
        <f>IF(BA312&lt;&gt;"",INDEX($AE$2:$AP$440,MATCH($AT312,$AS$2:$AS$440,0),COLUMNS($AT$2:BA312)),"")</f>
        <v>59</v>
      </c>
      <c r="BC312">
        <f>IF(BB312&lt;&gt;"",INDEX($AE$2:$AP$440,MATCH($AT312,$AS$2:$AS$440,0),COLUMNS($AT$2:BB312)),"")</f>
        <v>55</v>
      </c>
      <c r="BD312">
        <f>IF(BC312&lt;&gt;"",INDEX($AE$2:$AP$440,MATCH($AT312,$AS$2:$AS$440,0),COLUMNS($AT$2:BC312)),"")</f>
        <v>4</v>
      </c>
      <c r="BE312">
        <f>IF(BD312&lt;&gt;"",INDEX($AE$2:$AP$440,MATCH($AT312,$AS$2:$AS$440,0),COLUMNS($AT$2:BD312)),"")</f>
        <v>47</v>
      </c>
      <c r="BF312">
        <f>IF(BE312&lt;&gt;"",INDEX($AE$2:$AP$440,MATCH($AT312,$AS$2:$AS$440,0),COLUMNS($AT$2:BE312)),"")</f>
        <v>11</v>
      </c>
    </row>
    <row r="313" spans="1:58" x14ac:dyDescent="0.25">
      <c r="A313" s="5">
        <v>2015</v>
      </c>
      <c r="B313" s="5">
        <v>12</v>
      </c>
      <c r="C313" s="6" t="s">
        <v>48</v>
      </c>
      <c r="D313" s="5">
        <v>38</v>
      </c>
      <c r="E313" s="5">
        <v>12</v>
      </c>
      <c r="F313" s="5">
        <v>11</v>
      </c>
      <c r="G313" s="5">
        <v>15</v>
      </c>
      <c r="H313" s="5">
        <v>42</v>
      </c>
      <c r="I313" s="5">
        <v>52</v>
      </c>
      <c r="J313" s="5">
        <v>-10</v>
      </c>
      <c r="K313" s="5">
        <v>47</v>
      </c>
      <c r="L313" s="5">
        <f>IF(Table2[[#This Row],['#]]=1,"Champion", IF(Table2[[#This Row],['#]]&gt;=18,"Relegated",Table2[[#This Row],['#]]))</f>
        <v>12</v>
      </c>
      <c r="N313">
        <f>IF(COUNTIF($O$2:O313,O313)=1,N312+1,N312)</f>
        <v>40</v>
      </c>
      <c r="O313" s="4" t="str">
        <f>Table2[[#This Row],[Team]]</f>
        <v>Swansea City</v>
      </c>
      <c r="P313" s="1" t="str">
        <f>IFERROR(VLOOKUP(ROWS($O$2:O313),$N$2:$O$441,2,0),"")</f>
        <v/>
      </c>
      <c r="Q313" s="1" t="str">
        <f>IF(P313&lt;&gt;"",SUMPRODUCT(--(Table2[Team]=P313)),"")</f>
        <v/>
      </c>
      <c r="R313" s="11" t="str">
        <f>IF(Q313&lt;&gt;"",Q313+ROWS($Q$2:Q313)/100,"")</f>
        <v/>
      </c>
      <c r="S313" t="str">
        <f>IF(R313&lt;&gt;"",LARGE($R$2:$R$441,ROWS($R$2:R313)),"")</f>
        <v/>
      </c>
      <c r="T313" s="1" t="str">
        <f>IF(R313&lt;&gt;"",INDEX($P$2:$Q$441,MATCH($S313,$R$2:$R$441,0),COLUMNS($S$2:S313)),"")</f>
        <v/>
      </c>
      <c r="U313" s="1" t="str">
        <f>IF(S313&lt;&gt;"",INDEX($P$2:$Q$441,MATCH($S313,$R$2:$R$441,0),COLUMNS($S$2:T313)),"")</f>
        <v/>
      </c>
      <c r="AE313" s="1">
        <f>Table2[[#This Row],[Year]]</f>
        <v>2015</v>
      </c>
      <c r="AF313" s="1">
        <f>Table2[[#This Row],['#]]</f>
        <v>12</v>
      </c>
      <c r="AG313" s="1" t="str">
        <f>Table2[[#This Row],[Team]]</f>
        <v>Swansea City</v>
      </c>
      <c r="AH313" s="1">
        <f>Table2[[#This Row],[Pl]]</f>
        <v>38</v>
      </c>
      <c r="AI313" s="1">
        <f>Table2[[#This Row],[W]]</f>
        <v>12</v>
      </c>
      <c r="AJ313" s="1">
        <f>Table2[[#This Row],[D]]</f>
        <v>11</v>
      </c>
      <c r="AK313" s="1">
        <f>Table2[[#This Row],[L]]</f>
        <v>15</v>
      </c>
      <c r="AL313" s="1">
        <f>Table2[[#This Row],[F]]</f>
        <v>42</v>
      </c>
      <c r="AM313" s="1">
        <f>Table2[[#This Row],[A]]</f>
        <v>52</v>
      </c>
      <c r="AN313" s="1">
        <f>Table2[[#This Row],[GD]]</f>
        <v>-10</v>
      </c>
      <c r="AO313" s="1">
        <f>Table2[[#This Row],[Pts]]</f>
        <v>47</v>
      </c>
      <c r="AP313" s="1">
        <f>Table2[[#This Row],[Column1]]</f>
        <v>12</v>
      </c>
      <c r="AR313" t="b">
        <f t="shared" si="8"/>
        <v>1</v>
      </c>
      <c r="AS313">
        <f>IF(AR313,ROWS($AR$2:AR313),"")</f>
        <v>312</v>
      </c>
      <c r="AT313">
        <f>IFERROR(SMALL($AS$2:$AS$440,ROWS($AS$2:AS313)),"")</f>
        <v>312</v>
      </c>
      <c r="AU313">
        <f>IF(AT313&lt;&gt;"",INDEX($AE$2:$AP$440,MATCH($AT313,$AS$2:$AS$440,0),COLUMNS($AT$2:AT313)),"")</f>
        <v>2015</v>
      </c>
      <c r="AV313">
        <f>IF(AU313&lt;&gt;"",INDEX($AE$2:$AP$440,MATCH($AT313,$AS$2:$AS$440,0),COLUMNS($AT$2:AU313)),"")</f>
        <v>12</v>
      </c>
      <c r="AW313" t="str">
        <f>IF(AV313&lt;&gt;"",INDEX($AE$2:$AP$440,MATCH($AT313,$AS$2:$AS$440,0),COLUMNS($AT$2:AV313)),"")</f>
        <v>Swansea City</v>
      </c>
      <c r="AX313">
        <f>IF(AW313&lt;&gt;"",INDEX($AE$2:$AP$440,MATCH($AT313,$AS$2:$AS$440,0),COLUMNS($AT$2:AW313)),"")</f>
        <v>38</v>
      </c>
      <c r="AY313">
        <f>IF(AX313&lt;&gt;"",INDEX($AE$2:$AP$440,MATCH($AT313,$AS$2:$AS$440,0),COLUMNS($AT$2:AX313)),"")</f>
        <v>12</v>
      </c>
      <c r="AZ313">
        <f>IF(AY313&lt;&gt;"",INDEX($AE$2:$AP$440,MATCH($AT313,$AS$2:$AS$440,0),COLUMNS($AT$2:AY313)),"")</f>
        <v>11</v>
      </c>
      <c r="BA313">
        <f>IF(AZ313&lt;&gt;"",INDEX($AE$2:$AP$440,MATCH($AT313,$AS$2:$AS$440,0),COLUMNS($AT$2:AZ313)),"")</f>
        <v>15</v>
      </c>
      <c r="BB313">
        <f>IF(BA313&lt;&gt;"",INDEX($AE$2:$AP$440,MATCH($AT313,$AS$2:$AS$440,0),COLUMNS($AT$2:BA313)),"")</f>
        <v>42</v>
      </c>
      <c r="BC313">
        <f>IF(BB313&lt;&gt;"",INDEX($AE$2:$AP$440,MATCH($AT313,$AS$2:$AS$440,0),COLUMNS($AT$2:BB313)),"")</f>
        <v>52</v>
      </c>
      <c r="BD313">
        <f>IF(BC313&lt;&gt;"",INDEX($AE$2:$AP$440,MATCH($AT313,$AS$2:$AS$440,0),COLUMNS($AT$2:BC313)),"")</f>
        <v>-10</v>
      </c>
      <c r="BE313">
        <f>IF(BD313&lt;&gt;"",INDEX($AE$2:$AP$440,MATCH($AT313,$AS$2:$AS$440,0),COLUMNS($AT$2:BD313)),"")</f>
        <v>47</v>
      </c>
      <c r="BF313">
        <f>IF(BE313&lt;&gt;"",INDEX($AE$2:$AP$440,MATCH($AT313,$AS$2:$AS$440,0),COLUMNS($AT$2:BE313)),"")</f>
        <v>12</v>
      </c>
    </row>
    <row r="314" spans="1:58" x14ac:dyDescent="0.25">
      <c r="A314" s="3">
        <v>2015</v>
      </c>
      <c r="B314" s="3">
        <v>13</v>
      </c>
      <c r="C314" s="4" t="s">
        <v>43</v>
      </c>
      <c r="D314" s="3">
        <v>38</v>
      </c>
      <c r="E314" s="3">
        <v>12</v>
      </c>
      <c r="F314" s="3">
        <v>9</v>
      </c>
      <c r="G314" s="3">
        <v>17</v>
      </c>
      <c r="H314" s="3">
        <v>40</v>
      </c>
      <c r="I314" s="3">
        <v>50</v>
      </c>
      <c r="J314" s="3">
        <v>-10</v>
      </c>
      <c r="K314" s="3">
        <v>45</v>
      </c>
      <c r="L314" s="5">
        <f>IF(Table2[[#This Row],['#]]=1,"Champion", IF(Table2[[#This Row],['#]]&gt;=18,"Relegated",Table2[[#This Row],['#]]))</f>
        <v>13</v>
      </c>
      <c r="N314">
        <f>IF(COUNTIF($O$2:O314,O314)=1,N313+1,N313)</f>
        <v>40</v>
      </c>
      <c r="O314" s="4" t="str">
        <f>Table2[[#This Row],[Team]]</f>
        <v>Watford</v>
      </c>
      <c r="P314" s="1" t="str">
        <f>IFERROR(VLOOKUP(ROWS($O$2:O314),$N$2:$O$441,2,0),"")</f>
        <v/>
      </c>
      <c r="Q314" s="1" t="str">
        <f>IF(P314&lt;&gt;"",SUMPRODUCT(--(Table2[Team]=P314)),"")</f>
        <v/>
      </c>
      <c r="R314" s="11" t="str">
        <f>IF(Q314&lt;&gt;"",Q314+ROWS($Q$2:Q314)/100,"")</f>
        <v/>
      </c>
      <c r="S314" t="str">
        <f>IF(R314&lt;&gt;"",LARGE($R$2:$R$441,ROWS($R$2:R314)),"")</f>
        <v/>
      </c>
      <c r="T314" s="1" t="str">
        <f>IF(R314&lt;&gt;"",INDEX($P$2:$Q$441,MATCH($S314,$R$2:$R$441,0),COLUMNS($S$2:S314)),"")</f>
        <v/>
      </c>
      <c r="U314" s="1" t="str">
        <f>IF(S314&lt;&gt;"",INDEX($P$2:$Q$441,MATCH($S314,$R$2:$R$441,0),COLUMNS($S$2:T314)),"")</f>
        <v/>
      </c>
      <c r="AE314" s="1">
        <f>Table2[[#This Row],[Year]]</f>
        <v>2015</v>
      </c>
      <c r="AF314" s="1">
        <f>Table2[[#This Row],['#]]</f>
        <v>13</v>
      </c>
      <c r="AG314" s="1" t="str">
        <f>Table2[[#This Row],[Team]]</f>
        <v>Watford</v>
      </c>
      <c r="AH314" s="1">
        <f>Table2[[#This Row],[Pl]]</f>
        <v>38</v>
      </c>
      <c r="AI314" s="1">
        <f>Table2[[#This Row],[W]]</f>
        <v>12</v>
      </c>
      <c r="AJ314" s="1">
        <f>Table2[[#This Row],[D]]</f>
        <v>9</v>
      </c>
      <c r="AK314" s="1">
        <f>Table2[[#This Row],[L]]</f>
        <v>17</v>
      </c>
      <c r="AL314" s="1">
        <f>Table2[[#This Row],[F]]</f>
        <v>40</v>
      </c>
      <c r="AM314" s="1">
        <f>Table2[[#This Row],[A]]</f>
        <v>50</v>
      </c>
      <c r="AN314" s="1">
        <f>Table2[[#This Row],[GD]]</f>
        <v>-10</v>
      </c>
      <c r="AO314" s="1">
        <f>Table2[[#This Row],[Pts]]</f>
        <v>45</v>
      </c>
      <c r="AP314" s="1">
        <f>Table2[[#This Row],[Column1]]</f>
        <v>13</v>
      </c>
      <c r="AR314" t="b">
        <f t="shared" si="8"/>
        <v>1</v>
      </c>
      <c r="AS314">
        <f>IF(AR314,ROWS($AR$2:AR314),"")</f>
        <v>313</v>
      </c>
      <c r="AT314">
        <f>IFERROR(SMALL($AS$2:$AS$440,ROWS($AS$2:AS314)),"")</f>
        <v>313</v>
      </c>
      <c r="AU314">
        <f>IF(AT314&lt;&gt;"",INDEX($AE$2:$AP$440,MATCH($AT314,$AS$2:$AS$440,0),COLUMNS($AT$2:AT314)),"")</f>
        <v>2015</v>
      </c>
      <c r="AV314">
        <f>IF(AU314&lt;&gt;"",INDEX($AE$2:$AP$440,MATCH($AT314,$AS$2:$AS$440,0),COLUMNS($AT$2:AU314)),"")</f>
        <v>13</v>
      </c>
      <c r="AW314" t="str">
        <f>IF(AV314&lt;&gt;"",INDEX($AE$2:$AP$440,MATCH($AT314,$AS$2:$AS$440,0),COLUMNS($AT$2:AV314)),"")</f>
        <v>Watford</v>
      </c>
      <c r="AX314">
        <f>IF(AW314&lt;&gt;"",INDEX($AE$2:$AP$440,MATCH($AT314,$AS$2:$AS$440,0),COLUMNS($AT$2:AW314)),"")</f>
        <v>38</v>
      </c>
      <c r="AY314">
        <f>IF(AX314&lt;&gt;"",INDEX($AE$2:$AP$440,MATCH($AT314,$AS$2:$AS$440,0),COLUMNS($AT$2:AX314)),"")</f>
        <v>12</v>
      </c>
      <c r="AZ314">
        <f>IF(AY314&lt;&gt;"",INDEX($AE$2:$AP$440,MATCH($AT314,$AS$2:$AS$440,0),COLUMNS($AT$2:AY314)),"")</f>
        <v>9</v>
      </c>
      <c r="BA314">
        <f>IF(AZ314&lt;&gt;"",INDEX($AE$2:$AP$440,MATCH($AT314,$AS$2:$AS$440,0),COLUMNS($AT$2:AZ314)),"")</f>
        <v>17</v>
      </c>
      <c r="BB314">
        <f>IF(BA314&lt;&gt;"",INDEX($AE$2:$AP$440,MATCH($AT314,$AS$2:$AS$440,0),COLUMNS($AT$2:BA314)),"")</f>
        <v>40</v>
      </c>
      <c r="BC314">
        <f>IF(BB314&lt;&gt;"",INDEX($AE$2:$AP$440,MATCH($AT314,$AS$2:$AS$440,0),COLUMNS($AT$2:BB314)),"")</f>
        <v>50</v>
      </c>
      <c r="BD314">
        <f>IF(BC314&lt;&gt;"",INDEX($AE$2:$AP$440,MATCH($AT314,$AS$2:$AS$440,0),COLUMNS($AT$2:BC314)),"")</f>
        <v>-10</v>
      </c>
      <c r="BE314">
        <f>IF(BD314&lt;&gt;"",INDEX($AE$2:$AP$440,MATCH($AT314,$AS$2:$AS$440,0),COLUMNS($AT$2:BD314)),"")</f>
        <v>45</v>
      </c>
      <c r="BF314">
        <f>IF(BE314&lt;&gt;"",INDEX($AE$2:$AP$440,MATCH($AT314,$AS$2:$AS$440,0),COLUMNS($AT$2:BE314)),"")</f>
        <v>13</v>
      </c>
    </row>
    <row r="315" spans="1:58" x14ac:dyDescent="0.25">
      <c r="A315" s="5">
        <v>2015</v>
      </c>
      <c r="B315" s="5">
        <v>14</v>
      </c>
      <c r="C315" s="6" t="s">
        <v>35</v>
      </c>
      <c r="D315" s="5">
        <v>38</v>
      </c>
      <c r="E315" s="5">
        <v>10</v>
      </c>
      <c r="F315" s="5">
        <v>13</v>
      </c>
      <c r="G315" s="5">
        <v>15</v>
      </c>
      <c r="H315" s="5">
        <v>34</v>
      </c>
      <c r="I315" s="5">
        <v>48</v>
      </c>
      <c r="J315" s="5">
        <v>-14</v>
      </c>
      <c r="K315" s="5">
        <v>43</v>
      </c>
      <c r="L315" s="5">
        <f>IF(Table2[[#This Row],['#]]=1,"Champion", IF(Table2[[#This Row],['#]]&gt;=18,"Relegated",Table2[[#This Row],['#]]))</f>
        <v>14</v>
      </c>
      <c r="N315">
        <f>IF(COUNTIF($O$2:O315,O315)=1,N314+1,N314)</f>
        <v>40</v>
      </c>
      <c r="O315" s="4" t="str">
        <f>Table2[[#This Row],[Team]]</f>
        <v>West Bromwich Albion</v>
      </c>
      <c r="P315" s="1" t="str">
        <f>IFERROR(VLOOKUP(ROWS($O$2:O315),$N$2:$O$441,2,0),"")</f>
        <v/>
      </c>
      <c r="Q315" s="1" t="str">
        <f>IF(P315&lt;&gt;"",SUMPRODUCT(--(Table2[Team]=P315)),"")</f>
        <v/>
      </c>
      <c r="R315" s="11" t="str">
        <f>IF(Q315&lt;&gt;"",Q315+ROWS($Q$2:Q315)/100,"")</f>
        <v/>
      </c>
      <c r="S315" t="str">
        <f>IF(R315&lt;&gt;"",LARGE($R$2:$R$441,ROWS($R$2:R315)),"")</f>
        <v/>
      </c>
      <c r="T315" s="1" t="str">
        <f>IF(R315&lt;&gt;"",INDEX($P$2:$Q$441,MATCH($S315,$R$2:$R$441,0),COLUMNS($S$2:S315)),"")</f>
        <v/>
      </c>
      <c r="U315" s="1" t="str">
        <f>IF(S315&lt;&gt;"",INDEX($P$2:$Q$441,MATCH($S315,$R$2:$R$441,0),COLUMNS($S$2:T315)),"")</f>
        <v/>
      </c>
      <c r="AE315" s="1">
        <f>Table2[[#This Row],[Year]]</f>
        <v>2015</v>
      </c>
      <c r="AF315" s="1">
        <f>Table2[[#This Row],['#]]</f>
        <v>14</v>
      </c>
      <c r="AG315" s="1" t="str">
        <f>Table2[[#This Row],[Team]]</f>
        <v>West Bromwich Albion</v>
      </c>
      <c r="AH315" s="1">
        <f>Table2[[#This Row],[Pl]]</f>
        <v>38</v>
      </c>
      <c r="AI315" s="1">
        <f>Table2[[#This Row],[W]]</f>
        <v>10</v>
      </c>
      <c r="AJ315" s="1">
        <f>Table2[[#This Row],[D]]</f>
        <v>13</v>
      </c>
      <c r="AK315" s="1">
        <f>Table2[[#This Row],[L]]</f>
        <v>15</v>
      </c>
      <c r="AL315" s="1">
        <f>Table2[[#This Row],[F]]</f>
        <v>34</v>
      </c>
      <c r="AM315" s="1">
        <f>Table2[[#This Row],[A]]</f>
        <v>48</v>
      </c>
      <c r="AN315" s="1">
        <f>Table2[[#This Row],[GD]]</f>
        <v>-14</v>
      </c>
      <c r="AO315" s="1">
        <f>Table2[[#This Row],[Pts]]</f>
        <v>43</v>
      </c>
      <c r="AP315" s="1">
        <f>Table2[[#This Row],[Column1]]</f>
        <v>14</v>
      </c>
      <c r="AR315" t="b">
        <f t="shared" si="8"/>
        <v>1</v>
      </c>
      <c r="AS315">
        <f>IF(AR315,ROWS($AR$2:AR315),"")</f>
        <v>314</v>
      </c>
      <c r="AT315">
        <f>IFERROR(SMALL($AS$2:$AS$440,ROWS($AS$2:AS315)),"")</f>
        <v>314</v>
      </c>
      <c r="AU315">
        <f>IF(AT315&lt;&gt;"",INDEX($AE$2:$AP$440,MATCH($AT315,$AS$2:$AS$440,0),COLUMNS($AT$2:AT315)),"")</f>
        <v>2015</v>
      </c>
      <c r="AV315">
        <f>IF(AU315&lt;&gt;"",INDEX($AE$2:$AP$440,MATCH($AT315,$AS$2:$AS$440,0),COLUMNS($AT$2:AU315)),"")</f>
        <v>14</v>
      </c>
      <c r="AW315" t="str">
        <f>IF(AV315&lt;&gt;"",INDEX($AE$2:$AP$440,MATCH($AT315,$AS$2:$AS$440,0),COLUMNS($AT$2:AV315)),"")</f>
        <v>West Bromwich Albion</v>
      </c>
      <c r="AX315">
        <f>IF(AW315&lt;&gt;"",INDEX($AE$2:$AP$440,MATCH($AT315,$AS$2:$AS$440,0),COLUMNS($AT$2:AW315)),"")</f>
        <v>38</v>
      </c>
      <c r="AY315">
        <f>IF(AX315&lt;&gt;"",INDEX($AE$2:$AP$440,MATCH($AT315,$AS$2:$AS$440,0),COLUMNS($AT$2:AX315)),"")</f>
        <v>10</v>
      </c>
      <c r="AZ315">
        <f>IF(AY315&lt;&gt;"",INDEX($AE$2:$AP$440,MATCH($AT315,$AS$2:$AS$440,0),COLUMNS($AT$2:AY315)),"")</f>
        <v>13</v>
      </c>
      <c r="BA315">
        <f>IF(AZ315&lt;&gt;"",INDEX($AE$2:$AP$440,MATCH($AT315,$AS$2:$AS$440,0),COLUMNS($AT$2:AZ315)),"")</f>
        <v>15</v>
      </c>
      <c r="BB315">
        <f>IF(BA315&lt;&gt;"",INDEX($AE$2:$AP$440,MATCH($AT315,$AS$2:$AS$440,0),COLUMNS($AT$2:BA315)),"")</f>
        <v>34</v>
      </c>
      <c r="BC315">
        <f>IF(BB315&lt;&gt;"",INDEX($AE$2:$AP$440,MATCH($AT315,$AS$2:$AS$440,0),COLUMNS($AT$2:BB315)),"")</f>
        <v>48</v>
      </c>
      <c r="BD315">
        <f>IF(BC315&lt;&gt;"",INDEX($AE$2:$AP$440,MATCH($AT315,$AS$2:$AS$440,0),COLUMNS($AT$2:BC315)),"")</f>
        <v>-14</v>
      </c>
      <c r="BE315">
        <f>IF(BD315&lt;&gt;"",INDEX($AE$2:$AP$440,MATCH($AT315,$AS$2:$AS$440,0),COLUMNS($AT$2:BD315)),"")</f>
        <v>43</v>
      </c>
      <c r="BF315">
        <f>IF(BE315&lt;&gt;"",INDEX($AE$2:$AP$440,MATCH($AT315,$AS$2:$AS$440,0),COLUMNS($AT$2:BE315)),"")</f>
        <v>14</v>
      </c>
    </row>
    <row r="316" spans="1:58" x14ac:dyDescent="0.25">
      <c r="A316" s="3">
        <v>2015</v>
      </c>
      <c r="B316" s="3">
        <v>15</v>
      </c>
      <c r="C316" s="4" t="s">
        <v>38</v>
      </c>
      <c r="D316" s="3">
        <v>38</v>
      </c>
      <c r="E316" s="3">
        <v>11</v>
      </c>
      <c r="F316" s="3">
        <v>9</v>
      </c>
      <c r="G316" s="3">
        <v>18</v>
      </c>
      <c r="H316" s="3">
        <v>39</v>
      </c>
      <c r="I316" s="3">
        <v>51</v>
      </c>
      <c r="J316" s="3">
        <v>-12</v>
      </c>
      <c r="K316" s="3">
        <v>42</v>
      </c>
      <c r="L316" s="5">
        <f>IF(Table2[[#This Row],['#]]=1,"Champion", IF(Table2[[#This Row],['#]]&gt;=18,"Relegated",Table2[[#This Row],['#]]))</f>
        <v>15</v>
      </c>
      <c r="N316">
        <f>IF(COUNTIF($O$2:O316,O316)=1,N315+1,N315)</f>
        <v>40</v>
      </c>
      <c r="O316" s="4" t="str">
        <f>Table2[[#This Row],[Team]]</f>
        <v>Crystal Palace</v>
      </c>
      <c r="P316" s="1" t="str">
        <f>IFERROR(VLOOKUP(ROWS($O$2:O316),$N$2:$O$441,2,0),"")</f>
        <v/>
      </c>
      <c r="Q316" s="1" t="str">
        <f>IF(P316&lt;&gt;"",SUMPRODUCT(--(Table2[Team]=P316)),"")</f>
        <v/>
      </c>
      <c r="R316" s="11" t="str">
        <f>IF(Q316&lt;&gt;"",Q316+ROWS($Q$2:Q316)/100,"")</f>
        <v/>
      </c>
      <c r="S316" t="str">
        <f>IF(R316&lt;&gt;"",LARGE($R$2:$R$441,ROWS($R$2:R316)),"")</f>
        <v/>
      </c>
      <c r="T316" s="1" t="str">
        <f>IF(R316&lt;&gt;"",INDEX($P$2:$Q$441,MATCH($S316,$R$2:$R$441,0),COLUMNS($S$2:S316)),"")</f>
        <v/>
      </c>
      <c r="U316" s="1" t="str">
        <f>IF(S316&lt;&gt;"",INDEX($P$2:$Q$441,MATCH($S316,$R$2:$R$441,0),COLUMNS($S$2:T316)),"")</f>
        <v/>
      </c>
      <c r="AE316" s="1">
        <f>Table2[[#This Row],[Year]]</f>
        <v>2015</v>
      </c>
      <c r="AF316" s="1">
        <f>Table2[[#This Row],['#]]</f>
        <v>15</v>
      </c>
      <c r="AG316" s="1" t="str">
        <f>Table2[[#This Row],[Team]]</f>
        <v>Crystal Palace</v>
      </c>
      <c r="AH316" s="1">
        <f>Table2[[#This Row],[Pl]]</f>
        <v>38</v>
      </c>
      <c r="AI316" s="1">
        <f>Table2[[#This Row],[W]]</f>
        <v>11</v>
      </c>
      <c r="AJ316" s="1">
        <f>Table2[[#This Row],[D]]</f>
        <v>9</v>
      </c>
      <c r="AK316" s="1">
        <f>Table2[[#This Row],[L]]</f>
        <v>18</v>
      </c>
      <c r="AL316" s="1">
        <f>Table2[[#This Row],[F]]</f>
        <v>39</v>
      </c>
      <c r="AM316" s="1">
        <f>Table2[[#This Row],[A]]</f>
        <v>51</v>
      </c>
      <c r="AN316" s="1">
        <f>Table2[[#This Row],[GD]]</f>
        <v>-12</v>
      </c>
      <c r="AO316" s="1">
        <f>Table2[[#This Row],[Pts]]</f>
        <v>42</v>
      </c>
      <c r="AP316" s="1">
        <f>Table2[[#This Row],[Column1]]</f>
        <v>15</v>
      </c>
      <c r="AR316" t="b">
        <f t="shared" si="8"/>
        <v>1</v>
      </c>
      <c r="AS316">
        <f>IF(AR316,ROWS($AR$2:AR316),"")</f>
        <v>315</v>
      </c>
      <c r="AT316">
        <f>IFERROR(SMALL($AS$2:$AS$440,ROWS($AS$2:AS316)),"")</f>
        <v>315</v>
      </c>
      <c r="AU316">
        <f>IF(AT316&lt;&gt;"",INDEX($AE$2:$AP$440,MATCH($AT316,$AS$2:$AS$440,0),COLUMNS($AT$2:AT316)),"")</f>
        <v>2015</v>
      </c>
      <c r="AV316">
        <f>IF(AU316&lt;&gt;"",INDEX($AE$2:$AP$440,MATCH($AT316,$AS$2:$AS$440,0),COLUMNS($AT$2:AU316)),"")</f>
        <v>15</v>
      </c>
      <c r="AW316" t="str">
        <f>IF(AV316&lt;&gt;"",INDEX($AE$2:$AP$440,MATCH($AT316,$AS$2:$AS$440,0),COLUMNS($AT$2:AV316)),"")</f>
        <v>Crystal Palace</v>
      </c>
      <c r="AX316">
        <f>IF(AW316&lt;&gt;"",INDEX($AE$2:$AP$440,MATCH($AT316,$AS$2:$AS$440,0),COLUMNS($AT$2:AW316)),"")</f>
        <v>38</v>
      </c>
      <c r="AY316">
        <f>IF(AX316&lt;&gt;"",INDEX($AE$2:$AP$440,MATCH($AT316,$AS$2:$AS$440,0),COLUMNS($AT$2:AX316)),"")</f>
        <v>11</v>
      </c>
      <c r="AZ316">
        <f>IF(AY316&lt;&gt;"",INDEX($AE$2:$AP$440,MATCH($AT316,$AS$2:$AS$440,0),COLUMNS($AT$2:AY316)),"")</f>
        <v>9</v>
      </c>
      <c r="BA316">
        <f>IF(AZ316&lt;&gt;"",INDEX($AE$2:$AP$440,MATCH($AT316,$AS$2:$AS$440,0),COLUMNS($AT$2:AZ316)),"")</f>
        <v>18</v>
      </c>
      <c r="BB316">
        <f>IF(BA316&lt;&gt;"",INDEX($AE$2:$AP$440,MATCH($AT316,$AS$2:$AS$440,0),COLUMNS($AT$2:BA316)),"")</f>
        <v>39</v>
      </c>
      <c r="BC316">
        <f>IF(BB316&lt;&gt;"",INDEX($AE$2:$AP$440,MATCH($AT316,$AS$2:$AS$440,0),COLUMNS($AT$2:BB316)),"")</f>
        <v>51</v>
      </c>
      <c r="BD316">
        <f>IF(BC316&lt;&gt;"",INDEX($AE$2:$AP$440,MATCH($AT316,$AS$2:$AS$440,0),COLUMNS($AT$2:BC316)),"")</f>
        <v>-12</v>
      </c>
      <c r="BE316">
        <f>IF(BD316&lt;&gt;"",INDEX($AE$2:$AP$440,MATCH($AT316,$AS$2:$AS$440,0),COLUMNS($AT$2:BD316)),"")</f>
        <v>42</v>
      </c>
      <c r="BF316">
        <f>IF(BE316&lt;&gt;"",INDEX($AE$2:$AP$440,MATCH($AT316,$AS$2:$AS$440,0),COLUMNS($AT$2:BE316)),"")</f>
        <v>15</v>
      </c>
    </row>
    <row r="317" spans="1:58" x14ac:dyDescent="0.25">
      <c r="A317" s="5">
        <v>2015</v>
      </c>
      <c r="B317" s="5">
        <v>16</v>
      </c>
      <c r="C317" s="6" t="s">
        <v>51</v>
      </c>
      <c r="D317" s="5">
        <v>38</v>
      </c>
      <c r="E317" s="5">
        <v>11</v>
      </c>
      <c r="F317" s="5">
        <v>9</v>
      </c>
      <c r="G317" s="5">
        <v>18</v>
      </c>
      <c r="H317" s="5">
        <v>45</v>
      </c>
      <c r="I317" s="5">
        <v>67</v>
      </c>
      <c r="J317" s="5">
        <v>-22</v>
      </c>
      <c r="K317" s="5">
        <v>42</v>
      </c>
      <c r="L317" s="5">
        <f>IF(Table2[[#This Row],['#]]=1,"Champion", IF(Table2[[#This Row],['#]]&gt;=18,"Relegated",Table2[[#This Row],['#]]))</f>
        <v>16</v>
      </c>
      <c r="N317">
        <f>IF(COUNTIF($O$2:O317,O317)=1,N316+1,N316)</f>
        <v>41</v>
      </c>
      <c r="O317" s="4" t="str">
        <f>Table2[[#This Row],[Team]]</f>
        <v>Bournemouth</v>
      </c>
      <c r="P317" s="1" t="str">
        <f>IFERROR(VLOOKUP(ROWS($O$2:O317),$N$2:$O$441,2,0),"")</f>
        <v/>
      </c>
      <c r="Q317" s="1" t="str">
        <f>IF(P317&lt;&gt;"",SUMPRODUCT(--(Table2[Team]=P317)),"")</f>
        <v/>
      </c>
      <c r="R317" s="11" t="str">
        <f>IF(Q317&lt;&gt;"",Q317+ROWS($Q$2:Q317)/100,"")</f>
        <v/>
      </c>
      <c r="S317" t="str">
        <f>IF(R317&lt;&gt;"",LARGE($R$2:$R$441,ROWS($R$2:R317)),"")</f>
        <v/>
      </c>
      <c r="T317" s="1" t="str">
        <f>IF(R317&lt;&gt;"",INDEX($P$2:$Q$441,MATCH($S317,$R$2:$R$441,0),COLUMNS($S$2:S317)),"")</f>
        <v/>
      </c>
      <c r="U317" s="1" t="str">
        <f>IF(S317&lt;&gt;"",INDEX($P$2:$Q$441,MATCH($S317,$R$2:$R$441,0),COLUMNS($S$2:T317)),"")</f>
        <v/>
      </c>
      <c r="AE317" s="1">
        <f>Table2[[#This Row],[Year]]</f>
        <v>2015</v>
      </c>
      <c r="AF317" s="1">
        <f>Table2[[#This Row],['#]]</f>
        <v>16</v>
      </c>
      <c r="AG317" s="1" t="str">
        <f>Table2[[#This Row],[Team]]</f>
        <v>Bournemouth</v>
      </c>
      <c r="AH317" s="1">
        <f>Table2[[#This Row],[Pl]]</f>
        <v>38</v>
      </c>
      <c r="AI317" s="1">
        <f>Table2[[#This Row],[W]]</f>
        <v>11</v>
      </c>
      <c r="AJ317" s="1">
        <f>Table2[[#This Row],[D]]</f>
        <v>9</v>
      </c>
      <c r="AK317" s="1">
        <f>Table2[[#This Row],[L]]</f>
        <v>18</v>
      </c>
      <c r="AL317" s="1">
        <f>Table2[[#This Row],[F]]</f>
        <v>45</v>
      </c>
      <c r="AM317" s="1">
        <f>Table2[[#This Row],[A]]</f>
        <v>67</v>
      </c>
      <c r="AN317" s="1">
        <f>Table2[[#This Row],[GD]]</f>
        <v>-22</v>
      </c>
      <c r="AO317" s="1">
        <f>Table2[[#This Row],[Pts]]</f>
        <v>42</v>
      </c>
      <c r="AP317" s="1">
        <f>Table2[[#This Row],[Column1]]</f>
        <v>16</v>
      </c>
      <c r="AR317" t="b">
        <f t="shared" si="8"/>
        <v>1</v>
      </c>
      <c r="AS317">
        <f>IF(AR317,ROWS($AR$2:AR317),"")</f>
        <v>316</v>
      </c>
      <c r="AT317">
        <f>IFERROR(SMALL($AS$2:$AS$440,ROWS($AS$2:AS317)),"")</f>
        <v>316</v>
      </c>
      <c r="AU317">
        <f>IF(AT317&lt;&gt;"",INDEX($AE$2:$AP$440,MATCH($AT317,$AS$2:$AS$440,0),COLUMNS($AT$2:AT317)),"")</f>
        <v>2015</v>
      </c>
      <c r="AV317">
        <f>IF(AU317&lt;&gt;"",INDEX($AE$2:$AP$440,MATCH($AT317,$AS$2:$AS$440,0),COLUMNS($AT$2:AU317)),"")</f>
        <v>16</v>
      </c>
      <c r="AW317" t="str">
        <f>IF(AV317&lt;&gt;"",INDEX($AE$2:$AP$440,MATCH($AT317,$AS$2:$AS$440,0),COLUMNS($AT$2:AV317)),"")</f>
        <v>Bournemouth</v>
      </c>
      <c r="AX317">
        <f>IF(AW317&lt;&gt;"",INDEX($AE$2:$AP$440,MATCH($AT317,$AS$2:$AS$440,0),COLUMNS($AT$2:AW317)),"")</f>
        <v>38</v>
      </c>
      <c r="AY317">
        <f>IF(AX317&lt;&gt;"",INDEX($AE$2:$AP$440,MATCH($AT317,$AS$2:$AS$440,0),COLUMNS($AT$2:AX317)),"")</f>
        <v>11</v>
      </c>
      <c r="AZ317">
        <f>IF(AY317&lt;&gt;"",INDEX($AE$2:$AP$440,MATCH($AT317,$AS$2:$AS$440,0),COLUMNS($AT$2:AY317)),"")</f>
        <v>9</v>
      </c>
      <c r="BA317">
        <f>IF(AZ317&lt;&gt;"",INDEX($AE$2:$AP$440,MATCH($AT317,$AS$2:$AS$440,0),COLUMNS($AT$2:AZ317)),"")</f>
        <v>18</v>
      </c>
      <c r="BB317">
        <f>IF(BA317&lt;&gt;"",INDEX($AE$2:$AP$440,MATCH($AT317,$AS$2:$AS$440,0),COLUMNS($AT$2:BA317)),"")</f>
        <v>45</v>
      </c>
      <c r="BC317">
        <f>IF(BB317&lt;&gt;"",INDEX($AE$2:$AP$440,MATCH($AT317,$AS$2:$AS$440,0),COLUMNS($AT$2:BB317)),"")</f>
        <v>67</v>
      </c>
      <c r="BD317">
        <f>IF(BC317&lt;&gt;"",INDEX($AE$2:$AP$440,MATCH($AT317,$AS$2:$AS$440,0),COLUMNS($AT$2:BC317)),"")</f>
        <v>-22</v>
      </c>
      <c r="BE317">
        <f>IF(BD317&lt;&gt;"",INDEX($AE$2:$AP$440,MATCH($AT317,$AS$2:$AS$440,0),COLUMNS($AT$2:BD317)),"")</f>
        <v>42</v>
      </c>
      <c r="BF317">
        <f>IF(BE317&lt;&gt;"",INDEX($AE$2:$AP$440,MATCH($AT317,$AS$2:$AS$440,0),COLUMNS($AT$2:BE317)),"")</f>
        <v>16</v>
      </c>
    </row>
    <row r="318" spans="1:58" x14ac:dyDescent="0.25">
      <c r="A318" s="3">
        <v>2015</v>
      </c>
      <c r="B318" s="3">
        <v>17</v>
      </c>
      <c r="C318" s="4" t="s">
        <v>17</v>
      </c>
      <c r="D318" s="3">
        <v>38</v>
      </c>
      <c r="E318" s="3">
        <v>9</v>
      </c>
      <c r="F318" s="3">
        <v>12</v>
      </c>
      <c r="G318" s="3">
        <v>17</v>
      </c>
      <c r="H318" s="3">
        <v>48</v>
      </c>
      <c r="I318" s="3">
        <v>62</v>
      </c>
      <c r="J318" s="3">
        <v>-14</v>
      </c>
      <c r="K318" s="3">
        <v>39</v>
      </c>
      <c r="L318" s="5">
        <f>IF(Table2[[#This Row],['#]]=1,"Champion", IF(Table2[[#This Row],['#]]&gt;=18,"Relegated",Table2[[#This Row],['#]]))</f>
        <v>17</v>
      </c>
      <c r="N318">
        <f>IF(COUNTIF($O$2:O318,O318)=1,N317+1,N317)</f>
        <v>41</v>
      </c>
      <c r="O318" s="4" t="str">
        <f>Table2[[#This Row],[Team]]</f>
        <v>Sunderland</v>
      </c>
      <c r="P318" s="1" t="str">
        <f>IFERROR(VLOOKUP(ROWS($O$2:O318),$N$2:$O$441,2,0),"")</f>
        <v/>
      </c>
      <c r="Q318" s="1" t="str">
        <f>IF(P318&lt;&gt;"",SUMPRODUCT(--(Table2[Team]=P318)),"")</f>
        <v/>
      </c>
      <c r="R318" s="11" t="str">
        <f>IF(Q318&lt;&gt;"",Q318+ROWS($Q$2:Q318)/100,"")</f>
        <v/>
      </c>
      <c r="S318" t="str">
        <f>IF(R318&lt;&gt;"",LARGE($R$2:$R$441,ROWS($R$2:R318)),"")</f>
        <v/>
      </c>
      <c r="T318" s="1" t="str">
        <f>IF(R318&lt;&gt;"",INDEX($P$2:$Q$441,MATCH($S318,$R$2:$R$441,0),COLUMNS($S$2:S318)),"")</f>
        <v/>
      </c>
      <c r="U318" s="1" t="str">
        <f>IF(S318&lt;&gt;"",INDEX($P$2:$Q$441,MATCH($S318,$R$2:$R$441,0),COLUMNS($S$2:T318)),"")</f>
        <v/>
      </c>
      <c r="AE318" s="1">
        <f>Table2[[#This Row],[Year]]</f>
        <v>2015</v>
      </c>
      <c r="AF318" s="1">
        <f>Table2[[#This Row],['#]]</f>
        <v>17</v>
      </c>
      <c r="AG318" s="1" t="str">
        <f>Table2[[#This Row],[Team]]</f>
        <v>Sunderland</v>
      </c>
      <c r="AH318" s="1">
        <f>Table2[[#This Row],[Pl]]</f>
        <v>38</v>
      </c>
      <c r="AI318" s="1">
        <f>Table2[[#This Row],[W]]</f>
        <v>9</v>
      </c>
      <c r="AJ318" s="1">
        <f>Table2[[#This Row],[D]]</f>
        <v>12</v>
      </c>
      <c r="AK318" s="1">
        <f>Table2[[#This Row],[L]]</f>
        <v>17</v>
      </c>
      <c r="AL318" s="1">
        <f>Table2[[#This Row],[F]]</f>
        <v>48</v>
      </c>
      <c r="AM318" s="1">
        <f>Table2[[#This Row],[A]]</f>
        <v>62</v>
      </c>
      <c r="AN318" s="1">
        <f>Table2[[#This Row],[GD]]</f>
        <v>-14</v>
      </c>
      <c r="AO318" s="1">
        <f>Table2[[#This Row],[Pts]]</f>
        <v>39</v>
      </c>
      <c r="AP318" s="1">
        <f>Table2[[#This Row],[Column1]]</f>
        <v>17</v>
      </c>
      <c r="AR318" t="b">
        <f t="shared" si="8"/>
        <v>1</v>
      </c>
      <c r="AS318">
        <f>IF(AR318,ROWS($AR$2:AR318),"")</f>
        <v>317</v>
      </c>
      <c r="AT318">
        <f>IFERROR(SMALL($AS$2:$AS$440,ROWS($AS$2:AS318)),"")</f>
        <v>317</v>
      </c>
      <c r="AU318">
        <f>IF(AT318&lt;&gt;"",INDEX($AE$2:$AP$440,MATCH($AT318,$AS$2:$AS$440,0),COLUMNS($AT$2:AT318)),"")</f>
        <v>2015</v>
      </c>
      <c r="AV318">
        <f>IF(AU318&lt;&gt;"",INDEX($AE$2:$AP$440,MATCH($AT318,$AS$2:$AS$440,0),COLUMNS($AT$2:AU318)),"")</f>
        <v>17</v>
      </c>
      <c r="AW318" t="str">
        <f>IF(AV318&lt;&gt;"",INDEX($AE$2:$AP$440,MATCH($AT318,$AS$2:$AS$440,0),COLUMNS($AT$2:AV318)),"")</f>
        <v>Sunderland</v>
      </c>
      <c r="AX318">
        <f>IF(AW318&lt;&gt;"",INDEX($AE$2:$AP$440,MATCH($AT318,$AS$2:$AS$440,0),COLUMNS($AT$2:AW318)),"")</f>
        <v>38</v>
      </c>
      <c r="AY318">
        <f>IF(AX318&lt;&gt;"",INDEX($AE$2:$AP$440,MATCH($AT318,$AS$2:$AS$440,0),COLUMNS($AT$2:AX318)),"")</f>
        <v>9</v>
      </c>
      <c r="AZ318">
        <f>IF(AY318&lt;&gt;"",INDEX($AE$2:$AP$440,MATCH($AT318,$AS$2:$AS$440,0),COLUMNS($AT$2:AY318)),"")</f>
        <v>12</v>
      </c>
      <c r="BA318">
        <f>IF(AZ318&lt;&gt;"",INDEX($AE$2:$AP$440,MATCH($AT318,$AS$2:$AS$440,0),COLUMNS($AT$2:AZ318)),"")</f>
        <v>17</v>
      </c>
      <c r="BB318">
        <f>IF(BA318&lt;&gt;"",INDEX($AE$2:$AP$440,MATCH($AT318,$AS$2:$AS$440,0),COLUMNS($AT$2:BA318)),"")</f>
        <v>48</v>
      </c>
      <c r="BC318">
        <f>IF(BB318&lt;&gt;"",INDEX($AE$2:$AP$440,MATCH($AT318,$AS$2:$AS$440,0),COLUMNS($AT$2:BB318)),"")</f>
        <v>62</v>
      </c>
      <c r="BD318">
        <f>IF(BC318&lt;&gt;"",INDEX($AE$2:$AP$440,MATCH($AT318,$AS$2:$AS$440,0),COLUMNS($AT$2:BC318)),"")</f>
        <v>-14</v>
      </c>
      <c r="BE318">
        <f>IF(BD318&lt;&gt;"",INDEX($AE$2:$AP$440,MATCH($AT318,$AS$2:$AS$440,0),COLUMNS($AT$2:BD318)),"")</f>
        <v>39</v>
      </c>
      <c r="BF318">
        <f>IF(BE318&lt;&gt;"",INDEX($AE$2:$AP$440,MATCH($AT318,$AS$2:$AS$440,0),COLUMNS($AT$2:BE318)),"")</f>
        <v>17</v>
      </c>
    </row>
    <row r="319" spans="1:58" x14ac:dyDescent="0.25">
      <c r="A319" s="5">
        <v>2015</v>
      </c>
      <c r="B319" s="5">
        <v>18</v>
      </c>
      <c r="C319" s="6" t="s">
        <v>21</v>
      </c>
      <c r="D319" s="5">
        <v>38</v>
      </c>
      <c r="E319" s="5">
        <v>9</v>
      </c>
      <c r="F319" s="5">
        <v>10</v>
      </c>
      <c r="G319" s="5">
        <v>19</v>
      </c>
      <c r="H319" s="5">
        <v>44</v>
      </c>
      <c r="I319" s="5">
        <v>65</v>
      </c>
      <c r="J319" s="5">
        <v>-21</v>
      </c>
      <c r="K319" s="5">
        <v>37</v>
      </c>
      <c r="L319" s="5" t="str">
        <f>IF(Table2[[#This Row],['#]]=1,"Champion", IF(Table2[[#This Row],['#]]&gt;=18,"Relegated",Table2[[#This Row],['#]]))</f>
        <v>Relegated</v>
      </c>
      <c r="N319">
        <f>IF(COUNTIF($O$2:O319,O319)=1,N318+1,N318)</f>
        <v>41</v>
      </c>
      <c r="O319" s="4" t="str">
        <f>Table2[[#This Row],[Team]]</f>
        <v>Newcastle United</v>
      </c>
      <c r="P319" s="1" t="str">
        <f>IFERROR(VLOOKUP(ROWS($O$2:O319),$N$2:$O$441,2,0),"")</f>
        <v/>
      </c>
      <c r="Q319" s="1" t="str">
        <f>IF(P319&lt;&gt;"",SUMPRODUCT(--(Table2[Team]=P319)),"")</f>
        <v/>
      </c>
      <c r="R319" s="11" t="str">
        <f>IF(Q319&lt;&gt;"",Q319+ROWS($Q$2:Q319)/100,"")</f>
        <v/>
      </c>
      <c r="S319" t="str">
        <f>IF(R319&lt;&gt;"",LARGE($R$2:$R$441,ROWS($R$2:R319)),"")</f>
        <v/>
      </c>
      <c r="T319" s="1" t="str">
        <f>IF(R319&lt;&gt;"",INDEX($P$2:$Q$441,MATCH($S319,$R$2:$R$441,0),COLUMNS($S$2:S319)),"")</f>
        <v/>
      </c>
      <c r="U319" s="1" t="str">
        <f>IF(S319&lt;&gt;"",INDEX($P$2:$Q$441,MATCH($S319,$R$2:$R$441,0),COLUMNS($S$2:T319)),"")</f>
        <v/>
      </c>
      <c r="AE319" s="1">
        <f>Table2[[#This Row],[Year]]</f>
        <v>2015</v>
      </c>
      <c r="AF319" s="1">
        <f>Table2[[#This Row],['#]]</f>
        <v>18</v>
      </c>
      <c r="AG319" s="1" t="str">
        <f>Table2[[#This Row],[Team]]</f>
        <v>Newcastle United</v>
      </c>
      <c r="AH319" s="1">
        <f>Table2[[#This Row],[Pl]]</f>
        <v>38</v>
      </c>
      <c r="AI319" s="1">
        <f>Table2[[#This Row],[W]]</f>
        <v>9</v>
      </c>
      <c r="AJ319" s="1">
        <f>Table2[[#This Row],[D]]</f>
        <v>10</v>
      </c>
      <c r="AK319" s="1">
        <f>Table2[[#This Row],[L]]</f>
        <v>19</v>
      </c>
      <c r="AL319" s="1">
        <f>Table2[[#This Row],[F]]</f>
        <v>44</v>
      </c>
      <c r="AM319" s="1">
        <f>Table2[[#This Row],[A]]</f>
        <v>65</v>
      </c>
      <c r="AN319" s="1">
        <f>Table2[[#This Row],[GD]]</f>
        <v>-21</v>
      </c>
      <c r="AO319" s="1">
        <f>Table2[[#This Row],[Pts]]</f>
        <v>37</v>
      </c>
      <c r="AP319" s="1" t="str">
        <f>Table2[[#This Row],[Column1]]</f>
        <v>Relegated</v>
      </c>
      <c r="AR319" t="b">
        <f t="shared" si="8"/>
        <v>1</v>
      </c>
      <c r="AS319">
        <f>IF(AR319,ROWS($AR$2:AR319),"")</f>
        <v>318</v>
      </c>
      <c r="AT319">
        <f>IFERROR(SMALL($AS$2:$AS$440,ROWS($AS$2:AS319)),"")</f>
        <v>318</v>
      </c>
      <c r="AU319">
        <f>IF(AT319&lt;&gt;"",INDEX($AE$2:$AP$440,MATCH($AT319,$AS$2:$AS$440,0),COLUMNS($AT$2:AT319)),"")</f>
        <v>2015</v>
      </c>
      <c r="AV319">
        <f>IF(AU319&lt;&gt;"",INDEX($AE$2:$AP$440,MATCH($AT319,$AS$2:$AS$440,0),COLUMNS($AT$2:AU319)),"")</f>
        <v>18</v>
      </c>
      <c r="AW319" t="str">
        <f>IF(AV319&lt;&gt;"",INDEX($AE$2:$AP$440,MATCH($AT319,$AS$2:$AS$440,0),COLUMNS($AT$2:AV319)),"")</f>
        <v>Newcastle United</v>
      </c>
      <c r="AX319">
        <f>IF(AW319&lt;&gt;"",INDEX($AE$2:$AP$440,MATCH($AT319,$AS$2:$AS$440,0),COLUMNS($AT$2:AW319)),"")</f>
        <v>38</v>
      </c>
      <c r="AY319">
        <f>IF(AX319&lt;&gt;"",INDEX($AE$2:$AP$440,MATCH($AT319,$AS$2:$AS$440,0),COLUMNS($AT$2:AX319)),"")</f>
        <v>9</v>
      </c>
      <c r="AZ319">
        <f>IF(AY319&lt;&gt;"",INDEX($AE$2:$AP$440,MATCH($AT319,$AS$2:$AS$440,0),COLUMNS($AT$2:AY319)),"")</f>
        <v>10</v>
      </c>
      <c r="BA319">
        <f>IF(AZ319&lt;&gt;"",INDEX($AE$2:$AP$440,MATCH($AT319,$AS$2:$AS$440,0),COLUMNS($AT$2:AZ319)),"")</f>
        <v>19</v>
      </c>
      <c r="BB319">
        <f>IF(BA319&lt;&gt;"",INDEX($AE$2:$AP$440,MATCH($AT319,$AS$2:$AS$440,0),COLUMNS($AT$2:BA319)),"")</f>
        <v>44</v>
      </c>
      <c r="BC319">
        <f>IF(BB319&lt;&gt;"",INDEX($AE$2:$AP$440,MATCH($AT319,$AS$2:$AS$440,0),COLUMNS($AT$2:BB319)),"")</f>
        <v>65</v>
      </c>
      <c r="BD319">
        <f>IF(BC319&lt;&gt;"",INDEX($AE$2:$AP$440,MATCH($AT319,$AS$2:$AS$440,0),COLUMNS($AT$2:BC319)),"")</f>
        <v>-21</v>
      </c>
      <c r="BE319">
        <f>IF(BD319&lt;&gt;"",INDEX($AE$2:$AP$440,MATCH($AT319,$AS$2:$AS$440,0),COLUMNS($AT$2:BD319)),"")</f>
        <v>37</v>
      </c>
      <c r="BF319" t="str">
        <f>IF(BE319&lt;&gt;"",INDEX($AE$2:$AP$440,MATCH($AT319,$AS$2:$AS$440,0),COLUMNS($AT$2:BE319)),"")</f>
        <v>Relegated</v>
      </c>
    </row>
    <row r="320" spans="1:58" x14ac:dyDescent="0.25">
      <c r="A320" s="3">
        <v>2015</v>
      </c>
      <c r="B320" s="3">
        <v>19</v>
      </c>
      <c r="C320" s="4" t="s">
        <v>39</v>
      </c>
      <c r="D320" s="3">
        <v>38</v>
      </c>
      <c r="E320" s="3">
        <v>9</v>
      </c>
      <c r="F320" s="3">
        <v>7</v>
      </c>
      <c r="G320" s="3">
        <v>22</v>
      </c>
      <c r="H320" s="3">
        <v>39</v>
      </c>
      <c r="I320" s="3">
        <v>67</v>
      </c>
      <c r="J320" s="3">
        <v>-28</v>
      </c>
      <c r="K320" s="3">
        <v>34</v>
      </c>
      <c r="L320" s="5" t="str">
        <f>IF(Table2[[#This Row],['#]]=1,"Champion", IF(Table2[[#This Row],['#]]&gt;=18,"Relegated",Table2[[#This Row],['#]]))</f>
        <v>Relegated</v>
      </c>
      <c r="N320">
        <f>IF(COUNTIF($O$2:O320,O320)=1,N319+1,N319)</f>
        <v>41</v>
      </c>
      <c r="O320" s="4" t="str">
        <f>Table2[[#This Row],[Team]]</f>
        <v>Norwich City</v>
      </c>
      <c r="P320" s="1" t="str">
        <f>IFERROR(VLOOKUP(ROWS($O$2:O320),$N$2:$O$441,2,0),"")</f>
        <v/>
      </c>
      <c r="Q320" s="1" t="str">
        <f>IF(P320&lt;&gt;"",SUMPRODUCT(--(Table2[Team]=P320)),"")</f>
        <v/>
      </c>
      <c r="R320" s="11" t="str">
        <f>IF(Q320&lt;&gt;"",Q320+ROWS($Q$2:Q320)/100,"")</f>
        <v/>
      </c>
      <c r="S320" t="str">
        <f>IF(R320&lt;&gt;"",LARGE($R$2:$R$441,ROWS($R$2:R320)),"")</f>
        <v/>
      </c>
      <c r="T320" s="1" t="str">
        <f>IF(R320&lt;&gt;"",INDEX($P$2:$Q$441,MATCH($S320,$R$2:$R$441,0),COLUMNS($S$2:S320)),"")</f>
        <v/>
      </c>
      <c r="U320" s="1" t="str">
        <f>IF(S320&lt;&gt;"",INDEX($P$2:$Q$441,MATCH($S320,$R$2:$R$441,0),COLUMNS($S$2:T320)),"")</f>
        <v/>
      </c>
      <c r="AE320" s="1">
        <f>Table2[[#This Row],[Year]]</f>
        <v>2015</v>
      </c>
      <c r="AF320" s="1">
        <f>Table2[[#This Row],['#]]</f>
        <v>19</v>
      </c>
      <c r="AG320" s="1" t="str">
        <f>Table2[[#This Row],[Team]]</f>
        <v>Norwich City</v>
      </c>
      <c r="AH320" s="1">
        <f>Table2[[#This Row],[Pl]]</f>
        <v>38</v>
      </c>
      <c r="AI320" s="1">
        <f>Table2[[#This Row],[W]]</f>
        <v>9</v>
      </c>
      <c r="AJ320" s="1">
        <f>Table2[[#This Row],[D]]</f>
        <v>7</v>
      </c>
      <c r="AK320" s="1">
        <f>Table2[[#This Row],[L]]</f>
        <v>22</v>
      </c>
      <c r="AL320" s="1">
        <f>Table2[[#This Row],[F]]</f>
        <v>39</v>
      </c>
      <c r="AM320" s="1">
        <f>Table2[[#This Row],[A]]</f>
        <v>67</v>
      </c>
      <c r="AN320" s="1">
        <f>Table2[[#This Row],[GD]]</f>
        <v>-28</v>
      </c>
      <c r="AO320" s="1">
        <f>Table2[[#This Row],[Pts]]</f>
        <v>34</v>
      </c>
      <c r="AP320" s="1" t="str">
        <f>Table2[[#This Row],[Column1]]</f>
        <v>Relegated</v>
      </c>
      <c r="AR320" t="b">
        <f t="shared" si="8"/>
        <v>1</v>
      </c>
      <c r="AS320">
        <f>IF(AR320,ROWS($AR$2:AR320),"")</f>
        <v>319</v>
      </c>
      <c r="AT320">
        <f>IFERROR(SMALL($AS$2:$AS$440,ROWS($AS$2:AS320)),"")</f>
        <v>319</v>
      </c>
      <c r="AU320">
        <f>IF(AT320&lt;&gt;"",INDEX($AE$2:$AP$440,MATCH($AT320,$AS$2:$AS$440,0),COLUMNS($AT$2:AT320)),"")</f>
        <v>2015</v>
      </c>
      <c r="AV320">
        <f>IF(AU320&lt;&gt;"",INDEX($AE$2:$AP$440,MATCH($AT320,$AS$2:$AS$440,0),COLUMNS($AT$2:AU320)),"")</f>
        <v>19</v>
      </c>
      <c r="AW320" t="str">
        <f>IF(AV320&lt;&gt;"",INDEX($AE$2:$AP$440,MATCH($AT320,$AS$2:$AS$440,0),COLUMNS($AT$2:AV320)),"")</f>
        <v>Norwich City</v>
      </c>
      <c r="AX320">
        <f>IF(AW320&lt;&gt;"",INDEX($AE$2:$AP$440,MATCH($AT320,$AS$2:$AS$440,0),COLUMNS($AT$2:AW320)),"")</f>
        <v>38</v>
      </c>
      <c r="AY320">
        <f>IF(AX320&lt;&gt;"",INDEX($AE$2:$AP$440,MATCH($AT320,$AS$2:$AS$440,0),COLUMNS($AT$2:AX320)),"")</f>
        <v>9</v>
      </c>
      <c r="AZ320">
        <f>IF(AY320&lt;&gt;"",INDEX($AE$2:$AP$440,MATCH($AT320,$AS$2:$AS$440,0),COLUMNS($AT$2:AY320)),"")</f>
        <v>7</v>
      </c>
      <c r="BA320">
        <f>IF(AZ320&lt;&gt;"",INDEX($AE$2:$AP$440,MATCH($AT320,$AS$2:$AS$440,0),COLUMNS($AT$2:AZ320)),"")</f>
        <v>22</v>
      </c>
      <c r="BB320">
        <f>IF(BA320&lt;&gt;"",INDEX($AE$2:$AP$440,MATCH($AT320,$AS$2:$AS$440,0),COLUMNS($AT$2:BA320)),"")</f>
        <v>39</v>
      </c>
      <c r="BC320">
        <f>IF(BB320&lt;&gt;"",INDEX($AE$2:$AP$440,MATCH($AT320,$AS$2:$AS$440,0),COLUMNS($AT$2:BB320)),"")</f>
        <v>67</v>
      </c>
      <c r="BD320">
        <f>IF(BC320&lt;&gt;"",INDEX($AE$2:$AP$440,MATCH($AT320,$AS$2:$AS$440,0),COLUMNS($AT$2:BC320)),"")</f>
        <v>-28</v>
      </c>
      <c r="BE320">
        <f>IF(BD320&lt;&gt;"",INDEX($AE$2:$AP$440,MATCH($AT320,$AS$2:$AS$440,0),COLUMNS($AT$2:BD320)),"")</f>
        <v>34</v>
      </c>
      <c r="BF320" t="str">
        <f>IF(BE320&lt;&gt;"",INDEX($AE$2:$AP$440,MATCH($AT320,$AS$2:$AS$440,0),COLUMNS($AT$2:BE320)),"")</f>
        <v>Relegated</v>
      </c>
    </row>
    <row r="321" spans="1:58" x14ac:dyDescent="0.25">
      <c r="A321" s="5">
        <v>2015</v>
      </c>
      <c r="B321" s="5">
        <v>20</v>
      </c>
      <c r="C321" s="6" t="s">
        <v>18</v>
      </c>
      <c r="D321" s="5">
        <v>38</v>
      </c>
      <c r="E321" s="5">
        <v>3</v>
      </c>
      <c r="F321" s="5">
        <v>8</v>
      </c>
      <c r="G321" s="5">
        <v>27</v>
      </c>
      <c r="H321" s="5">
        <v>27</v>
      </c>
      <c r="I321" s="5">
        <v>76</v>
      </c>
      <c r="J321" s="5">
        <v>-49</v>
      </c>
      <c r="K321" s="5">
        <v>17</v>
      </c>
      <c r="L321" s="5" t="str">
        <f>IF(Table2[[#This Row],['#]]=1,"Champion", IF(Table2[[#This Row],['#]]&gt;=18,"Relegated",Table2[[#This Row],['#]]))</f>
        <v>Relegated</v>
      </c>
      <c r="N321">
        <f>IF(COUNTIF($O$2:O321,O321)=1,N320+1,N320)</f>
        <v>41</v>
      </c>
      <c r="O321" s="4" t="str">
        <f>Table2[[#This Row],[Team]]</f>
        <v>Aston Villa</v>
      </c>
      <c r="P321" s="1" t="str">
        <f>IFERROR(VLOOKUP(ROWS($O$2:O321),$N$2:$O$441,2,0),"")</f>
        <v/>
      </c>
      <c r="Q321" s="1" t="str">
        <f>IF(P321&lt;&gt;"",SUMPRODUCT(--(Table2[Team]=P321)),"")</f>
        <v/>
      </c>
      <c r="R321" s="11" t="str">
        <f>IF(Q321&lt;&gt;"",Q321+ROWS($Q$2:Q321)/100,"")</f>
        <v/>
      </c>
      <c r="S321" t="str">
        <f>IF(R321&lt;&gt;"",LARGE($R$2:$R$441,ROWS($R$2:R321)),"")</f>
        <v/>
      </c>
      <c r="T321" s="1" t="str">
        <f>IF(R321&lt;&gt;"",INDEX($P$2:$Q$441,MATCH($S321,$R$2:$R$441,0),COLUMNS($S$2:S321)),"")</f>
        <v/>
      </c>
      <c r="U321" s="1" t="str">
        <f>IF(S321&lt;&gt;"",INDEX($P$2:$Q$441,MATCH($S321,$R$2:$R$441,0),COLUMNS($S$2:T321)),"")</f>
        <v/>
      </c>
      <c r="AE321" s="1">
        <f>Table2[[#This Row],[Year]]</f>
        <v>2015</v>
      </c>
      <c r="AF321" s="1">
        <f>Table2[[#This Row],['#]]</f>
        <v>20</v>
      </c>
      <c r="AG321" s="1" t="str">
        <f>Table2[[#This Row],[Team]]</f>
        <v>Aston Villa</v>
      </c>
      <c r="AH321" s="1">
        <f>Table2[[#This Row],[Pl]]</f>
        <v>38</v>
      </c>
      <c r="AI321" s="1">
        <f>Table2[[#This Row],[W]]</f>
        <v>3</v>
      </c>
      <c r="AJ321" s="1">
        <f>Table2[[#This Row],[D]]</f>
        <v>8</v>
      </c>
      <c r="AK321" s="1">
        <f>Table2[[#This Row],[L]]</f>
        <v>27</v>
      </c>
      <c r="AL321" s="1">
        <f>Table2[[#This Row],[F]]</f>
        <v>27</v>
      </c>
      <c r="AM321" s="1">
        <f>Table2[[#This Row],[A]]</f>
        <v>76</v>
      </c>
      <c r="AN321" s="1">
        <f>Table2[[#This Row],[GD]]</f>
        <v>-49</v>
      </c>
      <c r="AO321" s="1">
        <f>Table2[[#This Row],[Pts]]</f>
        <v>17</v>
      </c>
      <c r="AP321" s="1" t="str">
        <f>Table2[[#This Row],[Column1]]</f>
        <v>Relegated</v>
      </c>
      <c r="AR321" t="b">
        <f t="shared" si="8"/>
        <v>1</v>
      </c>
      <c r="AS321">
        <f>IF(AR321,ROWS($AR$2:AR321),"")</f>
        <v>320</v>
      </c>
      <c r="AT321">
        <f>IFERROR(SMALL($AS$2:$AS$440,ROWS($AS$2:AS321)),"")</f>
        <v>320</v>
      </c>
      <c r="AU321">
        <f>IF(AT321&lt;&gt;"",INDEX($AE$2:$AP$440,MATCH($AT321,$AS$2:$AS$440,0),COLUMNS($AT$2:AT321)),"")</f>
        <v>2015</v>
      </c>
      <c r="AV321">
        <f>IF(AU321&lt;&gt;"",INDEX($AE$2:$AP$440,MATCH($AT321,$AS$2:$AS$440,0),COLUMNS($AT$2:AU321)),"")</f>
        <v>20</v>
      </c>
      <c r="AW321" t="str">
        <f>IF(AV321&lt;&gt;"",INDEX($AE$2:$AP$440,MATCH($AT321,$AS$2:$AS$440,0),COLUMNS($AT$2:AV321)),"")</f>
        <v>Aston Villa</v>
      </c>
      <c r="AX321">
        <f>IF(AW321&lt;&gt;"",INDEX($AE$2:$AP$440,MATCH($AT321,$AS$2:$AS$440,0),COLUMNS($AT$2:AW321)),"")</f>
        <v>38</v>
      </c>
      <c r="AY321">
        <f>IF(AX321&lt;&gt;"",INDEX($AE$2:$AP$440,MATCH($AT321,$AS$2:$AS$440,0),COLUMNS($AT$2:AX321)),"")</f>
        <v>3</v>
      </c>
      <c r="AZ321">
        <f>IF(AY321&lt;&gt;"",INDEX($AE$2:$AP$440,MATCH($AT321,$AS$2:$AS$440,0),COLUMNS($AT$2:AY321)),"")</f>
        <v>8</v>
      </c>
      <c r="BA321">
        <f>IF(AZ321&lt;&gt;"",INDEX($AE$2:$AP$440,MATCH($AT321,$AS$2:$AS$440,0),COLUMNS($AT$2:AZ321)),"")</f>
        <v>27</v>
      </c>
      <c r="BB321">
        <f>IF(BA321&lt;&gt;"",INDEX($AE$2:$AP$440,MATCH($AT321,$AS$2:$AS$440,0),COLUMNS($AT$2:BA321)),"")</f>
        <v>27</v>
      </c>
      <c r="BC321">
        <f>IF(BB321&lt;&gt;"",INDEX($AE$2:$AP$440,MATCH($AT321,$AS$2:$AS$440,0),COLUMNS($AT$2:BB321)),"")</f>
        <v>76</v>
      </c>
      <c r="BD321">
        <f>IF(BC321&lt;&gt;"",INDEX($AE$2:$AP$440,MATCH($AT321,$AS$2:$AS$440,0),COLUMNS($AT$2:BC321)),"")</f>
        <v>-49</v>
      </c>
      <c r="BE321">
        <f>IF(BD321&lt;&gt;"",INDEX($AE$2:$AP$440,MATCH($AT321,$AS$2:$AS$440,0),COLUMNS($AT$2:BD321)),"")</f>
        <v>17</v>
      </c>
      <c r="BF321" t="str">
        <f>IF(BE321&lt;&gt;"",INDEX($AE$2:$AP$440,MATCH($AT321,$AS$2:$AS$440,0),COLUMNS($AT$2:BE321)),"")</f>
        <v>Relegated</v>
      </c>
    </row>
    <row r="322" spans="1:58" x14ac:dyDescent="0.25">
      <c r="A322" s="3">
        <v>2016</v>
      </c>
      <c r="B322" s="3">
        <v>1</v>
      </c>
      <c r="C322" s="4" t="s">
        <v>16</v>
      </c>
      <c r="D322" s="3">
        <v>38</v>
      </c>
      <c r="E322" s="3">
        <v>30</v>
      </c>
      <c r="F322" s="3">
        <v>3</v>
      </c>
      <c r="G322" s="3">
        <v>5</v>
      </c>
      <c r="H322" s="3">
        <v>85</v>
      </c>
      <c r="I322" s="3">
        <v>33</v>
      </c>
      <c r="J322" s="3">
        <v>52</v>
      </c>
      <c r="K322" s="3">
        <v>93</v>
      </c>
      <c r="L322" s="5" t="str">
        <f>IF(Table2[[#This Row],['#]]=1,"Champion", IF(Table2[[#This Row],['#]]&gt;=18,"Relegated",Table2[[#This Row],['#]]))</f>
        <v>Champion</v>
      </c>
      <c r="N322">
        <f>IF(COUNTIF($O$2:O322,O322)=1,N321+1,N321)</f>
        <v>41</v>
      </c>
      <c r="O322" s="4" t="str">
        <f>Table2[[#This Row],[Team]]</f>
        <v>Chelsea</v>
      </c>
      <c r="P322" s="1" t="str">
        <f>IFERROR(VLOOKUP(ROWS($O$2:O322),$N$2:$O$441,2,0),"")</f>
        <v/>
      </c>
      <c r="Q322" s="1" t="str">
        <f>IF(P322&lt;&gt;"",SUMPRODUCT(--(Table2[Team]=P322)),"")</f>
        <v/>
      </c>
      <c r="R322" s="11" t="str">
        <f>IF(Q322&lt;&gt;"",Q322+ROWS($Q$2:Q322)/100,"")</f>
        <v/>
      </c>
      <c r="S322" t="str">
        <f>IF(R322&lt;&gt;"",LARGE($R$2:$R$441,ROWS($R$2:R322)),"")</f>
        <v/>
      </c>
      <c r="T322" s="1" t="str">
        <f>IF(R322&lt;&gt;"",INDEX($P$2:$Q$441,MATCH($S322,$R$2:$R$441,0),COLUMNS($S$2:S322)),"")</f>
        <v/>
      </c>
      <c r="U322" s="1" t="str">
        <f>IF(S322&lt;&gt;"",INDEX($P$2:$Q$441,MATCH($S322,$R$2:$R$441,0),COLUMNS($S$2:T322)),"")</f>
        <v/>
      </c>
      <c r="AE322" s="1">
        <f>Table2[[#This Row],[Year]]</f>
        <v>2016</v>
      </c>
      <c r="AF322" s="1">
        <f>Table2[[#This Row],['#]]</f>
        <v>1</v>
      </c>
      <c r="AG322" s="1" t="str">
        <f>Table2[[#This Row],[Team]]</f>
        <v>Chelsea</v>
      </c>
      <c r="AH322" s="1">
        <f>Table2[[#This Row],[Pl]]</f>
        <v>38</v>
      </c>
      <c r="AI322" s="1">
        <f>Table2[[#This Row],[W]]</f>
        <v>30</v>
      </c>
      <c r="AJ322" s="1">
        <f>Table2[[#This Row],[D]]</f>
        <v>3</v>
      </c>
      <c r="AK322" s="1">
        <f>Table2[[#This Row],[L]]</f>
        <v>5</v>
      </c>
      <c r="AL322" s="1">
        <f>Table2[[#This Row],[F]]</f>
        <v>85</v>
      </c>
      <c r="AM322" s="1">
        <f>Table2[[#This Row],[A]]</f>
        <v>33</v>
      </c>
      <c r="AN322" s="1">
        <f>Table2[[#This Row],[GD]]</f>
        <v>52</v>
      </c>
      <c r="AO322" s="1">
        <f>Table2[[#This Row],[Pts]]</f>
        <v>93</v>
      </c>
      <c r="AP322" s="1" t="str">
        <f>Table2[[#This Row],[Column1]]</f>
        <v>Champion</v>
      </c>
      <c r="AR322" t="b">
        <f t="shared" si="8"/>
        <v>1</v>
      </c>
      <c r="AS322">
        <f>IF(AR322,ROWS($AR$2:AR322),"")</f>
        <v>321</v>
      </c>
      <c r="AT322">
        <f>IFERROR(SMALL($AS$2:$AS$440,ROWS($AS$2:AS322)),"")</f>
        <v>321</v>
      </c>
      <c r="AU322">
        <f>IF(AT322&lt;&gt;"",INDEX($AE$2:$AP$440,MATCH($AT322,$AS$2:$AS$440,0),COLUMNS($AT$2:AT322)),"")</f>
        <v>2016</v>
      </c>
      <c r="AV322">
        <f>IF(AU322&lt;&gt;"",INDEX($AE$2:$AP$440,MATCH($AT322,$AS$2:$AS$440,0),COLUMNS($AT$2:AU322)),"")</f>
        <v>1</v>
      </c>
      <c r="AW322" t="str">
        <f>IF(AV322&lt;&gt;"",INDEX($AE$2:$AP$440,MATCH($AT322,$AS$2:$AS$440,0),COLUMNS($AT$2:AV322)),"")</f>
        <v>Chelsea</v>
      </c>
      <c r="AX322">
        <f>IF(AW322&lt;&gt;"",INDEX($AE$2:$AP$440,MATCH($AT322,$AS$2:$AS$440,0),COLUMNS($AT$2:AW322)),"")</f>
        <v>38</v>
      </c>
      <c r="AY322">
        <f>IF(AX322&lt;&gt;"",INDEX($AE$2:$AP$440,MATCH($AT322,$AS$2:$AS$440,0),COLUMNS($AT$2:AX322)),"")</f>
        <v>30</v>
      </c>
      <c r="AZ322">
        <f>IF(AY322&lt;&gt;"",INDEX($AE$2:$AP$440,MATCH($AT322,$AS$2:$AS$440,0),COLUMNS($AT$2:AY322)),"")</f>
        <v>3</v>
      </c>
      <c r="BA322">
        <f>IF(AZ322&lt;&gt;"",INDEX($AE$2:$AP$440,MATCH($AT322,$AS$2:$AS$440,0),COLUMNS($AT$2:AZ322)),"")</f>
        <v>5</v>
      </c>
      <c r="BB322">
        <f>IF(BA322&lt;&gt;"",INDEX($AE$2:$AP$440,MATCH($AT322,$AS$2:$AS$440,0),COLUMNS($AT$2:BA322)),"")</f>
        <v>85</v>
      </c>
      <c r="BC322">
        <f>IF(BB322&lt;&gt;"",INDEX($AE$2:$AP$440,MATCH($AT322,$AS$2:$AS$440,0),COLUMNS($AT$2:BB322)),"")</f>
        <v>33</v>
      </c>
      <c r="BD322">
        <f>IF(BC322&lt;&gt;"",INDEX($AE$2:$AP$440,MATCH($AT322,$AS$2:$AS$440,0),COLUMNS($AT$2:BC322)),"")</f>
        <v>52</v>
      </c>
      <c r="BE322">
        <f>IF(BD322&lt;&gt;"",INDEX($AE$2:$AP$440,MATCH($AT322,$AS$2:$AS$440,0),COLUMNS($AT$2:BD322)),"")</f>
        <v>93</v>
      </c>
      <c r="BF322" t="str">
        <f>IF(BE322&lt;&gt;"",INDEX($AE$2:$AP$440,MATCH($AT322,$AS$2:$AS$440,0),COLUMNS($AT$2:BE322)),"")</f>
        <v>Champion</v>
      </c>
    </row>
    <row r="323" spans="1:58" x14ac:dyDescent="0.25">
      <c r="A323" s="5">
        <v>2016</v>
      </c>
      <c r="B323" s="5">
        <v>2</v>
      </c>
      <c r="C323" s="6" t="s">
        <v>22</v>
      </c>
      <c r="D323" s="5">
        <v>38</v>
      </c>
      <c r="E323" s="5">
        <v>26</v>
      </c>
      <c r="F323" s="5">
        <v>8</v>
      </c>
      <c r="G323" s="5">
        <v>4</v>
      </c>
      <c r="H323" s="5">
        <v>86</v>
      </c>
      <c r="I323" s="5">
        <v>26</v>
      </c>
      <c r="J323" s="5">
        <v>60</v>
      </c>
      <c r="K323" s="5">
        <v>86</v>
      </c>
      <c r="L323" s="5">
        <f>IF(Table2[[#This Row],['#]]=1,"Champion", IF(Table2[[#This Row],['#]]&gt;=18,"Relegated",Table2[[#This Row],['#]]))</f>
        <v>2</v>
      </c>
      <c r="N323">
        <f>IF(COUNTIF($O$2:O323,O323)=1,N322+1,N322)</f>
        <v>41</v>
      </c>
      <c r="O323" s="4" t="str">
        <f>Table2[[#This Row],[Team]]</f>
        <v>Tottenham Hotspur</v>
      </c>
      <c r="P323" s="1" t="str">
        <f>IFERROR(VLOOKUP(ROWS($O$2:O323),$N$2:$O$441,2,0),"")</f>
        <v/>
      </c>
      <c r="Q323" s="1" t="str">
        <f>IF(P323&lt;&gt;"",SUMPRODUCT(--(Table2[Team]=P323)),"")</f>
        <v/>
      </c>
      <c r="R323" s="11" t="str">
        <f>IF(Q323&lt;&gt;"",Q323+ROWS($Q$2:Q323)/100,"")</f>
        <v/>
      </c>
      <c r="S323" t="str">
        <f>IF(R323&lt;&gt;"",LARGE($R$2:$R$441,ROWS($R$2:R323)),"")</f>
        <v/>
      </c>
      <c r="T323" s="1" t="str">
        <f>IF(R323&lt;&gt;"",INDEX($P$2:$Q$441,MATCH($S323,$R$2:$R$441,0),COLUMNS($S$2:S323)),"")</f>
        <v/>
      </c>
      <c r="U323" s="1" t="str">
        <f>IF(S323&lt;&gt;"",INDEX($P$2:$Q$441,MATCH($S323,$R$2:$R$441,0),COLUMNS($S$2:T323)),"")</f>
        <v/>
      </c>
      <c r="AE323" s="1">
        <f>Table2[[#This Row],[Year]]</f>
        <v>2016</v>
      </c>
      <c r="AF323" s="1">
        <f>Table2[[#This Row],['#]]</f>
        <v>2</v>
      </c>
      <c r="AG323" s="1" t="str">
        <f>Table2[[#This Row],[Team]]</f>
        <v>Tottenham Hotspur</v>
      </c>
      <c r="AH323" s="1">
        <f>Table2[[#This Row],[Pl]]</f>
        <v>38</v>
      </c>
      <c r="AI323" s="1">
        <f>Table2[[#This Row],[W]]</f>
        <v>26</v>
      </c>
      <c r="AJ323" s="1">
        <f>Table2[[#This Row],[D]]</f>
        <v>8</v>
      </c>
      <c r="AK323" s="1">
        <f>Table2[[#This Row],[L]]</f>
        <v>4</v>
      </c>
      <c r="AL323" s="1">
        <f>Table2[[#This Row],[F]]</f>
        <v>86</v>
      </c>
      <c r="AM323" s="1">
        <f>Table2[[#This Row],[A]]</f>
        <v>26</v>
      </c>
      <c r="AN323" s="1">
        <f>Table2[[#This Row],[GD]]</f>
        <v>60</v>
      </c>
      <c r="AO323" s="1">
        <f>Table2[[#This Row],[Pts]]</f>
        <v>86</v>
      </c>
      <c r="AP323" s="1">
        <f>Table2[[#This Row],[Column1]]</f>
        <v>2</v>
      </c>
      <c r="AR323" t="b">
        <f t="shared" ref="AR323:AR386" si="9">IF($X$1="",TRUE,ISNUMBER(SEARCH($X$1,AG323)))</f>
        <v>1</v>
      </c>
      <c r="AS323">
        <f>IF(AR323,ROWS($AR$2:AR323),"")</f>
        <v>322</v>
      </c>
      <c r="AT323">
        <f>IFERROR(SMALL($AS$2:$AS$440,ROWS($AS$2:AS323)),"")</f>
        <v>322</v>
      </c>
      <c r="AU323">
        <f>IF(AT323&lt;&gt;"",INDEX($AE$2:$AP$440,MATCH($AT323,$AS$2:$AS$440,0),COLUMNS($AT$2:AT323)),"")</f>
        <v>2016</v>
      </c>
      <c r="AV323">
        <f>IF(AU323&lt;&gt;"",INDEX($AE$2:$AP$440,MATCH($AT323,$AS$2:$AS$440,0),COLUMNS($AT$2:AU323)),"")</f>
        <v>2</v>
      </c>
      <c r="AW323" t="str">
        <f>IF(AV323&lt;&gt;"",INDEX($AE$2:$AP$440,MATCH($AT323,$AS$2:$AS$440,0),COLUMNS($AT$2:AV323)),"")</f>
        <v>Tottenham Hotspur</v>
      </c>
      <c r="AX323">
        <f>IF(AW323&lt;&gt;"",INDEX($AE$2:$AP$440,MATCH($AT323,$AS$2:$AS$440,0),COLUMNS($AT$2:AW323)),"")</f>
        <v>38</v>
      </c>
      <c r="AY323">
        <f>IF(AX323&lt;&gt;"",INDEX($AE$2:$AP$440,MATCH($AT323,$AS$2:$AS$440,0),COLUMNS($AT$2:AX323)),"")</f>
        <v>26</v>
      </c>
      <c r="AZ323">
        <f>IF(AY323&lt;&gt;"",INDEX($AE$2:$AP$440,MATCH($AT323,$AS$2:$AS$440,0),COLUMNS($AT$2:AY323)),"")</f>
        <v>8</v>
      </c>
      <c r="BA323">
        <f>IF(AZ323&lt;&gt;"",INDEX($AE$2:$AP$440,MATCH($AT323,$AS$2:$AS$440,0),COLUMNS($AT$2:AZ323)),"")</f>
        <v>4</v>
      </c>
      <c r="BB323">
        <f>IF(BA323&lt;&gt;"",INDEX($AE$2:$AP$440,MATCH($AT323,$AS$2:$AS$440,0),COLUMNS($AT$2:BA323)),"")</f>
        <v>86</v>
      </c>
      <c r="BC323">
        <f>IF(BB323&lt;&gt;"",INDEX($AE$2:$AP$440,MATCH($AT323,$AS$2:$AS$440,0),COLUMNS($AT$2:BB323)),"")</f>
        <v>26</v>
      </c>
      <c r="BD323">
        <f>IF(BC323&lt;&gt;"",INDEX($AE$2:$AP$440,MATCH($AT323,$AS$2:$AS$440,0),COLUMNS($AT$2:BC323)),"")</f>
        <v>60</v>
      </c>
      <c r="BE323">
        <f>IF(BD323&lt;&gt;"",INDEX($AE$2:$AP$440,MATCH($AT323,$AS$2:$AS$440,0),COLUMNS($AT$2:BD323)),"")</f>
        <v>86</v>
      </c>
      <c r="BF323">
        <f>IF(BE323&lt;&gt;"",INDEX($AE$2:$AP$440,MATCH($AT323,$AS$2:$AS$440,0),COLUMNS($AT$2:BE323)),"")</f>
        <v>2</v>
      </c>
    </row>
    <row r="324" spans="1:58" x14ac:dyDescent="0.25">
      <c r="A324" s="3">
        <v>2016</v>
      </c>
      <c r="B324" s="3">
        <v>3</v>
      </c>
      <c r="C324" s="4" t="s">
        <v>28</v>
      </c>
      <c r="D324" s="3">
        <v>38</v>
      </c>
      <c r="E324" s="3">
        <v>23</v>
      </c>
      <c r="F324" s="3">
        <v>9</v>
      </c>
      <c r="G324" s="3">
        <v>6</v>
      </c>
      <c r="H324" s="3">
        <v>80</v>
      </c>
      <c r="I324" s="3">
        <v>39</v>
      </c>
      <c r="J324" s="3">
        <v>41</v>
      </c>
      <c r="K324" s="3">
        <v>78</v>
      </c>
      <c r="L324" s="5">
        <f>IF(Table2[[#This Row],['#]]=1,"Champion", IF(Table2[[#This Row],['#]]&gt;=18,"Relegated",Table2[[#This Row],['#]]))</f>
        <v>3</v>
      </c>
      <c r="N324">
        <f>IF(COUNTIF($O$2:O324,O324)=1,N323+1,N323)</f>
        <v>41</v>
      </c>
      <c r="O324" s="4" t="str">
        <f>Table2[[#This Row],[Team]]</f>
        <v>Manchester City</v>
      </c>
      <c r="P324" s="1" t="str">
        <f>IFERROR(VLOOKUP(ROWS($O$2:O324),$N$2:$O$441,2,0),"")</f>
        <v/>
      </c>
      <c r="Q324" s="1" t="str">
        <f>IF(P324&lt;&gt;"",SUMPRODUCT(--(Table2[Team]=P324)),"")</f>
        <v/>
      </c>
      <c r="R324" s="11" t="str">
        <f>IF(Q324&lt;&gt;"",Q324+ROWS($Q$2:Q324)/100,"")</f>
        <v/>
      </c>
      <c r="S324" t="str">
        <f>IF(R324&lt;&gt;"",LARGE($R$2:$R$441,ROWS($R$2:R324)),"")</f>
        <v/>
      </c>
      <c r="T324" s="1" t="str">
        <f>IF(R324&lt;&gt;"",INDEX($P$2:$Q$441,MATCH($S324,$R$2:$R$441,0),COLUMNS($S$2:S324)),"")</f>
        <v/>
      </c>
      <c r="U324" s="1" t="str">
        <f>IF(S324&lt;&gt;"",INDEX($P$2:$Q$441,MATCH($S324,$R$2:$R$441,0),COLUMNS($S$2:T324)),"")</f>
        <v/>
      </c>
      <c r="AE324" s="1">
        <f>Table2[[#This Row],[Year]]</f>
        <v>2016</v>
      </c>
      <c r="AF324" s="1">
        <f>Table2[[#This Row],['#]]</f>
        <v>3</v>
      </c>
      <c r="AG324" s="1" t="str">
        <f>Table2[[#This Row],[Team]]</f>
        <v>Manchester City</v>
      </c>
      <c r="AH324" s="1">
        <f>Table2[[#This Row],[Pl]]</f>
        <v>38</v>
      </c>
      <c r="AI324" s="1">
        <f>Table2[[#This Row],[W]]</f>
        <v>23</v>
      </c>
      <c r="AJ324" s="1">
        <f>Table2[[#This Row],[D]]</f>
        <v>9</v>
      </c>
      <c r="AK324" s="1">
        <f>Table2[[#This Row],[L]]</f>
        <v>6</v>
      </c>
      <c r="AL324" s="1">
        <f>Table2[[#This Row],[F]]</f>
        <v>80</v>
      </c>
      <c r="AM324" s="1">
        <f>Table2[[#This Row],[A]]</f>
        <v>39</v>
      </c>
      <c r="AN324" s="1">
        <f>Table2[[#This Row],[GD]]</f>
        <v>41</v>
      </c>
      <c r="AO324" s="1">
        <f>Table2[[#This Row],[Pts]]</f>
        <v>78</v>
      </c>
      <c r="AP324" s="1">
        <f>Table2[[#This Row],[Column1]]</f>
        <v>3</v>
      </c>
      <c r="AR324" t="b">
        <f t="shared" si="9"/>
        <v>1</v>
      </c>
      <c r="AS324">
        <f>IF(AR324,ROWS($AR$2:AR324),"")</f>
        <v>323</v>
      </c>
      <c r="AT324">
        <f>IFERROR(SMALL($AS$2:$AS$440,ROWS($AS$2:AS324)),"")</f>
        <v>323</v>
      </c>
      <c r="AU324">
        <f>IF(AT324&lt;&gt;"",INDEX($AE$2:$AP$440,MATCH($AT324,$AS$2:$AS$440,0),COLUMNS($AT$2:AT324)),"")</f>
        <v>2016</v>
      </c>
      <c r="AV324">
        <f>IF(AU324&lt;&gt;"",INDEX($AE$2:$AP$440,MATCH($AT324,$AS$2:$AS$440,0),COLUMNS($AT$2:AU324)),"")</f>
        <v>3</v>
      </c>
      <c r="AW324" t="str">
        <f>IF(AV324&lt;&gt;"",INDEX($AE$2:$AP$440,MATCH($AT324,$AS$2:$AS$440,0),COLUMNS($AT$2:AV324)),"")</f>
        <v>Manchester City</v>
      </c>
      <c r="AX324">
        <f>IF(AW324&lt;&gt;"",INDEX($AE$2:$AP$440,MATCH($AT324,$AS$2:$AS$440,0),COLUMNS($AT$2:AW324)),"")</f>
        <v>38</v>
      </c>
      <c r="AY324">
        <f>IF(AX324&lt;&gt;"",INDEX($AE$2:$AP$440,MATCH($AT324,$AS$2:$AS$440,0),COLUMNS($AT$2:AX324)),"")</f>
        <v>23</v>
      </c>
      <c r="AZ324">
        <f>IF(AY324&lt;&gt;"",INDEX($AE$2:$AP$440,MATCH($AT324,$AS$2:$AS$440,0),COLUMNS($AT$2:AY324)),"")</f>
        <v>9</v>
      </c>
      <c r="BA324">
        <f>IF(AZ324&lt;&gt;"",INDEX($AE$2:$AP$440,MATCH($AT324,$AS$2:$AS$440,0),COLUMNS($AT$2:AZ324)),"")</f>
        <v>6</v>
      </c>
      <c r="BB324">
        <f>IF(BA324&lt;&gt;"",INDEX($AE$2:$AP$440,MATCH($AT324,$AS$2:$AS$440,0),COLUMNS($AT$2:BA324)),"")</f>
        <v>80</v>
      </c>
      <c r="BC324">
        <f>IF(BB324&lt;&gt;"",INDEX($AE$2:$AP$440,MATCH($AT324,$AS$2:$AS$440,0),COLUMNS($AT$2:BB324)),"")</f>
        <v>39</v>
      </c>
      <c r="BD324">
        <f>IF(BC324&lt;&gt;"",INDEX($AE$2:$AP$440,MATCH($AT324,$AS$2:$AS$440,0),COLUMNS($AT$2:BC324)),"")</f>
        <v>41</v>
      </c>
      <c r="BE324">
        <f>IF(BD324&lt;&gt;"",INDEX($AE$2:$AP$440,MATCH($AT324,$AS$2:$AS$440,0),COLUMNS($AT$2:BD324)),"")</f>
        <v>78</v>
      </c>
      <c r="BF324">
        <f>IF(BE324&lt;&gt;"",INDEX($AE$2:$AP$440,MATCH($AT324,$AS$2:$AS$440,0),COLUMNS($AT$2:BE324)),"")</f>
        <v>3</v>
      </c>
    </row>
    <row r="325" spans="1:58" x14ac:dyDescent="0.25">
      <c r="A325" s="5">
        <v>2016</v>
      </c>
      <c r="B325" s="5">
        <v>4</v>
      </c>
      <c r="C325" s="4" t="s">
        <v>13</v>
      </c>
      <c r="D325" s="5">
        <v>38</v>
      </c>
      <c r="E325" s="5">
        <v>22</v>
      </c>
      <c r="F325" s="5">
        <v>10</v>
      </c>
      <c r="G325" s="5">
        <v>6</v>
      </c>
      <c r="H325" s="5">
        <v>78</v>
      </c>
      <c r="I325" s="5">
        <v>42</v>
      </c>
      <c r="J325" s="5">
        <v>36</v>
      </c>
      <c r="K325" s="5">
        <v>76</v>
      </c>
      <c r="L325" s="5">
        <f>IF(Table2[[#This Row],['#]]=1,"Champion", IF(Table2[[#This Row],['#]]&gt;=18,"Relegated",Table2[[#This Row],['#]]))</f>
        <v>4</v>
      </c>
      <c r="N325">
        <f>IF(COUNTIF($O$2:O325,O325)=1,N324+1,N324)</f>
        <v>41</v>
      </c>
      <c r="O325" s="4" t="str">
        <f>Table2[[#This Row],[Team]]</f>
        <v>Liverpool</v>
      </c>
      <c r="P325" s="1" t="str">
        <f>IFERROR(VLOOKUP(ROWS($O$2:O325),$N$2:$O$441,2,0),"")</f>
        <v/>
      </c>
      <c r="Q325" s="1" t="str">
        <f>IF(P325&lt;&gt;"",SUMPRODUCT(--(Table2[Team]=P325)),"")</f>
        <v/>
      </c>
      <c r="R325" s="11" t="str">
        <f>IF(Q325&lt;&gt;"",Q325+ROWS($Q$2:Q325)/100,"")</f>
        <v/>
      </c>
      <c r="S325" t="str">
        <f>IF(R325&lt;&gt;"",LARGE($R$2:$R$441,ROWS($R$2:R325)),"")</f>
        <v/>
      </c>
      <c r="T325" s="1" t="str">
        <f>IF(R325&lt;&gt;"",INDEX($P$2:$Q$441,MATCH($S325,$R$2:$R$441,0),COLUMNS($S$2:S325)),"")</f>
        <v/>
      </c>
      <c r="U325" s="1" t="str">
        <f>IF(S325&lt;&gt;"",INDEX($P$2:$Q$441,MATCH($S325,$R$2:$R$441,0),COLUMNS($S$2:T325)),"")</f>
        <v/>
      </c>
      <c r="AE325" s="1">
        <f>Table2[[#This Row],[Year]]</f>
        <v>2016</v>
      </c>
      <c r="AF325" s="1">
        <f>Table2[[#This Row],['#]]</f>
        <v>4</v>
      </c>
      <c r="AG325" s="1" t="str">
        <f>Table2[[#This Row],[Team]]</f>
        <v>Liverpool</v>
      </c>
      <c r="AH325" s="1">
        <f>Table2[[#This Row],[Pl]]</f>
        <v>38</v>
      </c>
      <c r="AI325" s="1">
        <f>Table2[[#This Row],[W]]</f>
        <v>22</v>
      </c>
      <c r="AJ325" s="1">
        <f>Table2[[#This Row],[D]]</f>
        <v>10</v>
      </c>
      <c r="AK325" s="1">
        <f>Table2[[#This Row],[L]]</f>
        <v>6</v>
      </c>
      <c r="AL325" s="1">
        <f>Table2[[#This Row],[F]]</f>
        <v>78</v>
      </c>
      <c r="AM325" s="1">
        <f>Table2[[#This Row],[A]]</f>
        <v>42</v>
      </c>
      <c r="AN325" s="1">
        <f>Table2[[#This Row],[GD]]</f>
        <v>36</v>
      </c>
      <c r="AO325" s="1">
        <f>Table2[[#This Row],[Pts]]</f>
        <v>76</v>
      </c>
      <c r="AP325" s="1">
        <f>Table2[[#This Row],[Column1]]</f>
        <v>4</v>
      </c>
      <c r="AR325" t="b">
        <f t="shared" si="9"/>
        <v>1</v>
      </c>
      <c r="AS325">
        <f>IF(AR325,ROWS($AR$2:AR325),"")</f>
        <v>324</v>
      </c>
      <c r="AT325">
        <f>IFERROR(SMALL($AS$2:$AS$440,ROWS($AS$2:AS325)),"")</f>
        <v>324</v>
      </c>
      <c r="AU325">
        <f>IF(AT325&lt;&gt;"",INDEX($AE$2:$AP$440,MATCH($AT325,$AS$2:$AS$440,0),COLUMNS($AT$2:AT325)),"")</f>
        <v>2016</v>
      </c>
      <c r="AV325">
        <f>IF(AU325&lt;&gt;"",INDEX($AE$2:$AP$440,MATCH($AT325,$AS$2:$AS$440,0),COLUMNS($AT$2:AU325)),"")</f>
        <v>4</v>
      </c>
      <c r="AW325" t="str">
        <f>IF(AV325&lt;&gt;"",INDEX($AE$2:$AP$440,MATCH($AT325,$AS$2:$AS$440,0),COLUMNS($AT$2:AV325)),"")</f>
        <v>Liverpool</v>
      </c>
      <c r="AX325">
        <f>IF(AW325&lt;&gt;"",INDEX($AE$2:$AP$440,MATCH($AT325,$AS$2:$AS$440,0),COLUMNS($AT$2:AW325)),"")</f>
        <v>38</v>
      </c>
      <c r="AY325">
        <f>IF(AX325&lt;&gt;"",INDEX($AE$2:$AP$440,MATCH($AT325,$AS$2:$AS$440,0),COLUMNS($AT$2:AX325)),"")</f>
        <v>22</v>
      </c>
      <c r="AZ325">
        <f>IF(AY325&lt;&gt;"",INDEX($AE$2:$AP$440,MATCH($AT325,$AS$2:$AS$440,0),COLUMNS($AT$2:AY325)),"")</f>
        <v>10</v>
      </c>
      <c r="BA325">
        <f>IF(AZ325&lt;&gt;"",INDEX($AE$2:$AP$440,MATCH($AT325,$AS$2:$AS$440,0),COLUMNS($AT$2:AZ325)),"")</f>
        <v>6</v>
      </c>
      <c r="BB325">
        <f>IF(BA325&lt;&gt;"",INDEX($AE$2:$AP$440,MATCH($AT325,$AS$2:$AS$440,0),COLUMNS($AT$2:BA325)),"")</f>
        <v>78</v>
      </c>
      <c r="BC325">
        <f>IF(BB325&lt;&gt;"",INDEX($AE$2:$AP$440,MATCH($AT325,$AS$2:$AS$440,0),COLUMNS($AT$2:BB325)),"")</f>
        <v>42</v>
      </c>
      <c r="BD325">
        <f>IF(BC325&lt;&gt;"",INDEX($AE$2:$AP$440,MATCH($AT325,$AS$2:$AS$440,0),COLUMNS($AT$2:BC325)),"")</f>
        <v>36</v>
      </c>
      <c r="BE325">
        <f>IF(BD325&lt;&gt;"",INDEX($AE$2:$AP$440,MATCH($AT325,$AS$2:$AS$440,0),COLUMNS($AT$2:BD325)),"")</f>
        <v>76</v>
      </c>
      <c r="BF325">
        <f>IF(BE325&lt;&gt;"",INDEX($AE$2:$AP$440,MATCH($AT325,$AS$2:$AS$440,0),COLUMNS($AT$2:BE325)),"")</f>
        <v>4</v>
      </c>
    </row>
    <row r="326" spans="1:58" x14ac:dyDescent="0.25">
      <c r="A326" s="3">
        <v>2016</v>
      </c>
      <c r="B326" s="3">
        <v>5</v>
      </c>
      <c r="C326" s="6" t="s">
        <v>12</v>
      </c>
      <c r="D326" s="3">
        <v>38</v>
      </c>
      <c r="E326" s="3">
        <v>23</v>
      </c>
      <c r="F326" s="3">
        <v>6</v>
      </c>
      <c r="G326" s="3">
        <v>9</v>
      </c>
      <c r="H326" s="3">
        <v>77</v>
      </c>
      <c r="I326" s="3">
        <v>44</v>
      </c>
      <c r="J326" s="3">
        <v>33</v>
      </c>
      <c r="K326" s="3">
        <v>75</v>
      </c>
      <c r="L326" s="5">
        <f>IF(Table2[[#This Row],['#]]=1,"Champion", IF(Table2[[#This Row],['#]]&gt;=18,"Relegated",Table2[[#This Row],['#]]))</f>
        <v>5</v>
      </c>
      <c r="N326">
        <f>IF(COUNTIF($O$2:O326,O326)=1,N325+1,N325)</f>
        <v>41</v>
      </c>
      <c r="O326" s="4" t="str">
        <f>Table2[[#This Row],[Team]]</f>
        <v>Arsenal</v>
      </c>
      <c r="P326" s="1" t="str">
        <f>IFERROR(VLOOKUP(ROWS($O$2:O326),$N$2:$O$441,2,0),"")</f>
        <v/>
      </c>
      <c r="Q326" s="1" t="str">
        <f>IF(P326&lt;&gt;"",SUMPRODUCT(--(Table2[Team]=P326)),"")</f>
        <v/>
      </c>
      <c r="R326" s="11" t="str">
        <f>IF(Q326&lt;&gt;"",Q326+ROWS($Q$2:Q326)/100,"")</f>
        <v/>
      </c>
      <c r="S326" t="str">
        <f>IF(R326&lt;&gt;"",LARGE($R$2:$R$441,ROWS($R$2:R326)),"")</f>
        <v/>
      </c>
      <c r="T326" s="1" t="str">
        <f>IF(R326&lt;&gt;"",INDEX($P$2:$Q$441,MATCH($S326,$R$2:$R$441,0),COLUMNS($S$2:S326)),"")</f>
        <v/>
      </c>
      <c r="U326" s="1" t="str">
        <f>IF(S326&lt;&gt;"",INDEX($P$2:$Q$441,MATCH($S326,$R$2:$R$441,0),COLUMNS($S$2:T326)),"")</f>
        <v/>
      </c>
      <c r="AE326" s="1">
        <f>Table2[[#This Row],[Year]]</f>
        <v>2016</v>
      </c>
      <c r="AF326" s="1">
        <f>Table2[[#This Row],['#]]</f>
        <v>5</v>
      </c>
      <c r="AG326" s="1" t="str">
        <f>Table2[[#This Row],[Team]]</f>
        <v>Arsenal</v>
      </c>
      <c r="AH326" s="1">
        <f>Table2[[#This Row],[Pl]]</f>
        <v>38</v>
      </c>
      <c r="AI326" s="1">
        <f>Table2[[#This Row],[W]]</f>
        <v>23</v>
      </c>
      <c r="AJ326" s="1">
        <f>Table2[[#This Row],[D]]</f>
        <v>6</v>
      </c>
      <c r="AK326" s="1">
        <f>Table2[[#This Row],[L]]</f>
        <v>9</v>
      </c>
      <c r="AL326" s="1">
        <f>Table2[[#This Row],[F]]</f>
        <v>77</v>
      </c>
      <c r="AM326" s="1">
        <f>Table2[[#This Row],[A]]</f>
        <v>44</v>
      </c>
      <c r="AN326" s="1">
        <f>Table2[[#This Row],[GD]]</f>
        <v>33</v>
      </c>
      <c r="AO326" s="1">
        <f>Table2[[#This Row],[Pts]]</f>
        <v>75</v>
      </c>
      <c r="AP326" s="1">
        <f>Table2[[#This Row],[Column1]]</f>
        <v>5</v>
      </c>
      <c r="AR326" t="b">
        <f t="shared" si="9"/>
        <v>1</v>
      </c>
      <c r="AS326">
        <f>IF(AR326,ROWS($AR$2:AR326),"")</f>
        <v>325</v>
      </c>
      <c r="AT326">
        <f>IFERROR(SMALL($AS$2:$AS$440,ROWS($AS$2:AS326)),"")</f>
        <v>325</v>
      </c>
      <c r="AU326">
        <f>IF(AT326&lt;&gt;"",INDEX($AE$2:$AP$440,MATCH($AT326,$AS$2:$AS$440,0),COLUMNS($AT$2:AT326)),"")</f>
        <v>2016</v>
      </c>
      <c r="AV326">
        <f>IF(AU326&lt;&gt;"",INDEX($AE$2:$AP$440,MATCH($AT326,$AS$2:$AS$440,0),COLUMNS($AT$2:AU326)),"")</f>
        <v>5</v>
      </c>
      <c r="AW326" t="str">
        <f>IF(AV326&lt;&gt;"",INDEX($AE$2:$AP$440,MATCH($AT326,$AS$2:$AS$440,0),COLUMNS($AT$2:AV326)),"")</f>
        <v>Arsenal</v>
      </c>
      <c r="AX326">
        <f>IF(AW326&lt;&gt;"",INDEX($AE$2:$AP$440,MATCH($AT326,$AS$2:$AS$440,0),COLUMNS($AT$2:AW326)),"")</f>
        <v>38</v>
      </c>
      <c r="AY326">
        <f>IF(AX326&lt;&gt;"",INDEX($AE$2:$AP$440,MATCH($AT326,$AS$2:$AS$440,0),COLUMNS($AT$2:AX326)),"")</f>
        <v>23</v>
      </c>
      <c r="AZ326">
        <f>IF(AY326&lt;&gt;"",INDEX($AE$2:$AP$440,MATCH($AT326,$AS$2:$AS$440,0),COLUMNS($AT$2:AY326)),"")</f>
        <v>6</v>
      </c>
      <c r="BA326">
        <f>IF(AZ326&lt;&gt;"",INDEX($AE$2:$AP$440,MATCH($AT326,$AS$2:$AS$440,0),COLUMNS($AT$2:AZ326)),"")</f>
        <v>9</v>
      </c>
      <c r="BB326">
        <f>IF(BA326&lt;&gt;"",INDEX($AE$2:$AP$440,MATCH($AT326,$AS$2:$AS$440,0),COLUMNS($AT$2:BA326)),"")</f>
        <v>77</v>
      </c>
      <c r="BC326">
        <f>IF(BB326&lt;&gt;"",INDEX($AE$2:$AP$440,MATCH($AT326,$AS$2:$AS$440,0),COLUMNS($AT$2:BB326)),"")</f>
        <v>44</v>
      </c>
      <c r="BD326">
        <f>IF(BC326&lt;&gt;"",INDEX($AE$2:$AP$440,MATCH($AT326,$AS$2:$AS$440,0),COLUMNS($AT$2:BC326)),"")</f>
        <v>33</v>
      </c>
      <c r="BE326">
        <f>IF(BD326&lt;&gt;"",INDEX($AE$2:$AP$440,MATCH($AT326,$AS$2:$AS$440,0),COLUMNS($AT$2:BD326)),"")</f>
        <v>75</v>
      </c>
      <c r="BF326">
        <f>IF(BE326&lt;&gt;"",INDEX($AE$2:$AP$440,MATCH($AT326,$AS$2:$AS$440,0),COLUMNS($AT$2:BE326)),"")</f>
        <v>5</v>
      </c>
    </row>
    <row r="327" spans="1:58" x14ac:dyDescent="0.25">
      <c r="A327" s="5">
        <v>2016</v>
      </c>
      <c r="B327" s="5">
        <v>6</v>
      </c>
      <c r="C327" s="6" t="s">
        <v>11</v>
      </c>
      <c r="D327" s="5">
        <v>38</v>
      </c>
      <c r="E327" s="5">
        <v>18</v>
      </c>
      <c r="F327" s="5">
        <v>15</v>
      </c>
      <c r="G327" s="5">
        <v>5</v>
      </c>
      <c r="H327" s="5">
        <v>54</v>
      </c>
      <c r="I327" s="5">
        <v>29</v>
      </c>
      <c r="J327" s="5">
        <v>25</v>
      </c>
      <c r="K327" s="5">
        <v>69</v>
      </c>
      <c r="L327" s="5">
        <f>IF(Table2[[#This Row],['#]]=1,"Champion", IF(Table2[[#This Row],['#]]&gt;=18,"Relegated",Table2[[#This Row],['#]]))</f>
        <v>6</v>
      </c>
      <c r="N327">
        <f>IF(COUNTIF($O$2:O327,O327)=1,N326+1,N326)</f>
        <v>41</v>
      </c>
      <c r="O327" s="4" t="str">
        <f>Table2[[#This Row],[Team]]</f>
        <v>Manchester United</v>
      </c>
      <c r="P327" s="1" t="str">
        <f>IFERROR(VLOOKUP(ROWS($O$2:O327),$N$2:$O$441,2,0),"")</f>
        <v/>
      </c>
      <c r="Q327" s="1" t="str">
        <f>IF(P327&lt;&gt;"",SUMPRODUCT(--(Table2[Team]=P327)),"")</f>
        <v/>
      </c>
      <c r="R327" s="11" t="str">
        <f>IF(Q327&lt;&gt;"",Q327+ROWS($Q$2:Q327)/100,"")</f>
        <v/>
      </c>
      <c r="S327" t="str">
        <f>IF(R327&lt;&gt;"",LARGE($R$2:$R$441,ROWS($R$2:R327)),"")</f>
        <v/>
      </c>
      <c r="T327" s="1" t="str">
        <f>IF(R327&lt;&gt;"",INDEX($P$2:$Q$441,MATCH($S327,$R$2:$R$441,0),COLUMNS($S$2:S327)),"")</f>
        <v/>
      </c>
      <c r="U327" s="1" t="str">
        <f>IF(S327&lt;&gt;"",INDEX($P$2:$Q$441,MATCH($S327,$R$2:$R$441,0),COLUMNS($S$2:T327)),"")</f>
        <v/>
      </c>
      <c r="AE327" s="1">
        <f>Table2[[#This Row],[Year]]</f>
        <v>2016</v>
      </c>
      <c r="AF327" s="1">
        <f>Table2[[#This Row],['#]]</f>
        <v>6</v>
      </c>
      <c r="AG327" s="1" t="str">
        <f>Table2[[#This Row],[Team]]</f>
        <v>Manchester United</v>
      </c>
      <c r="AH327" s="1">
        <f>Table2[[#This Row],[Pl]]</f>
        <v>38</v>
      </c>
      <c r="AI327" s="1">
        <f>Table2[[#This Row],[W]]</f>
        <v>18</v>
      </c>
      <c r="AJ327" s="1">
        <f>Table2[[#This Row],[D]]</f>
        <v>15</v>
      </c>
      <c r="AK327" s="1">
        <f>Table2[[#This Row],[L]]</f>
        <v>5</v>
      </c>
      <c r="AL327" s="1">
        <f>Table2[[#This Row],[F]]</f>
        <v>54</v>
      </c>
      <c r="AM327" s="1">
        <f>Table2[[#This Row],[A]]</f>
        <v>29</v>
      </c>
      <c r="AN327" s="1">
        <f>Table2[[#This Row],[GD]]</f>
        <v>25</v>
      </c>
      <c r="AO327" s="1">
        <f>Table2[[#This Row],[Pts]]</f>
        <v>69</v>
      </c>
      <c r="AP327" s="1">
        <f>Table2[[#This Row],[Column1]]</f>
        <v>6</v>
      </c>
      <c r="AR327" t="b">
        <f t="shared" si="9"/>
        <v>1</v>
      </c>
      <c r="AS327">
        <f>IF(AR327,ROWS($AR$2:AR327),"")</f>
        <v>326</v>
      </c>
      <c r="AT327">
        <f>IFERROR(SMALL($AS$2:$AS$440,ROWS($AS$2:AS327)),"")</f>
        <v>326</v>
      </c>
      <c r="AU327">
        <f>IF(AT327&lt;&gt;"",INDEX($AE$2:$AP$440,MATCH($AT327,$AS$2:$AS$440,0),COLUMNS($AT$2:AT327)),"")</f>
        <v>2016</v>
      </c>
      <c r="AV327">
        <f>IF(AU327&lt;&gt;"",INDEX($AE$2:$AP$440,MATCH($AT327,$AS$2:$AS$440,0),COLUMNS($AT$2:AU327)),"")</f>
        <v>6</v>
      </c>
      <c r="AW327" t="str">
        <f>IF(AV327&lt;&gt;"",INDEX($AE$2:$AP$440,MATCH($AT327,$AS$2:$AS$440,0),COLUMNS($AT$2:AV327)),"")</f>
        <v>Manchester United</v>
      </c>
      <c r="AX327">
        <f>IF(AW327&lt;&gt;"",INDEX($AE$2:$AP$440,MATCH($AT327,$AS$2:$AS$440,0),COLUMNS($AT$2:AW327)),"")</f>
        <v>38</v>
      </c>
      <c r="AY327">
        <f>IF(AX327&lt;&gt;"",INDEX($AE$2:$AP$440,MATCH($AT327,$AS$2:$AS$440,0),COLUMNS($AT$2:AX327)),"")</f>
        <v>18</v>
      </c>
      <c r="AZ327">
        <f>IF(AY327&lt;&gt;"",INDEX($AE$2:$AP$440,MATCH($AT327,$AS$2:$AS$440,0),COLUMNS($AT$2:AY327)),"")</f>
        <v>15</v>
      </c>
      <c r="BA327">
        <f>IF(AZ327&lt;&gt;"",INDEX($AE$2:$AP$440,MATCH($AT327,$AS$2:$AS$440,0),COLUMNS($AT$2:AZ327)),"")</f>
        <v>5</v>
      </c>
      <c r="BB327">
        <f>IF(BA327&lt;&gt;"",INDEX($AE$2:$AP$440,MATCH($AT327,$AS$2:$AS$440,0),COLUMNS($AT$2:BA327)),"")</f>
        <v>54</v>
      </c>
      <c r="BC327">
        <f>IF(BB327&lt;&gt;"",INDEX($AE$2:$AP$440,MATCH($AT327,$AS$2:$AS$440,0),COLUMNS($AT$2:BB327)),"")</f>
        <v>29</v>
      </c>
      <c r="BD327">
        <f>IF(BC327&lt;&gt;"",INDEX($AE$2:$AP$440,MATCH($AT327,$AS$2:$AS$440,0),COLUMNS($AT$2:BC327)),"")</f>
        <v>25</v>
      </c>
      <c r="BE327">
        <f>IF(BD327&lt;&gt;"",INDEX($AE$2:$AP$440,MATCH($AT327,$AS$2:$AS$440,0),COLUMNS($AT$2:BD327)),"")</f>
        <v>69</v>
      </c>
      <c r="BF327">
        <f>IF(BE327&lt;&gt;"",INDEX($AE$2:$AP$440,MATCH($AT327,$AS$2:$AS$440,0),COLUMNS($AT$2:BE327)),"")</f>
        <v>6</v>
      </c>
    </row>
    <row r="328" spans="1:58" x14ac:dyDescent="0.25">
      <c r="A328" s="3">
        <v>2016</v>
      </c>
      <c r="B328" s="3">
        <v>7</v>
      </c>
      <c r="C328" s="4" t="s">
        <v>26</v>
      </c>
      <c r="D328" s="3">
        <v>38</v>
      </c>
      <c r="E328" s="3">
        <v>17</v>
      </c>
      <c r="F328" s="3">
        <v>10</v>
      </c>
      <c r="G328" s="3">
        <v>11</v>
      </c>
      <c r="H328" s="3">
        <v>62</v>
      </c>
      <c r="I328" s="3">
        <v>44</v>
      </c>
      <c r="J328" s="3">
        <v>18</v>
      </c>
      <c r="K328" s="3">
        <v>61</v>
      </c>
      <c r="L328" s="5">
        <f>IF(Table2[[#This Row],['#]]=1,"Champion", IF(Table2[[#This Row],['#]]&gt;=18,"Relegated",Table2[[#This Row],['#]]))</f>
        <v>7</v>
      </c>
      <c r="N328">
        <f>IF(COUNTIF($O$2:O328,O328)=1,N327+1,N327)</f>
        <v>41</v>
      </c>
      <c r="O328" s="4" t="str">
        <f>Table2[[#This Row],[Team]]</f>
        <v>Everton</v>
      </c>
      <c r="P328" s="1" t="str">
        <f>IFERROR(VLOOKUP(ROWS($O$2:O328),$N$2:$O$441,2,0),"")</f>
        <v/>
      </c>
      <c r="Q328" s="1" t="str">
        <f>IF(P328&lt;&gt;"",SUMPRODUCT(--(Table2[Team]=P328)),"")</f>
        <v/>
      </c>
      <c r="R328" s="11" t="str">
        <f>IF(Q328&lt;&gt;"",Q328+ROWS($Q$2:Q328)/100,"")</f>
        <v/>
      </c>
      <c r="S328" t="str">
        <f>IF(R328&lt;&gt;"",LARGE($R$2:$R$441,ROWS($R$2:R328)),"")</f>
        <v/>
      </c>
      <c r="T328" s="1" t="str">
        <f>IF(R328&lt;&gt;"",INDEX($P$2:$Q$441,MATCH($S328,$R$2:$R$441,0),COLUMNS($S$2:S328)),"")</f>
        <v/>
      </c>
      <c r="U328" s="1" t="str">
        <f>IF(S328&lt;&gt;"",INDEX($P$2:$Q$441,MATCH($S328,$R$2:$R$441,0),COLUMNS($S$2:T328)),"")</f>
        <v/>
      </c>
      <c r="AE328" s="1">
        <f>Table2[[#This Row],[Year]]</f>
        <v>2016</v>
      </c>
      <c r="AF328" s="1">
        <f>Table2[[#This Row],['#]]</f>
        <v>7</v>
      </c>
      <c r="AG328" s="1" t="str">
        <f>Table2[[#This Row],[Team]]</f>
        <v>Everton</v>
      </c>
      <c r="AH328" s="1">
        <f>Table2[[#This Row],[Pl]]</f>
        <v>38</v>
      </c>
      <c r="AI328" s="1">
        <f>Table2[[#This Row],[W]]</f>
        <v>17</v>
      </c>
      <c r="AJ328" s="1">
        <f>Table2[[#This Row],[D]]</f>
        <v>10</v>
      </c>
      <c r="AK328" s="1">
        <f>Table2[[#This Row],[L]]</f>
        <v>11</v>
      </c>
      <c r="AL328" s="1">
        <f>Table2[[#This Row],[F]]</f>
        <v>62</v>
      </c>
      <c r="AM328" s="1">
        <f>Table2[[#This Row],[A]]</f>
        <v>44</v>
      </c>
      <c r="AN328" s="1">
        <f>Table2[[#This Row],[GD]]</f>
        <v>18</v>
      </c>
      <c r="AO328" s="1">
        <f>Table2[[#This Row],[Pts]]</f>
        <v>61</v>
      </c>
      <c r="AP328" s="1">
        <f>Table2[[#This Row],[Column1]]</f>
        <v>7</v>
      </c>
      <c r="AR328" t="b">
        <f t="shared" si="9"/>
        <v>1</v>
      </c>
      <c r="AS328">
        <f>IF(AR328,ROWS($AR$2:AR328),"")</f>
        <v>327</v>
      </c>
      <c r="AT328">
        <f>IFERROR(SMALL($AS$2:$AS$440,ROWS($AS$2:AS328)),"")</f>
        <v>327</v>
      </c>
      <c r="AU328">
        <f>IF(AT328&lt;&gt;"",INDEX($AE$2:$AP$440,MATCH($AT328,$AS$2:$AS$440,0),COLUMNS($AT$2:AT328)),"")</f>
        <v>2016</v>
      </c>
      <c r="AV328">
        <f>IF(AU328&lt;&gt;"",INDEX($AE$2:$AP$440,MATCH($AT328,$AS$2:$AS$440,0),COLUMNS($AT$2:AU328)),"")</f>
        <v>7</v>
      </c>
      <c r="AW328" t="str">
        <f>IF(AV328&lt;&gt;"",INDEX($AE$2:$AP$440,MATCH($AT328,$AS$2:$AS$440,0),COLUMNS($AT$2:AV328)),"")</f>
        <v>Everton</v>
      </c>
      <c r="AX328">
        <f>IF(AW328&lt;&gt;"",INDEX($AE$2:$AP$440,MATCH($AT328,$AS$2:$AS$440,0),COLUMNS($AT$2:AW328)),"")</f>
        <v>38</v>
      </c>
      <c r="AY328">
        <f>IF(AX328&lt;&gt;"",INDEX($AE$2:$AP$440,MATCH($AT328,$AS$2:$AS$440,0),COLUMNS($AT$2:AX328)),"")</f>
        <v>17</v>
      </c>
      <c r="AZ328">
        <f>IF(AY328&lt;&gt;"",INDEX($AE$2:$AP$440,MATCH($AT328,$AS$2:$AS$440,0),COLUMNS($AT$2:AY328)),"")</f>
        <v>10</v>
      </c>
      <c r="BA328">
        <f>IF(AZ328&lt;&gt;"",INDEX($AE$2:$AP$440,MATCH($AT328,$AS$2:$AS$440,0),COLUMNS($AT$2:AZ328)),"")</f>
        <v>11</v>
      </c>
      <c r="BB328">
        <f>IF(BA328&lt;&gt;"",INDEX($AE$2:$AP$440,MATCH($AT328,$AS$2:$AS$440,0),COLUMNS($AT$2:BA328)),"")</f>
        <v>62</v>
      </c>
      <c r="BC328">
        <f>IF(BB328&lt;&gt;"",INDEX($AE$2:$AP$440,MATCH($AT328,$AS$2:$AS$440,0),COLUMNS($AT$2:BB328)),"")</f>
        <v>44</v>
      </c>
      <c r="BD328">
        <f>IF(BC328&lt;&gt;"",INDEX($AE$2:$AP$440,MATCH($AT328,$AS$2:$AS$440,0),COLUMNS($AT$2:BC328)),"")</f>
        <v>18</v>
      </c>
      <c r="BE328">
        <f>IF(BD328&lt;&gt;"",INDEX($AE$2:$AP$440,MATCH($AT328,$AS$2:$AS$440,0),COLUMNS($AT$2:BD328)),"")</f>
        <v>61</v>
      </c>
      <c r="BF328">
        <f>IF(BE328&lt;&gt;"",INDEX($AE$2:$AP$440,MATCH($AT328,$AS$2:$AS$440,0),COLUMNS($AT$2:BE328)),"")</f>
        <v>7</v>
      </c>
    </row>
    <row r="329" spans="1:58" x14ac:dyDescent="0.25">
      <c r="A329" s="5">
        <v>2016</v>
      </c>
      <c r="B329" s="5">
        <v>8</v>
      </c>
      <c r="C329" s="6" t="s">
        <v>20</v>
      </c>
      <c r="D329" s="5">
        <v>38</v>
      </c>
      <c r="E329" s="5">
        <v>12</v>
      </c>
      <c r="F329" s="5">
        <v>10</v>
      </c>
      <c r="G329" s="5">
        <v>16</v>
      </c>
      <c r="H329" s="5">
        <v>41</v>
      </c>
      <c r="I329" s="5">
        <v>48</v>
      </c>
      <c r="J329" s="5">
        <v>-7</v>
      </c>
      <c r="K329" s="5">
        <v>46</v>
      </c>
      <c r="L329" s="5">
        <f>IF(Table2[[#This Row],['#]]=1,"Champion", IF(Table2[[#This Row],['#]]&gt;=18,"Relegated",Table2[[#This Row],['#]]))</f>
        <v>8</v>
      </c>
      <c r="N329">
        <f>IF(COUNTIF($O$2:O329,O329)=1,N328+1,N328)</f>
        <v>41</v>
      </c>
      <c r="O329" s="4" t="str">
        <f>Table2[[#This Row],[Team]]</f>
        <v>Southampton</v>
      </c>
      <c r="P329" s="1" t="str">
        <f>IFERROR(VLOOKUP(ROWS($O$2:O329),$N$2:$O$441,2,0),"")</f>
        <v/>
      </c>
      <c r="Q329" s="1" t="str">
        <f>IF(P329&lt;&gt;"",SUMPRODUCT(--(Table2[Team]=P329)),"")</f>
        <v/>
      </c>
      <c r="R329" s="11" t="str">
        <f>IF(Q329&lt;&gt;"",Q329+ROWS($Q$2:Q329)/100,"")</f>
        <v/>
      </c>
      <c r="S329" t="str">
        <f>IF(R329&lt;&gt;"",LARGE($R$2:$R$441,ROWS($R$2:R329)),"")</f>
        <v/>
      </c>
      <c r="T329" s="1" t="str">
        <f>IF(R329&lt;&gt;"",INDEX($P$2:$Q$441,MATCH($S329,$R$2:$R$441,0),COLUMNS($S$2:S329)),"")</f>
        <v/>
      </c>
      <c r="U329" s="1" t="str">
        <f>IF(S329&lt;&gt;"",INDEX($P$2:$Q$441,MATCH($S329,$R$2:$R$441,0),COLUMNS($S$2:T329)),"")</f>
        <v/>
      </c>
      <c r="AE329" s="1">
        <f>Table2[[#This Row],[Year]]</f>
        <v>2016</v>
      </c>
      <c r="AF329" s="1">
        <f>Table2[[#This Row],['#]]</f>
        <v>8</v>
      </c>
      <c r="AG329" s="1" t="str">
        <f>Table2[[#This Row],[Team]]</f>
        <v>Southampton</v>
      </c>
      <c r="AH329" s="1">
        <f>Table2[[#This Row],[Pl]]</f>
        <v>38</v>
      </c>
      <c r="AI329" s="1">
        <f>Table2[[#This Row],[W]]</f>
        <v>12</v>
      </c>
      <c r="AJ329" s="1">
        <f>Table2[[#This Row],[D]]</f>
        <v>10</v>
      </c>
      <c r="AK329" s="1">
        <f>Table2[[#This Row],[L]]</f>
        <v>16</v>
      </c>
      <c r="AL329" s="1">
        <f>Table2[[#This Row],[F]]</f>
        <v>41</v>
      </c>
      <c r="AM329" s="1">
        <f>Table2[[#This Row],[A]]</f>
        <v>48</v>
      </c>
      <c r="AN329" s="1">
        <f>Table2[[#This Row],[GD]]</f>
        <v>-7</v>
      </c>
      <c r="AO329" s="1">
        <f>Table2[[#This Row],[Pts]]</f>
        <v>46</v>
      </c>
      <c r="AP329" s="1">
        <f>Table2[[#This Row],[Column1]]</f>
        <v>8</v>
      </c>
      <c r="AR329" t="b">
        <f t="shared" si="9"/>
        <v>1</v>
      </c>
      <c r="AS329">
        <f>IF(AR329,ROWS($AR$2:AR329),"")</f>
        <v>328</v>
      </c>
      <c r="AT329">
        <f>IFERROR(SMALL($AS$2:$AS$440,ROWS($AS$2:AS329)),"")</f>
        <v>328</v>
      </c>
      <c r="AU329">
        <f>IF(AT329&lt;&gt;"",INDEX($AE$2:$AP$440,MATCH($AT329,$AS$2:$AS$440,0),COLUMNS($AT$2:AT329)),"")</f>
        <v>2016</v>
      </c>
      <c r="AV329">
        <f>IF(AU329&lt;&gt;"",INDEX($AE$2:$AP$440,MATCH($AT329,$AS$2:$AS$440,0),COLUMNS($AT$2:AU329)),"")</f>
        <v>8</v>
      </c>
      <c r="AW329" t="str">
        <f>IF(AV329&lt;&gt;"",INDEX($AE$2:$AP$440,MATCH($AT329,$AS$2:$AS$440,0),COLUMNS($AT$2:AV329)),"")</f>
        <v>Southampton</v>
      </c>
      <c r="AX329">
        <f>IF(AW329&lt;&gt;"",INDEX($AE$2:$AP$440,MATCH($AT329,$AS$2:$AS$440,0),COLUMNS($AT$2:AW329)),"")</f>
        <v>38</v>
      </c>
      <c r="AY329">
        <f>IF(AX329&lt;&gt;"",INDEX($AE$2:$AP$440,MATCH($AT329,$AS$2:$AS$440,0),COLUMNS($AT$2:AX329)),"")</f>
        <v>12</v>
      </c>
      <c r="AZ329">
        <f>IF(AY329&lt;&gt;"",INDEX($AE$2:$AP$440,MATCH($AT329,$AS$2:$AS$440,0),COLUMNS($AT$2:AY329)),"")</f>
        <v>10</v>
      </c>
      <c r="BA329">
        <f>IF(AZ329&lt;&gt;"",INDEX($AE$2:$AP$440,MATCH($AT329,$AS$2:$AS$440,0),COLUMNS($AT$2:AZ329)),"")</f>
        <v>16</v>
      </c>
      <c r="BB329">
        <f>IF(BA329&lt;&gt;"",INDEX($AE$2:$AP$440,MATCH($AT329,$AS$2:$AS$440,0),COLUMNS($AT$2:BA329)),"")</f>
        <v>41</v>
      </c>
      <c r="BC329">
        <f>IF(BB329&lt;&gt;"",INDEX($AE$2:$AP$440,MATCH($AT329,$AS$2:$AS$440,0),COLUMNS($AT$2:BB329)),"")</f>
        <v>48</v>
      </c>
      <c r="BD329">
        <f>IF(BC329&lt;&gt;"",INDEX($AE$2:$AP$440,MATCH($AT329,$AS$2:$AS$440,0),COLUMNS($AT$2:BC329)),"")</f>
        <v>-7</v>
      </c>
      <c r="BE329">
        <f>IF(BD329&lt;&gt;"",INDEX($AE$2:$AP$440,MATCH($AT329,$AS$2:$AS$440,0),COLUMNS($AT$2:BD329)),"")</f>
        <v>46</v>
      </c>
      <c r="BF329">
        <f>IF(BE329&lt;&gt;"",INDEX($AE$2:$AP$440,MATCH($AT329,$AS$2:$AS$440,0),COLUMNS($AT$2:BE329)),"")</f>
        <v>8</v>
      </c>
    </row>
    <row r="330" spans="1:58" x14ac:dyDescent="0.25">
      <c r="A330" s="3">
        <v>2016</v>
      </c>
      <c r="B330" s="3">
        <v>9</v>
      </c>
      <c r="C330" s="4" t="s">
        <v>51</v>
      </c>
      <c r="D330" s="3">
        <v>38</v>
      </c>
      <c r="E330" s="3">
        <v>12</v>
      </c>
      <c r="F330" s="3">
        <v>10</v>
      </c>
      <c r="G330" s="3">
        <v>16</v>
      </c>
      <c r="H330" s="3">
        <v>55</v>
      </c>
      <c r="I330" s="3">
        <v>67</v>
      </c>
      <c r="J330" s="3">
        <v>-12</v>
      </c>
      <c r="K330" s="3">
        <v>46</v>
      </c>
      <c r="L330" s="5">
        <f>IF(Table2[[#This Row],['#]]=1,"Champion", IF(Table2[[#This Row],['#]]&gt;=18,"Relegated",Table2[[#This Row],['#]]))</f>
        <v>9</v>
      </c>
      <c r="N330">
        <f>IF(COUNTIF($O$2:O330,O330)=1,N329+1,N329)</f>
        <v>41</v>
      </c>
      <c r="O330" s="4" t="str">
        <f>Table2[[#This Row],[Team]]</f>
        <v>Bournemouth</v>
      </c>
      <c r="P330" s="1" t="str">
        <f>IFERROR(VLOOKUP(ROWS($O$2:O330),$N$2:$O$441,2,0),"")</f>
        <v/>
      </c>
      <c r="Q330" s="1" t="str">
        <f>IF(P330&lt;&gt;"",SUMPRODUCT(--(Table2[Team]=P330)),"")</f>
        <v/>
      </c>
      <c r="R330" s="11" t="str">
        <f>IF(Q330&lt;&gt;"",Q330+ROWS($Q$2:Q330)/100,"")</f>
        <v/>
      </c>
      <c r="S330" t="str">
        <f>IF(R330&lt;&gt;"",LARGE($R$2:$R$441,ROWS($R$2:R330)),"")</f>
        <v/>
      </c>
      <c r="T330" s="1" t="str">
        <f>IF(R330&lt;&gt;"",INDEX($P$2:$Q$441,MATCH($S330,$R$2:$R$441,0),COLUMNS($S$2:S330)),"")</f>
        <v/>
      </c>
      <c r="U330" s="1" t="str">
        <f>IF(S330&lt;&gt;"",INDEX($P$2:$Q$441,MATCH($S330,$R$2:$R$441,0),COLUMNS($S$2:T330)),"")</f>
        <v/>
      </c>
      <c r="AE330" s="1">
        <f>Table2[[#This Row],[Year]]</f>
        <v>2016</v>
      </c>
      <c r="AF330" s="1">
        <f>Table2[[#This Row],['#]]</f>
        <v>9</v>
      </c>
      <c r="AG330" s="1" t="str">
        <f>Table2[[#This Row],[Team]]</f>
        <v>Bournemouth</v>
      </c>
      <c r="AH330" s="1">
        <f>Table2[[#This Row],[Pl]]</f>
        <v>38</v>
      </c>
      <c r="AI330" s="1">
        <f>Table2[[#This Row],[W]]</f>
        <v>12</v>
      </c>
      <c r="AJ330" s="1">
        <f>Table2[[#This Row],[D]]</f>
        <v>10</v>
      </c>
      <c r="AK330" s="1">
        <f>Table2[[#This Row],[L]]</f>
        <v>16</v>
      </c>
      <c r="AL330" s="1">
        <f>Table2[[#This Row],[F]]</f>
        <v>55</v>
      </c>
      <c r="AM330" s="1">
        <f>Table2[[#This Row],[A]]</f>
        <v>67</v>
      </c>
      <c r="AN330" s="1">
        <f>Table2[[#This Row],[GD]]</f>
        <v>-12</v>
      </c>
      <c r="AO330" s="1">
        <f>Table2[[#This Row],[Pts]]</f>
        <v>46</v>
      </c>
      <c r="AP330" s="1">
        <f>Table2[[#This Row],[Column1]]</f>
        <v>9</v>
      </c>
      <c r="AR330" t="b">
        <f t="shared" si="9"/>
        <v>1</v>
      </c>
      <c r="AS330">
        <f>IF(AR330,ROWS($AR$2:AR330),"")</f>
        <v>329</v>
      </c>
      <c r="AT330">
        <f>IFERROR(SMALL($AS$2:$AS$440,ROWS($AS$2:AS330)),"")</f>
        <v>329</v>
      </c>
      <c r="AU330">
        <f>IF(AT330&lt;&gt;"",INDEX($AE$2:$AP$440,MATCH($AT330,$AS$2:$AS$440,0),COLUMNS($AT$2:AT330)),"")</f>
        <v>2016</v>
      </c>
      <c r="AV330">
        <f>IF(AU330&lt;&gt;"",INDEX($AE$2:$AP$440,MATCH($AT330,$AS$2:$AS$440,0),COLUMNS($AT$2:AU330)),"")</f>
        <v>9</v>
      </c>
      <c r="AW330" t="str">
        <f>IF(AV330&lt;&gt;"",INDEX($AE$2:$AP$440,MATCH($AT330,$AS$2:$AS$440,0),COLUMNS($AT$2:AV330)),"")</f>
        <v>Bournemouth</v>
      </c>
      <c r="AX330">
        <f>IF(AW330&lt;&gt;"",INDEX($AE$2:$AP$440,MATCH($AT330,$AS$2:$AS$440,0),COLUMNS($AT$2:AW330)),"")</f>
        <v>38</v>
      </c>
      <c r="AY330">
        <f>IF(AX330&lt;&gt;"",INDEX($AE$2:$AP$440,MATCH($AT330,$AS$2:$AS$440,0),COLUMNS($AT$2:AX330)),"")</f>
        <v>12</v>
      </c>
      <c r="AZ330">
        <f>IF(AY330&lt;&gt;"",INDEX($AE$2:$AP$440,MATCH($AT330,$AS$2:$AS$440,0),COLUMNS($AT$2:AY330)),"")</f>
        <v>10</v>
      </c>
      <c r="BA330">
        <f>IF(AZ330&lt;&gt;"",INDEX($AE$2:$AP$440,MATCH($AT330,$AS$2:$AS$440,0),COLUMNS($AT$2:AZ330)),"")</f>
        <v>16</v>
      </c>
      <c r="BB330">
        <f>IF(BA330&lt;&gt;"",INDEX($AE$2:$AP$440,MATCH($AT330,$AS$2:$AS$440,0),COLUMNS($AT$2:BA330)),"")</f>
        <v>55</v>
      </c>
      <c r="BC330">
        <f>IF(BB330&lt;&gt;"",INDEX($AE$2:$AP$440,MATCH($AT330,$AS$2:$AS$440,0),COLUMNS($AT$2:BB330)),"")</f>
        <v>67</v>
      </c>
      <c r="BD330">
        <f>IF(BC330&lt;&gt;"",INDEX($AE$2:$AP$440,MATCH($AT330,$AS$2:$AS$440,0),COLUMNS($AT$2:BC330)),"")</f>
        <v>-12</v>
      </c>
      <c r="BE330">
        <f>IF(BD330&lt;&gt;"",INDEX($AE$2:$AP$440,MATCH($AT330,$AS$2:$AS$440,0),COLUMNS($AT$2:BD330)),"")</f>
        <v>46</v>
      </c>
      <c r="BF330">
        <f>IF(BE330&lt;&gt;"",INDEX($AE$2:$AP$440,MATCH($AT330,$AS$2:$AS$440,0),COLUMNS($AT$2:BE330)),"")</f>
        <v>9</v>
      </c>
    </row>
    <row r="331" spans="1:58" x14ac:dyDescent="0.25">
      <c r="A331" s="5">
        <v>2016</v>
      </c>
      <c r="B331" s="5">
        <v>10</v>
      </c>
      <c r="C331" s="6" t="s">
        <v>35</v>
      </c>
      <c r="D331" s="5">
        <v>38</v>
      </c>
      <c r="E331" s="5">
        <v>12</v>
      </c>
      <c r="F331" s="5">
        <v>9</v>
      </c>
      <c r="G331" s="5">
        <v>17</v>
      </c>
      <c r="H331" s="5">
        <v>43</v>
      </c>
      <c r="I331" s="5">
        <v>51</v>
      </c>
      <c r="J331" s="5">
        <v>-8</v>
      </c>
      <c r="K331" s="5">
        <v>45</v>
      </c>
      <c r="L331" s="5">
        <f>IF(Table2[[#This Row],['#]]=1,"Champion", IF(Table2[[#This Row],['#]]&gt;=18,"Relegated",Table2[[#This Row],['#]]))</f>
        <v>10</v>
      </c>
      <c r="N331">
        <f>IF(COUNTIF($O$2:O331,O331)=1,N330+1,N330)</f>
        <v>41</v>
      </c>
      <c r="O331" s="4" t="str">
        <f>Table2[[#This Row],[Team]]</f>
        <v>West Bromwich Albion</v>
      </c>
      <c r="P331" s="1" t="str">
        <f>IFERROR(VLOOKUP(ROWS($O$2:O331),$N$2:$O$441,2,0),"")</f>
        <v/>
      </c>
      <c r="Q331" s="1" t="str">
        <f>IF(P331&lt;&gt;"",SUMPRODUCT(--(Table2[Team]=P331)),"")</f>
        <v/>
      </c>
      <c r="R331" s="11" t="str">
        <f>IF(Q331&lt;&gt;"",Q331+ROWS($Q$2:Q331)/100,"")</f>
        <v/>
      </c>
      <c r="S331" t="str">
        <f>IF(R331&lt;&gt;"",LARGE($R$2:$R$441,ROWS($R$2:R331)),"")</f>
        <v/>
      </c>
      <c r="T331" s="1" t="str">
        <f>IF(R331&lt;&gt;"",INDEX($P$2:$Q$441,MATCH($S331,$R$2:$R$441,0),COLUMNS($S$2:S331)),"")</f>
        <v/>
      </c>
      <c r="U331" s="1" t="str">
        <f>IF(S331&lt;&gt;"",INDEX($P$2:$Q$441,MATCH($S331,$R$2:$R$441,0),COLUMNS($S$2:T331)),"")</f>
        <v/>
      </c>
      <c r="AE331" s="1">
        <f>Table2[[#This Row],[Year]]</f>
        <v>2016</v>
      </c>
      <c r="AF331" s="1">
        <f>Table2[[#This Row],['#]]</f>
        <v>10</v>
      </c>
      <c r="AG331" s="1" t="str">
        <f>Table2[[#This Row],[Team]]</f>
        <v>West Bromwich Albion</v>
      </c>
      <c r="AH331" s="1">
        <f>Table2[[#This Row],[Pl]]</f>
        <v>38</v>
      </c>
      <c r="AI331" s="1">
        <f>Table2[[#This Row],[W]]</f>
        <v>12</v>
      </c>
      <c r="AJ331" s="1">
        <f>Table2[[#This Row],[D]]</f>
        <v>9</v>
      </c>
      <c r="AK331" s="1">
        <f>Table2[[#This Row],[L]]</f>
        <v>17</v>
      </c>
      <c r="AL331" s="1">
        <f>Table2[[#This Row],[F]]</f>
        <v>43</v>
      </c>
      <c r="AM331" s="1">
        <f>Table2[[#This Row],[A]]</f>
        <v>51</v>
      </c>
      <c r="AN331" s="1">
        <f>Table2[[#This Row],[GD]]</f>
        <v>-8</v>
      </c>
      <c r="AO331" s="1">
        <f>Table2[[#This Row],[Pts]]</f>
        <v>45</v>
      </c>
      <c r="AP331" s="1">
        <f>Table2[[#This Row],[Column1]]</f>
        <v>10</v>
      </c>
      <c r="AR331" t="b">
        <f t="shared" si="9"/>
        <v>1</v>
      </c>
      <c r="AS331">
        <f>IF(AR331,ROWS($AR$2:AR331),"")</f>
        <v>330</v>
      </c>
      <c r="AT331">
        <f>IFERROR(SMALL($AS$2:$AS$440,ROWS($AS$2:AS331)),"")</f>
        <v>330</v>
      </c>
      <c r="AU331">
        <f>IF(AT331&lt;&gt;"",INDEX($AE$2:$AP$440,MATCH($AT331,$AS$2:$AS$440,0),COLUMNS($AT$2:AT331)),"")</f>
        <v>2016</v>
      </c>
      <c r="AV331">
        <f>IF(AU331&lt;&gt;"",INDEX($AE$2:$AP$440,MATCH($AT331,$AS$2:$AS$440,0),COLUMNS($AT$2:AU331)),"")</f>
        <v>10</v>
      </c>
      <c r="AW331" t="str">
        <f>IF(AV331&lt;&gt;"",INDEX($AE$2:$AP$440,MATCH($AT331,$AS$2:$AS$440,0),COLUMNS($AT$2:AV331)),"")</f>
        <v>West Bromwich Albion</v>
      </c>
      <c r="AX331">
        <f>IF(AW331&lt;&gt;"",INDEX($AE$2:$AP$440,MATCH($AT331,$AS$2:$AS$440,0),COLUMNS($AT$2:AW331)),"")</f>
        <v>38</v>
      </c>
      <c r="AY331">
        <f>IF(AX331&lt;&gt;"",INDEX($AE$2:$AP$440,MATCH($AT331,$AS$2:$AS$440,0),COLUMNS($AT$2:AX331)),"")</f>
        <v>12</v>
      </c>
      <c r="AZ331">
        <f>IF(AY331&lt;&gt;"",INDEX($AE$2:$AP$440,MATCH($AT331,$AS$2:$AS$440,0),COLUMNS($AT$2:AY331)),"")</f>
        <v>9</v>
      </c>
      <c r="BA331">
        <f>IF(AZ331&lt;&gt;"",INDEX($AE$2:$AP$440,MATCH($AT331,$AS$2:$AS$440,0),COLUMNS($AT$2:AZ331)),"")</f>
        <v>17</v>
      </c>
      <c r="BB331">
        <f>IF(BA331&lt;&gt;"",INDEX($AE$2:$AP$440,MATCH($AT331,$AS$2:$AS$440,0),COLUMNS($AT$2:BA331)),"")</f>
        <v>43</v>
      </c>
      <c r="BC331">
        <f>IF(BB331&lt;&gt;"",INDEX($AE$2:$AP$440,MATCH($AT331,$AS$2:$AS$440,0),COLUMNS($AT$2:BB331)),"")</f>
        <v>51</v>
      </c>
      <c r="BD331">
        <f>IF(BC331&lt;&gt;"",INDEX($AE$2:$AP$440,MATCH($AT331,$AS$2:$AS$440,0),COLUMNS($AT$2:BC331)),"")</f>
        <v>-8</v>
      </c>
      <c r="BE331">
        <f>IF(BD331&lt;&gt;"",INDEX($AE$2:$AP$440,MATCH($AT331,$AS$2:$AS$440,0),COLUMNS($AT$2:BD331)),"")</f>
        <v>45</v>
      </c>
      <c r="BF331">
        <f>IF(BE331&lt;&gt;"",INDEX($AE$2:$AP$440,MATCH($AT331,$AS$2:$AS$440,0),COLUMNS($AT$2:BE331)),"")</f>
        <v>10</v>
      </c>
    </row>
    <row r="332" spans="1:58" x14ac:dyDescent="0.25">
      <c r="A332" s="3">
        <v>2016</v>
      </c>
      <c r="B332" s="3">
        <v>11</v>
      </c>
      <c r="C332" s="4" t="s">
        <v>25</v>
      </c>
      <c r="D332" s="3">
        <v>38</v>
      </c>
      <c r="E332" s="3">
        <v>12</v>
      </c>
      <c r="F332" s="3">
        <v>9</v>
      </c>
      <c r="G332" s="3">
        <v>17</v>
      </c>
      <c r="H332" s="3">
        <v>47</v>
      </c>
      <c r="I332" s="3">
        <v>64</v>
      </c>
      <c r="J332" s="3">
        <v>-17</v>
      </c>
      <c r="K332" s="3">
        <v>45</v>
      </c>
      <c r="L332" s="5">
        <f>IF(Table2[[#This Row],['#]]=1,"Champion", IF(Table2[[#This Row],['#]]&gt;=18,"Relegated",Table2[[#This Row],['#]]))</f>
        <v>11</v>
      </c>
      <c r="N332">
        <f>IF(COUNTIF($O$2:O332,O332)=1,N331+1,N331)</f>
        <v>41</v>
      </c>
      <c r="O332" s="4" t="str">
        <f>Table2[[#This Row],[Team]]</f>
        <v>West Ham United</v>
      </c>
      <c r="P332" s="1" t="str">
        <f>IFERROR(VLOOKUP(ROWS($O$2:O332),$N$2:$O$441,2,0),"")</f>
        <v/>
      </c>
      <c r="Q332" s="1" t="str">
        <f>IF(P332&lt;&gt;"",SUMPRODUCT(--(Table2[Team]=P332)),"")</f>
        <v/>
      </c>
      <c r="R332" s="11" t="str">
        <f>IF(Q332&lt;&gt;"",Q332+ROWS($Q$2:Q332)/100,"")</f>
        <v/>
      </c>
      <c r="S332" t="str">
        <f>IF(R332&lt;&gt;"",LARGE($R$2:$R$441,ROWS($R$2:R332)),"")</f>
        <v/>
      </c>
      <c r="T332" s="1" t="str">
        <f>IF(R332&lt;&gt;"",INDEX($P$2:$Q$441,MATCH($S332,$R$2:$R$441,0),COLUMNS($S$2:S332)),"")</f>
        <v/>
      </c>
      <c r="U332" s="1" t="str">
        <f>IF(S332&lt;&gt;"",INDEX($P$2:$Q$441,MATCH($S332,$R$2:$R$441,0),COLUMNS($S$2:T332)),"")</f>
        <v/>
      </c>
      <c r="AE332" s="1">
        <f>Table2[[#This Row],[Year]]</f>
        <v>2016</v>
      </c>
      <c r="AF332" s="1">
        <f>Table2[[#This Row],['#]]</f>
        <v>11</v>
      </c>
      <c r="AG332" s="1" t="str">
        <f>Table2[[#This Row],[Team]]</f>
        <v>West Ham United</v>
      </c>
      <c r="AH332" s="1">
        <f>Table2[[#This Row],[Pl]]</f>
        <v>38</v>
      </c>
      <c r="AI332" s="1">
        <f>Table2[[#This Row],[W]]</f>
        <v>12</v>
      </c>
      <c r="AJ332" s="1">
        <f>Table2[[#This Row],[D]]</f>
        <v>9</v>
      </c>
      <c r="AK332" s="1">
        <f>Table2[[#This Row],[L]]</f>
        <v>17</v>
      </c>
      <c r="AL332" s="1">
        <f>Table2[[#This Row],[F]]</f>
        <v>47</v>
      </c>
      <c r="AM332" s="1">
        <f>Table2[[#This Row],[A]]</f>
        <v>64</v>
      </c>
      <c r="AN332" s="1">
        <f>Table2[[#This Row],[GD]]</f>
        <v>-17</v>
      </c>
      <c r="AO332" s="1">
        <f>Table2[[#This Row],[Pts]]</f>
        <v>45</v>
      </c>
      <c r="AP332" s="1">
        <f>Table2[[#This Row],[Column1]]</f>
        <v>11</v>
      </c>
      <c r="AR332" t="b">
        <f t="shared" si="9"/>
        <v>1</v>
      </c>
      <c r="AS332">
        <f>IF(AR332,ROWS($AR$2:AR332),"")</f>
        <v>331</v>
      </c>
      <c r="AT332">
        <f>IFERROR(SMALL($AS$2:$AS$440,ROWS($AS$2:AS332)),"")</f>
        <v>331</v>
      </c>
      <c r="AU332">
        <f>IF(AT332&lt;&gt;"",INDEX($AE$2:$AP$440,MATCH($AT332,$AS$2:$AS$440,0),COLUMNS($AT$2:AT332)),"")</f>
        <v>2016</v>
      </c>
      <c r="AV332">
        <f>IF(AU332&lt;&gt;"",INDEX($AE$2:$AP$440,MATCH($AT332,$AS$2:$AS$440,0),COLUMNS($AT$2:AU332)),"")</f>
        <v>11</v>
      </c>
      <c r="AW332" t="str">
        <f>IF(AV332&lt;&gt;"",INDEX($AE$2:$AP$440,MATCH($AT332,$AS$2:$AS$440,0),COLUMNS($AT$2:AV332)),"")</f>
        <v>West Ham United</v>
      </c>
      <c r="AX332">
        <f>IF(AW332&lt;&gt;"",INDEX($AE$2:$AP$440,MATCH($AT332,$AS$2:$AS$440,0),COLUMNS($AT$2:AW332)),"")</f>
        <v>38</v>
      </c>
      <c r="AY332">
        <f>IF(AX332&lt;&gt;"",INDEX($AE$2:$AP$440,MATCH($AT332,$AS$2:$AS$440,0),COLUMNS($AT$2:AX332)),"")</f>
        <v>12</v>
      </c>
      <c r="AZ332">
        <f>IF(AY332&lt;&gt;"",INDEX($AE$2:$AP$440,MATCH($AT332,$AS$2:$AS$440,0),COLUMNS($AT$2:AY332)),"")</f>
        <v>9</v>
      </c>
      <c r="BA332">
        <f>IF(AZ332&lt;&gt;"",INDEX($AE$2:$AP$440,MATCH($AT332,$AS$2:$AS$440,0),COLUMNS($AT$2:AZ332)),"")</f>
        <v>17</v>
      </c>
      <c r="BB332">
        <f>IF(BA332&lt;&gt;"",INDEX($AE$2:$AP$440,MATCH($AT332,$AS$2:$AS$440,0),COLUMNS($AT$2:BA332)),"")</f>
        <v>47</v>
      </c>
      <c r="BC332">
        <f>IF(BB332&lt;&gt;"",INDEX($AE$2:$AP$440,MATCH($AT332,$AS$2:$AS$440,0),COLUMNS($AT$2:BB332)),"")</f>
        <v>64</v>
      </c>
      <c r="BD332">
        <f>IF(BC332&lt;&gt;"",INDEX($AE$2:$AP$440,MATCH($AT332,$AS$2:$AS$440,0),COLUMNS($AT$2:BC332)),"")</f>
        <v>-17</v>
      </c>
      <c r="BE332">
        <f>IF(BD332&lt;&gt;"",INDEX($AE$2:$AP$440,MATCH($AT332,$AS$2:$AS$440,0),COLUMNS($AT$2:BD332)),"")</f>
        <v>45</v>
      </c>
      <c r="BF332">
        <f>IF(BE332&lt;&gt;"",INDEX($AE$2:$AP$440,MATCH($AT332,$AS$2:$AS$440,0),COLUMNS($AT$2:BE332)),"")</f>
        <v>11</v>
      </c>
    </row>
    <row r="333" spans="1:58" x14ac:dyDescent="0.25">
      <c r="A333" s="5">
        <v>2016</v>
      </c>
      <c r="B333" s="5">
        <v>12</v>
      </c>
      <c r="C333" s="6" t="s">
        <v>23</v>
      </c>
      <c r="D333" s="5">
        <v>38</v>
      </c>
      <c r="E333" s="5">
        <v>12</v>
      </c>
      <c r="F333" s="5">
        <v>8</v>
      </c>
      <c r="G333" s="5">
        <v>18</v>
      </c>
      <c r="H333" s="5">
        <v>48</v>
      </c>
      <c r="I333" s="5">
        <v>63</v>
      </c>
      <c r="J333" s="5">
        <v>-15</v>
      </c>
      <c r="K333" s="5">
        <v>44</v>
      </c>
      <c r="L333" s="5">
        <f>IF(Table2[[#This Row],['#]]=1,"Champion", IF(Table2[[#This Row],['#]]&gt;=18,"Relegated",Table2[[#This Row],['#]]))</f>
        <v>12</v>
      </c>
      <c r="N333">
        <f>IF(COUNTIF($O$2:O333,O333)=1,N332+1,N332)</f>
        <v>41</v>
      </c>
      <c r="O333" s="4" t="str">
        <f>Table2[[#This Row],[Team]]</f>
        <v>Leicester City</v>
      </c>
      <c r="P333" s="1" t="str">
        <f>IFERROR(VLOOKUP(ROWS($O$2:O333),$N$2:$O$441,2,0),"")</f>
        <v/>
      </c>
      <c r="Q333" s="1" t="str">
        <f>IF(P333&lt;&gt;"",SUMPRODUCT(--(Table2[Team]=P333)),"")</f>
        <v/>
      </c>
      <c r="R333" s="11" t="str">
        <f>IF(Q333&lt;&gt;"",Q333+ROWS($Q$2:Q333)/100,"")</f>
        <v/>
      </c>
      <c r="S333" t="str">
        <f>IF(R333&lt;&gt;"",LARGE($R$2:$R$441,ROWS($R$2:R333)),"")</f>
        <v/>
      </c>
      <c r="T333" s="1" t="str">
        <f>IF(R333&lt;&gt;"",INDEX($P$2:$Q$441,MATCH($S333,$R$2:$R$441,0),COLUMNS($S$2:S333)),"")</f>
        <v/>
      </c>
      <c r="U333" s="1" t="str">
        <f>IF(S333&lt;&gt;"",INDEX($P$2:$Q$441,MATCH($S333,$R$2:$R$441,0),COLUMNS($S$2:T333)),"")</f>
        <v/>
      </c>
      <c r="AE333" s="1">
        <f>Table2[[#This Row],[Year]]</f>
        <v>2016</v>
      </c>
      <c r="AF333" s="1">
        <f>Table2[[#This Row],['#]]</f>
        <v>12</v>
      </c>
      <c r="AG333" s="1" t="str">
        <f>Table2[[#This Row],[Team]]</f>
        <v>Leicester City</v>
      </c>
      <c r="AH333" s="1">
        <f>Table2[[#This Row],[Pl]]</f>
        <v>38</v>
      </c>
      <c r="AI333" s="1">
        <f>Table2[[#This Row],[W]]</f>
        <v>12</v>
      </c>
      <c r="AJ333" s="1">
        <f>Table2[[#This Row],[D]]</f>
        <v>8</v>
      </c>
      <c r="AK333" s="1">
        <f>Table2[[#This Row],[L]]</f>
        <v>18</v>
      </c>
      <c r="AL333" s="1">
        <f>Table2[[#This Row],[F]]</f>
        <v>48</v>
      </c>
      <c r="AM333" s="1">
        <f>Table2[[#This Row],[A]]</f>
        <v>63</v>
      </c>
      <c r="AN333" s="1">
        <f>Table2[[#This Row],[GD]]</f>
        <v>-15</v>
      </c>
      <c r="AO333" s="1">
        <f>Table2[[#This Row],[Pts]]</f>
        <v>44</v>
      </c>
      <c r="AP333" s="1">
        <f>Table2[[#This Row],[Column1]]</f>
        <v>12</v>
      </c>
      <c r="AR333" t="b">
        <f t="shared" si="9"/>
        <v>1</v>
      </c>
      <c r="AS333">
        <f>IF(AR333,ROWS($AR$2:AR333),"")</f>
        <v>332</v>
      </c>
      <c r="AT333">
        <f>IFERROR(SMALL($AS$2:$AS$440,ROWS($AS$2:AS333)),"")</f>
        <v>332</v>
      </c>
      <c r="AU333">
        <f>IF(AT333&lt;&gt;"",INDEX($AE$2:$AP$440,MATCH($AT333,$AS$2:$AS$440,0),COLUMNS($AT$2:AT333)),"")</f>
        <v>2016</v>
      </c>
      <c r="AV333">
        <f>IF(AU333&lt;&gt;"",INDEX($AE$2:$AP$440,MATCH($AT333,$AS$2:$AS$440,0),COLUMNS($AT$2:AU333)),"")</f>
        <v>12</v>
      </c>
      <c r="AW333" t="str">
        <f>IF(AV333&lt;&gt;"",INDEX($AE$2:$AP$440,MATCH($AT333,$AS$2:$AS$440,0),COLUMNS($AT$2:AV333)),"")</f>
        <v>Leicester City</v>
      </c>
      <c r="AX333">
        <f>IF(AW333&lt;&gt;"",INDEX($AE$2:$AP$440,MATCH($AT333,$AS$2:$AS$440,0),COLUMNS($AT$2:AW333)),"")</f>
        <v>38</v>
      </c>
      <c r="AY333">
        <f>IF(AX333&lt;&gt;"",INDEX($AE$2:$AP$440,MATCH($AT333,$AS$2:$AS$440,0),COLUMNS($AT$2:AX333)),"")</f>
        <v>12</v>
      </c>
      <c r="AZ333">
        <f>IF(AY333&lt;&gt;"",INDEX($AE$2:$AP$440,MATCH($AT333,$AS$2:$AS$440,0),COLUMNS($AT$2:AY333)),"")</f>
        <v>8</v>
      </c>
      <c r="BA333">
        <f>IF(AZ333&lt;&gt;"",INDEX($AE$2:$AP$440,MATCH($AT333,$AS$2:$AS$440,0),COLUMNS($AT$2:AZ333)),"")</f>
        <v>18</v>
      </c>
      <c r="BB333">
        <f>IF(BA333&lt;&gt;"",INDEX($AE$2:$AP$440,MATCH($AT333,$AS$2:$AS$440,0),COLUMNS($AT$2:BA333)),"")</f>
        <v>48</v>
      </c>
      <c r="BC333">
        <f>IF(BB333&lt;&gt;"",INDEX($AE$2:$AP$440,MATCH($AT333,$AS$2:$AS$440,0),COLUMNS($AT$2:BB333)),"")</f>
        <v>63</v>
      </c>
      <c r="BD333">
        <f>IF(BC333&lt;&gt;"",INDEX($AE$2:$AP$440,MATCH($AT333,$AS$2:$AS$440,0),COLUMNS($AT$2:BC333)),"")</f>
        <v>-15</v>
      </c>
      <c r="BE333">
        <f>IF(BD333&lt;&gt;"",INDEX($AE$2:$AP$440,MATCH($AT333,$AS$2:$AS$440,0),COLUMNS($AT$2:BD333)),"")</f>
        <v>44</v>
      </c>
      <c r="BF333">
        <f>IF(BE333&lt;&gt;"",INDEX($AE$2:$AP$440,MATCH($AT333,$AS$2:$AS$440,0),COLUMNS($AT$2:BE333)),"")</f>
        <v>12</v>
      </c>
    </row>
    <row r="334" spans="1:58" x14ac:dyDescent="0.25">
      <c r="A334" s="3">
        <v>2016</v>
      </c>
      <c r="B334" s="3">
        <v>13</v>
      </c>
      <c r="C334" s="4" t="s">
        <v>44</v>
      </c>
      <c r="D334" s="3">
        <v>38</v>
      </c>
      <c r="E334" s="3">
        <v>11</v>
      </c>
      <c r="F334" s="3">
        <v>11</v>
      </c>
      <c r="G334" s="3">
        <v>16</v>
      </c>
      <c r="H334" s="3">
        <v>41</v>
      </c>
      <c r="I334" s="3">
        <v>56</v>
      </c>
      <c r="J334" s="3">
        <v>-15</v>
      </c>
      <c r="K334" s="3">
        <v>44</v>
      </c>
      <c r="L334" s="5">
        <f>IF(Table2[[#This Row],['#]]=1,"Champion", IF(Table2[[#This Row],['#]]&gt;=18,"Relegated",Table2[[#This Row],['#]]))</f>
        <v>13</v>
      </c>
      <c r="N334">
        <f>IF(COUNTIF($O$2:O334,O334)=1,N333+1,N333)</f>
        <v>41</v>
      </c>
      <c r="O334" s="4" t="str">
        <f>Table2[[#This Row],[Team]]</f>
        <v>Stoke City</v>
      </c>
      <c r="P334" s="1" t="str">
        <f>IFERROR(VLOOKUP(ROWS($O$2:O334),$N$2:$O$441,2,0),"")</f>
        <v/>
      </c>
      <c r="Q334" s="1" t="str">
        <f>IF(P334&lt;&gt;"",SUMPRODUCT(--(Table2[Team]=P334)),"")</f>
        <v/>
      </c>
      <c r="R334" s="11" t="str">
        <f>IF(Q334&lt;&gt;"",Q334+ROWS($Q$2:Q334)/100,"")</f>
        <v/>
      </c>
      <c r="S334" t="str">
        <f>IF(R334&lt;&gt;"",LARGE($R$2:$R$441,ROWS($R$2:R334)),"")</f>
        <v/>
      </c>
      <c r="T334" s="1" t="str">
        <f>IF(R334&lt;&gt;"",INDEX($P$2:$Q$441,MATCH($S334,$R$2:$R$441,0),COLUMNS($S$2:S334)),"")</f>
        <v/>
      </c>
      <c r="U334" s="1" t="str">
        <f>IF(S334&lt;&gt;"",INDEX($P$2:$Q$441,MATCH($S334,$R$2:$R$441,0),COLUMNS($S$2:T334)),"")</f>
        <v/>
      </c>
      <c r="AE334" s="1">
        <f>Table2[[#This Row],[Year]]</f>
        <v>2016</v>
      </c>
      <c r="AF334" s="1">
        <f>Table2[[#This Row],['#]]</f>
        <v>13</v>
      </c>
      <c r="AG334" s="1" t="str">
        <f>Table2[[#This Row],[Team]]</f>
        <v>Stoke City</v>
      </c>
      <c r="AH334" s="1">
        <f>Table2[[#This Row],[Pl]]</f>
        <v>38</v>
      </c>
      <c r="AI334" s="1">
        <f>Table2[[#This Row],[W]]</f>
        <v>11</v>
      </c>
      <c r="AJ334" s="1">
        <f>Table2[[#This Row],[D]]</f>
        <v>11</v>
      </c>
      <c r="AK334" s="1">
        <f>Table2[[#This Row],[L]]</f>
        <v>16</v>
      </c>
      <c r="AL334" s="1">
        <f>Table2[[#This Row],[F]]</f>
        <v>41</v>
      </c>
      <c r="AM334" s="1">
        <f>Table2[[#This Row],[A]]</f>
        <v>56</v>
      </c>
      <c r="AN334" s="1">
        <f>Table2[[#This Row],[GD]]</f>
        <v>-15</v>
      </c>
      <c r="AO334" s="1">
        <f>Table2[[#This Row],[Pts]]</f>
        <v>44</v>
      </c>
      <c r="AP334" s="1">
        <f>Table2[[#This Row],[Column1]]</f>
        <v>13</v>
      </c>
      <c r="AR334" t="b">
        <f t="shared" si="9"/>
        <v>1</v>
      </c>
      <c r="AS334">
        <f>IF(AR334,ROWS($AR$2:AR334),"")</f>
        <v>333</v>
      </c>
      <c r="AT334">
        <f>IFERROR(SMALL($AS$2:$AS$440,ROWS($AS$2:AS334)),"")</f>
        <v>333</v>
      </c>
      <c r="AU334">
        <f>IF(AT334&lt;&gt;"",INDEX($AE$2:$AP$440,MATCH($AT334,$AS$2:$AS$440,0),COLUMNS($AT$2:AT334)),"")</f>
        <v>2016</v>
      </c>
      <c r="AV334">
        <f>IF(AU334&lt;&gt;"",INDEX($AE$2:$AP$440,MATCH($AT334,$AS$2:$AS$440,0),COLUMNS($AT$2:AU334)),"")</f>
        <v>13</v>
      </c>
      <c r="AW334" t="str">
        <f>IF(AV334&lt;&gt;"",INDEX($AE$2:$AP$440,MATCH($AT334,$AS$2:$AS$440,0),COLUMNS($AT$2:AV334)),"")</f>
        <v>Stoke City</v>
      </c>
      <c r="AX334">
        <f>IF(AW334&lt;&gt;"",INDEX($AE$2:$AP$440,MATCH($AT334,$AS$2:$AS$440,0),COLUMNS($AT$2:AW334)),"")</f>
        <v>38</v>
      </c>
      <c r="AY334">
        <f>IF(AX334&lt;&gt;"",INDEX($AE$2:$AP$440,MATCH($AT334,$AS$2:$AS$440,0),COLUMNS($AT$2:AX334)),"")</f>
        <v>11</v>
      </c>
      <c r="AZ334">
        <f>IF(AY334&lt;&gt;"",INDEX($AE$2:$AP$440,MATCH($AT334,$AS$2:$AS$440,0),COLUMNS($AT$2:AY334)),"")</f>
        <v>11</v>
      </c>
      <c r="BA334">
        <f>IF(AZ334&lt;&gt;"",INDEX($AE$2:$AP$440,MATCH($AT334,$AS$2:$AS$440,0),COLUMNS($AT$2:AZ334)),"")</f>
        <v>16</v>
      </c>
      <c r="BB334">
        <f>IF(BA334&lt;&gt;"",INDEX($AE$2:$AP$440,MATCH($AT334,$AS$2:$AS$440,0),COLUMNS($AT$2:BA334)),"")</f>
        <v>41</v>
      </c>
      <c r="BC334">
        <f>IF(BB334&lt;&gt;"",INDEX($AE$2:$AP$440,MATCH($AT334,$AS$2:$AS$440,0),COLUMNS($AT$2:BB334)),"")</f>
        <v>56</v>
      </c>
      <c r="BD334">
        <f>IF(BC334&lt;&gt;"",INDEX($AE$2:$AP$440,MATCH($AT334,$AS$2:$AS$440,0),COLUMNS($AT$2:BC334)),"")</f>
        <v>-15</v>
      </c>
      <c r="BE334">
        <f>IF(BD334&lt;&gt;"",INDEX($AE$2:$AP$440,MATCH($AT334,$AS$2:$AS$440,0),COLUMNS($AT$2:BD334)),"")</f>
        <v>44</v>
      </c>
      <c r="BF334">
        <f>IF(BE334&lt;&gt;"",INDEX($AE$2:$AP$440,MATCH($AT334,$AS$2:$AS$440,0),COLUMNS($AT$2:BE334)),"")</f>
        <v>13</v>
      </c>
    </row>
    <row r="335" spans="1:58" x14ac:dyDescent="0.25">
      <c r="A335" s="5">
        <v>2016</v>
      </c>
      <c r="B335" s="5">
        <v>14</v>
      </c>
      <c r="C335" s="6" t="s">
        <v>38</v>
      </c>
      <c r="D335" s="5">
        <v>38</v>
      </c>
      <c r="E335" s="5">
        <v>12</v>
      </c>
      <c r="F335" s="5">
        <v>5</v>
      </c>
      <c r="G335" s="5">
        <v>21</v>
      </c>
      <c r="H335" s="5">
        <v>50</v>
      </c>
      <c r="I335" s="5">
        <v>63</v>
      </c>
      <c r="J335" s="5">
        <v>-13</v>
      </c>
      <c r="K335" s="5">
        <v>41</v>
      </c>
      <c r="L335" s="5">
        <f>IF(Table2[[#This Row],['#]]=1,"Champion", IF(Table2[[#This Row],['#]]&gt;=18,"Relegated",Table2[[#This Row],['#]]))</f>
        <v>14</v>
      </c>
      <c r="N335">
        <f>IF(COUNTIF($O$2:O335,O335)=1,N334+1,N334)</f>
        <v>41</v>
      </c>
      <c r="O335" s="4" t="str">
        <f>Table2[[#This Row],[Team]]</f>
        <v>Crystal Palace</v>
      </c>
      <c r="P335" s="1" t="str">
        <f>IFERROR(VLOOKUP(ROWS($O$2:O335),$N$2:$O$441,2,0),"")</f>
        <v/>
      </c>
      <c r="Q335" s="1" t="str">
        <f>IF(P335&lt;&gt;"",SUMPRODUCT(--(Table2[Team]=P335)),"")</f>
        <v/>
      </c>
      <c r="R335" s="11" t="str">
        <f>IF(Q335&lt;&gt;"",Q335+ROWS($Q$2:Q335)/100,"")</f>
        <v/>
      </c>
      <c r="S335" t="str">
        <f>IF(R335&lt;&gt;"",LARGE($R$2:$R$441,ROWS($R$2:R335)),"")</f>
        <v/>
      </c>
      <c r="T335" s="1" t="str">
        <f>IF(R335&lt;&gt;"",INDEX($P$2:$Q$441,MATCH($S335,$R$2:$R$441,0),COLUMNS($S$2:S335)),"")</f>
        <v/>
      </c>
      <c r="U335" s="1" t="str">
        <f>IF(S335&lt;&gt;"",INDEX($P$2:$Q$441,MATCH($S335,$R$2:$R$441,0),COLUMNS($S$2:T335)),"")</f>
        <v/>
      </c>
      <c r="AE335" s="1">
        <f>Table2[[#This Row],[Year]]</f>
        <v>2016</v>
      </c>
      <c r="AF335" s="1">
        <f>Table2[[#This Row],['#]]</f>
        <v>14</v>
      </c>
      <c r="AG335" s="1" t="str">
        <f>Table2[[#This Row],[Team]]</f>
        <v>Crystal Palace</v>
      </c>
      <c r="AH335" s="1">
        <f>Table2[[#This Row],[Pl]]</f>
        <v>38</v>
      </c>
      <c r="AI335" s="1">
        <f>Table2[[#This Row],[W]]</f>
        <v>12</v>
      </c>
      <c r="AJ335" s="1">
        <f>Table2[[#This Row],[D]]</f>
        <v>5</v>
      </c>
      <c r="AK335" s="1">
        <f>Table2[[#This Row],[L]]</f>
        <v>21</v>
      </c>
      <c r="AL335" s="1">
        <f>Table2[[#This Row],[F]]</f>
        <v>50</v>
      </c>
      <c r="AM335" s="1">
        <f>Table2[[#This Row],[A]]</f>
        <v>63</v>
      </c>
      <c r="AN335" s="1">
        <f>Table2[[#This Row],[GD]]</f>
        <v>-13</v>
      </c>
      <c r="AO335" s="1">
        <f>Table2[[#This Row],[Pts]]</f>
        <v>41</v>
      </c>
      <c r="AP335" s="1">
        <f>Table2[[#This Row],[Column1]]</f>
        <v>14</v>
      </c>
      <c r="AR335" t="b">
        <f t="shared" si="9"/>
        <v>1</v>
      </c>
      <c r="AS335">
        <f>IF(AR335,ROWS($AR$2:AR335),"")</f>
        <v>334</v>
      </c>
      <c r="AT335">
        <f>IFERROR(SMALL($AS$2:$AS$440,ROWS($AS$2:AS335)),"")</f>
        <v>334</v>
      </c>
      <c r="AU335">
        <f>IF(AT335&lt;&gt;"",INDEX($AE$2:$AP$440,MATCH($AT335,$AS$2:$AS$440,0),COLUMNS($AT$2:AT335)),"")</f>
        <v>2016</v>
      </c>
      <c r="AV335">
        <f>IF(AU335&lt;&gt;"",INDEX($AE$2:$AP$440,MATCH($AT335,$AS$2:$AS$440,0),COLUMNS($AT$2:AU335)),"")</f>
        <v>14</v>
      </c>
      <c r="AW335" t="str">
        <f>IF(AV335&lt;&gt;"",INDEX($AE$2:$AP$440,MATCH($AT335,$AS$2:$AS$440,0),COLUMNS($AT$2:AV335)),"")</f>
        <v>Crystal Palace</v>
      </c>
      <c r="AX335">
        <f>IF(AW335&lt;&gt;"",INDEX($AE$2:$AP$440,MATCH($AT335,$AS$2:$AS$440,0),COLUMNS($AT$2:AW335)),"")</f>
        <v>38</v>
      </c>
      <c r="AY335">
        <f>IF(AX335&lt;&gt;"",INDEX($AE$2:$AP$440,MATCH($AT335,$AS$2:$AS$440,0),COLUMNS($AT$2:AX335)),"")</f>
        <v>12</v>
      </c>
      <c r="AZ335">
        <f>IF(AY335&lt;&gt;"",INDEX($AE$2:$AP$440,MATCH($AT335,$AS$2:$AS$440,0),COLUMNS($AT$2:AY335)),"")</f>
        <v>5</v>
      </c>
      <c r="BA335">
        <f>IF(AZ335&lt;&gt;"",INDEX($AE$2:$AP$440,MATCH($AT335,$AS$2:$AS$440,0),COLUMNS($AT$2:AZ335)),"")</f>
        <v>21</v>
      </c>
      <c r="BB335">
        <f>IF(BA335&lt;&gt;"",INDEX($AE$2:$AP$440,MATCH($AT335,$AS$2:$AS$440,0),COLUMNS($AT$2:BA335)),"")</f>
        <v>50</v>
      </c>
      <c r="BC335">
        <f>IF(BB335&lt;&gt;"",INDEX($AE$2:$AP$440,MATCH($AT335,$AS$2:$AS$440,0),COLUMNS($AT$2:BB335)),"")</f>
        <v>63</v>
      </c>
      <c r="BD335">
        <f>IF(BC335&lt;&gt;"",INDEX($AE$2:$AP$440,MATCH($AT335,$AS$2:$AS$440,0),COLUMNS($AT$2:BC335)),"")</f>
        <v>-13</v>
      </c>
      <c r="BE335">
        <f>IF(BD335&lt;&gt;"",INDEX($AE$2:$AP$440,MATCH($AT335,$AS$2:$AS$440,0),COLUMNS($AT$2:BD335)),"")</f>
        <v>41</v>
      </c>
      <c r="BF335">
        <f>IF(BE335&lt;&gt;"",INDEX($AE$2:$AP$440,MATCH($AT335,$AS$2:$AS$440,0),COLUMNS($AT$2:BE335)),"")</f>
        <v>14</v>
      </c>
    </row>
    <row r="336" spans="1:58" x14ac:dyDescent="0.25">
      <c r="A336" s="3">
        <v>2016</v>
      </c>
      <c r="B336" s="3">
        <v>15</v>
      </c>
      <c r="C336" s="4" t="s">
        <v>48</v>
      </c>
      <c r="D336" s="3">
        <v>38</v>
      </c>
      <c r="E336" s="3">
        <v>12</v>
      </c>
      <c r="F336" s="3">
        <v>5</v>
      </c>
      <c r="G336" s="3">
        <v>21</v>
      </c>
      <c r="H336" s="3">
        <v>45</v>
      </c>
      <c r="I336" s="3">
        <v>70</v>
      </c>
      <c r="J336" s="3">
        <v>-25</v>
      </c>
      <c r="K336" s="3">
        <v>41</v>
      </c>
      <c r="L336" s="5">
        <f>IF(Table2[[#This Row],['#]]=1,"Champion", IF(Table2[[#This Row],['#]]&gt;=18,"Relegated",Table2[[#This Row],['#]]))</f>
        <v>15</v>
      </c>
      <c r="N336">
        <f>IF(COUNTIF($O$2:O336,O336)=1,N335+1,N335)</f>
        <v>41</v>
      </c>
      <c r="O336" s="4" t="str">
        <f>Table2[[#This Row],[Team]]</f>
        <v>Swansea City</v>
      </c>
      <c r="P336" s="1" t="str">
        <f>IFERROR(VLOOKUP(ROWS($O$2:O336),$N$2:$O$441,2,0),"")</f>
        <v/>
      </c>
      <c r="Q336" s="1" t="str">
        <f>IF(P336&lt;&gt;"",SUMPRODUCT(--(Table2[Team]=P336)),"")</f>
        <v/>
      </c>
      <c r="R336" s="11" t="str">
        <f>IF(Q336&lt;&gt;"",Q336+ROWS($Q$2:Q336)/100,"")</f>
        <v/>
      </c>
      <c r="S336" t="str">
        <f>IF(R336&lt;&gt;"",LARGE($R$2:$R$441,ROWS($R$2:R336)),"")</f>
        <v/>
      </c>
      <c r="T336" s="1" t="str">
        <f>IF(R336&lt;&gt;"",INDEX($P$2:$Q$441,MATCH($S336,$R$2:$R$441,0),COLUMNS($S$2:S336)),"")</f>
        <v/>
      </c>
      <c r="U336" s="1" t="str">
        <f>IF(S336&lt;&gt;"",INDEX($P$2:$Q$441,MATCH($S336,$R$2:$R$441,0),COLUMNS($S$2:T336)),"")</f>
        <v/>
      </c>
      <c r="AE336" s="1">
        <f>Table2[[#This Row],[Year]]</f>
        <v>2016</v>
      </c>
      <c r="AF336" s="1">
        <f>Table2[[#This Row],['#]]</f>
        <v>15</v>
      </c>
      <c r="AG336" s="1" t="str">
        <f>Table2[[#This Row],[Team]]</f>
        <v>Swansea City</v>
      </c>
      <c r="AH336" s="1">
        <f>Table2[[#This Row],[Pl]]</f>
        <v>38</v>
      </c>
      <c r="AI336" s="1">
        <f>Table2[[#This Row],[W]]</f>
        <v>12</v>
      </c>
      <c r="AJ336" s="1">
        <f>Table2[[#This Row],[D]]</f>
        <v>5</v>
      </c>
      <c r="AK336" s="1">
        <f>Table2[[#This Row],[L]]</f>
        <v>21</v>
      </c>
      <c r="AL336" s="1">
        <f>Table2[[#This Row],[F]]</f>
        <v>45</v>
      </c>
      <c r="AM336" s="1">
        <f>Table2[[#This Row],[A]]</f>
        <v>70</v>
      </c>
      <c r="AN336" s="1">
        <f>Table2[[#This Row],[GD]]</f>
        <v>-25</v>
      </c>
      <c r="AO336" s="1">
        <f>Table2[[#This Row],[Pts]]</f>
        <v>41</v>
      </c>
      <c r="AP336" s="1">
        <f>Table2[[#This Row],[Column1]]</f>
        <v>15</v>
      </c>
      <c r="AR336" t="b">
        <f t="shared" si="9"/>
        <v>1</v>
      </c>
      <c r="AS336">
        <f>IF(AR336,ROWS($AR$2:AR336),"")</f>
        <v>335</v>
      </c>
      <c r="AT336">
        <f>IFERROR(SMALL($AS$2:$AS$440,ROWS($AS$2:AS336)),"")</f>
        <v>335</v>
      </c>
      <c r="AU336">
        <f>IF(AT336&lt;&gt;"",INDEX($AE$2:$AP$440,MATCH($AT336,$AS$2:$AS$440,0),COLUMNS($AT$2:AT336)),"")</f>
        <v>2016</v>
      </c>
      <c r="AV336">
        <f>IF(AU336&lt;&gt;"",INDEX($AE$2:$AP$440,MATCH($AT336,$AS$2:$AS$440,0),COLUMNS($AT$2:AU336)),"")</f>
        <v>15</v>
      </c>
      <c r="AW336" t="str">
        <f>IF(AV336&lt;&gt;"",INDEX($AE$2:$AP$440,MATCH($AT336,$AS$2:$AS$440,0),COLUMNS($AT$2:AV336)),"")</f>
        <v>Swansea City</v>
      </c>
      <c r="AX336">
        <f>IF(AW336&lt;&gt;"",INDEX($AE$2:$AP$440,MATCH($AT336,$AS$2:$AS$440,0),COLUMNS($AT$2:AW336)),"")</f>
        <v>38</v>
      </c>
      <c r="AY336">
        <f>IF(AX336&lt;&gt;"",INDEX($AE$2:$AP$440,MATCH($AT336,$AS$2:$AS$440,0),COLUMNS($AT$2:AX336)),"")</f>
        <v>12</v>
      </c>
      <c r="AZ336">
        <f>IF(AY336&lt;&gt;"",INDEX($AE$2:$AP$440,MATCH($AT336,$AS$2:$AS$440,0),COLUMNS($AT$2:AY336)),"")</f>
        <v>5</v>
      </c>
      <c r="BA336">
        <f>IF(AZ336&lt;&gt;"",INDEX($AE$2:$AP$440,MATCH($AT336,$AS$2:$AS$440,0),COLUMNS($AT$2:AZ336)),"")</f>
        <v>21</v>
      </c>
      <c r="BB336">
        <f>IF(BA336&lt;&gt;"",INDEX($AE$2:$AP$440,MATCH($AT336,$AS$2:$AS$440,0),COLUMNS($AT$2:BA336)),"")</f>
        <v>45</v>
      </c>
      <c r="BC336">
        <f>IF(BB336&lt;&gt;"",INDEX($AE$2:$AP$440,MATCH($AT336,$AS$2:$AS$440,0),COLUMNS($AT$2:BB336)),"")</f>
        <v>70</v>
      </c>
      <c r="BD336">
        <f>IF(BC336&lt;&gt;"",INDEX($AE$2:$AP$440,MATCH($AT336,$AS$2:$AS$440,0),COLUMNS($AT$2:BC336)),"")</f>
        <v>-25</v>
      </c>
      <c r="BE336">
        <f>IF(BD336&lt;&gt;"",INDEX($AE$2:$AP$440,MATCH($AT336,$AS$2:$AS$440,0),COLUMNS($AT$2:BD336)),"")</f>
        <v>41</v>
      </c>
      <c r="BF336">
        <f>IF(BE336&lt;&gt;"",INDEX($AE$2:$AP$440,MATCH($AT336,$AS$2:$AS$440,0),COLUMNS($AT$2:BE336)),"")</f>
        <v>15</v>
      </c>
    </row>
    <row r="337" spans="1:58" x14ac:dyDescent="0.25">
      <c r="A337" s="5">
        <v>2016</v>
      </c>
      <c r="B337" s="5">
        <v>16</v>
      </c>
      <c r="C337" s="6" t="s">
        <v>46</v>
      </c>
      <c r="D337" s="5">
        <v>38</v>
      </c>
      <c r="E337" s="5">
        <v>11</v>
      </c>
      <c r="F337" s="5">
        <v>7</v>
      </c>
      <c r="G337" s="5">
        <v>20</v>
      </c>
      <c r="H337" s="5">
        <v>39</v>
      </c>
      <c r="I337" s="5">
        <v>55</v>
      </c>
      <c r="J337" s="5">
        <v>-16</v>
      </c>
      <c r="K337" s="5">
        <v>40</v>
      </c>
      <c r="L337" s="5">
        <f>IF(Table2[[#This Row],['#]]=1,"Champion", IF(Table2[[#This Row],['#]]&gt;=18,"Relegated",Table2[[#This Row],['#]]))</f>
        <v>16</v>
      </c>
      <c r="N337">
        <f>IF(COUNTIF($O$2:O337,O337)=1,N336+1,N336)</f>
        <v>41</v>
      </c>
      <c r="O337" s="4" t="str">
        <f>Table2[[#This Row],[Team]]</f>
        <v>Burnley</v>
      </c>
      <c r="P337" s="1" t="str">
        <f>IFERROR(VLOOKUP(ROWS($O$2:O337),$N$2:$O$441,2,0),"")</f>
        <v/>
      </c>
      <c r="Q337" s="1" t="str">
        <f>IF(P337&lt;&gt;"",SUMPRODUCT(--(Table2[Team]=P337)),"")</f>
        <v/>
      </c>
      <c r="R337" s="11" t="str">
        <f>IF(Q337&lt;&gt;"",Q337+ROWS($Q$2:Q337)/100,"")</f>
        <v/>
      </c>
      <c r="S337" t="str">
        <f>IF(R337&lt;&gt;"",LARGE($R$2:$R$441,ROWS($R$2:R337)),"")</f>
        <v/>
      </c>
      <c r="T337" s="1" t="str">
        <f>IF(R337&lt;&gt;"",INDEX($P$2:$Q$441,MATCH($S337,$R$2:$R$441,0),COLUMNS($S$2:S337)),"")</f>
        <v/>
      </c>
      <c r="U337" s="1" t="str">
        <f>IF(S337&lt;&gt;"",INDEX($P$2:$Q$441,MATCH($S337,$R$2:$R$441,0),COLUMNS($S$2:T337)),"")</f>
        <v/>
      </c>
      <c r="AE337" s="1">
        <f>Table2[[#This Row],[Year]]</f>
        <v>2016</v>
      </c>
      <c r="AF337" s="1">
        <f>Table2[[#This Row],['#]]</f>
        <v>16</v>
      </c>
      <c r="AG337" s="1" t="str">
        <f>Table2[[#This Row],[Team]]</f>
        <v>Burnley</v>
      </c>
      <c r="AH337" s="1">
        <f>Table2[[#This Row],[Pl]]</f>
        <v>38</v>
      </c>
      <c r="AI337" s="1">
        <f>Table2[[#This Row],[W]]</f>
        <v>11</v>
      </c>
      <c r="AJ337" s="1">
        <f>Table2[[#This Row],[D]]</f>
        <v>7</v>
      </c>
      <c r="AK337" s="1">
        <f>Table2[[#This Row],[L]]</f>
        <v>20</v>
      </c>
      <c r="AL337" s="1">
        <f>Table2[[#This Row],[F]]</f>
        <v>39</v>
      </c>
      <c r="AM337" s="1">
        <f>Table2[[#This Row],[A]]</f>
        <v>55</v>
      </c>
      <c r="AN337" s="1">
        <f>Table2[[#This Row],[GD]]</f>
        <v>-16</v>
      </c>
      <c r="AO337" s="1">
        <f>Table2[[#This Row],[Pts]]</f>
        <v>40</v>
      </c>
      <c r="AP337" s="1">
        <f>Table2[[#This Row],[Column1]]</f>
        <v>16</v>
      </c>
      <c r="AR337" t="b">
        <f t="shared" si="9"/>
        <v>1</v>
      </c>
      <c r="AS337">
        <f>IF(AR337,ROWS($AR$2:AR337),"")</f>
        <v>336</v>
      </c>
      <c r="AT337">
        <f>IFERROR(SMALL($AS$2:$AS$440,ROWS($AS$2:AS337)),"")</f>
        <v>336</v>
      </c>
      <c r="AU337">
        <f>IF(AT337&lt;&gt;"",INDEX($AE$2:$AP$440,MATCH($AT337,$AS$2:$AS$440,0),COLUMNS($AT$2:AT337)),"")</f>
        <v>2016</v>
      </c>
      <c r="AV337">
        <f>IF(AU337&lt;&gt;"",INDEX($AE$2:$AP$440,MATCH($AT337,$AS$2:$AS$440,0),COLUMNS($AT$2:AU337)),"")</f>
        <v>16</v>
      </c>
      <c r="AW337" t="str">
        <f>IF(AV337&lt;&gt;"",INDEX($AE$2:$AP$440,MATCH($AT337,$AS$2:$AS$440,0),COLUMNS($AT$2:AV337)),"")</f>
        <v>Burnley</v>
      </c>
      <c r="AX337">
        <f>IF(AW337&lt;&gt;"",INDEX($AE$2:$AP$440,MATCH($AT337,$AS$2:$AS$440,0),COLUMNS($AT$2:AW337)),"")</f>
        <v>38</v>
      </c>
      <c r="AY337">
        <f>IF(AX337&lt;&gt;"",INDEX($AE$2:$AP$440,MATCH($AT337,$AS$2:$AS$440,0),COLUMNS($AT$2:AX337)),"")</f>
        <v>11</v>
      </c>
      <c r="AZ337">
        <f>IF(AY337&lt;&gt;"",INDEX($AE$2:$AP$440,MATCH($AT337,$AS$2:$AS$440,0),COLUMNS($AT$2:AY337)),"")</f>
        <v>7</v>
      </c>
      <c r="BA337">
        <f>IF(AZ337&lt;&gt;"",INDEX($AE$2:$AP$440,MATCH($AT337,$AS$2:$AS$440,0),COLUMNS($AT$2:AZ337)),"")</f>
        <v>20</v>
      </c>
      <c r="BB337">
        <f>IF(BA337&lt;&gt;"",INDEX($AE$2:$AP$440,MATCH($AT337,$AS$2:$AS$440,0),COLUMNS($AT$2:BA337)),"")</f>
        <v>39</v>
      </c>
      <c r="BC337">
        <f>IF(BB337&lt;&gt;"",INDEX($AE$2:$AP$440,MATCH($AT337,$AS$2:$AS$440,0),COLUMNS($AT$2:BB337)),"")</f>
        <v>55</v>
      </c>
      <c r="BD337">
        <f>IF(BC337&lt;&gt;"",INDEX($AE$2:$AP$440,MATCH($AT337,$AS$2:$AS$440,0),COLUMNS($AT$2:BC337)),"")</f>
        <v>-16</v>
      </c>
      <c r="BE337">
        <f>IF(BD337&lt;&gt;"",INDEX($AE$2:$AP$440,MATCH($AT337,$AS$2:$AS$440,0),COLUMNS($AT$2:BD337)),"")</f>
        <v>40</v>
      </c>
      <c r="BF337">
        <f>IF(BE337&lt;&gt;"",INDEX($AE$2:$AP$440,MATCH($AT337,$AS$2:$AS$440,0),COLUMNS($AT$2:BE337)),"")</f>
        <v>16</v>
      </c>
    </row>
    <row r="338" spans="1:58" x14ac:dyDescent="0.25">
      <c r="A338" s="3">
        <v>2016</v>
      </c>
      <c r="B338" s="3">
        <v>17</v>
      </c>
      <c r="C338" s="4" t="s">
        <v>43</v>
      </c>
      <c r="D338" s="3">
        <v>38</v>
      </c>
      <c r="E338" s="3">
        <v>11</v>
      </c>
      <c r="F338" s="3">
        <v>7</v>
      </c>
      <c r="G338" s="3">
        <v>20</v>
      </c>
      <c r="H338" s="3">
        <v>40</v>
      </c>
      <c r="I338" s="3">
        <v>68</v>
      </c>
      <c r="J338" s="3">
        <v>-28</v>
      </c>
      <c r="K338" s="3">
        <v>40</v>
      </c>
      <c r="L338" s="5">
        <f>IF(Table2[[#This Row],['#]]=1,"Champion", IF(Table2[[#This Row],['#]]&gt;=18,"Relegated",Table2[[#This Row],['#]]))</f>
        <v>17</v>
      </c>
      <c r="N338">
        <f>IF(COUNTIF($O$2:O338,O338)=1,N337+1,N337)</f>
        <v>41</v>
      </c>
      <c r="O338" s="4" t="str">
        <f>Table2[[#This Row],[Team]]</f>
        <v>Watford</v>
      </c>
      <c r="P338" s="1" t="str">
        <f>IFERROR(VLOOKUP(ROWS($O$2:O338),$N$2:$O$441,2,0),"")</f>
        <v/>
      </c>
      <c r="Q338" s="1" t="str">
        <f>IF(P338&lt;&gt;"",SUMPRODUCT(--(Table2[Team]=P338)),"")</f>
        <v/>
      </c>
      <c r="R338" s="11" t="str">
        <f>IF(Q338&lt;&gt;"",Q338+ROWS($Q$2:Q338)/100,"")</f>
        <v/>
      </c>
      <c r="S338" t="str">
        <f>IF(R338&lt;&gt;"",LARGE($R$2:$R$441,ROWS($R$2:R338)),"")</f>
        <v/>
      </c>
      <c r="T338" s="1" t="str">
        <f>IF(R338&lt;&gt;"",INDEX($P$2:$Q$441,MATCH($S338,$R$2:$R$441,0),COLUMNS($S$2:S338)),"")</f>
        <v/>
      </c>
      <c r="U338" s="1" t="str">
        <f>IF(S338&lt;&gt;"",INDEX($P$2:$Q$441,MATCH($S338,$R$2:$R$441,0),COLUMNS($S$2:T338)),"")</f>
        <v/>
      </c>
      <c r="AE338" s="1">
        <f>Table2[[#This Row],[Year]]</f>
        <v>2016</v>
      </c>
      <c r="AF338" s="1">
        <f>Table2[[#This Row],['#]]</f>
        <v>17</v>
      </c>
      <c r="AG338" s="1" t="str">
        <f>Table2[[#This Row],[Team]]</f>
        <v>Watford</v>
      </c>
      <c r="AH338" s="1">
        <f>Table2[[#This Row],[Pl]]</f>
        <v>38</v>
      </c>
      <c r="AI338" s="1">
        <f>Table2[[#This Row],[W]]</f>
        <v>11</v>
      </c>
      <c r="AJ338" s="1">
        <f>Table2[[#This Row],[D]]</f>
        <v>7</v>
      </c>
      <c r="AK338" s="1">
        <f>Table2[[#This Row],[L]]</f>
        <v>20</v>
      </c>
      <c r="AL338" s="1">
        <f>Table2[[#This Row],[F]]</f>
        <v>40</v>
      </c>
      <c r="AM338" s="1">
        <f>Table2[[#This Row],[A]]</f>
        <v>68</v>
      </c>
      <c r="AN338" s="1">
        <f>Table2[[#This Row],[GD]]</f>
        <v>-28</v>
      </c>
      <c r="AO338" s="1">
        <f>Table2[[#This Row],[Pts]]</f>
        <v>40</v>
      </c>
      <c r="AP338" s="1">
        <f>Table2[[#This Row],[Column1]]</f>
        <v>17</v>
      </c>
      <c r="AR338" t="b">
        <f t="shared" si="9"/>
        <v>1</v>
      </c>
      <c r="AS338">
        <f>IF(AR338,ROWS($AR$2:AR338),"")</f>
        <v>337</v>
      </c>
      <c r="AT338">
        <f>IFERROR(SMALL($AS$2:$AS$440,ROWS($AS$2:AS338)),"")</f>
        <v>337</v>
      </c>
      <c r="AU338">
        <f>IF(AT338&lt;&gt;"",INDEX($AE$2:$AP$440,MATCH($AT338,$AS$2:$AS$440,0),COLUMNS($AT$2:AT338)),"")</f>
        <v>2016</v>
      </c>
      <c r="AV338">
        <f>IF(AU338&lt;&gt;"",INDEX($AE$2:$AP$440,MATCH($AT338,$AS$2:$AS$440,0),COLUMNS($AT$2:AU338)),"")</f>
        <v>17</v>
      </c>
      <c r="AW338" t="str">
        <f>IF(AV338&lt;&gt;"",INDEX($AE$2:$AP$440,MATCH($AT338,$AS$2:$AS$440,0),COLUMNS($AT$2:AV338)),"")</f>
        <v>Watford</v>
      </c>
      <c r="AX338">
        <f>IF(AW338&lt;&gt;"",INDEX($AE$2:$AP$440,MATCH($AT338,$AS$2:$AS$440,0),COLUMNS($AT$2:AW338)),"")</f>
        <v>38</v>
      </c>
      <c r="AY338">
        <f>IF(AX338&lt;&gt;"",INDEX($AE$2:$AP$440,MATCH($AT338,$AS$2:$AS$440,0),COLUMNS($AT$2:AX338)),"")</f>
        <v>11</v>
      </c>
      <c r="AZ338">
        <f>IF(AY338&lt;&gt;"",INDEX($AE$2:$AP$440,MATCH($AT338,$AS$2:$AS$440,0),COLUMNS($AT$2:AY338)),"")</f>
        <v>7</v>
      </c>
      <c r="BA338">
        <f>IF(AZ338&lt;&gt;"",INDEX($AE$2:$AP$440,MATCH($AT338,$AS$2:$AS$440,0),COLUMNS($AT$2:AZ338)),"")</f>
        <v>20</v>
      </c>
      <c r="BB338">
        <f>IF(BA338&lt;&gt;"",INDEX($AE$2:$AP$440,MATCH($AT338,$AS$2:$AS$440,0),COLUMNS($AT$2:BA338)),"")</f>
        <v>40</v>
      </c>
      <c r="BC338">
        <f>IF(BB338&lt;&gt;"",INDEX($AE$2:$AP$440,MATCH($AT338,$AS$2:$AS$440,0),COLUMNS($AT$2:BB338)),"")</f>
        <v>68</v>
      </c>
      <c r="BD338">
        <f>IF(BC338&lt;&gt;"",INDEX($AE$2:$AP$440,MATCH($AT338,$AS$2:$AS$440,0),COLUMNS($AT$2:BC338)),"")</f>
        <v>-28</v>
      </c>
      <c r="BE338">
        <f>IF(BD338&lt;&gt;"",INDEX($AE$2:$AP$440,MATCH($AT338,$AS$2:$AS$440,0),COLUMNS($AT$2:BD338)),"")</f>
        <v>40</v>
      </c>
      <c r="BF338">
        <f>IF(BE338&lt;&gt;"",INDEX($AE$2:$AP$440,MATCH($AT338,$AS$2:$AS$440,0),COLUMNS($AT$2:BE338)),"")</f>
        <v>17</v>
      </c>
    </row>
    <row r="339" spans="1:58" x14ac:dyDescent="0.25">
      <c r="A339" s="5">
        <v>2016</v>
      </c>
      <c r="B339" s="5">
        <v>18</v>
      </c>
      <c r="C339" s="6" t="s">
        <v>45</v>
      </c>
      <c r="D339" s="5">
        <v>38</v>
      </c>
      <c r="E339" s="5">
        <v>9</v>
      </c>
      <c r="F339" s="5">
        <v>7</v>
      </c>
      <c r="G339" s="5">
        <v>22</v>
      </c>
      <c r="H339" s="5">
        <v>37</v>
      </c>
      <c r="I339" s="5">
        <v>80</v>
      </c>
      <c r="J339" s="5">
        <v>-43</v>
      </c>
      <c r="K339" s="5">
        <v>34</v>
      </c>
      <c r="L339" s="5" t="str">
        <f>IF(Table2[[#This Row],['#]]=1,"Champion", IF(Table2[[#This Row],['#]]&gt;=18,"Relegated",Table2[[#This Row],['#]]))</f>
        <v>Relegated</v>
      </c>
      <c r="N339">
        <f>IF(COUNTIF($O$2:O339,O339)=1,N338+1,N338)</f>
        <v>41</v>
      </c>
      <c r="O339" s="4" t="str">
        <f>Table2[[#This Row],[Team]]</f>
        <v>Hull City</v>
      </c>
      <c r="P339" s="1" t="str">
        <f>IFERROR(VLOOKUP(ROWS($O$2:O339),$N$2:$O$441,2,0),"")</f>
        <v/>
      </c>
      <c r="Q339" s="1" t="str">
        <f>IF(P339&lt;&gt;"",SUMPRODUCT(--(Table2[Team]=P339)),"")</f>
        <v/>
      </c>
      <c r="R339" s="11" t="str">
        <f>IF(Q339&lt;&gt;"",Q339+ROWS($Q$2:Q339)/100,"")</f>
        <v/>
      </c>
      <c r="S339" t="str">
        <f>IF(R339&lt;&gt;"",LARGE($R$2:$R$441,ROWS($R$2:R339)),"")</f>
        <v/>
      </c>
      <c r="T339" s="1" t="str">
        <f>IF(R339&lt;&gt;"",INDEX($P$2:$Q$441,MATCH($S339,$R$2:$R$441,0),COLUMNS($S$2:S339)),"")</f>
        <v/>
      </c>
      <c r="U339" s="1" t="str">
        <f>IF(S339&lt;&gt;"",INDEX($P$2:$Q$441,MATCH($S339,$R$2:$R$441,0),COLUMNS($S$2:T339)),"")</f>
        <v/>
      </c>
      <c r="AE339" s="1">
        <f>Table2[[#This Row],[Year]]</f>
        <v>2016</v>
      </c>
      <c r="AF339" s="1">
        <f>Table2[[#This Row],['#]]</f>
        <v>18</v>
      </c>
      <c r="AG339" s="1" t="str">
        <f>Table2[[#This Row],[Team]]</f>
        <v>Hull City</v>
      </c>
      <c r="AH339" s="1">
        <f>Table2[[#This Row],[Pl]]</f>
        <v>38</v>
      </c>
      <c r="AI339" s="1">
        <f>Table2[[#This Row],[W]]</f>
        <v>9</v>
      </c>
      <c r="AJ339" s="1">
        <f>Table2[[#This Row],[D]]</f>
        <v>7</v>
      </c>
      <c r="AK339" s="1">
        <f>Table2[[#This Row],[L]]</f>
        <v>22</v>
      </c>
      <c r="AL339" s="1">
        <f>Table2[[#This Row],[F]]</f>
        <v>37</v>
      </c>
      <c r="AM339" s="1">
        <f>Table2[[#This Row],[A]]</f>
        <v>80</v>
      </c>
      <c r="AN339" s="1">
        <f>Table2[[#This Row],[GD]]</f>
        <v>-43</v>
      </c>
      <c r="AO339" s="1">
        <f>Table2[[#This Row],[Pts]]</f>
        <v>34</v>
      </c>
      <c r="AP339" s="1" t="str">
        <f>Table2[[#This Row],[Column1]]</f>
        <v>Relegated</v>
      </c>
      <c r="AR339" t="b">
        <f t="shared" si="9"/>
        <v>1</v>
      </c>
      <c r="AS339">
        <f>IF(AR339,ROWS($AR$2:AR339),"")</f>
        <v>338</v>
      </c>
      <c r="AT339">
        <f>IFERROR(SMALL($AS$2:$AS$440,ROWS($AS$2:AS339)),"")</f>
        <v>338</v>
      </c>
      <c r="AU339">
        <f>IF(AT339&lt;&gt;"",INDEX($AE$2:$AP$440,MATCH($AT339,$AS$2:$AS$440,0),COLUMNS($AT$2:AT339)),"")</f>
        <v>2016</v>
      </c>
      <c r="AV339">
        <f>IF(AU339&lt;&gt;"",INDEX($AE$2:$AP$440,MATCH($AT339,$AS$2:$AS$440,0),COLUMNS($AT$2:AU339)),"")</f>
        <v>18</v>
      </c>
      <c r="AW339" t="str">
        <f>IF(AV339&lt;&gt;"",INDEX($AE$2:$AP$440,MATCH($AT339,$AS$2:$AS$440,0),COLUMNS($AT$2:AV339)),"")</f>
        <v>Hull City</v>
      </c>
      <c r="AX339">
        <f>IF(AW339&lt;&gt;"",INDEX($AE$2:$AP$440,MATCH($AT339,$AS$2:$AS$440,0),COLUMNS($AT$2:AW339)),"")</f>
        <v>38</v>
      </c>
      <c r="AY339">
        <f>IF(AX339&lt;&gt;"",INDEX($AE$2:$AP$440,MATCH($AT339,$AS$2:$AS$440,0),COLUMNS($AT$2:AX339)),"")</f>
        <v>9</v>
      </c>
      <c r="AZ339">
        <f>IF(AY339&lt;&gt;"",INDEX($AE$2:$AP$440,MATCH($AT339,$AS$2:$AS$440,0),COLUMNS($AT$2:AY339)),"")</f>
        <v>7</v>
      </c>
      <c r="BA339">
        <f>IF(AZ339&lt;&gt;"",INDEX($AE$2:$AP$440,MATCH($AT339,$AS$2:$AS$440,0),COLUMNS($AT$2:AZ339)),"")</f>
        <v>22</v>
      </c>
      <c r="BB339">
        <f>IF(BA339&lt;&gt;"",INDEX($AE$2:$AP$440,MATCH($AT339,$AS$2:$AS$440,0),COLUMNS($AT$2:BA339)),"")</f>
        <v>37</v>
      </c>
      <c r="BC339">
        <f>IF(BB339&lt;&gt;"",INDEX($AE$2:$AP$440,MATCH($AT339,$AS$2:$AS$440,0),COLUMNS($AT$2:BB339)),"")</f>
        <v>80</v>
      </c>
      <c r="BD339">
        <f>IF(BC339&lt;&gt;"",INDEX($AE$2:$AP$440,MATCH($AT339,$AS$2:$AS$440,0),COLUMNS($AT$2:BC339)),"")</f>
        <v>-43</v>
      </c>
      <c r="BE339">
        <f>IF(BD339&lt;&gt;"",INDEX($AE$2:$AP$440,MATCH($AT339,$AS$2:$AS$440,0),COLUMNS($AT$2:BD339)),"")</f>
        <v>34</v>
      </c>
      <c r="BF339" t="str">
        <f>IF(BE339&lt;&gt;"",INDEX($AE$2:$AP$440,MATCH($AT339,$AS$2:$AS$440,0),COLUMNS($AT$2:BE339)),"")</f>
        <v>Relegated</v>
      </c>
    </row>
    <row r="340" spans="1:58" x14ac:dyDescent="0.25">
      <c r="A340" s="3">
        <v>2016</v>
      </c>
      <c r="B340" s="3">
        <v>19</v>
      </c>
      <c r="C340" s="4" t="s">
        <v>24</v>
      </c>
      <c r="D340" s="3">
        <v>38</v>
      </c>
      <c r="E340" s="3">
        <v>5</v>
      </c>
      <c r="F340" s="3">
        <v>13</v>
      </c>
      <c r="G340" s="3">
        <v>20</v>
      </c>
      <c r="H340" s="3">
        <v>27</v>
      </c>
      <c r="I340" s="3">
        <v>53</v>
      </c>
      <c r="J340" s="3">
        <v>-26</v>
      </c>
      <c r="K340" s="3">
        <v>28</v>
      </c>
      <c r="L340" s="5" t="str">
        <f>IF(Table2[[#This Row],['#]]=1,"Champion", IF(Table2[[#This Row],['#]]&gt;=18,"Relegated",Table2[[#This Row],['#]]))</f>
        <v>Relegated</v>
      </c>
      <c r="N340">
        <f>IF(COUNTIF($O$2:O340,O340)=1,N339+1,N339)</f>
        <v>41</v>
      </c>
      <c r="O340" s="4" t="str">
        <f>Table2[[#This Row],[Team]]</f>
        <v>Middlesbrough</v>
      </c>
      <c r="P340" s="1" t="str">
        <f>IFERROR(VLOOKUP(ROWS($O$2:O340),$N$2:$O$441,2,0),"")</f>
        <v/>
      </c>
      <c r="Q340" s="1" t="str">
        <f>IF(P340&lt;&gt;"",SUMPRODUCT(--(Table2[Team]=P340)),"")</f>
        <v/>
      </c>
      <c r="R340" s="11" t="str">
        <f>IF(Q340&lt;&gt;"",Q340+ROWS($Q$2:Q340)/100,"")</f>
        <v/>
      </c>
      <c r="S340" t="str">
        <f>IF(R340&lt;&gt;"",LARGE($R$2:$R$441,ROWS($R$2:R340)),"")</f>
        <v/>
      </c>
      <c r="T340" s="1" t="str">
        <f>IF(R340&lt;&gt;"",INDEX($P$2:$Q$441,MATCH($S340,$R$2:$R$441,0),COLUMNS($S$2:S340)),"")</f>
        <v/>
      </c>
      <c r="U340" s="1" t="str">
        <f>IF(S340&lt;&gt;"",INDEX($P$2:$Q$441,MATCH($S340,$R$2:$R$441,0),COLUMNS($S$2:T340)),"")</f>
        <v/>
      </c>
      <c r="AE340" s="1">
        <f>Table2[[#This Row],[Year]]</f>
        <v>2016</v>
      </c>
      <c r="AF340" s="1">
        <f>Table2[[#This Row],['#]]</f>
        <v>19</v>
      </c>
      <c r="AG340" s="1" t="str">
        <f>Table2[[#This Row],[Team]]</f>
        <v>Middlesbrough</v>
      </c>
      <c r="AH340" s="1">
        <f>Table2[[#This Row],[Pl]]</f>
        <v>38</v>
      </c>
      <c r="AI340" s="1">
        <f>Table2[[#This Row],[W]]</f>
        <v>5</v>
      </c>
      <c r="AJ340" s="1">
        <f>Table2[[#This Row],[D]]</f>
        <v>13</v>
      </c>
      <c r="AK340" s="1">
        <f>Table2[[#This Row],[L]]</f>
        <v>20</v>
      </c>
      <c r="AL340" s="1">
        <f>Table2[[#This Row],[F]]</f>
        <v>27</v>
      </c>
      <c r="AM340" s="1">
        <f>Table2[[#This Row],[A]]</f>
        <v>53</v>
      </c>
      <c r="AN340" s="1">
        <f>Table2[[#This Row],[GD]]</f>
        <v>-26</v>
      </c>
      <c r="AO340" s="1">
        <f>Table2[[#This Row],[Pts]]</f>
        <v>28</v>
      </c>
      <c r="AP340" s="1" t="str">
        <f>Table2[[#This Row],[Column1]]</f>
        <v>Relegated</v>
      </c>
      <c r="AR340" t="b">
        <f t="shared" si="9"/>
        <v>1</v>
      </c>
      <c r="AS340">
        <f>IF(AR340,ROWS($AR$2:AR340),"")</f>
        <v>339</v>
      </c>
      <c r="AT340">
        <f>IFERROR(SMALL($AS$2:$AS$440,ROWS($AS$2:AS340)),"")</f>
        <v>339</v>
      </c>
      <c r="AU340">
        <f>IF(AT340&lt;&gt;"",INDEX($AE$2:$AP$440,MATCH($AT340,$AS$2:$AS$440,0),COLUMNS($AT$2:AT340)),"")</f>
        <v>2016</v>
      </c>
      <c r="AV340">
        <f>IF(AU340&lt;&gt;"",INDEX($AE$2:$AP$440,MATCH($AT340,$AS$2:$AS$440,0),COLUMNS($AT$2:AU340)),"")</f>
        <v>19</v>
      </c>
      <c r="AW340" t="str">
        <f>IF(AV340&lt;&gt;"",INDEX($AE$2:$AP$440,MATCH($AT340,$AS$2:$AS$440,0),COLUMNS($AT$2:AV340)),"")</f>
        <v>Middlesbrough</v>
      </c>
      <c r="AX340">
        <f>IF(AW340&lt;&gt;"",INDEX($AE$2:$AP$440,MATCH($AT340,$AS$2:$AS$440,0),COLUMNS($AT$2:AW340)),"")</f>
        <v>38</v>
      </c>
      <c r="AY340">
        <f>IF(AX340&lt;&gt;"",INDEX($AE$2:$AP$440,MATCH($AT340,$AS$2:$AS$440,0),COLUMNS($AT$2:AX340)),"")</f>
        <v>5</v>
      </c>
      <c r="AZ340">
        <f>IF(AY340&lt;&gt;"",INDEX($AE$2:$AP$440,MATCH($AT340,$AS$2:$AS$440,0),COLUMNS($AT$2:AY340)),"")</f>
        <v>13</v>
      </c>
      <c r="BA340">
        <f>IF(AZ340&lt;&gt;"",INDEX($AE$2:$AP$440,MATCH($AT340,$AS$2:$AS$440,0),COLUMNS($AT$2:AZ340)),"")</f>
        <v>20</v>
      </c>
      <c r="BB340">
        <f>IF(BA340&lt;&gt;"",INDEX($AE$2:$AP$440,MATCH($AT340,$AS$2:$AS$440,0),COLUMNS($AT$2:BA340)),"")</f>
        <v>27</v>
      </c>
      <c r="BC340">
        <f>IF(BB340&lt;&gt;"",INDEX($AE$2:$AP$440,MATCH($AT340,$AS$2:$AS$440,0),COLUMNS($AT$2:BB340)),"")</f>
        <v>53</v>
      </c>
      <c r="BD340">
        <f>IF(BC340&lt;&gt;"",INDEX($AE$2:$AP$440,MATCH($AT340,$AS$2:$AS$440,0),COLUMNS($AT$2:BC340)),"")</f>
        <v>-26</v>
      </c>
      <c r="BE340">
        <f>IF(BD340&lt;&gt;"",INDEX($AE$2:$AP$440,MATCH($AT340,$AS$2:$AS$440,0),COLUMNS($AT$2:BD340)),"")</f>
        <v>28</v>
      </c>
      <c r="BF340" t="str">
        <f>IF(BE340&lt;&gt;"",INDEX($AE$2:$AP$440,MATCH($AT340,$AS$2:$AS$440,0),COLUMNS($AT$2:BE340)),"")</f>
        <v>Relegated</v>
      </c>
    </row>
    <row r="341" spans="1:58" x14ac:dyDescent="0.25">
      <c r="A341" s="5">
        <v>2016</v>
      </c>
      <c r="B341" s="5">
        <v>20</v>
      </c>
      <c r="C341" s="6" t="s">
        <v>17</v>
      </c>
      <c r="D341" s="5">
        <v>38</v>
      </c>
      <c r="E341" s="5">
        <v>6</v>
      </c>
      <c r="F341" s="5">
        <v>6</v>
      </c>
      <c r="G341" s="5">
        <v>26</v>
      </c>
      <c r="H341" s="5">
        <v>29</v>
      </c>
      <c r="I341" s="5">
        <v>69</v>
      </c>
      <c r="J341" s="5">
        <v>-40</v>
      </c>
      <c r="K341" s="5">
        <v>24</v>
      </c>
      <c r="L341" s="5" t="str">
        <f>IF(Table2[[#This Row],['#]]=1,"Champion", IF(Table2[[#This Row],['#]]&gt;=18,"Relegated",Table2[[#This Row],['#]]))</f>
        <v>Relegated</v>
      </c>
      <c r="N341">
        <f>IF(COUNTIF($O$2:O341,O341)=1,N340+1,N340)</f>
        <v>41</v>
      </c>
      <c r="O341" s="4" t="str">
        <f>Table2[[#This Row],[Team]]</f>
        <v>Sunderland</v>
      </c>
      <c r="P341" s="1" t="str">
        <f>IFERROR(VLOOKUP(ROWS($O$2:O341),$N$2:$O$441,2,0),"")</f>
        <v/>
      </c>
      <c r="Q341" s="1" t="str">
        <f>IF(P341&lt;&gt;"",SUMPRODUCT(--(Table2[Team]=P341)),"")</f>
        <v/>
      </c>
      <c r="R341" s="11" t="str">
        <f>IF(Q341&lt;&gt;"",Q341+ROWS($Q$2:Q341)/100,"")</f>
        <v/>
      </c>
      <c r="S341" t="str">
        <f>IF(R341&lt;&gt;"",LARGE($R$2:$R$441,ROWS($R$2:R341)),"")</f>
        <v/>
      </c>
      <c r="T341" s="1" t="str">
        <f>IF(R341&lt;&gt;"",INDEX($P$2:$Q$441,MATCH($S341,$R$2:$R$441,0),COLUMNS($S$2:S341)),"")</f>
        <v/>
      </c>
      <c r="U341" s="1" t="str">
        <f>IF(S341&lt;&gt;"",INDEX($P$2:$Q$441,MATCH($S341,$R$2:$R$441,0),COLUMNS($S$2:T341)),"")</f>
        <v/>
      </c>
      <c r="AE341" s="1">
        <f>Table2[[#This Row],[Year]]</f>
        <v>2016</v>
      </c>
      <c r="AF341" s="1">
        <f>Table2[[#This Row],['#]]</f>
        <v>20</v>
      </c>
      <c r="AG341" s="1" t="str">
        <f>Table2[[#This Row],[Team]]</f>
        <v>Sunderland</v>
      </c>
      <c r="AH341" s="1">
        <f>Table2[[#This Row],[Pl]]</f>
        <v>38</v>
      </c>
      <c r="AI341" s="1">
        <f>Table2[[#This Row],[W]]</f>
        <v>6</v>
      </c>
      <c r="AJ341" s="1">
        <f>Table2[[#This Row],[D]]</f>
        <v>6</v>
      </c>
      <c r="AK341" s="1">
        <f>Table2[[#This Row],[L]]</f>
        <v>26</v>
      </c>
      <c r="AL341" s="1">
        <f>Table2[[#This Row],[F]]</f>
        <v>29</v>
      </c>
      <c r="AM341" s="1">
        <f>Table2[[#This Row],[A]]</f>
        <v>69</v>
      </c>
      <c r="AN341" s="1">
        <f>Table2[[#This Row],[GD]]</f>
        <v>-40</v>
      </c>
      <c r="AO341" s="1">
        <f>Table2[[#This Row],[Pts]]</f>
        <v>24</v>
      </c>
      <c r="AP341" s="1" t="str">
        <f>Table2[[#This Row],[Column1]]</f>
        <v>Relegated</v>
      </c>
      <c r="AR341" t="b">
        <f t="shared" si="9"/>
        <v>1</v>
      </c>
      <c r="AS341">
        <f>IF(AR341,ROWS($AR$2:AR341),"")</f>
        <v>340</v>
      </c>
      <c r="AT341">
        <f>IFERROR(SMALL($AS$2:$AS$440,ROWS($AS$2:AS341)),"")</f>
        <v>340</v>
      </c>
      <c r="AU341">
        <f>IF(AT341&lt;&gt;"",INDEX($AE$2:$AP$440,MATCH($AT341,$AS$2:$AS$440,0),COLUMNS($AT$2:AT341)),"")</f>
        <v>2016</v>
      </c>
      <c r="AV341">
        <f>IF(AU341&lt;&gt;"",INDEX($AE$2:$AP$440,MATCH($AT341,$AS$2:$AS$440,0),COLUMNS($AT$2:AU341)),"")</f>
        <v>20</v>
      </c>
      <c r="AW341" t="str">
        <f>IF(AV341&lt;&gt;"",INDEX($AE$2:$AP$440,MATCH($AT341,$AS$2:$AS$440,0),COLUMNS($AT$2:AV341)),"")</f>
        <v>Sunderland</v>
      </c>
      <c r="AX341">
        <f>IF(AW341&lt;&gt;"",INDEX($AE$2:$AP$440,MATCH($AT341,$AS$2:$AS$440,0),COLUMNS($AT$2:AW341)),"")</f>
        <v>38</v>
      </c>
      <c r="AY341">
        <f>IF(AX341&lt;&gt;"",INDEX($AE$2:$AP$440,MATCH($AT341,$AS$2:$AS$440,0),COLUMNS($AT$2:AX341)),"")</f>
        <v>6</v>
      </c>
      <c r="AZ341">
        <f>IF(AY341&lt;&gt;"",INDEX($AE$2:$AP$440,MATCH($AT341,$AS$2:$AS$440,0),COLUMNS($AT$2:AY341)),"")</f>
        <v>6</v>
      </c>
      <c r="BA341">
        <f>IF(AZ341&lt;&gt;"",INDEX($AE$2:$AP$440,MATCH($AT341,$AS$2:$AS$440,0),COLUMNS($AT$2:AZ341)),"")</f>
        <v>26</v>
      </c>
      <c r="BB341">
        <f>IF(BA341&lt;&gt;"",INDEX($AE$2:$AP$440,MATCH($AT341,$AS$2:$AS$440,0),COLUMNS($AT$2:BA341)),"")</f>
        <v>29</v>
      </c>
      <c r="BC341">
        <f>IF(BB341&lt;&gt;"",INDEX($AE$2:$AP$440,MATCH($AT341,$AS$2:$AS$440,0),COLUMNS($AT$2:BB341)),"")</f>
        <v>69</v>
      </c>
      <c r="BD341">
        <f>IF(BC341&lt;&gt;"",INDEX($AE$2:$AP$440,MATCH($AT341,$AS$2:$AS$440,0),COLUMNS($AT$2:BC341)),"")</f>
        <v>-40</v>
      </c>
      <c r="BE341">
        <f>IF(BD341&lt;&gt;"",INDEX($AE$2:$AP$440,MATCH($AT341,$AS$2:$AS$440,0),COLUMNS($AT$2:BD341)),"")</f>
        <v>24</v>
      </c>
      <c r="BF341" t="str">
        <f>IF(BE341&lt;&gt;"",INDEX($AE$2:$AP$440,MATCH($AT341,$AS$2:$AS$440,0),COLUMNS($AT$2:BE341)),"")</f>
        <v>Relegated</v>
      </c>
    </row>
    <row r="342" spans="1:58" x14ac:dyDescent="0.25">
      <c r="A342" s="3">
        <v>2017</v>
      </c>
      <c r="B342" s="3">
        <v>1</v>
      </c>
      <c r="C342" s="4" t="s">
        <v>28</v>
      </c>
      <c r="D342" s="3">
        <v>38</v>
      </c>
      <c r="E342" s="3">
        <v>32</v>
      </c>
      <c r="F342" s="3">
        <v>4</v>
      </c>
      <c r="G342" s="3">
        <v>2</v>
      </c>
      <c r="H342" s="3">
        <v>106</v>
      </c>
      <c r="I342" s="3">
        <v>27</v>
      </c>
      <c r="J342" s="3">
        <v>79</v>
      </c>
      <c r="K342" s="3">
        <v>100</v>
      </c>
      <c r="L342" s="5" t="str">
        <f>IF(Table2[[#This Row],['#]]=1,"Champion", IF(Table2[[#This Row],['#]]&gt;=18,"Relegated",Table2[[#This Row],['#]]))</f>
        <v>Champion</v>
      </c>
      <c r="N342">
        <f>IF(COUNTIF($O$2:O342,O342)=1,N341+1,N341)</f>
        <v>41</v>
      </c>
      <c r="O342" s="4" t="str">
        <f>Table2[[#This Row],[Team]]</f>
        <v>Manchester City</v>
      </c>
      <c r="P342" s="1" t="str">
        <f>IFERROR(VLOOKUP(ROWS($O$2:O342),$N$2:$O$441,2,0),"")</f>
        <v/>
      </c>
      <c r="Q342" s="1" t="str">
        <f>IF(P342&lt;&gt;"",SUMPRODUCT(--(Table2[Team]=P342)),"")</f>
        <v/>
      </c>
      <c r="R342" s="11" t="str">
        <f>IF(Q342&lt;&gt;"",Q342+ROWS($Q$2:Q342)/100,"")</f>
        <v/>
      </c>
      <c r="S342" t="str">
        <f>IF(R342&lt;&gt;"",LARGE($R$2:$R$441,ROWS($R$2:R342)),"")</f>
        <v/>
      </c>
      <c r="T342" s="1" t="str">
        <f>IF(R342&lt;&gt;"",INDEX($P$2:$Q$441,MATCH($S342,$R$2:$R$441,0),COLUMNS($S$2:S342)),"")</f>
        <v/>
      </c>
      <c r="U342" s="1" t="str">
        <f>IF(S342&lt;&gt;"",INDEX($P$2:$Q$441,MATCH($S342,$R$2:$R$441,0),COLUMNS($S$2:T342)),"")</f>
        <v/>
      </c>
      <c r="AE342" s="1">
        <f>Table2[[#This Row],[Year]]</f>
        <v>2017</v>
      </c>
      <c r="AF342" s="1">
        <f>Table2[[#This Row],['#]]</f>
        <v>1</v>
      </c>
      <c r="AG342" s="1" t="str">
        <f>Table2[[#This Row],[Team]]</f>
        <v>Manchester City</v>
      </c>
      <c r="AH342" s="1">
        <f>Table2[[#This Row],[Pl]]</f>
        <v>38</v>
      </c>
      <c r="AI342" s="1">
        <f>Table2[[#This Row],[W]]</f>
        <v>32</v>
      </c>
      <c r="AJ342" s="1">
        <f>Table2[[#This Row],[D]]</f>
        <v>4</v>
      </c>
      <c r="AK342" s="1">
        <f>Table2[[#This Row],[L]]</f>
        <v>2</v>
      </c>
      <c r="AL342" s="1">
        <f>Table2[[#This Row],[F]]</f>
        <v>106</v>
      </c>
      <c r="AM342" s="1">
        <f>Table2[[#This Row],[A]]</f>
        <v>27</v>
      </c>
      <c r="AN342" s="1">
        <f>Table2[[#This Row],[GD]]</f>
        <v>79</v>
      </c>
      <c r="AO342" s="1">
        <f>Table2[[#This Row],[Pts]]</f>
        <v>100</v>
      </c>
      <c r="AP342" s="1" t="str">
        <f>Table2[[#This Row],[Column1]]</f>
        <v>Champion</v>
      </c>
      <c r="AR342" t="b">
        <f t="shared" si="9"/>
        <v>1</v>
      </c>
      <c r="AS342">
        <f>IF(AR342,ROWS($AR$2:AR342),"")</f>
        <v>341</v>
      </c>
      <c r="AT342">
        <f>IFERROR(SMALL($AS$2:$AS$440,ROWS($AS$2:AS342)),"")</f>
        <v>341</v>
      </c>
      <c r="AU342">
        <f>IF(AT342&lt;&gt;"",INDEX($AE$2:$AP$440,MATCH($AT342,$AS$2:$AS$440,0),COLUMNS($AT$2:AT342)),"")</f>
        <v>2017</v>
      </c>
      <c r="AV342">
        <f>IF(AU342&lt;&gt;"",INDEX($AE$2:$AP$440,MATCH($AT342,$AS$2:$AS$440,0),COLUMNS($AT$2:AU342)),"")</f>
        <v>1</v>
      </c>
      <c r="AW342" t="str">
        <f>IF(AV342&lt;&gt;"",INDEX($AE$2:$AP$440,MATCH($AT342,$AS$2:$AS$440,0),COLUMNS($AT$2:AV342)),"")</f>
        <v>Manchester City</v>
      </c>
      <c r="AX342">
        <f>IF(AW342&lt;&gt;"",INDEX($AE$2:$AP$440,MATCH($AT342,$AS$2:$AS$440,0),COLUMNS($AT$2:AW342)),"")</f>
        <v>38</v>
      </c>
      <c r="AY342">
        <f>IF(AX342&lt;&gt;"",INDEX($AE$2:$AP$440,MATCH($AT342,$AS$2:$AS$440,0),COLUMNS($AT$2:AX342)),"")</f>
        <v>32</v>
      </c>
      <c r="AZ342">
        <f>IF(AY342&lt;&gt;"",INDEX($AE$2:$AP$440,MATCH($AT342,$AS$2:$AS$440,0),COLUMNS($AT$2:AY342)),"")</f>
        <v>4</v>
      </c>
      <c r="BA342">
        <f>IF(AZ342&lt;&gt;"",INDEX($AE$2:$AP$440,MATCH($AT342,$AS$2:$AS$440,0),COLUMNS($AT$2:AZ342)),"")</f>
        <v>2</v>
      </c>
      <c r="BB342">
        <f>IF(BA342&lt;&gt;"",INDEX($AE$2:$AP$440,MATCH($AT342,$AS$2:$AS$440,0),COLUMNS($AT$2:BA342)),"")</f>
        <v>106</v>
      </c>
      <c r="BC342">
        <f>IF(BB342&lt;&gt;"",INDEX($AE$2:$AP$440,MATCH($AT342,$AS$2:$AS$440,0),COLUMNS($AT$2:BB342)),"")</f>
        <v>27</v>
      </c>
      <c r="BD342">
        <f>IF(BC342&lt;&gt;"",INDEX($AE$2:$AP$440,MATCH($AT342,$AS$2:$AS$440,0),COLUMNS($AT$2:BC342)),"")</f>
        <v>79</v>
      </c>
      <c r="BE342">
        <f>IF(BD342&lt;&gt;"",INDEX($AE$2:$AP$440,MATCH($AT342,$AS$2:$AS$440,0),COLUMNS($AT$2:BD342)),"")</f>
        <v>100</v>
      </c>
      <c r="BF342" t="str">
        <f>IF(BE342&lt;&gt;"",INDEX($AE$2:$AP$440,MATCH($AT342,$AS$2:$AS$440,0),COLUMNS($AT$2:BE342)),"")</f>
        <v>Champion</v>
      </c>
    </row>
    <row r="343" spans="1:58" x14ac:dyDescent="0.25">
      <c r="A343" s="5">
        <v>2017</v>
      </c>
      <c r="B343" s="5">
        <v>2</v>
      </c>
      <c r="C343" s="6" t="s">
        <v>11</v>
      </c>
      <c r="D343" s="5">
        <v>38</v>
      </c>
      <c r="E343" s="5">
        <v>25</v>
      </c>
      <c r="F343" s="5">
        <v>6</v>
      </c>
      <c r="G343" s="5">
        <v>7</v>
      </c>
      <c r="H343" s="5">
        <v>68</v>
      </c>
      <c r="I343" s="5">
        <v>28</v>
      </c>
      <c r="J343" s="5">
        <v>40</v>
      </c>
      <c r="K343" s="5">
        <v>81</v>
      </c>
      <c r="L343" s="5">
        <f>IF(Table2[[#This Row],['#]]=1,"Champion", IF(Table2[[#This Row],['#]]&gt;=18,"Relegated",Table2[[#This Row],['#]]))</f>
        <v>2</v>
      </c>
      <c r="N343">
        <f>IF(COUNTIF($O$2:O343,O343)=1,N342+1,N342)</f>
        <v>41</v>
      </c>
      <c r="O343" s="4" t="str">
        <f>Table2[[#This Row],[Team]]</f>
        <v>Manchester United</v>
      </c>
      <c r="P343" s="1" t="str">
        <f>IFERROR(VLOOKUP(ROWS($O$2:O343),$N$2:$O$441,2,0),"")</f>
        <v/>
      </c>
      <c r="Q343" s="1" t="str">
        <f>IF(P343&lt;&gt;"",SUMPRODUCT(--(Table2[Team]=P343)),"")</f>
        <v/>
      </c>
      <c r="R343" s="11" t="str">
        <f>IF(Q343&lt;&gt;"",Q343+ROWS($Q$2:Q343)/100,"")</f>
        <v/>
      </c>
      <c r="S343" t="str">
        <f>IF(R343&lt;&gt;"",LARGE($R$2:$R$441,ROWS($R$2:R343)),"")</f>
        <v/>
      </c>
      <c r="T343" s="1" t="str">
        <f>IF(R343&lt;&gt;"",INDEX($P$2:$Q$441,MATCH($S343,$R$2:$R$441,0),COLUMNS($S$2:S343)),"")</f>
        <v/>
      </c>
      <c r="U343" s="1" t="str">
        <f>IF(S343&lt;&gt;"",INDEX($P$2:$Q$441,MATCH($S343,$R$2:$R$441,0),COLUMNS($S$2:T343)),"")</f>
        <v/>
      </c>
      <c r="AE343" s="1">
        <f>Table2[[#This Row],[Year]]</f>
        <v>2017</v>
      </c>
      <c r="AF343" s="1">
        <f>Table2[[#This Row],['#]]</f>
        <v>2</v>
      </c>
      <c r="AG343" s="1" t="str">
        <f>Table2[[#This Row],[Team]]</f>
        <v>Manchester United</v>
      </c>
      <c r="AH343" s="1">
        <f>Table2[[#This Row],[Pl]]</f>
        <v>38</v>
      </c>
      <c r="AI343" s="1">
        <f>Table2[[#This Row],[W]]</f>
        <v>25</v>
      </c>
      <c r="AJ343" s="1">
        <f>Table2[[#This Row],[D]]</f>
        <v>6</v>
      </c>
      <c r="AK343" s="1">
        <f>Table2[[#This Row],[L]]</f>
        <v>7</v>
      </c>
      <c r="AL343" s="1">
        <f>Table2[[#This Row],[F]]</f>
        <v>68</v>
      </c>
      <c r="AM343" s="1">
        <f>Table2[[#This Row],[A]]</f>
        <v>28</v>
      </c>
      <c r="AN343" s="1">
        <f>Table2[[#This Row],[GD]]</f>
        <v>40</v>
      </c>
      <c r="AO343" s="1">
        <f>Table2[[#This Row],[Pts]]</f>
        <v>81</v>
      </c>
      <c r="AP343" s="1">
        <f>Table2[[#This Row],[Column1]]</f>
        <v>2</v>
      </c>
      <c r="AR343" t="b">
        <f t="shared" si="9"/>
        <v>1</v>
      </c>
      <c r="AS343">
        <f>IF(AR343,ROWS($AR$2:AR343),"")</f>
        <v>342</v>
      </c>
      <c r="AT343">
        <f>IFERROR(SMALL($AS$2:$AS$440,ROWS($AS$2:AS343)),"")</f>
        <v>342</v>
      </c>
      <c r="AU343">
        <f>IF(AT343&lt;&gt;"",INDEX($AE$2:$AP$440,MATCH($AT343,$AS$2:$AS$440,0),COLUMNS($AT$2:AT343)),"")</f>
        <v>2017</v>
      </c>
      <c r="AV343">
        <f>IF(AU343&lt;&gt;"",INDEX($AE$2:$AP$440,MATCH($AT343,$AS$2:$AS$440,0),COLUMNS($AT$2:AU343)),"")</f>
        <v>2</v>
      </c>
      <c r="AW343" t="str">
        <f>IF(AV343&lt;&gt;"",INDEX($AE$2:$AP$440,MATCH($AT343,$AS$2:$AS$440,0),COLUMNS($AT$2:AV343)),"")</f>
        <v>Manchester United</v>
      </c>
      <c r="AX343">
        <f>IF(AW343&lt;&gt;"",INDEX($AE$2:$AP$440,MATCH($AT343,$AS$2:$AS$440,0),COLUMNS($AT$2:AW343)),"")</f>
        <v>38</v>
      </c>
      <c r="AY343">
        <f>IF(AX343&lt;&gt;"",INDEX($AE$2:$AP$440,MATCH($AT343,$AS$2:$AS$440,0),COLUMNS($AT$2:AX343)),"")</f>
        <v>25</v>
      </c>
      <c r="AZ343">
        <f>IF(AY343&lt;&gt;"",INDEX($AE$2:$AP$440,MATCH($AT343,$AS$2:$AS$440,0),COLUMNS($AT$2:AY343)),"")</f>
        <v>6</v>
      </c>
      <c r="BA343">
        <f>IF(AZ343&lt;&gt;"",INDEX($AE$2:$AP$440,MATCH($AT343,$AS$2:$AS$440,0),COLUMNS($AT$2:AZ343)),"")</f>
        <v>7</v>
      </c>
      <c r="BB343">
        <f>IF(BA343&lt;&gt;"",INDEX($AE$2:$AP$440,MATCH($AT343,$AS$2:$AS$440,0),COLUMNS($AT$2:BA343)),"")</f>
        <v>68</v>
      </c>
      <c r="BC343">
        <f>IF(BB343&lt;&gt;"",INDEX($AE$2:$AP$440,MATCH($AT343,$AS$2:$AS$440,0),COLUMNS($AT$2:BB343)),"")</f>
        <v>28</v>
      </c>
      <c r="BD343">
        <f>IF(BC343&lt;&gt;"",INDEX($AE$2:$AP$440,MATCH($AT343,$AS$2:$AS$440,0),COLUMNS($AT$2:BC343)),"")</f>
        <v>40</v>
      </c>
      <c r="BE343">
        <f>IF(BD343&lt;&gt;"",INDEX($AE$2:$AP$440,MATCH($AT343,$AS$2:$AS$440,0),COLUMNS($AT$2:BD343)),"")</f>
        <v>81</v>
      </c>
      <c r="BF343">
        <f>IF(BE343&lt;&gt;"",INDEX($AE$2:$AP$440,MATCH($AT343,$AS$2:$AS$440,0),COLUMNS($AT$2:BE343)),"")</f>
        <v>2</v>
      </c>
    </row>
    <row r="344" spans="1:58" x14ac:dyDescent="0.25">
      <c r="A344" s="3">
        <v>2017</v>
      </c>
      <c r="B344" s="3">
        <v>3</v>
      </c>
      <c r="C344" s="4" t="s">
        <v>22</v>
      </c>
      <c r="D344" s="3">
        <v>38</v>
      </c>
      <c r="E344" s="3">
        <v>23</v>
      </c>
      <c r="F344" s="3">
        <v>8</v>
      </c>
      <c r="G344" s="3">
        <v>7</v>
      </c>
      <c r="H344" s="3">
        <v>74</v>
      </c>
      <c r="I344" s="3">
        <v>36</v>
      </c>
      <c r="J344" s="3">
        <v>38</v>
      </c>
      <c r="K344" s="3">
        <v>77</v>
      </c>
      <c r="L344" s="5">
        <f>IF(Table2[[#This Row],['#]]=1,"Champion", IF(Table2[[#This Row],['#]]&gt;=18,"Relegated",Table2[[#This Row],['#]]))</f>
        <v>3</v>
      </c>
      <c r="N344">
        <f>IF(COUNTIF($O$2:O344,O344)=1,N343+1,N343)</f>
        <v>41</v>
      </c>
      <c r="O344" s="4" t="str">
        <f>Table2[[#This Row],[Team]]</f>
        <v>Tottenham Hotspur</v>
      </c>
      <c r="P344" s="1" t="str">
        <f>IFERROR(VLOOKUP(ROWS($O$2:O344),$N$2:$O$441,2,0),"")</f>
        <v/>
      </c>
      <c r="Q344" s="1" t="str">
        <f>IF(P344&lt;&gt;"",SUMPRODUCT(--(Table2[Team]=P344)),"")</f>
        <v/>
      </c>
      <c r="R344" s="11" t="str">
        <f>IF(Q344&lt;&gt;"",Q344+ROWS($Q$2:Q344)/100,"")</f>
        <v/>
      </c>
      <c r="S344" t="str">
        <f>IF(R344&lt;&gt;"",LARGE($R$2:$R$441,ROWS($R$2:R344)),"")</f>
        <v/>
      </c>
      <c r="T344" s="1" t="str">
        <f>IF(R344&lt;&gt;"",INDEX($P$2:$Q$441,MATCH($S344,$R$2:$R$441,0),COLUMNS($S$2:S344)),"")</f>
        <v/>
      </c>
      <c r="U344" s="1" t="str">
        <f>IF(S344&lt;&gt;"",INDEX($P$2:$Q$441,MATCH($S344,$R$2:$R$441,0),COLUMNS($S$2:T344)),"")</f>
        <v/>
      </c>
      <c r="AE344" s="1">
        <f>Table2[[#This Row],[Year]]</f>
        <v>2017</v>
      </c>
      <c r="AF344" s="1">
        <f>Table2[[#This Row],['#]]</f>
        <v>3</v>
      </c>
      <c r="AG344" s="1" t="str">
        <f>Table2[[#This Row],[Team]]</f>
        <v>Tottenham Hotspur</v>
      </c>
      <c r="AH344" s="1">
        <f>Table2[[#This Row],[Pl]]</f>
        <v>38</v>
      </c>
      <c r="AI344" s="1">
        <f>Table2[[#This Row],[W]]</f>
        <v>23</v>
      </c>
      <c r="AJ344" s="1">
        <f>Table2[[#This Row],[D]]</f>
        <v>8</v>
      </c>
      <c r="AK344" s="1">
        <f>Table2[[#This Row],[L]]</f>
        <v>7</v>
      </c>
      <c r="AL344" s="1">
        <f>Table2[[#This Row],[F]]</f>
        <v>74</v>
      </c>
      <c r="AM344" s="1">
        <f>Table2[[#This Row],[A]]</f>
        <v>36</v>
      </c>
      <c r="AN344" s="1">
        <f>Table2[[#This Row],[GD]]</f>
        <v>38</v>
      </c>
      <c r="AO344" s="1">
        <f>Table2[[#This Row],[Pts]]</f>
        <v>77</v>
      </c>
      <c r="AP344" s="1">
        <f>Table2[[#This Row],[Column1]]</f>
        <v>3</v>
      </c>
      <c r="AR344" t="b">
        <f t="shared" si="9"/>
        <v>1</v>
      </c>
      <c r="AS344">
        <f>IF(AR344,ROWS($AR$2:AR344),"")</f>
        <v>343</v>
      </c>
      <c r="AT344">
        <f>IFERROR(SMALL($AS$2:$AS$440,ROWS($AS$2:AS344)),"")</f>
        <v>343</v>
      </c>
      <c r="AU344">
        <f>IF(AT344&lt;&gt;"",INDEX($AE$2:$AP$440,MATCH($AT344,$AS$2:$AS$440,0),COLUMNS($AT$2:AT344)),"")</f>
        <v>2017</v>
      </c>
      <c r="AV344">
        <f>IF(AU344&lt;&gt;"",INDEX($AE$2:$AP$440,MATCH($AT344,$AS$2:$AS$440,0),COLUMNS($AT$2:AU344)),"")</f>
        <v>3</v>
      </c>
      <c r="AW344" t="str">
        <f>IF(AV344&lt;&gt;"",INDEX($AE$2:$AP$440,MATCH($AT344,$AS$2:$AS$440,0),COLUMNS($AT$2:AV344)),"")</f>
        <v>Tottenham Hotspur</v>
      </c>
      <c r="AX344">
        <f>IF(AW344&lt;&gt;"",INDEX($AE$2:$AP$440,MATCH($AT344,$AS$2:$AS$440,0),COLUMNS($AT$2:AW344)),"")</f>
        <v>38</v>
      </c>
      <c r="AY344">
        <f>IF(AX344&lt;&gt;"",INDEX($AE$2:$AP$440,MATCH($AT344,$AS$2:$AS$440,0),COLUMNS($AT$2:AX344)),"")</f>
        <v>23</v>
      </c>
      <c r="AZ344">
        <f>IF(AY344&lt;&gt;"",INDEX($AE$2:$AP$440,MATCH($AT344,$AS$2:$AS$440,0),COLUMNS($AT$2:AY344)),"")</f>
        <v>8</v>
      </c>
      <c r="BA344">
        <f>IF(AZ344&lt;&gt;"",INDEX($AE$2:$AP$440,MATCH($AT344,$AS$2:$AS$440,0),COLUMNS($AT$2:AZ344)),"")</f>
        <v>7</v>
      </c>
      <c r="BB344">
        <f>IF(BA344&lt;&gt;"",INDEX($AE$2:$AP$440,MATCH($AT344,$AS$2:$AS$440,0),COLUMNS($AT$2:BA344)),"")</f>
        <v>74</v>
      </c>
      <c r="BC344">
        <f>IF(BB344&lt;&gt;"",INDEX($AE$2:$AP$440,MATCH($AT344,$AS$2:$AS$440,0),COLUMNS($AT$2:BB344)),"")</f>
        <v>36</v>
      </c>
      <c r="BD344">
        <f>IF(BC344&lt;&gt;"",INDEX($AE$2:$AP$440,MATCH($AT344,$AS$2:$AS$440,0),COLUMNS($AT$2:BC344)),"")</f>
        <v>38</v>
      </c>
      <c r="BE344">
        <f>IF(BD344&lt;&gt;"",INDEX($AE$2:$AP$440,MATCH($AT344,$AS$2:$AS$440,0),COLUMNS($AT$2:BD344)),"")</f>
        <v>77</v>
      </c>
      <c r="BF344">
        <f>IF(BE344&lt;&gt;"",INDEX($AE$2:$AP$440,MATCH($AT344,$AS$2:$AS$440,0),COLUMNS($AT$2:BE344)),"")</f>
        <v>3</v>
      </c>
    </row>
    <row r="345" spans="1:58" x14ac:dyDescent="0.25">
      <c r="A345" s="5">
        <v>2017</v>
      </c>
      <c r="B345" s="5">
        <v>4</v>
      </c>
      <c r="C345" s="4" t="s">
        <v>13</v>
      </c>
      <c r="D345" s="5">
        <v>38</v>
      </c>
      <c r="E345" s="5">
        <v>21</v>
      </c>
      <c r="F345" s="5">
        <v>12</v>
      </c>
      <c r="G345" s="5">
        <v>5</v>
      </c>
      <c r="H345" s="5">
        <v>84</v>
      </c>
      <c r="I345" s="5">
        <v>38</v>
      </c>
      <c r="J345" s="5">
        <v>46</v>
      </c>
      <c r="K345" s="5">
        <v>75</v>
      </c>
      <c r="L345" s="5">
        <f>IF(Table2[[#This Row],['#]]=1,"Champion", IF(Table2[[#This Row],['#]]&gt;=18,"Relegated",Table2[[#This Row],['#]]))</f>
        <v>4</v>
      </c>
      <c r="N345">
        <f>IF(COUNTIF($O$2:O345,O345)=1,N344+1,N344)</f>
        <v>41</v>
      </c>
      <c r="O345" s="4" t="str">
        <f>Table2[[#This Row],[Team]]</f>
        <v>Liverpool</v>
      </c>
      <c r="P345" s="1" t="str">
        <f>IFERROR(VLOOKUP(ROWS($O$2:O345),$N$2:$O$441,2,0),"")</f>
        <v/>
      </c>
      <c r="Q345" s="1" t="str">
        <f>IF(P345&lt;&gt;"",SUMPRODUCT(--(Table2[Team]=P345)),"")</f>
        <v/>
      </c>
      <c r="R345" s="11" t="str">
        <f>IF(Q345&lt;&gt;"",Q345+ROWS($Q$2:Q345)/100,"")</f>
        <v/>
      </c>
      <c r="S345" t="str">
        <f>IF(R345&lt;&gt;"",LARGE($R$2:$R$441,ROWS($R$2:R345)),"")</f>
        <v/>
      </c>
      <c r="T345" s="1" t="str">
        <f>IF(R345&lt;&gt;"",INDEX($P$2:$Q$441,MATCH($S345,$R$2:$R$441,0),COLUMNS($S$2:S345)),"")</f>
        <v/>
      </c>
      <c r="U345" s="1" t="str">
        <f>IF(S345&lt;&gt;"",INDEX($P$2:$Q$441,MATCH($S345,$R$2:$R$441,0),COLUMNS($S$2:T345)),"")</f>
        <v/>
      </c>
      <c r="AE345" s="1">
        <f>Table2[[#This Row],[Year]]</f>
        <v>2017</v>
      </c>
      <c r="AF345" s="1">
        <f>Table2[[#This Row],['#]]</f>
        <v>4</v>
      </c>
      <c r="AG345" s="1" t="str">
        <f>Table2[[#This Row],[Team]]</f>
        <v>Liverpool</v>
      </c>
      <c r="AH345" s="1">
        <f>Table2[[#This Row],[Pl]]</f>
        <v>38</v>
      </c>
      <c r="AI345" s="1">
        <f>Table2[[#This Row],[W]]</f>
        <v>21</v>
      </c>
      <c r="AJ345" s="1">
        <f>Table2[[#This Row],[D]]</f>
        <v>12</v>
      </c>
      <c r="AK345" s="1">
        <f>Table2[[#This Row],[L]]</f>
        <v>5</v>
      </c>
      <c r="AL345" s="1">
        <f>Table2[[#This Row],[F]]</f>
        <v>84</v>
      </c>
      <c r="AM345" s="1">
        <f>Table2[[#This Row],[A]]</f>
        <v>38</v>
      </c>
      <c r="AN345" s="1">
        <f>Table2[[#This Row],[GD]]</f>
        <v>46</v>
      </c>
      <c r="AO345" s="1">
        <f>Table2[[#This Row],[Pts]]</f>
        <v>75</v>
      </c>
      <c r="AP345" s="1">
        <f>Table2[[#This Row],[Column1]]</f>
        <v>4</v>
      </c>
      <c r="AR345" t="b">
        <f t="shared" si="9"/>
        <v>1</v>
      </c>
      <c r="AS345">
        <f>IF(AR345,ROWS($AR$2:AR345),"")</f>
        <v>344</v>
      </c>
      <c r="AT345">
        <f>IFERROR(SMALL($AS$2:$AS$440,ROWS($AS$2:AS345)),"")</f>
        <v>344</v>
      </c>
      <c r="AU345">
        <f>IF(AT345&lt;&gt;"",INDEX($AE$2:$AP$440,MATCH($AT345,$AS$2:$AS$440,0),COLUMNS($AT$2:AT345)),"")</f>
        <v>2017</v>
      </c>
      <c r="AV345">
        <f>IF(AU345&lt;&gt;"",INDEX($AE$2:$AP$440,MATCH($AT345,$AS$2:$AS$440,0),COLUMNS($AT$2:AU345)),"")</f>
        <v>4</v>
      </c>
      <c r="AW345" t="str">
        <f>IF(AV345&lt;&gt;"",INDEX($AE$2:$AP$440,MATCH($AT345,$AS$2:$AS$440,0),COLUMNS($AT$2:AV345)),"")</f>
        <v>Liverpool</v>
      </c>
      <c r="AX345">
        <f>IF(AW345&lt;&gt;"",INDEX($AE$2:$AP$440,MATCH($AT345,$AS$2:$AS$440,0),COLUMNS($AT$2:AW345)),"")</f>
        <v>38</v>
      </c>
      <c r="AY345">
        <f>IF(AX345&lt;&gt;"",INDEX($AE$2:$AP$440,MATCH($AT345,$AS$2:$AS$440,0),COLUMNS($AT$2:AX345)),"")</f>
        <v>21</v>
      </c>
      <c r="AZ345">
        <f>IF(AY345&lt;&gt;"",INDEX($AE$2:$AP$440,MATCH($AT345,$AS$2:$AS$440,0),COLUMNS($AT$2:AY345)),"")</f>
        <v>12</v>
      </c>
      <c r="BA345">
        <f>IF(AZ345&lt;&gt;"",INDEX($AE$2:$AP$440,MATCH($AT345,$AS$2:$AS$440,0),COLUMNS($AT$2:AZ345)),"")</f>
        <v>5</v>
      </c>
      <c r="BB345">
        <f>IF(BA345&lt;&gt;"",INDEX($AE$2:$AP$440,MATCH($AT345,$AS$2:$AS$440,0),COLUMNS($AT$2:BA345)),"")</f>
        <v>84</v>
      </c>
      <c r="BC345">
        <f>IF(BB345&lt;&gt;"",INDEX($AE$2:$AP$440,MATCH($AT345,$AS$2:$AS$440,0),COLUMNS($AT$2:BB345)),"")</f>
        <v>38</v>
      </c>
      <c r="BD345">
        <f>IF(BC345&lt;&gt;"",INDEX($AE$2:$AP$440,MATCH($AT345,$AS$2:$AS$440,0),COLUMNS($AT$2:BC345)),"")</f>
        <v>46</v>
      </c>
      <c r="BE345">
        <f>IF(BD345&lt;&gt;"",INDEX($AE$2:$AP$440,MATCH($AT345,$AS$2:$AS$440,0),COLUMNS($AT$2:BD345)),"")</f>
        <v>75</v>
      </c>
      <c r="BF345">
        <f>IF(BE345&lt;&gt;"",INDEX($AE$2:$AP$440,MATCH($AT345,$AS$2:$AS$440,0),COLUMNS($AT$2:BE345)),"")</f>
        <v>4</v>
      </c>
    </row>
    <row r="346" spans="1:58" x14ac:dyDescent="0.25">
      <c r="A346" s="3">
        <v>2017</v>
      </c>
      <c r="B346" s="3">
        <v>5</v>
      </c>
      <c r="C346" s="4" t="s">
        <v>16</v>
      </c>
      <c r="D346" s="3">
        <v>38</v>
      </c>
      <c r="E346" s="3">
        <v>21</v>
      </c>
      <c r="F346" s="3">
        <v>7</v>
      </c>
      <c r="G346" s="3">
        <v>10</v>
      </c>
      <c r="H346" s="3">
        <v>62</v>
      </c>
      <c r="I346" s="3">
        <v>38</v>
      </c>
      <c r="J346" s="3">
        <v>24</v>
      </c>
      <c r="K346" s="3">
        <v>70</v>
      </c>
      <c r="L346" s="5">
        <f>IF(Table2[[#This Row],['#]]=1,"Champion", IF(Table2[[#This Row],['#]]&gt;=18,"Relegated",Table2[[#This Row],['#]]))</f>
        <v>5</v>
      </c>
      <c r="N346">
        <f>IF(COUNTIF($O$2:O346,O346)=1,N345+1,N345)</f>
        <v>41</v>
      </c>
      <c r="O346" s="4" t="str">
        <f>Table2[[#This Row],[Team]]</f>
        <v>Chelsea</v>
      </c>
      <c r="P346" s="1" t="str">
        <f>IFERROR(VLOOKUP(ROWS($O$2:O346),$N$2:$O$441,2,0),"")</f>
        <v/>
      </c>
      <c r="Q346" s="1" t="str">
        <f>IF(P346&lt;&gt;"",SUMPRODUCT(--(Table2[Team]=P346)),"")</f>
        <v/>
      </c>
      <c r="R346" s="11" t="str">
        <f>IF(Q346&lt;&gt;"",Q346+ROWS($Q$2:Q346)/100,"")</f>
        <v/>
      </c>
      <c r="S346" t="str">
        <f>IF(R346&lt;&gt;"",LARGE($R$2:$R$441,ROWS($R$2:R346)),"")</f>
        <v/>
      </c>
      <c r="T346" s="1" t="str">
        <f>IF(R346&lt;&gt;"",INDEX($P$2:$Q$441,MATCH($S346,$R$2:$R$441,0),COLUMNS($S$2:S346)),"")</f>
        <v/>
      </c>
      <c r="U346" s="1" t="str">
        <f>IF(S346&lt;&gt;"",INDEX($P$2:$Q$441,MATCH($S346,$R$2:$R$441,0),COLUMNS($S$2:T346)),"")</f>
        <v/>
      </c>
      <c r="AE346" s="1">
        <f>Table2[[#This Row],[Year]]</f>
        <v>2017</v>
      </c>
      <c r="AF346" s="1">
        <f>Table2[[#This Row],['#]]</f>
        <v>5</v>
      </c>
      <c r="AG346" s="1" t="str">
        <f>Table2[[#This Row],[Team]]</f>
        <v>Chelsea</v>
      </c>
      <c r="AH346" s="1">
        <f>Table2[[#This Row],[Pl]]</f>
        <v>38</v>
      </c>
      <c r="AI346" s="1">
        <f>Table2[[#This Row],[W]]</f>
        <v>21</v>
      </c>
      <c r="AJ346" s="1">
        <f>Table2[[#This Row],[D]]</f>
        <v>7</v>
      </c>
      <c r="AK346" s="1">
        <f>Table2[[#This Row],[L]]</f>
        <v>10</v>
      </c>
      <c r="AL346" s="1">
        <f>Table2[[#This Row],[F]]</f>
        <v>62</v>
      </c>
      <c r="AM346" s="1">
        <f>Table2[[#This Row],[A]]</f>
        <v>38</v>
      </c>
      <c r="AN346" s="1">
        <f>Table2[[#This Row],[GD]]</f>
        <v>24</v>
      </c>
      <c r="AO346" s="1">
        <f>Table2[[#This Row],[Pts]]</f>
        <v>70</v>
      </c>
      <c r="AP346" s="1">
        <f>Table2[[#This Row],[Column1]]</f>
        <v>5</v>
      </c>
      <c r="AR346" t="b">
        <f t="shared" si="9"/>
        <v>1</v>
      </c>
      <c r="AS346">
        <f>IF(AR346,ROWS($AR$2:AR346),"")</f>
        <v>345</v>
      </c>
      <c r="AT346">
        <f>IFERROR(SMALL($AS$2:$AS$440,ROWS($AS$2:AS346)),"")</f>
        <v>345</v>
      </c>
      <c r="AU346">
        <f>IF(AT346&lt;&gt;"",INDEX($AE$2:$AP$440,MATCH($AT346,$AS$2:$AS$440,0),COLUMNS($AT$2:AT346)),"")</f>
        <v>2017</v>
      </c>
      <c r="AV346">
        <f>IF(AU346&lt;&gt;"",INDEX($AE$2:$AP$440,MATCH($AT346,$AS$2:$AS$440,0),COLUMNS($AT$2:AU346)),"")</f>
        <v>5</v>
      </c>
      <c r="AW346" t="str">
        <f>IF(AV346&lt;&gt;"",INDEX($AE$2:$AP$440,MATCH($AT346,$AS$2:$AS$440,0),COLUMNS($AT$2:AV346)),"")</f>
        <v>Chelsea</v>
      </c>
      <c r="AX346">
        <f>IF(AW346&lt;&gt;"",INDEX($AE$2:$AP$440,MATCH($AT346,$AS$2:$AS$440,0),COLUMNS($AT$2:AW346)),"")</f>
        <v>38</v>
      </c>
      <c r="AY346">
        <f>IF(AX346&lt;&gt;"",INDEX($AE$2:$AP$440,MATCH($AT346,$AS$2:$AS$440,0),COLUMNS($AT$2:AX346)),"")</f>
        <v>21</v>
      </c>
      <c r="AZ346">
        <f>IF(AY346&lt;&gt;"",INDEX($AE$2:$AP$440,MATCH($AT346,$AS$2:$AS$440,0),COLUMNS($AT$2:AY346)),"")</f>
        <v>7</v>
      </c>
      <c r="BA346">
        <f>IF(AZ346&lt;&gt;"",INDEX($AE$2:$AP$440,MATCH($AT346,$AS$2:$AS$440,0),COLUMNS($AT$2:AZ346)),"")</f>
        <v>10</v>
      </c>
      <c r="BB346">
        <f>IF(BA346&lt;&gt;"",INDEX($AE$2:$AP$440,MATCH($AT346,$AS$2:$AS$440,0),COLUMNS($AT$2:BA346)),"")</f>
        <v>62</v>
      </c>
      <c r="BC346">
        <f>IF(BB346&lt;&gt;"",INDEX($AE$2:$AP$440,MATCH($AT346,$AS$2:$AS$440,0),COLUMNS($AT$2:BB346)),"")</f>
        <v>38</v>
      </c>
      <c r="BD346">
        <f>IF(BC346&lt;&gt;"",INDEX($AE$2:$AP$440,MATCH($AT346,$AS$2:$AS$440,0),COLUMNS($AT$2:BC346)),"")</f>
        <v>24</v>
      </c>
      <c r="BE346">
        <f>IF(BD346&lt;&gt;"",INDEX($AE$2:$AP$440,MATCH($AT346,$AS$2:$AS$440,0),COLUMNS($AT$2:BD346)),"")</f>
        <v>70</v>
      </c>
      <c r="BF346">
        <f>IF(BE346&lt;&gt;"",INDEX($AE$2:$AP$440,MATCH($AT346,$AS$2:$AS$440,0),COLUMNS($AT$2:BE346)),"")</f>
        <v>5</v>
      </c>
    </row>
    <row r="347" spans="1:58" x14ac:dyDescent="0.25">
      <c r="A347" s="5">
        <v>2017</v>
      </c>
      <c r="B347" s="5">
        <v>6</v>
      </c>
      <c r="C347" s="6" t="s">
        <v>12</v>
      </c>
      <c r="D347" s="5">
        <v>38</v>
      </c>
      <c r="E347" s="5">
        <v>19</v>
      </c>
      <c r="F347" s="5">
        <v>6</v>
      </c>
      <c r="G347" s="5">
        <v>13</v>
      </c>
      <c r="H347" s="5">
        <v>74</v>
      </c>
      <c r="I347" s="5">
        <v>51</v>
      </c>
      <c r="J347" s="5">
        <v>23</v>
      </c>
      <c r="K347" s="5">
        <v>63</v>
      </c>
      <c r="L347" s="5">
        <f>IF(Table2[[#This Row],['#]]=1,"Champion", IF(Table2[[#This Row],['#]]&gt;=18,"Relegated",Table2[[#This Row],['#]]))</f>
        <v>6</v>
      </c>
      <c r="N347">
        <f>IF(COUNTIF($O$2:O347,O347)=1,N346+1,N346)</f>
        <v>41</v>
      </c>
      <c r="O347" s="4" t="str">
        <f>Table2[[#This Row],[Team]]</f>
        <v>Arsenal</v>
      </c>
      <c r="P347" s="1" t="str">
        <f>IFERROR(VLOOKUP(ROWS($O$2:O347),$N$2:$O$441,2,0),"")</f>
        <v/>
      </c>
      <c r="Q347" s="1" t="str">
        <f>IF(P347&lt;&gt;"",SUMPRODUCT(--(Table2[Team]=P347)),"")</f>
        <v/>
      </c>
      <c r="R347" s="11" t="str">
        <f>IF(Q347&lt;&gt;"",Q347+ROWS($Q$2:Q347)/100,"")</f>
        <v/>
      </c>
      <c r="S347" t="str">
        <f>IF(R347&lt;&gt;"",LARGE($R$2:$R$441,ROWS($R$2:R347)),"")</f>
        <v/>
      </c>
      <c r="T347" s="1" t="str">
        <f>IF(R347&lt;&gt;"",INDEX($P$2:$Q$441,MATCH($S347,$R$2:$R$441,0),COLUMNS($S$2:S347)),"")</f>
        <v/>
      </c>
      <c r="U347" s="1" t="str">
        <f>IF(S347&lt;&gt;"",INDEX($P$2:$Q$441,MATCH($S347,$R$2:$R$441,0),COLUMNS($S$2:T347)),"")</f>
        <v/>
      </c>
      <c r="AE347" s="1">
        <f>Table2[[#This Row],[Year]]</f>
        <v>2017</v>
      </c>
      <c r="AF347" s="1">
        <f>Table2[[#This Row],['#]]</f>
        <v>6</v>
      </c>
      <c r="AG347" s="1" t="str">
        <f>Table2[[#This Row],[Team]]</f>
        <v>Arsenal</v>
      </c>
      <c r="AH347" s="1">
        <f>Table2[[#This Row],[Pl]]</f>
        <v>38</v>
      </c>
      <c r="AI347" s="1">
        <f>Table2[[#This Row],[W]]</f>
        <v>19</v>
      </c>
      <c r="AJ347" s="1">
        <f>Table2[[#This Row],[D]]</f>
        <v>6</v>
      </c>
      <c r="AK347" s="1">
        <f>Table2[[#This Row],[L]]</f>
        <v>13</v>
      </c>
      <c r="AL347" s="1">
        <f>Table2[[#This Row],[F]]</f>
        <v>74</v>
      </c>
      <c r="AM347" s="1">
        <f>Table2[[#This Row],[A]]</f>
        <v>51</v>
      </c>
      <c r="AN347" s="1">
        <f>Table2[[#This Row],[GD]]</f>
        <v>23</v>
      </c>
      <c r="AO347" s="1">
        <f>Table2[[#This Row],[Pts]]</f>
        <v>63</v>
      </c>
      <c r="AP347" s="1">
        <f>Table2[[#This Row],[Column1]]</f>
        <v>6</v>
      </c>
      <c r="AR347" t="b">
        <f t="shared" si="9"/>
        <v>1</v>
      </c>
      <c r="AS347">
        <f>IF(AR347,ROWS($AR$2:AR347),"")</f>
        <v>346</v>
      </c>
      <c r="AT347">
        <f>IFERROR(SMALL($AS$2:$AS$440,ROWS($AS$2:AS347)),"")</f>
        <v>346</v>
      </c>
      <c r="AU347">
        <f>IF(AT347&lt;&gt;"",INDEX($AE$2:$AP$440,MATCH($AT347,$AS$2:$AS$440,0),COLUMNS($AT$2:AT347)),"")</f>
        <v>2017</v>
      </c>
      <c r="AV347">
        <f>IF(AU347&lt;&gt;"",INDEX($AE$2:$AP$440,MATCH($AT347,$AS$2:$AS$440,0),COLUMNS($AT$2:AU347)),"")</f>
        <v>6</v>
      </c>
      <c r="AW347" t="str">
        <f>IF(AV347&lt;&gt;"",INDEX($AE$2:$AP$440,MATCH($AT347,$AS$2:$AS$440,0),COLUMNS($AT$2:AV347)),"")</f>
        <v>Arsenal</v>
      </c>
      <c r="AX347">
        <f>IF(AW347&lt;&gt;"",INDEX($AE$2:$AP$440,MATCH($AT347,$AS$2:$AS$440,0),COLUMNS($AT$2:AW347)),"")</f>
        <v>38</v>
      </c>
      <c r="AY347">
        <f>IF(AX347&lt;&gt;"",INDEX($AE$2:$AP$440,MATCH($AT347,$AS$2:$AS$440,0),COLUMNS($AT$2:AX347)),"")</f>
        <v>19</v>
      </c>
      <c r="AZ347">
        <f>IF(AY347&lt;&gt;"",INDEX($AE$2:$AP$440,MATCH($AT347,$AS$2:$AS$440,0),COLUMNS($AT$2:AY347)),"")</f>
        <v>6</v>
      </c>
      <c r="BA347">
        <f>IF(AZ347&lt;&gt;"",INDEX($AE$2:$AP$440,MATCH($AT347,$AS$2:$AS$440,0),COLUMNS($AT$2:AZ347)),"")</f>
        <v>13</v>
      </c>
      <c r="BB347">
        <f>IF(BA347&lt;&gt;"",INDEX($AE$2:$AP$440,MATCH($AT347,$AS$2:$AS$440,0),COLUMNS($AT$2:BA347)),"")</f>
        <v>74</v>
      </c>
      <c r="BC347">
        <f>IF(BB347&lt;&gt;"",INDEX($AE$2:$AP$440,MATCH($AT347,$AS$2:$AS$440,0),COLUMNS($AT$2:BB347)),"")</f>
        <v>51</v>
      </c>
      <c r="BD347">
        <f>IF(BC347&lt;&gt;"",INDEX($AE$2:$AP$440,MATCH($AT347,$AS$2:$AS$440,0),COLUMNS($AT$2:BC347)),"")</f>
        <v>23</v>
      </c>
      <c r="BE347">
        <f>IF(BD347&lt;&gt;"",INDEX($AE$2:$AP$440,MATCH($AT347,$AS$2:$AS$440,0),COLUMNS($AT$2:BD347)),"")</f>
        <v>63</v>
      </c>
      <c r="BF347">
        <f>IF(BE347&lt;&gt;"",INDEX($AE$2:$AP$440,MATCH($AT347,$AS$2:$AS$440,0),COLUMNS($AT$2:BE347)),"")</f>
        <v>6</v>
      </c>
    </row>
    <row r="348" spans="1:58" x14ac:dyDescent="0.25">
      <c r="A348" s="3">
        <v>2017</v>
      </c>
      <c r="B348" s="3">
        <v>7</v>
      </c>
      <c r="C348" s="4" t="s">
        <v>46</v>
      </c>
      <c r="D348" s="3">
        <v>38</v>
      </c>
      <c r="E348" s="3">
        <v>14</v>
      </c>
      <c r="F348" s="3">
        <v>12</v>
      </c>
      <c r="G348" s="3">
        <v>12</v>
      </c>
      <c r="H348" s="3">
        <v>36</v>
      </c>
      <c r="I348" s="3">
        <v>39</v>
      </c>
      <c r="J348" s="3">
        <v>-3</v>
      </c>
      <c r="K348" s="3">
        <v>54</v>
      </c>
      <c r="L348" s="5">
        <f>IF(Table2[[#This Row],['#]]=1,"Champion", IF(Table2[[#This Row],['#]]&gt;=18,"Relegated",Table2[[#This Row],['#]]))</f>
        <v>7</v>
      </c>
      <c r="N348">
        <f>IF(COUNTIF($O$2:O348,O348)=1,N347+1,N347)</f>
        <v>41</v>
      </c>
      <c r="O348" s="4" t="str">
        <f>Table2[[#This Row],[Team]]</f>
        <v>Burnley</v>
      </c>
      <c r="P348" s="1" t="str">
        <f>IFERROR(VLOOKUP(ROWS($O$2:O348),$N$2:$O$441,2,0),"")</f>
        <v/>
      </c>
      <c r="Q348" s="1" t="str">
        <f>IF(P348&lt;&gt;"",SUMPRODUCT(--(Table2[Team]=P348)),"")</f>
        <v/>
      </c>
      <c r="R348" s="11" t="str">
        <f>IF(Q348&lt;&gt;"",Q348+ROWS($Q$2:Q348)/100,"")</f>
        <v/>
      </c>
      <c r="S348" t="str">
        <f>IF(R348&lt;&gt;"",LARGE($R$2:$R$441,ROWS($R$2:R348)),"")</f>
        <v/>
      </c>
      <c r="T348" s="1" t="str">
        <f>IF(R348&lt;&gt;"",INDEX($P$2:$Q$441,MATCH($S348,$R$2:$R$441,0),COLUMNS($S$2:S348)),"")</f>
        <v/>
      </c>
      <c r="U348" s="1" t="str">
        <f>IF(S348&lt;&gt;"",INDEX($P$2:$Q$441,MATCH($S348,$R$2:$R$441,0),COLUMNS($S$2:T348)),"")</f>
        <v/>
      </c>
      <c r="AE348" s="1">
        <f>Table2[[#This Row],[Year]]</f>
        <v>2017</v>
      </c>
      <c r="AF348" s="1">
        <f>Table2[[#This Row],['#]]</f>
        <v>7</v>
      </c>
      <c r="AG348" s="1" t="str">
        <f>Table2[[#This Row],[Team]]</f>
        <v>Burnley</v>
      </c>
      <c r="AH348" s="1">
        <f>Table2[[#This Row],[Pl]]</f>
        <v>38</v>
      </c>
      <c r="AI348" s="1">
        <f>Table2[[#This Row],[W]]</f>
        <v>14</v>
      </c>
      <c r="AJ348" s="1">
        <f>Table2[[#This Row],[D]]</f>
        <v>12</v>
      </c>
      <c r="AK348" s="1">
        <f>Table2[[#This Row],[L]]</f>
        <v>12</v>
      </c>
      <c r="AL348" s="1">
        <f>Table2[[#This Row],[F]]</f>
        <v>36</v>
      </c>
      <c r="AM348" s="1">
        <f>Table2[[#This Row],[A]]</f>
        <v>39</v>
      </c>
      <c r="AN348" s="1">
        <f>Table2[[#This Row],[GD]]</f>
        <v>-3</v>
      </c>
      <c r="AO348" s="1">
        <f>Table2[[#This Row],[Pts]]</f>
        <v>54</v>
      </c>
      <c r="AP348" s="1">
        <f>Table2[[#This Row],[Column1]]</f>
        <v>7</v>
      </c>
      <c r="AR348" t="b">
        <f t="shared" si="9"/>
        <v>1</v>
      </c>
      <c r="AS348">
        <f>IF(AR348,ROWS($AR$2:AR348),"")</f>
        <v>347</v>
      </c>
      <c r="AT348">
        <f>IFERROR(SMALL($AS$2:$AS$440,ROWS($AS$2:AS348)),"")</f>
        <v>347</v>
      </c>
      <c r="AU348">
        <f>IF(AT348&lt;&gt;"",INDEX($AE$2:$AP$440,MATCH($AT348,$AS$2:$AS$440,0),COLUMNS($AT$2:AT348)),"")</f>
        <v>2017</v>
      </c>
      <c r="AV348">
        <f>IF(AU348&lt;&gt;"",INDEX($AE$2:$AP$440,MATCH($AT348,$AS$2:$AS$440,0),COLUMNS($AT$2:AU348)),"")</f>
        <v>7</v>
      </c>
      <c r="AW348" t="str">
        <f>IF(AV348&lt;&gt;"",INDEX($AE$2:$AP$440,MATCH($AT348,$AS$2:$AS$440,0),COLUMNS($AT$2:AV348)),"")</f>
        <v>Burnley</v>
      </c>
      <c r="AX348">
        <f>IF(AW348&lt;&gt;"",INDEX($AE$2:$AP$440,MATCH($AT348,$AS$2:$AS$440,0),COLUMNS($AT$2:AW348)),"")</f>
        <v>38</v>
      </c>
      <c r="AY348">
        <f>IF(AX348&lt;&gt;"",INDEX($AE$2:$AP$440,MATCH($AT348,$AS$2:$AS$440,0),COLUMNS($AT$2:AX348)),"")</f>
        <v>14</v>
      </c>
      <c r="AZ348">
        <f>IF(AY348&lt;&gt;"",INDEX($AE$2:$AP$440,MATCH($AT348,$AS$2:$AS$440,0),COLUMNS($AT$2:AY348)),"")</f>
        <v>12</v>
      </c>
      <c r="BA348">
        <f>IF(AZ348&lt;&gt;"",INDEX($AE$2:$AP$440,MATCH($AT348,$AS$2:$AS$440,0),COLUMNS($AT$2:AZ348)),"")</f>
        <v>12</v>
      </c>
      <c r="BB348">
        <f>IF(BA348&lt;&gt;"",INDEX($AE$2:$AP$440,MATCH($AT348,$AS$2:$AS$440,0),COLUMNS($AT$2:BA348)),"")</f>
        <v>36</v>
      </c>
      <c r="BC348">
        <f>IF(BB348&lt;&gt;"",INDEX($AE$2:$AP$440,MATCH($AT348,$AS$2:$AS$440,0),COLUMNS($AT$2:BB348)),"")</f>
        <v>39</v>
      </c>
      <c r="BD348">
        <f>IF(BC348&lt;&gt;"",INDEX($AE$2:$AP$440,MATCH($AT348,$AS$2:$AS$440,0),COLUMNS($AT$2:BC348)),"")</f>
        <v>-3</v>
      </c>
      <c r="BE348">
        <f>IF(BD348&lt;&gt;"",INDEX($AE$2:$AP$440,MATCH($AT348,$AS$2:$AS$440,0),COLUMNS($AT$2:BD348)),"")</f>
        <v>54</v>
      </c>
      <c r="BF348">
        <f>IF(BE348&lt;&gt;"",INDEX($AE$2:$AP$440,MATCH($AT348,$AS$2:$AS$440,0),COLUMNS($AT$2:BE348)),"")</f>
        <v>7</v>
      </c>
    </row>
    <row r="349" spans="1:58" x14ac:dyDescent="0.25">
      <c r="A349" s="5">
        <v>2017</v>
      </c>
      <c r="B349" s="5">
        <v>8</v>
      </c>
      <c r="C349" s="6" t="s">
        <v>26</v>
      </c>
      <c r="D349" s="5">
        <v>38</v>
      </c>
      <c r="E349" s="5">
        <v>13</v>
      </c>
      <c r="F349" s="5">
        <v>10</v>
      </c>
      <c r="G349" s="5">
        <v>15</v>
      </c>
      <c r="H349" s="5">
        <v>44</v>
      </c>
      <c r="I349" s="5">
        <v>58</v>
      </c>
      <c r="J349" s="5">
        <v>-14</v>
      </c>
      <c r="K349" s="5">
        <v>49</v>
      </c>
      <c r="L349" s="5">
        <f>IF(Table2[[#This Row],['#]]=1,"Champion", IF(Table2[[#This Row],['#]]&gt;=18,"Relegated",Table2[[#This Row],['#]]))</f>
        <v>8</v>
      </c>
      <c r="N349">
        <f>IF(COUNTIF($O$2:O349,O349)=1,N348+1,N348)</f>
        <v>41</v>
      </c>
      <c r="O349" s="4" t="str">
        <f>Table2[[#This Row],[Team]]</f>
        <v>Everton</v>
      </c>
      <c r="P349" s="1" t="str">
        <f>IFERROR(VLOOKUP(ROWS($O$2:O349),$N$2:$O$441,2,0),"")</f>
        <v/>
      </c>
      <c r="Q349" s="1" t="str">
        <f>IF(P349&lt;&gt;"",SUMPRODUCT(--(Table2[Team]=P349)),"")</f>
        <v/>
      </c>
      <c r="R349" s="11" t="str">
        <f>IF(Q349&lt;&gt;"",Q349+ROWS($Q$2:Q349)/100,"")</f>
        <v/>
      </c>
      <c r="S349" t="str">
        <f>IF(R349&lt;&gt;"",LARGE($R$2:$R$441,ROWS($R$2:R349)),"")</f>
        <v/>
      </c>
      <c r="T349" s="1" t="str">
        <f>IF(R349&lt;&gt;"",INDEX($P$2:$Q$441,MATCH($S349,$R$2:$R$441,0),COLUMNS($S$2:S349)),"")</f>
        <v/>
      </c>
      <c r="U349" s="1" t="str">
        <f>IF(S349&lt;&gt;"",INDEX($P$2:$Q$441,MATCH($S349,$R$2:$R$441,0),COLUMNS($S$2:T349)),"")</f>
        <v/>
      </c>
      <c r="AE349" s="1">
        <f>Table2[[#This Row],[Year]]</f>
        <v>2017</v>
      </c>
      <c r="AF349" s="1">
        <f>Table2[[#This Row],['#]]</f>
        <v>8</v>
      </c>
      <c r="AG349" s="1" t="str">
        <f>Table2[[#This Row],[Team]]</f>
        <v>Everton</v>
      </c>
      <c r="AH349" s="1">
        <f>Table2[[#This Row],[Pl]]</f>
        <v>38</v>
      </c>
      <c r="AI349" s="1">
        <f>Table2[[#This Row],[W]]</f>
        <v>13</v>
      </c>
      <c r="AJ349" s="1">
        <f>Table2[[#This Row],[D]]</f>
        <v>10</v>
      </c>
      <c r="AK349" s="1">
        <f>Table2[[#This Row],[L]]</f>
        <v>15</v>
      </c>
      <c r="AL349" s="1">
        <f>Table2[[#This Row],[F]]</f>
        <v>44</v>
      </c>
      <c r="AM349" s="1">
        <f>Table2[[#This Row],[A]]</f>
        <v>58</v>
      </c>
      <c r="AN349" s="1">
        <f>Table2[[#This Row],[GD]]</f>
        <v>-14</v>
      </c>
      <c r="AO349" s="1">
        <f>Table2[[#This Row],[Pts]]</f>
        <v>49</v>
      </c>
      <c r="AP349" s="1">
        <f>Table2[[#This Row],[Column1]]</f>
        <v>8</v>
      </c>
      <c r="AR349" t="b">
        <f t="shared" si="9"/>
        <v>1</v>
      </c>
      <c r="AS349">
        <f>IF(AR349,ROWS($AR$2:AR349),"")</f>
        <v>348</v>
      </c>
      <c r="AT349">
        <f>IFERROR(SMALL($AS$2:$AS$440,ROWS($AS$2:AS349)),"")</f>
        <v>348</v>
      </c>
      <c r="AU349">
        <f>IF(AT349&lt;&gt;"",INDEX($AE$2:$AP$440,MATCH($AT349,$AS$2:$AS$440,0),COLUMNS($AT$2:AT349)),"")</f>
        <v>2017</v>
      </c>
      <c r="AV349">
        <f>IF(AU349&lt;&gt;"",INDEX($AE$2:$AP$440,MATCH($AT349,$AS$2:$AS$440,0),COLUMNS($AT$2:AU349)),"")</f>
        <v>8</v>
      </c>
      <c r="AW349" t="str">
        <f>IF(AV349&lt;&gt;"",INDEX($AE$2:$AP$440,MATCH($AT349,$AS$2:$AS$440,0),COLUMNS($AT$2:AV349)),"")</f>
        <v>Everton</v>
      </c>
      <c r="AX349">
        <f>IF(AW349&lt;&gt;"",INDEX($AE$2:$AP$440,MATCH($AT349,$AS$2:$AS$440,0),COLUMNS($AT$2:AW349)),"")</f>
        <v>38</v>
      </c>
      <c r="AY349">
        <f>IF(AX349&lt;&gt;"",INDEX($AE$2:$AP$440,MATCH($AT349,$AS$2:$AS$440,0),COLUMNS($AT$2:AX349)),"")</f>
        <v>13</v>
      </c>
      <c r="AZ349">
        <f>IF(AY349&lt;&gt;"",INDEX($AE$2:$AP$440,MATCH($AT349,$AS$2:$AS$440,0),COLUMNS($AT$2:AY349)),"")</f>
        <v>10</v>
      </c>
      <c r="BA349">
        <f>IF(AZ349&lt;&gt;"",INDEX($AE$2:$AP$440,MATCH($AT349,$AS$2:$AS$440,0),COLUMNS($AT$2:AZ349)),"")</f>
        <v>15</v>
      </c>
      <c r="BB349">
        <f>IF(BA349&lt;&gt;"",INDEX($AE$2:$AP$440,MATCH($AT349,$AS$2:$AS$440,0),COLUMNS($AT$2:BA349)),"")</f>
        <v>44</v>
      </c>
      <c r="BC349">
        <f>IF(BB349&lt;&gt;"",INDEX($AE$2:$AP$440,MATCH($AT349,$AS$2:$AS$440,0),COLUMNS($AT$2:BB349)),"")</f>
        <v>58</v>
      </c>
      <c r="BD349">
        <f>IF(BC349&lt;&gt;"",INDEX($AE$2:$AP$440,MATCH($AT349,$AS$2:$AS$440,0),COLUMNS($AT$2:BC349)),"")</f>
        <v>-14</v>
      </c>
      <c r="BE349">
        <f>IF(BD349&lt;&gt;"",INDEX($AE$2:$AP$440,MATCH($AT349,$AS$2:$AS$440,0),COLUMNS($AT$2:BD349)),"")</f>
        <v>49</v>
      </c>
      <c r="BF349">
        <f>IF(BE349&lt;&gt;"",INDEX($AE$2:$AP$440,MATCH($AT349,$AS$2:$AS$440,0),COLUMNS($AT$2:BE349)),"")</f>
        <v>8</v>
      </c>
    </row>
    <row r="350" spans="1:58" x14ac:dyDescent="0.25">
      <c r="A350" s="3">
        <v>2017</v>
      </c>
      <c r="B350" s="3">
        <v>9</v>
      </c>
      <c r="C350" s="4" t="s">
        <v>23</v>
      </c>
      <c r="D350" s="3">
        <v>38</v>
      </c>
      <c r="E350" s="3">
        <v>12</v>
      </c>
      <c r="F350" s="3">
        <v>11</v>
      </c>
      <c r="G350" s="3">
        <v>15</v>
      </c>
      <c r="H350" s="3">
        <v>56</v>
      </c>
      <c r="I350" s="3">
        <v>60</v>
      </c>
      <c r="J350" s="3">
        <v>-4</v>
      </c>
      <c r="K350" s="3">
        <v>47</v>
      </c>
      <c r="L350" s="5">
        <f>IF(Table2[[#This Row],['#]]=1,"Champion", IF(Table2[[#This Row],['#]]&gt;=18,"Relegated",Table2[[#This Row],['#]]))</f>
        <v>9</v>
      </c>
      <c r="N350">
        <f>IF(COUNTIF($O$2:O350,O350)=1,N349+1,N349)</f>
        <v>41</v>
      </c>
      <c r="O350" s="4" t="str">
        <f>Table2[[#This Row],[Team]]</f>
        <v>Leicester City</v>
      </c>
      <c r="P350" s="1" t="str">
        <f>IFERROR(VLOOKUP(ROWS($O$2:O350),$N$2:$O$441,2,0),"")</f>
        <v/>
      </c>
      <c r="Q350" s="1" t="str">
        <f>IF(P350&lt;&gt;"",SUMPRODUCT(--(Table2[Team]=P350)),"")</f>
        <v/>
      </c>
      <c r="R350" s="11" t="str">
        <f>IF(Q350&lt;&gt;"",Q350+ROWS($Q$2:Q350)/100,"")</f>
        <v/>
      </c>
      <c r="S350" t="str">
        <f>IF(R350&lt;&gt;"",LARGE($R$2:$R$441,ROWS($R$2:R350)),"")</f>
        <v/>
      </c>
      <c r="T350" s="1" t="str">
        <f>IF(R350&lt;&gt;"",INDEX($P$2:$Q$441,MATCH($S350,$R$2:$R$441,0),COLUMNS($S$2:S350)),"")</f>
        <v/>
      </c>
      <c r="U350" s="1" t="str">
        <f>IF(S350&lt;&gt;"",INDEX($P$2:$Q$441,MATCH($S350,$R$2:$R$441,0),COLUMNS($S$2:T350)),"")</f>
        <v/>
      </c>
      <c r="AE350" s="1">
        <f>Table2[[#This Row],[Year]]</f>
        <v>2017</v>
      </c>
      <c r="AF350" s="1">
        <f>Table2[[#This Row],['#]]</f>
        <v>9</v>
      </c>
      <c r="AG350" s="1" t="str">
        <f>Table2[[#This Row],[Team]]</f>
        <v>Leicester City</v>
      </c>
      <c r="AH350" s="1">
        <f>Table2[[#This Row],[Pl]]</f>
        <v>38</v>
      </c>
      <c r="AI350" s="1">
        <f>Table2[[#This Row],[W]]</f>
        <v>12</v>
      </c>
      <c r="AJ350" s="1">
        <f>Table2[[#This Row],[D]]</f>
        <v>11</v>
      </c>
      <c r="AK350" s="1">
        <f>Table2[[#This Row],[L]]</f>
        <v>15</v>
      </c>
      <c r="AL350" s="1">
        <f>Table2[[#This Row],[F]]</f>
        <v>56</v>
      </c>
      <c r="AM350" s="1">
        <f>Table2[[#This Row],[A]]</f>
        <v>60</v>
      </c>
      <c r="AN350" s="1">
        <f>Table2[[#This Row],[GD]]</f>
        <v>-4</v>
      </c>
      <c r="AO350" s="1">
        <f>Table2[[#This Row],[Pts]]</f>
        <v>47</v>
      </c>
      <c r="AP350" s="1">
        <f>Table2[[#This Row],[Column1]]</f>
        <v>9</v>
      </c>
      <c r="AR350" t="b">
        <f t="shared" si="9"/>
        <v>1</v>
      </c>
      <c r="AS350">
        <f>IF(AR350,ROWS($AR$2:AR350),"")</f>
        <v>349</v>
      </c>
      <c r="AT350">
        <f>IFERROR(SMALL($AS$2:$AS$440,ROWS($AS$2:AS350)),"")</f>
        <v>349</v>
      </c>
      <c r="AU350">
        <f>IF(AT350&lt;&gt;"",INDEX($AE$2:$AP$440,MATCH($AT350,$AS$2:$AS$440,0),COLUMNS($AT$2:AT350)),"")</f>
        <v>2017</v>
      </c>
      <c r="AV350">
        <f>IF(AU350&lt;&gt;"",INDEX($AE$2:$AP$440,MATCH($AT350,$AS$2:$AS$440,0),COLUMNS($AT$2:AU350)),"")</f>
        <v>9</v>
      </c>
      <c r="AW350" t="str">
        <f>IF(AV350&lt;&gt;"",INDEX($AE$2:$AP$440,MATCH($AT350,$AS$2:$AS$440,0),COLUMNS($AT$2:AV350)),"")</f>
        <v>Leicester City</v>
      </c>
      <c r="AX350">
        <f>IF(AW350&lt;&gt;"",INDEX($AE$2:$AP$440,MATCH($AT350,$AS$2:$AS$440,0),COLUMNS($AT$2:AW350)),"")</f>
        <v>38</v>
      </c>
      <c r="AY350">
        <f>IF(AX350&lt;&gt;"",INDEX($AE$2:$AP$440,MATCH($AT350,$AS$2:$AS$440,0),COLUMNS($AT$2:AX350)),"")</f>
        <v>12</v>
      </c>
      <c r="AZ350">
        <f>IF(AY350&lt;&gt;"",INDEX($AE$2:$AP$440,MATCH($AT350,$AS$2:$AS$440,0),COLUMNS($AT$2:AY350)),"")</f>
        <v>11</v>
      </c>
      <c r="BA350">
        <f>IF(AZ350&lt;&gt;"",INDEX($AE$2:$AP$440,MATCH($AT350,$AS$2:$AS$440,0),COLUMNS($AT$2:AZ350)),"")</f>
        <v>15</v>
      </c>
      <c r="BB350">
        <f>IF(BA350&lt;&gt;"",INDEX($AE$2:$AP$440,MATCH($AT350,$AS$2:$AS$440,0),COLUMNS($AT$2:BA350)),"")</f>
        <v>56</v>
      </c>
      <c r="BC350">
        <f>IF(BB350&lt;&gt;"",INDEX($AE$2:$AP$440,MATCH($AT350,$AS$2:$AS$440,0),COLUMNS($AT$2:BB350)),"")</f>
        <v>60</v>
      </c>
      <c r="BD350">
        <f>IF(BC350&lt;&gt;"",INDEX($AE$2:$AP$440,MATCH($AT350,$AS$2:$AS$440,0),COLUMNS($AT$2:BC350)),"")</f>
        <v>-4</v>
      </c>
      <c r="BE350">
        <f>IF(BD350&lt;&gt;"",INDEX($AE$2:$AP$440,MATCH($AT350,$AS$2:$AS$440,0),COLUMNS($AT$2:BD350)),"")</f>
        <v>47</v>
      </c>
      <c r="BF350">
        <f>IF(BE350&lt;&gt;"",INDEX($AE$2:$AP$440,MATCH($AT350,$AS$2:$AS$440,0),COLUMNS($AT$2:BE350)),"")</f>
        <v>9</v>
      </c>
    </row>
    <row r="351" spans="1:58" x14ac:dyDescent="0.25">
      <c r="A351" s="5">
        <v>2017</v>
      </c>
      <c r="B351" s="5">
        <v>10</v>
      </c>
      <c r="C351" s="6" t="s">
        <v>21</v>
      </c>
      <c r="D351" s="5">
        <v>38</v>
      </c>
      <c r="E351" s="5">
        <v>12</v>
      </c>
      <c r="F351" s="5">
        <v>8</v>
      </c>
      <c r="G351" s="5">
        <v>18</v>
      </c>
      <c r="H351" s="5">
        <v>39</v>
      </c>
      <c r="I351" s="5">
        <v>47</v>
      </c>
      <c r="J351" s="5">
        <v>-8</v>
      </c>
      <c r="K351" s="5">
        <v>44</v>
      </c>
      <c r="L351" s="5">
        <f>IF(Table2[[#This Row],['#]]=1,"Champion", IF(Table2[[#This Row],['#]]&gt;=18,"Relegated",Table2[[#This Row],['#]]))</f>
        <v>10</v>
      </c>
      <c r="N351">
        <f>IF(COUNTIF($O$2:O351,O351)=1,N350+1,N350)</f>
        <v>41</v>
      </c>
      <c r="O351" s="4" t="str">
        <f>Table2[[#This Row],[Team]]</f>
        <v>Newcastle United</v>
      </c>
      <c r="P351" s="1" t="str">
        <f>IFERROR(VLOOKUP(ROWS($O$2:O351),$N$2:$O$441,2,0),"")</f>
        <v/>
      </c>
      <c r="Q351" s="1" t="str">
        <f>IF(P351&lt;&gt;"",SUMPRODUCT(--(Table2[Team]=P351)),"")</f>
        <v/>
      </c>
      <c r="R351" s="11" t="str">
        <f>IF(Q351&lt;&gt;"",Q351+ROWS($Q$2:Q351)/100,"")</f>
        <v/>
      </c>
      <c r="S351" t="str">
        <f>IF(R351&lt;&gt;"",LARGE($R$2:$R$441,ROWS($R$2:R351)),"")</f>
        <v/>
      </c>
      <c r="T351" s="1" t="str">
        <f>IF(R351&lt;&gt;"",INDEX($P$2:$Q$441,MATCH($S351,$R$2:$R$441,0),COLUMNS($S$2:S351)),"")</f>
        <v/>
      </c>
      <c r="U351" s="1" t="str">
        <f>IF(S351&lt;&gt;"",INDEX($P$2:$Q$441,MATCH($S351,$R$2:$R$441,0),COLUMNS($S$2:T351)),"")</f>
        <v/>
      </c>
      <c r="AE351" s="1">
        <f>Table2[[#This Row],[Year]]</f>
        <v>2017</v>
      </c>
      <c r="AF351" s="1">
        <f>Table2[[#This Row],['#]]</f>
        <v>10</v>
      </c>
      <c r="AG351" s="1" t="str">
        <f>Table2[[#This Row],[Team]]</f>
        <v>Newcastle United</v>
      </c>
      <c r="AH351" s="1">
        <f>Table2[[#This Row],[Pl]]</f>
        <v>38</v>
      </c>
      <c r="AI351" s="1">
        <f>Table2[[#This Row],[W]]</f>
        <v>12</v>
      </c>
      <c r="AJ351" s="1">
        <f>Table2[[#This Row],[D]]</f>
        <v>8</v>
      </c>
      <c r="AK351" s="1">
        <f>Table2[[#This Row],[L]]</f>
        <v>18</v>
      </c>
      <c r="AL351" s="1">
        <f>Table2[[#This Row],[F]]</f>
        <v>39</v>
      </c>
      <c r="AM351" s="1">
        <f>Table2[[#This Row],[A]]</f>
        <v>47</v>
      </c>
      <c r="AN351" s="1">
        <f>Table2[[#This Row],[GD]]</f>
        <v>-8</v>
      </c>
      <c r="AO351" s="1">
        <f>Table2[[#This Row],[Pts]]</f>
        <v>44</v>
      </c>
      <c r="AP351" s="1">
        <f>Table2[[#This Row],[Column1]]</f>
        <v>10</v>
      </c>
      <c r="AR351" t="b">
        <f t="shared" si="9"/>
        <v>1</v>
      </c>
      <c r="AS351">
        <f>IF(AR351,ROWS($AR$2:AR351),"")</f>
        <v>350</v>
      </c>
      <c r="AT351">
        <f>IFERROR(SMALL($AS$2:$AS$440,ROWS($AS$2:AS351)),"")</f>
        <v>350</v>
      </c>
      <c r="AU351">
        <f>IF(AT351&lt;&gt;"",INDEX($AE$2:$AP$440,MATCH($AT351,$AS$2:$AS$440,0),COLUMNS($AT$2:AT351)),"")</f>
        <v>2017</v>
      </c>
      <c r="AV351">
        <f>IF(AU351&lt;&gt;"",INDEX($AE$2:$AP$440,MATCH($AT351,$AS$2:$AS$440,0),COLUMNS($AT$2:AU351)),"")</f>
        <v>10</v>
      </c>
      <c r="AW351" t="str">
        <f>IF(AV351&lt;&gt;"",INDEX($AE$2:$AP$440,MATCH($AT351,$AS$2:$AS$440,0),COLUMNS($AT$2:AV351)),"")</f>
        <v>Newcastle United</v>
      </c>
      <c r="AX351">
        <f>IF(AW351&lt;&gt;"",INDEX($AE$2:$AP$440,MATCH($AT351,$AS$2:$AS$440,0),COLUMNS($AT$2:AW351)),"")</f>
        <v>38</v>
      </c>
      <c r="AY351">
        <f>IF(AX351&lt;&gt;"",INDEX($AE$2:$AP$440,MATCH($AT351,$AS$2:$AS$440,0),COLUMNS($AT$2:AX351)),"")</f>
        <v>12</v>
      </c>
      <c r="AZ351">
        <f>IF(AY351&lt;&gt;"",INDEX($AE$2:$AP$440,MATCH($AT351,$AS$2:$AS$440,0),COLUMNS($AT$2:AY351)),"")</f>
        <v>8</v>
      </c>
      <c r="BA351">
        <f>IF(AZ351&lt;&gt;"",INDEX($AE$2:$AP$440,MATCH($AT351,$AS$2:$AS$440,0),COLUMNS($AT$2:AZ351)),"")</f>
        <v>18</v>
      </c>
      <c r="BB351">
        <f>IF(BA351&lt;&gt;"",INDEX($AE$2:$AP$440,MATCH($AT351,$AS$2:$AS$440,0),COLUMNS($AT$2:BA351)),"")</f>
        <v>39</v>
      </c>
      <c r="BC351">
        <f>IF(BB351&lt;&gt;"",INDEX($AE$2:$AP$440,MATCH($AT351,$AS$2:$AS$440,0),COLUMNS($AT$2:BB351)),"")</f>
        <v>47</v>
      </c>
      <c r="BD351">
        <f>IF(BC351&lt;&gt;"",INDEX($AE$2:$AP$440,MATCH($AT351,$AS$2:$AS$440,0),COLUMNS($AT$2:BC351)),"")</f>
        <v>-8</v>
      </c>
      <c r="BE351">
        <f>IF(BD351&lt;&gt;"",INDEX($AE$2:$AP$440,MATCH($AT351,$AS$2:$AS$440,0),COLUMNS($AT$2:BD351)),"")</f>
        <v>44</v>
      </c>
      <c r="BF351">
        <f>IF(BE351&lt;&gt;"",INDEX($AE$2:$AP$440,MATCH($AT351,$AS$2:$AS$440,0),COLUMNS($AT$2:BE351)),"")</f>
        <v>10</v>
      </c>
    </row>
    <row r="352" spans="1:58" x14ac:dyDescent="0.25">
      <c r="A352" s="3">
        <v>2017</v>
      </c>
      <c r="B352" s="3">
        <v>11</v>
      </c>
      <c r="C352" s="4" t="s">
        <v>38</v>
      </c>
      <c r="D352" s="3">
        <v>38</v>
      </c>
      <c r="E352" s="3">
        <v>11</v>
      </c>
      <c r="F352" s="3">
        <v>11</v>
      </c>
      <c r="G352" s="3">
        <v>16</v>
      </c>
      <c r="H352" s="3">
        <v>45</v>
      </c>
      <c r="I352" s="3">
        <v>55</v>
      </c>
      <c r="J352" s="3">
        <v>-10</v>
      </c>
      <c r="K352" s="3">
        <v>44</v>
      </c>
      <c r="L352" s="5">
        <f>IF(Table2[[#This Row],['#]]=1,"Champion", IF(Table2[[#This Row],['#]]&gt;=18,"Relegated",Table2[[#This Row],['#]]))</f>
        <v>11</v>
      </c>
      <c r="N352">
        <f>IF(COUNTIF($O$2:O352,O352)=1,N351+1,N351)</f>
        <v>41</v>
      </c>
      <c r="O352" s="4" t="str">
        <f>Table2[[#This Row],[Team]]</f>
        <v>Crystal Palace</v>
      </c>
      <c r="P352" s="1" t="str">
        <f>IFERROR(VLOOKUP(ROWS($O$2:O352),$N$2:$O$441,2,0),"")</f>
        <v/>
      </c>
      <c r="Q352" s="1" t="str">
        <f>IF(P352&lt;&gt;"",SUMPRODUCT(--(Table2[Team]=P352)),"")</f>
        <v/>
      </c>
      <c r="R352" s="11" t="str">
        <f>IF(Q352&lt;&gt;"",Q352+ROWS($Q$2:Q352)/100,"")</f>
        <v/>
      </c>
      <c r="S352" t="str">
        <f>IF(R352&lt;&gt;"",LARGE($R$2:$R$441,ROWS($R$2:R352)),"")</f>
        <v/>
      </c>
      <c r="T352" s="1" t="str">
        <f>IF(R352&lt;&gt;"",INDEX($P$2:$Q$441,MATCH($S352,$R$2:$R$441,0),COLUMNS($S$2:S352)),"")</f>
        <v/>
      </c>
      <c r="U352" s="1" t="str">
        <f>IF(S352&lt;&gt;"",INDEX($P$2:$Q$441,MATCH($S352,$R$2:$R$441,0),COLUMNS($S$2:T352)),"")</f>
        <v/>
      </c>
      <c r="AE352" s="1">
        <f>Table2[[#This Row],[Year]]</f>
        <v>2017</v>
      </c>
      <c r="AF352" s="1">
        <f>Table2[[#This Row],['#]]</f>
        <v>11</v>
      </c>
      <c r="AG352" s="1" t="str">
        <f>Table2[[#This Row],[Team]]</f>
        <v>Crystal Palace</v>
      </c>
      <c r="AH352" s="1">
        <f>Table2[[#This Row],[Pl]]</f>
        <v>38</v>
      </c>
      <c r="AI352" s="1">
        <f>Table2[[#This Row],[W]]</f>
        <v>11</v>
      </c>
      <c r="AJ352" s="1">
        <f>Table2[[#This Row],[D]]</f>
        <v>11</v>
      </c>
      <c r="AK352" s="1">
        <f>Table2[[#This Row],[L]]</f>
        <v>16</v>
      </c>
      <c r="AL352" s="1">
        <f>Table2[[#This Row],[F]]</f>
        <v>45</v>
      </c>
      <c r="AM352" s="1">
        <f>Table2[[#This Row],[A]]</f>
        <v>55</v>
      </c>
      <c r="AN352" s="1">
        <f>Table2[[#This Row],[GD]]</f>
        <v>-10</v>
      </c>
      <c r="AO352" s="1">
        <f>Table2[[#This Row],[Pts]]</f>
        <v>44</v>
      </c>
      <c r="AP352" s="1">
        <f>Table2[[#This Row],[Column1]]</f>
        <v>11</v>
      </c>
      <c r="AR352" t="b">
        <f t="shared" si="9"/>
        <v>1</v>
      </c>
      <c r="AS352">
        <f>IF(AR352,ROWS($AR$2:AR352),"")</f>
        <v>351</v>
      </c>
      <c r="AT352">
        <f>IFERROR(SMALL($AS$2:$AS$440,ROWS($AS$2:AS352)),"")</f>
        <v>351</v>
      </c>
      <c r="AU352">
        <f>IF(AT352&lt;&gt;"",INDEX($AE$2:$AP$440,MATCH($AT352,$AS$2:$AS$440,0),COLUMNS($AT$2:AT352)),"")</f>
        <v>2017</v>
      </c>
      <c r="AV352">
        <f>IF(AU352&lt;&gt;"",INDEX($AE$2:$AP$440,MATCH($AT352,$AS$2:$AS$440,0),COLUMNS($AT$2:AU352)),"")</f>
        <v>11</v>
      </c>
      <c r="AW352" t="str">
        <f>IF(AV352&lt;&gt;"",INDEX($AE$2:$AP$440,MATCH($AT352,$AS$2:$AS$440,0),COLUMNS($AT$2:AV352)),"")</f>
        <v>Crystal Palace</v>
      </c>
      <c r="AX352">
        <f>IF(AW352&lt;&gt;"",INDEX($AE$2:$AP$440,MATCH($AT352,$AS$2:$AS$440,0),COLUMNS($AT$2:AW352)),"")</f>
        <v>38</v>
      </c>
      <c r="AY352">
        <f>IF(AX352&lt;&gt;"",INDEX($AE$2:$AP$440,MATCH($AT352,$AS$2:$AS$440,0),COLUMNS($AT$2:AX352)),"")</f>
        <v>11</v>
      </c>
      <c r="AZ352">
        <f>IF(AY352&lt;&gt;"",INDEX($AE$2:$AP$440,MATCH($AT352,$AS$2:$AS$440,0),COLUMNS($AT$2:AY352)),"")</f>
        <v>11</v>
      </c>
      <c r="BA352">
        <f>IF(AZ352&lt;&gt;"",INDEX($AE$2:$AP$440,MATCH($AT352,$AS$2:$AS$440,0),COLUMNS($AT$2:AZ352)),"")</f>
        <v>16</v>
      </c>
      <c r="BB352">
        <f>IF(BA352&lt;&gt;"",INDEX($AE$2:$AP$440,MATCH($AT352,$AS$2:$AS$440,0),COLUMNS($AT$2:BA352)),"")</f>
        <v>45</v>
      </c>
      <c r="BC352">
        <f>IF(BB352&lt;&gt;"",INDEX($AE$2:$AP$440,MATCH($AT352,$AS$2:$AS$440,0),COLUMNS($AT$2:BB352)),"")</f>
        <v>55</v>
      </c>
      <c r="BD352">
        <f>IF(BC352&lt;&gt;"",INDEX($AE$2:$AP$440,MATCH($AT352,$AS$2:$AS$440,0),COLUMNS($AT$2:BC352)),"")</f>
        <v>-10</v>
      </c>
      <c r="BE352">
        <f>IF(BD352&lt;&gt;"",INDEX($AE$2:$AP$440,MATCH($AT352,$AS$2:$AS$440,0),COLUMNS($AT$2:BD352)),"")</f>
        <v>44</v>
      </c>
      <c r="BF352">
        <f>IF(BE352&lt;&gt;"",INDEX($AE$2:$AP$440,MATCH($AT352,$AS$2:$AS$440,0),COLUMNS($AT$2:BE352)),"")</f>
        <v>11</v>
      </c>
    </row>
    <row r="353" spans="1:58" x14ac:dyDescent="0.25">
      <c r="A353" s="5">
        <v>2017</v>
      </c>
      <c r="B353" s="5">
        <v>12</v>
      </c>
      <c r="C353" s="6" t="s">
        <v>51</v>
      </c>
      <c r="D353" s="5">
        <v>38</v>
      </c>
      <c r="E353" s="5">
        <v>11</v>
      </c>
      <c r="F353" s="5">
        <v>11</v>
      </c>
      <c r="G353" s="5">
        <v>16</v>
      </c>
      <c r="H353" s="5">
        <v>45</v>
      </c>
      <c r="I353" s="5">
        <v>61</v>
      </c>
      <c r="J353" s="5">
        <v>-16</v>
      </c>
      <c r="K353" s="5">
        <v>44</v>
      </c>
      <c r="L353" s="5">
        <f>IF(Table2[[#This Row],['#]]=1,"Champion", IF(Table2[[#This Row],['#]]&gt;=18,"Relegated",Table2[[#This Row],['#]]))</f>
        <v>12</v>
      </c>
      <c r="N353">
        <f>IF(COUNTIF($O$2:O353,O353)=1,N352+1,N352)</f>
        <v>41</v>
      </c>
      <c r="O353" s="4" t="str">
        <f>Table2[[#This Row],[Team]]</f>
        <v>Bournemouth</v>
      </c>
      <c r="P353" s="1" t="str">
        <f>IFERROR(VLOOKUP(ROWS($O$2:O353),$N$2:$O$441,2,0),"")</f>
        <v/>
      </c>
      <c r="Q353" s="1" t="str">
        <f>IF(P353&lt;&gt;"",SUMPRODUCT(--(Table2[Team]=P353)),"")</f>
        <v/>
      </c>
      <c r="R353" s="11" t="str">
        <f>IF(Q353&lt;&gt;"",Q353+ROWS($Q$2:Q353)/100,"")</f>
        <v/>
      </c>
      <c r="S353" t="str">
        <f>IF(R353&lt;&gt;"",LARGE($R$2:$R$441,ROWS($R$2:R353)),"")</f>
        <v/>
      </c>
      <c r="T353" s="1" t="str">
        <f>IF(R353&lt;&gt;"",INDEX($P$2:$Q$441,MATCH($S353,$R$2:$R$441,0),COLUMNS($S$2:S353)),"")</f>
        <v/>
      </c>
      <c r="U353" s="1" t="str">
        <f>IF(S353&lt;&gt;"",INDEX($P$2:$Q$441,MATCH($S353,$R$2:$R$441,0),COLUMNS($S$2:T353)),"")</f>
        <v/>
      </c>
      <c r="AE353" s="1">
        <f>Table2[[#This Row],[Year]]</f>
        <v>2017</v>
      </c>
      <c r="AF353" s="1">
        <f>Table2[[#This Row],['#]]</f>
        <v>12</v>
      </c>
      <c r="AG353" s="1" t="str">
        <f>Table2[[#This Row],[Team]]</f>
        <v>Bournemouth</v>
      </c>
      <c r="AH353" s="1">
        <f>Table2[[#This Row],[Pl]]</f>
        <v>38</v>
      </c>
      <c r="AI353" s="1">
        <f>Table2[[#This Row],[W]]</f>
        <v>11</v>
      </c>
      <c r="AJ353" s="1">
        <f>Table2[[#This Row],[D]]</f>
        <v>11</v>
      </c>
      <c r="AK353" s="1">
        <f>Table2[[#This Row],[L]]</f>
        <v>16</v>
      </c>
      <c r="AL353" s="1">
        <f>Table2[[#This Row],[F]]</f>
        <v>45</v>
      </c>
      <c r="AM353" s="1">
        <f>Table2[[#This Row],[A]]</f>
        <v>61</v>
      </c>
      <c r="AN353" s="1">
        <f>Table2[[#This Row],[GD]]</f>
        <v>-16</v>
      </c>
      <c r="AO353" s="1">
        <f>Table2[[#This Row],[Pts]]</f>
        <v>44</v>
      </c>
      <c r="AP353" s="1">
        <f>Table2[[#This Row],[Column1]]</f>
        <v>12</v>
      </c>
      <c r="AR353" t="b">
        <f t="shared" si="9"/>
        <v>1</v>
      </c>
      <c r="AS353">
        <f>IF(AR353,ROWS($AR$2:AR353),"")</f>
        <v>352</v>
      </c>
      <c r="AT353">
        <f>IFERROR(SMALL($AS$2:$AS$440,ROWS($AS$2:AS353)),"")</f>
        <v>352</v>
      </c>
      <c r="AU353">
        <f>IF(AT353&lt;&gt;"",INDEX($AE$2:$AP$440,MATCH($AT353,$AS$2:$AS$440,0),COLUMNS($AT$2:AT353)),"")</f>
        <v>2017</v>
      </c>
      <c r="AV353">
        <f>IF(AU353&lt;&gt;"",INDEX($AE$2:$AP$440,MATCH($AT353,$AS$2:$AS$440,0),COLUMNS($AT$2:AU353)),"")</f>
        <v>12</v>
      </c>
      <c r="AW353" t="str">
        <f>IF(AV353&lt;&gt;"",INDEX($AE$2:$AP$440,MATCH($AT353,$AS$2:$AS$440,0),COLUMNS($AT$2:AV353)),"")</f>
        <v>Bournemouth</v>
      </c>
      <c r="AX353">
        <f>IF(AW353&lt;&gt;"",INDEX($AE$2:$AP$440,MATCH($AT353,$AS$2:$AS$440,0),COLUMNS($AT$2:AW353)),"")</f>
        <v>38</v>
      </c>
      <c r="AY353">
        <f>IF(AX353&lt;&gt;"",INDEX($AE$2:$AP$440,MATCH($AT353,$AS$2:$AS$440,0),COLUMNS($AT$2:AX353)),"")</f>
        <v>11</v>
      </c>
      <c r="AZ353">
        <f>IF(AY353&lt;&gt;"",INDEX($AE$2:$AP$440,MATCH($AT353,$AS$2:$AS$440,0),COLUMNS($AT$2:AY353)),"")</f>
        <v>11</v>
      </c>
      <c r="BA353">
        <f>IF(AZ353&lt;&gt;"",INDEX($AE$2:$AP$440,MATCH($AT353,$AS$2:$AS$440,0),COLUMNS($AT$2:AZ353)),"")</f>
        <v>16</v>
      </c>
      <c r="BB353">
        <f>IF(BA353&lt;&gt;"",INDEX($AE$2:$AP$440,MATCH($AT353,$AS$2:$AS$440,0),COLUMNS($AT$2:BA353)),"")</f>
        <v>45</v>
      </c>
      <c r="BC353">
        <f>IF(BB353&lt;&gt;"",INDEX($AE$2:$AP$440,MATCH($AT353,$AS$2:$AS$440,0),COLUMNS($AT$2:BB353)),"")</f>
        <v>61</v>
      </c>
      <c r="BD353">
        <f>IF(BC353&lt;&gt;"",INDEX($AE$2:$AP$440,MATCH($AT353,$AS$2:$AS$440,0),COLUMNS($AT$2:BC353)),"")</f>
        <v>-16</v>
      </c>
      <c r="BE353">
        <f>IF(BD353&lt;&gt;"",INDEX($AE$2:$AP$440,MATCH($AT353,$AS$2:$AS$440,0),COLUMNS($AT$2:BD353)),"")</f>
        <v>44</v>
      </c>
      <c r="BF353">
        <f>IF(BE353&lt;&gt;"",INDEX($AE$2:$AP$440,MATCH($AT353,$AS$2:$AS$440,0),COLUMNS($AT$2:BE353)),"")</f>
        <v>12</v>
      </c>
    </row>
    <row r="354" spans="1:58" x14ac:dyDescent="0.25">
      <c r="A354" s="3">
        <v>2017</v>
      </c>
      <c r="B354" s="3">
        <v>13</v>
      </c>
      <c r="C354" s="4" t="s">
        <v>25</v>
      </c>
      <c r="D354" s="3">
        <v>38</v>
      </c>
      <c r="E354" s="3">
        <v>10</v>
      </c>
      <c r="F354" s="3">
        <v>12</v>
      </c>
      <c r="G354" s="3">
        <v>16</v>
      </c>
      <c r="H354" s="3">
        <v>48</v>
      </c>
      <c r="I354" s="3">
        <v>68</v>
      </c>
      <c r="J354" s="3">
        <v>-20</v>
      </c>
      <c r="K354" s="3">
        <v>42</v>
      </c>
      <c r="L354" s="5">
        <f>IF(Table2[[#This Row],['#]]=1,"Champion", IF(Table2[[#This Row],['#]]&gt;=18,"Relegated",Table2[[#This Row],['#]]))</f>
        <v>13</v>
      </c>
      <c r="N354">
        <f>IF(COUNTIF($O$2:O354,O354)=1,N353+1,N353)</f>
        <v>41</v>
      </c>
      <c r="O354" s="4" t="str">
        <f>Table2[[#This Row],[Team]]</f>
        <v>West Ham United</v>
      </c>
      <c r="P354" s="1" t="str">
        <f>IFERROR(VLOOKUP(ROWS($O$2:O354),$N$2:$O$441,2,0),"")</f>
        <v/>
      </c>
      <c r="Q354" s="1" t="str">
        <f>IF(P354&lt;&gt;"",SUMPRODUCT(--(Table2[Team]=P354)),"")</f>
        <v/>
      </c>
      <c r="R354" s="11" t="str">
        <f>IF(Q354&lt;&gt;"",Q354+ROWS($Q$2:Q354)/100,"")</f>
        <v/>
      </c>
      <c r="S354" t="str">
        <f>IF(R354&lt;&gt;"",LARGE($R$2:$R$441,ROWS($R$2:R354)),"")</f>
        <v/>
      </c>
      <c r="T354" s="1" t="str">
        <f>IF(R354&lt;&gt;"",INDEX($P$2:$Q$441,MATCH($S354,$R$2:$R$441,0),COLUMNS($S$2:S354)),"")</f>
        <v/>
      </c>
      <c r="U354" s="1" t="str">
        <f>IF(S354&lt;&gt;"",INDEX($P$2:$Q$441,MATCH($S354,$R$2:$R$441,0),COLUMNS($S$2:T354)),"")</f>
        <v/>
      </c>
      <c r="AE354" s="1">
        <f>Table2[[#This Row],[Year]]</f>
        <v>2017</v>
      </c>
      <c r="AF354" s="1">
        <f>Table2[[#This Row],['#]]</f>
        <v>13</v>
      </c>
      <c r="AG354" s="1" t="str">
        <f>Table2[[#This Row],[Team]]</f>
        <v>West Ham United</v>
      </c>
      <c r="AH354" s="1">
        <f>Table2[[#This Row],[Pl]]</f>
        <v>38</v>
      </c>
      <c r="AI354" s="1">
        <f>Table2[[#This Row],[W]]</f>
        <v>10</v>
      </c>
      <c r="AJ354" s="1">
        <f>Table2[[#This Row],[D]]</f>
        <v>12</v>
      </c>
      <c r="AK354" s="1">
        <f>Table2[[#This Row],[L]]</f>
        <v>16</v>
      </c>
      <c r="AL354" s="1">
        <f>Table2[[#This Row],[F]]</f>
        <v>48</v>
      </c>
      <c r="AM354" s="1">
        <f>Table2[[#This Row],[A]]</f>
        <v>68</v>
      </c>
      <c r="AN354" s="1">
        <f>Table2[[#This Row],[GD]]</f>
        <v>-20</v>
      </c>
      <c r="AO354" s="1">
        <f>Table2[[#This Row],[Pts]]</f>
        <v>42</v>
      </c>
      <c r="AP354" s="1">
        <f>Table2[[#This Row],[Column1]]</f>
        <v>13</v>
      </c>
      <c r="AR354" t="b">
        <f t="shared" si="9"/>
        <v>1</v>
      </c>
      <c r="AS354">
        <f>IF(AR354,ROWS($AR$2:AR354),"")</f>
        <v>353</v>
      </c>
      <c r="AT354">
        <f>IFERROR(SMALL($AS$2:$AS$440,ROWS($AS$2:AS354)),"")</f>
        <v>353</v>
      </c>
      <c r="AU354">
        <f>IF(AT354&lt;&gt;"",INDEX($AE$2:$AP$440,MATCH($AT354,$AS$2:$AS$440,0),COLUMNS($AT$2:AT354)),"")</f>
        <v>2017</v>
      </c>
      <c r="AV354">
        <f>IF(AU354&lt;&gt;"",INDEX($AE$2:$AP$440,MATCH($AT354,$AS$2:$AS$440,0),COLUMNS($AT$2:AU354)),"")</f>
        <v>13</v>
      </c>
      <c r="AW354" t="str">
        <f>IF(AV354&lt;&gt;"",INDEX($AE$2:$AP$440,MATCH($AT354,$AS$2:$AS$440,0),COLUMNS($AT$2:AV354)),"")</f>
        <v>West Ham United</v>
      </c>
      <c r="AX354">
        <f>IF(AW354&lt;&gt;"",INDEX($AE$2:$AP$440,MATCH($AT354,$AS$2:$AS$440,0),COLUMNS($AT$2:AW354)),"")</f>
        <v>38</v>
      </c>
      <c r="AY354">
        <f>IF(AX354&lt;&gt;"",INDEX($AE$2:$AP$440,MATCH($AT354,$AS$2:$AS$440,0),COLUMNS($AT$2:AX354)),"")</f>
        <v>10</v>
      </c>
      <c r="AZ354">
        <f>IF(AY354&lt;&gt;"",INDEX($AE$2:$AP$440,MATCH($AT354,$AS$2:$AS$440,0),COLUMNS($AT$2:AY354)),"")</f>
        <v>12</v>
      </c>
      <c r="BA354">
        <f>IF(AZ354&lt;&gt;"",INDEX($AE$2:$AP$440,MATCH($AT354,$AS$2:$AS$440,0),COLUMNS($AT$2:AZ354)),"")</f>
        <v>16</v>
      </c>
      <c r="BB354">
        <f>IF(BA354&lt;&gt;"",INDEX($AE$2:$AP$440,MATCH($AT354,$AS$2:$AS$440,0),COLUMNS($AT$2:BA354)),"")</f>
        <v>48</v>
      </c>
      <c r="BC354">
        <f>IF(BB354&lt;&gt;"",INDEX($AE$2:$AP$440,MATCH($AT354,$AS$2:$AS$440,0),COLUMNS($AT$2:BB354)),"")</f>
        <v>68</v>
      </c>
      <c r="BD354">
        <f>IF(BC354&lt;&gt;"",INDEX($AE$2:$AP$440,MATCH($AT354,$AS$2:$AS$440,0),COLUMNS($AT$2:BC354)),"")</f>
        <v>-20</v>
      </c>
      <c r="BE354">
        <f>IF(BD354&lt;&gt;"",INDEX($AE$2:$AP$440,MATCH($AT354,$AS$2:$AS$440,0),COLUMNS($AT$2:BD354)),"")</f>
        <v>42</v>
      </c>
      <c r="BF354">
        <f>IF(BE354&lt;&gt;"",INDEX($AE$2:$AP$440,MATCH($AT354,$AS$2:$AS$440,0),COLUMNS($AT$2:BE354)),"")</f>
        <v>13</v>
      </c>
    </row>
    <row r="355" spans="1:58" x14ac:dyDescent="0.25">
      <c r="A355" s="5">
        <v>2017</v>
      </c>
      <c r="B355" s="5">
        <v>14</v>
      </c>
      <c r="C355" s="6" t="s">
        <v>43</v>
      </c>
      <c r="D355" s="5">
        <v>38</v>
      </c>
      <c r="E355" s="5">
        <v>11</v>
      </c>
      <c r="F355" s="5">
        <v>8</v>
      </c>
      <c r="G355" s="5">
        <v>19</v>
      </c>
      <c r="H355" s="5">
        <v>44</v>
      </c>
      <c r="I355" s="5">
        <v>64</v>
      </c>
      <c r="J355" s="5">
        <v>-20</v>
      </c>
      <c r="K355" s="5">
        <v>41</v>
      </c>
      <c r="L355" s="5">
        <f>IF(Table2[[#This Row],['#]]=1,"Champion", IF(Table2[[#This Row],['#]]&gt;=18,"Relegated",Table2[[#This Row],['#]]))</f>
        <v>14</v>
      </c>
      <c r="N355">
        <f>IF(COUNTIF($O$2:O355,O355)=1,N354+1,N354)</f>
        <v>41</v>
      </c>
      <c r="O355" s="4" t="str">
        <f>Table2[[#This Row],[Team]]</f>
        <v>Watford</v>
      </c>
      <c r="P355" s="1" t="str">
        <f>IFERROR(VLOOKUP(ROWS($O$2:O355),$N$2:$O$441,2,0),"")</f>
        <v/>
      </c>
      <c r="Q355" s="1" t="str">
        <f>IF(P355&lt;&gt;"",SUMPRODUCT(--(Table2[Team]=P355)),"")</f>
        <v/>
      </c>
      <c r="R355" s="11" t="str">
        <f>IF(Q355&lt;&gt;"",Q355+ROWS($Q$2:Q355)/100,"")</f>
        <v/>
      </c>
      <c r="S355" t="str">
        <f>IF(R355&lt;&gt;"",LARGE($R$2:$R$441,ROWS($R$2:R355)),"")</f>
        <v/>
      </c>
      <c r="T355" s="1" t="str">
        <f>IF(R355&lt;&gt;"",INDEX($P$2:$Q$441,MATCH($S355,$R$2:$R$441,0),COLUMNS($S$2:S355)),"")</f>
        <v/>
      </c>
      <c r="U355" s="1" t="str">
        <f>IF(S355&lt;&gt;"",INDEX($P$2:$Q$441,MATCH($S355,$R$2:$R$441,0),COLUMNS($S$2:T355)),"")</f>
        <v/>
      </c>
      <c r="AE355" s="1">
        <f>Table2[[#This Row],[Year]]</f>
        <v>2017</v>
      </c>
      <c r="AF355" s="1">
        <f>Table2[[#This Row],['#]]</f>
        <v>14</v>
      </c>
      <c r="AG355" s="1" t="str">
        <f>Table2[[#This Row],[Team]]</f>
        <v>Watford</v>
      </c>
      <c r="AH355" s="1">
        <f>Table2[[#This Row],[Pl]]</f>
        <v>38</v>
      </c>
      <c r="AI355" s="1">
        <f>Table2[[#This Row],[W]]</f>
        <v>11</v>
      </c>
      <c r="AJ355" s="1">
        <f>Table2[[#This Row],[D]]</f>
        <v>8</v>
      </c>
      <c r="AK355" s="1">
        <f>Table2[[#This Row],[L]]</f>
        <v>19</v>
      </c>
      <c r="AL355" s="1">
        <f>Table2[[#This Row],[F]]</f>
        <v>44</v>
      </c>
      <c r="AM355" s="1">
        <f>Table2[[#This Row],[A]]</f>
        <v>64</v>
      </c>
      <c r="AN355" s="1">
        <f>Table2[[#This Row],[GD]]</f>
        <v>-20</v>
      </c>
      <c r="AO355" s="1">
        <f>Table2[[#This Row],[Pts]]</f>
        <v>41</v>
      </c>
      <c r="AP355" s="1">
        <f>Table2[[#This Row],[Column1]]</f>
        <v>14</v>
      </c>
      <c r="AR355" t="b">
        <f t="shared" si="9"/>
        <v>1</v>
      </c>
      <c r="AS355">
        <f>IF(AR355,ROWS($AR$2:AR355),"")</f>
        <v>354</v>
      </c>
      <c r="AT355">
        <f>IFERROR(SMALL($AS$2:$AS$440,ROWS($AS$2:AS355)),"")</f>
        <v>354</v>
      </c>
      <c r="AU355">
        <f>IF(AT355&lt;&gt;"",INDEX($AE$2:$AP$440,MATCH($AT355,$AS$2:$AS$440,0),COLUMNS($AT$2:AT355)),"")</f>
        <v>2017</v>
      </c>
      <c r="AV355">
        <f>IF(AU355&lt;&gt;"",INDEX($AE$2:$AP$440,MATCH($AT355,$AS$2:$AS$440,0),COLUMNS($AT$2:AU355)),"")</f>
        <v>14</v>
      </c>
      <c r="AW355" t="str">
        <f>IF(AV355&lt;&gt;"",INDEX($AE$2:$AP$440,MATCH($AT355,$AS$2:$AS$440,0),COLUMNS($AT$2:AV355)),"")</f>
        <v>Watford</v>
      </c>
      <c r="AX355">
        <f>IF(AW355&lt;&gt;"",INDEX($AE$2:$AP$440,MATCH($AT355,$AS$2:$AS$440,0),COLUMNS($AT$2:AW355)),"")</f>
        <v>38</v>
      </c>
      <c r="AY355">
        <f>IF(AX355&lt;&gt;"",INDEX($AE$2:$AP$440,MATCH($AT355,$AS$2:$AS$440,0),COLUMNS($AT$2:AX355)),"")</f>
        <v>11</v>
      </c>
      <c r="AZ355">
        <f>IF(AY355&lt;&gt;"",INDEX($AE$2:$AP$440,MATCH($AT355,$AS$2:$AS$440,0),COLUMNS($AT$2:AY355)),"")</f>
        <v>8</v>
      </c>
      <c r="BA355">
        <f>IF(AZ355&lt;&gt;"",INDEX($AE$2:$AP$440,MATCH($AT355,$AS$2:$AS$440,0),COLUMNS($AT$2:AZ355)),"")</f>
        <v>19</v>
      </c>
      <c r="BB355">
        <f>IF(BA355&lt;&gt;"",INDEX($AE$2:$AP$440,MATCH($AT355,$AS$2:$AS$440,0),COLUMNS($AT$2:BA355)),"")</f>
        <v>44</v>
      </c>
      <c r="BC355">
        <f>IF(BB355&lt;&gt;"",INDEX($AE$2:$AP$440,MATCH($AT355,$AS$2:$AS$440,0),COLUMNS($AT$2:BB355)),"")</f>
        <v>64</v>
      </c>
      <c r="BD355">
        <f>IF(BC355&lt;&gt;"",INDEX($AE$2:$AP$440,MATCH($AT355,$AS$2:$AS$440,0),COLUMNS($AT$2:BC355)),"")</f>
        <v>-20</v>
      </c>
      <c r="BE355">
        <f>IF(BD355&lt;&gt;"",INDEX($AE$2:$AP$440,MATCH($AT355,$AS$2:$AS$440,0),COLUMNS($AT$2:BD355)),"")</f>
        <v>41</v>
      </c>
      <c r="BF355">
        <f>IF(BE355&lt;&gt;"",INDEX($AE$2:$AP$440,MATCH($AT355,$AS$2:$AS$440,0),COLUMNS($AT$2:BE355)),"")</f>
        <v>14</v>
      </c>
    </row>
    <row r="356" spans="1:58" x14ac:dyDescent="0.25">
      <c r="A356" s="3">
        <v>2017</v>
      </c>
      <c r="B356" s="3">
        <v>15</v>
      </c>
      <c r="C356" s="4" t="s">
        <v>55</v>
      </c>
      <c r="D356" s="3">
        <v>38</v>
      </c>
      <c r="E356" s="3">
        <v>9</v>
      </c>
      <c r="F356" s="3">
        <v>13</v>
      </c>
      <c r="G356" s="3">
        <v>16</v>
      </c>
      <c r="H356" s="3">
        <v>34</v>
      </c>
      <c r="I356" s="3">
        <v>54</v>
      </c>
      <c r="J356" s="3">
        <v>-20</v>
      </c>
      <c r="K356" s="3">
        <v>40</v>
      </c>
      <c r="L356" s="5">
        <f>IF(Table2[[#This Row],['#]]=1,"Champion", IF(Table2[[#This Row],['#]]&gt;=18,"Relegated",Table2[[#This Row],['#]]))</f>
        <v>15</v>
      </c>
      <c r="N356">
        <f>IF(COUNTIF($O$2:O356,O356)=1,N355+1,N355)</f>
        <v>42</v>
      </c>
      <c r="O356" s="4" t="str">
        <f>Table2[[#This Row],[Team]]</f>
        <v>Brighton And Hove Albion</v>
      </c>
      <c r="P356" s="1" t="str">
        <f>IFERROR(VLOOKUP(ROWS($O$2:O356),$N$2:$O$441,2,0),"")</f>
        <v/>
      </c>
      <c r="Q356" s="1" t="str">
        <f>IF(P356&lt;&gt;"",SUMPRODUCT(--(Table2[Team]=P356)),"")</f>
        <v/>
      </c>
      <c r="R356" s="11" t="str">
        <f>IF(Q356&lt;&gt;"",Q356+ROWS($Q$2:Q356)/100,"")</f>
        <v/>
      </c>
      <c r="S356" t="str">
        <f>IF(R356&lt;&gt;"",LARGE($R$2:$R$441,ROWS($R$2:R356)),"")</f>
        <v/>
      </c>
      <c r="T356" s="1" t="str">
        <f>IF(R356&lt;&gt;"",INDEX($P$2:$Q$441,MATCH($S356,$R$2:$R$441,0),COLUMNS($S$2:S356)),"")</f>
        <v/>
      </c>
      <c r="U356" s="1" t="str">
        <f>IF(S356&lt;&gt;"",INDEX($P$2:$Q$441,MATCH($S356,$R$2:$R$441,0),COLUMNS($S$2:T356)),"")</f>
        <v/>
      </c>
      <c r="AE356" s="1">
        <f>Table2[[#This Row],[Year]]</f>
        <v>2017</v>
      </c>
      <c r="AF356" s="1">
        <f>Table2[[#This Row],['#]]</f>
        <v>15</v>
      </c>
      <c r="AG356" s="1" t="str">
        <f>Table2[[#This Row],[Team]]</f>
        <v>Brighton And Hove Albion</v>
      </c>
      <c r="AH356" s="1">
        <f>Table2[[#This Row],[Pl]]</f>
        <v>38</v>
      </c>
      <c r="AI356" s="1">
        <f>Table2[[#This Row],[W]]</f>
        <v>9</v>
      </c>
      <c r="AJ356" s="1">
        <f>Table2[[#This Row],[D]]</f>
        <v>13</v>
      </c>
      <c r="AK356" s="1">
        <f>Table2[[#This Row],[L]]</f>
        <v>16</v>
      </c>
      <c r="AL356" s="1">
        <f>Table2[[#This Row],[F]]</f>
        <v>34</v>
      </c>
      <c r="AM356" s="1">
        <f>Table2[[#This Row],[A]]</f>
        <v>54</v>
      </c>
      <c r="AN356" s="1">
        <f>Table2[[#This Row],[GD]]</f>
        <v>-20</v>
      </c>
      <c r="AO356" s="1">
        <f>Table2[[#This Row],[Pts]]</f>
        <v>40</v>
      </c>
      <c r="AP356" s="1">
        <f>Table2[[#This Row],[Column1]]</f>
        <v>15</v>
      </c>
      <c r="AR356" t="b">
        <f t="shared" si="9"/>
        <v>1</v>
      </c>
      <c r="AS356">
        <f>IF(AR356,ROWS($AR$2:AR356),"")</f>
        <v>355</v>
      </c>
      <c r="AT356">
        <f>IFERROR(SMALL($AS$2:$AS$440,ROWS($AS$2:AS356)),"")</f>
        <v>355</v>
      </c>
      <c r="AU356">
        <f>IF(AT356&lt;&gt;"",INDEX($AE$2:$AP$440,MATCH($AT356,$AS$2:$AS$440,0),COLUMNS($AT$2:AT356)),"")</f>
        <v>2017</v>
      </c>
      <c r="AV356">
        <f>IF(AU356&lt;&gt;"",INDEX($AE$2:$AP$440,MATCH($AT356,$AS$2:$AS$440,0),COLUMNS($AT$2:AU356)),"")</f>
        <v>15</v>
      </c>
      <c r="AW356" t="str">
        <f>IF(AV356&lt;&gt;"",INDEX($AE$2:$AP$440,MATCH($AT356,$AS$2:$AS$440,0),COLUMNS($AT$2:AV356)),"")</f>
        <v>Brighton And Hove Albion</v>
      </c>
      <c r="AX356">
        <f>IF(AW356&lt;&gt;"",INDEX($AE$2:$AP$440,MATCH($AT356,$AS$2:$AS$440,0),COLUMNS($AT$2:AW356)),"")</f>
        <v>38</v>
      </c>
      <c r="AY356">
        <f>IF(AX356&lt;&gt;"",INDEX($AE$2:$AP$440,MATCH($AT356,$AS$2:$AS$440,0),COLUMNS($AT$2:AX356)),"")</f>
        <v>9</v>
      </c>
      <c r="AZ356">
        <f>IF(AY356&lt;&gt;"",INDEX($AE$2:$AP$440,MATCH($AT356,$AS$2:$AS$440,0),COLUMNS($AT$2:AY356)),"")</f>
        <v>13</v>
      </c>
      <c r="BA356">
        <f>IF(AZ356&lt;&gt;"",INDEX($AE$2:$AP$440,MATCH($AT356,$AS$2:$AS$440,0),COLUMNS($AT$2:AZ356)),"")</f>
        <v>16</v>
      </c>
      <c r="BB356">
        <f>IF(BA356&lt;&gt;"",INDEX($AE$2:$AP$440,MATCH($AT356,$AS$2:$AS$440,0),COLUMNS($AT$2:BA356)),"")</f>
        <v>34</v>
      </c>
      <c r="BC356">
        <f>IF(BB356&lt;&gt;"",INDEX($AE$2:$AP$440,MATCH($AT356,$AS$2:$AS$440,0),COLUMNS($AT$2:BB356)),"")</f>
        <v>54</v>
      </c>
      <c r="BD356">
        <f>IF(BC356&lt;&gt;"",INDEX($AE$2:$AP$440,MATCH($AT356,$AS$2:$AS$440,0),COLUMNS($AT$2:BC356)),"")</f>
        <v>-20</v>
      </c>
      <c r="BE356">
        <f>IF(BD356&lt;&gt;"",INDEX($AE$2:$AP$440,MATCH($AT356,$AS$2:$AS$440,0),COLUMNS($AT$2:BD356)),"")</f>
        <v>40</v>
      </c>
      <c r="BF356">
        <f>IF(BE356&lt;&gt;"",INDEX($AE$2:$AP$440,MATCH($AT356,$AS$2:$AS$440,0),COLUMNS($AT$2:BE356)),"")</f>
        <v>15</v>
      </c>
    </row>
    <row r="357" spans="1:58" x14ac:dyDescent="0.25">
      <c r="A357" s="5">
        <v>2017</v>
      </c>
      <c r="B357" s="5">
        <v>16</v>
      </c>
      <c r="C357" s="6" t="s">
        <v>52</v>
      </c>
      <c r="D357" s="5">
        <v>38</v>
      </c>
      <c r="E357" s="5">
        <v>9</v>
      </c>
      <c r="F357" s="5">
        <v>10</v>
      </c>
      <c r="G357" s="5">
        <v>19</v>
      </c>
      <c r="H357" s="5">
        <v>28</v>
      </c>
      <c r="I357" s="5">
        <v>58</v>
      </c>
      <c r="J357" s="5">
        <v>-30</v>
      </c>
      <c r="K357" s="5">
        <v>37</v>
      </c>
      <c r="L357" s="5">
        <f>IF(Table2[[#This Row],['#]]=1,"Champion", IF(Table2[[#This Row],['#]]&gt;=18,"Relegated",Table2[[#This Row],['#]]))</f>
        <v>16</v>
      </c>
      <c r="N357">
        <f>IF(COUNTIF($O$2:O357,O357)=1,N356+1,N356)</f>
        <v>43</v>
      </c>
      <c r="O357" s="4" t="str">
        <f>Table2[[#This Row],[Team]]</f>
        <v>Huddersfield Town</v>
      </c>
      <c r="P357" s="1" t="str">
        <f>IFERROR(VLOOKUP(ROWS($O$2:O357),$N$2:$O$441,2,0),"")</f>
        <v/>
      </c>
      <c r="Q357" s="1" t="str">
        <f>IF(P357&lt;&gt;"",SUMPRODUCT(--(Table2[Team]=P357)),"")</f>
        <v/>
      </c>
      <c r="R357" s="11" t="str">
        <f>IF(Q357&lt;&gt;"",Q357+ROWS($Q$2:Q357)/100,"")</f>
        <v/>
      </c>
      <c r="S357" t="str">
        <f>IF(R357&lt;&gt;"",LARGE($R$2:$R$441,ROWS($R$2:R357)),"")</f>
        <v/>
      </c>
      <c r="T357" s="1" t="str">
        <f>IF(R357&lt;&gt;"",INDEX($P$2:$Q$441,MATCH($S357,$R$2:$R$441,0),COLUMNS($S$2:S357)),"")</f>
        <v/>
      </c>
      <c r="U357" s="1" t="str">
        <f>IF(S357&lt;&gt;"",INDEX($P$2:$Q$441,MATCH($S357,$R$2:$R$441,0),COLUMNS($S$2:T357)),"")</f>
        <v/>
      </c>
      <c r="AE357" s="1">
        <f>Table2[[#This Row],[Year]]</f>
        <v>2017</v>
      </c>
      <c r="AF357" s="1">
        <f>Table2[[#This Row],['#]]</f>
        <v>16</v>
      </c>
      <c r="AG357" s="1" t="str">
        <f>Table2[[#This Row],[Team]]</f>
        <v>Huddersfield Town</v>
      </c>
      <c r="AH357" s="1">
        <f>Table2[[#This Row],[Pl]]</f>
        <v>38</v>
      </c>
      <c r="AI357" s="1">
        <f>Table2[[#This Row],[W]]</f>
        <v>9</v>
      </c>
      <c r="AJ357" s="1">
        <f>Table2[[#This Row],[D]]</f>
        <v>10</v>
      </c>
      <c r="AK357" s="1">
        <f>Table2[[#This Row],[L]]</f>
        <v>19</v>
      </c>
      <c r="AL357" s="1">
        <f>Table2[[#This Row],[F]]</f>
        <v>28</v>
      </c>
      <c r="AM357" s="1">
        <f>Table2[[#This Row],[A]]</f>
        <v>58</v>
      </c>
      <c r="AN357" s="1">
        <f>Table2[[#This Row],[GD]]</f>
        <v>-30</v>
      </c>
      <c r="AO357" s="1">
        <f>Table2[[#This Row],[Pts]]</f>
        <v>37</v>
      </c>
      <c r="AP357" s="1">
        <f>Table2[[#This Row],[Column1]]</f>
        <v>16</v>
      </c>
      <c r="AR357" t="b">
        <f t="shared" si="9"/>
        <v>1</v>
      </c>
      <c r="AS357">
        <f>IF(AR357,ROWS($AR$2:AR357),"")</f>
        <v>356</v>
      </c>
      <c r="AT357">
        <f>IFERROR(SMALL($AS$2:$AS$440,ROWS($AS$2:AS357)),"")</f>
        <v>356</v>
      </c>
      <c r="AU357">
        <f>IF(AT357&lt;&gt;"",INDEX($AE$2:$AP$440,MATCH($AT357,$AS$2:$AS$440,0),COLUMNS($AT$2:AT357)),"")</f>
        <v>2017</v>
      </c>
      <c r="AV357">
        <f>IF(AU357&lt;&gt;"",INDEX($AE$2:$AP$440,MATCH($AT357,$AS$2:$AS$440,0),COLUMNS($AT$2:AU357)),"")</f>
        <v>16</v>
      </c>
      <c r="AW357" t="str">
        <f>IF(AV357&lt;&gt;"",INDEX($AE$2:$AP$440,MATCH($AT357,$AS$2:$AS$440,0),COLUMNS($AT$2:AV357)),"")</f>
        <v>Huddersfield Town</v>
      </c>
      <c r="AX357">
        <f>IF(AW357&lt;&gt;"",INDEX($AE$2:$AP$440,MATCH($AT357,$AS$2:$AS$440,0),COLUMNS($AT$2:AW357)),"")</f>
        <v>38</v>
      </c>
      <c r="AY357">
        <f>IF(AX357&lt;&gt;"",INDEX($AE$2:$AP$440,MATCH($AT357,$AS$2:$AS$440,0),COLUMNS($AT$2:AX357)),"")</f>
        <v>9</v>
      </c>
      <c r="AZ357">
        <f>IF(AY357&lt;&gt;"",INDEX($AE$2:$AP$440,MATCH($AT357,$AS$2:$AS$440,0),COLUMNS($AT$2:AY357)),"")</f>
        <v>10</v>
      </c>
      <c r="BA357">
        <f>IF(AZ357&lt;&gt;"",INDEX($AE$2:$AP$440,MATCH($AT357,$AS$2:$AS$440,0),COLUMNS($AT$2:AZ357)),"")</f>
        <v>19</v>
      </c>
      <c r="BB357">
        <f>IF(BA357&lt;&gt;"",INDEX($AE$2:$AP$440,MATCH($AT357,$AS$2:$AS$440,0),COLUMNS($AT$2:BA357)),"")</f>
        <v>28</v>
      </c>
      <c r="BC357">
        <f>IF(BB357&lt;&gt;"",INDEX($AE$2:$AP$440,MATCH($AT357,$AS$2:$AS$440,0),COLUMNS($AT$2:BB357)),"")</f>
        <v>58</v>
      </c>
      <c r="BD357">
        <f>IF(BC357&lt;&gt;"",INDEX($AE$2:$AP$440,MATCH($AT357,$AS$2:$AS$440,0),COLUMNS($AT$2:BC357)),"")</f>
        <v>-30</v>
      </c>
      <c r="BE357">
        <f>IF(BD357&lt;&gt;"",INDEX($AE$2:$AP$440,MATCH($AT357,$AS$2:$AS$440,0),COLUMNS($AT$2:BD357)),"")</f>
        <v>37</v>
      </c>
      <c r="BF357">
        <f>IF(BE357&lt;&gt;"",INDEX($AE$2:$AP$440,MATCH($AT357,$AS$2:$AS$440,0),COLUMNS($AT$2:BE357)),"")</f>
        <v>16</v>
      </c>
    </row>
    <row r="358" spans="1:58" x14ac:dyDescent="0.25">
      <c r="A358" s="3">
        <v>2017</v>
      </c>
      <c r="B358" s="3">
        <v>17</v>
      </c>
      <c r="C358" s="4" t="s">
        <v>20</v>
      </c>
      <c r="D358" s="3">
        <v>38</v>
      </c>
      <c r="E358" s="3">
        <v>7</v>
      </c>
      <c r="F358" s="3">
        <v>15</v>
      </c>
      <c r="G358" s="3">
        <v>16</v>
      </c>
      <c r="H358" s="3">
        <v>37</v>
      </c>
      <c r="I358" s="3">
        <v>56</v>
      </c>
      <c r="J358" s="3">
        <v>-19</v>
      </c>
      <c r="K358" s="3">
        <v>36</v>
      </c>
      <c r="L358" s="5">
        <f>IF(Table2[[#This Row],['#]]=1,"Champion", IF(Table2[[#This Row],['#]]&gt;=18,"Relegated",Table2[[#This Row],['#]]))</f>
        <v>17</v>
      </c>
      <c r="N358">
        <f>IF(COUNTIF($O$2:O358,O358)=1,N357+1,N357)</f>
        <v>43</v>
      </c>
      <c r="O358" s="4" t="str">
        <f>Table2[[#This Row],[Team]]</f>
        <v>Southampton</v>
      </c>
      <c r="P358" s="1" t="str">
        <f>IFERROR(VLOOKUP(ROWS($O$2:O358),$N$2:$O$441,2,0),"")</f>
        <v/>
      </c>
      <c r="Q358" s="1" t="str">
        <f>IF(P358&lt;&gt;"",SUMPRODUCT(--(Table2[Team]=P358)),"")</f>
        <v/>
      </c>
      <c r="R358" s="11" t="str">
        <f>IF(Q358&lt;&gt;"",Q358+ROWS($Q$2:Q358)/100,"")</f>
        <v/>
      </c>
      <c r="S358" t="str">
        <f>IF(R358&lt;&gt;"",LARGE($R$2:$R$441,ROWS($R$2:R358)),"")</f>
        <v/>
      </c>
      <c r="T358" s="1" t="str">
        <f>IF(R358&lt;&gt;"",INDEX($P$2:$Q$441,MATCH($S358,$R$2:$R$441,0),COLUMNS($S$2:S358)),"")</f>
        <v/>
      </c>
      <c r="U358" s="1" t="str">
        <f>IF(S358&lt;&gt;"",INDEX($P$2:$Q$441,MATCH($S358,$R$2:$R$441,0),COLUMNS($S$2:T358)),"")</f>
        <v/>
      </c>
      <c r="AE358" s="1">
        <f>Table2[[#This Row],[Year]]</f>
        <v>2017</v>
      </c>
      <c r="AF358" s="1">
        <f>Table2[[#This Row],['#]]</f>
        <v>17</v>
      </c>
      <c r="AG358" s="1" t="str">
        <f>Table2[[#This Row],[Team]]</f>
        <v>Southampton</v>
      </c>
      <c r="AH358" s="1">
        <f>Table2[[#This Row],[Pl]]</f>
        <v>38</v>
      </c>
      <c r="AI358" s="1">
        <f>Table2[[#This Row],[W]]</f>
        <v>7</v>
      </c>
      <c r="AJ358" s="1">
        <f>Table2[[#This Row],[D]]</f>
        <v>15</v>
      </c>
      <c r="AK358" s="1">
        <f>Table2[[#This Row],[L]]</f>
        <v>16</v>
      </c>
      <c r="AL358" s="1">
        <f>Table2[[#This Row],[F]]</f>
        <v>37</v>
      </c>
      <c r="AM358" s="1">
        <f>Table2[[#This Row],[A]]</f>
        <v>56</v>
      </c>
      <c r="AN358" s="1">
        <f>Table2[[#This Row],[GD]]</f>
        <v>-19</v>
      </c>
      <c r="AO358" s="1">
        <f>Table2[[#This Row],[Pts]]</f>
        <v>36</v>
      </c>
      <c r="AP358" s="1">
        <f>Table2[[#This Row],[Column1]]</f>
        <v>17</v>
      </c>
      <c r="AR358" t="b">
        <f t="shared" si="9"/>
        <v>1</v>
      </c>
      <c r="AS358">
        <f>IF(AR358,ROWS($AR$2:AR358),"")</f>
        <v>357</v>
      </c>
      <c r="AT358">
        <f>IFERROR(SMALL($AS$2:$AS$440,ROWS($AS$2:AS358)),"")</f>
        <v>357</v>
      </c>
      <c r="AU358">
        <f>IF(AT358&lt;&gt;"",INDEX($AE$2:$AP$440,MATCH($AT358,$AS$2:$AS$440,0),COLUMNS($AT$2:AT358)),"")</f>
        <v>2017</v>
      </c>
      <c r="AV358">
        <f>IF(AU358&lt;&gt;"",INDEX($AE$2:$AP$440,MATCH($AT358,$AS$2:$AS$440,0),COLUMNS($AT$2:AU358)),"")</f>
        <v>17</v>
      </c>
      <c r="AW358" t="str">
        <f>IF(AV358&lt;&gt;"",INDEX($AE$2:$AP$440,MATCH($AT358,$AS$2:$AS$440,0),COLUMNS($AT$2:AV358)),"")</f>
        <v>Southampton</v>
      </c>
      <c r="AX358">
        <f>IF(AW358&lt;&gt;"",INDEX($AE$2:$AP$440,MATCH($AT358,$AS$2:$AS$440,0),COLUMNS($AT$2:AW358)),"")</f>
        <v>38</v>
      </c>
      <c r="AY358">
        <f>IF(AX358&lt;&gt;"",INDEX($AE$2:$AP$440,MATCH($AT358,$AS$2:$AS$440,0),COLUMNS($AT$2:AX358)),"")</f>
        <v>7</v>
      </c>
      <c r="AZ358">
        <f>IF(AY358&lt;&gt;"",INDEX($AE$2:$AP$440,MATCH($AT358,$AS$2:$AS$440,0),COLUMNS($AT$2:AY358)),"")</f>
        <v>15</v>
      </c>
      <c r="BA358">
        <f>IF(AZ358&lt;&gt;"",INDEX($AE$2:$AP$440,MATCH($AT358,$AS$2:$AS$440,0),COLUMNS($AT$2:AZ358)),"")</f>
        <v>16</v>
      </c>
      <c r="BB358">
        <f>IF(BA358&lt;&gt;"",INDEX($AE$2:$AP$440,MATCH($AT358,$AS$2:$AS$440,0),COLUMNS($AT$2:BA358)),"")</f>
        <v>37</v>
      </c>
      <c r="BC358">
        <f>IF(BB358&lt;&gt;"",INDEX($AE$2:$AP$440,MATCH($AT358,$AS$2:$AS$440,0),COLUMNS($AT$2:BB358)),"")</f>
        <v>56</v>
      </c>
      <c r="BD358">
        <f>IF(BC358&lt;&gt;"",INDEX($AE$2:$AP$440,MATCH($AT358,$AS$2:$AS$440,0),COLUMNS($AT$2:BC358)),"")</f>
        <v>-19</v>
      </c>
      <c r="BE358">
        <f>IF(BD358&lt;&gt;"",INDEX($AE$2:$AP$440,MATCH($AT358,$AS$2:$AS$440,0),COLUMNS($AT$2:BD358)),"")</f>
        <v>36</v>
      </c>
      <c r="BF358">
        <f>IF(BE358&lt;&gt;"",INDEX($AE$2:$AP$440,MATCH($AT358,$AS$2:$AS$440,0),COLUMNS($AT$2:BE358)),"")</f>
        <v>17</v>
      </c>
    </row>
    <row r="359" spans="1:58" x14ac:dyDescent="0.25">
      <c r="A359" s="5">
        <v>2017</v>
      </c>
      <c r="B359" s="5">
        <v>18</v>
      </c>
      <c r="C359" s="6" t="s">
        <v>48</v>
      </c>
      <c r="D359" s="5">
        <v>38</v>
      </c>
      <c r="E359" s="5">
        <v>8</v>
      </c>
      <c r="F359" s="5">
        <v>9</v>
      </c>
      <c r="G359" s="5">
        <v>21</v>
      </c>
      <c r="H359" s="5">
        <v>28</v>
      </c>
      <c r="I359" s="5">
        <v>56</v>
      </c>
      <c r="J359" s="5">
        <v>-28</v>
      </c>
      <c r="K359" s="5">
        <v>33</v>
      </c>
      <c r="L359" s="5" t="str">
        <f>IF(Table2[[#This Row],['#]]=1,"Champion", IF(Table2[[#This Row],['#]]&gt;=18,"Relegated",Table2[[#This Row],['#]]))</f>
        <v>Relegated</v>
      </c>
      <c r="N359">
        <f>IF(COUNTIF($O$2:O359,O359)=1,N358+1,N358)</f>
        <v>43</v>
      </c>
      <c r="O359" s="4" t="str">
        <f>Table2[[#This Row],[Team]]</f>
        <v>Swansea City</v>
      </c>
      <c r="P359" s="1" t="str">
        <f>IFERROR(VLOOKUP(ROWS($O$2:O359),$N$2:$O$441,2,0),"")</f>
        <v/>
      </c>
      <c r="Q359" s="1" t="str">
        <f>IF(P359&lt;&gt;"",SUMPRODUCT(--(Table2[Team]=P359)),"")</f>
        <v/>
      </c>
      <c r="R359" s="11" t="str">
        <f>IF(Q359&lt;&gt;"",Q359+ROWS($Q$2:Q359)/100,"")</f>
        <v/>
      </c>
      <c r="S359" t="str">
        <f>IF(R359&lt;&gt;"",LARGE($R$2:$R$441,ROWS($R$2:R359)),"")</f>
        <v/>
      </c>
      <c r="T359" s="1" t="str">
        <f>IF(R359&lt;&gt;"",INDEX($P$2:$Q$441,MATCH($S359,$R$2:$R$441,0),COLUMNS($S$2:S359)),"")</f>
        <v/>
      </c>
      <c r="U359" s="1" t="str">
        <f>IF(S359&lt;&gt;"",INDEX($P$2:$Q$441,MATCH($S359,$R$2:$R$441,0),COLUMNS($S$2:T359)),"")</f>
        <v/>
      </c>
      <c r="AE359" s="1">
        <f>Table2[[#This Row],[Year]]</f>
        <v>2017</v>
      </c>
      <c r="AF359" s="1">
        <f>Table2[[#This Row],['#]]</f>
        <v>18</v>
      </c>
      <c r="AG359" s="1" t="str">
        <f>Table2[[#This Row],[Team]]</f>
        <v>Swansea City</v>
      </c>
      <c r="AH359" s="1">
        <f>Table2[[#This Row],[Pl]]</f>
        <v>38</v>
      </c>
      <c r="AI359" s="1">
        <f>Table2[[#This Row],[W]]</f>
        <v>8</v>
      </c>
      <c r="AJ359" s="1">
        <f>Table2[[#This Row],[D]]</f>
        <v>9</v>
      </c>
      <c r="AK359" s="1">
        <f>Table2[[#This Row],[L]]</f>
        <v>21</v>
      </c>
      <c r="AL359" s="1">
        <f>Table2[[#This Row],[F]]</f>
        <v>28</v>
      </c>
      <c r="AM359" s="1">
        <f>Table2[[#This Row],[A]]</f>
        <v>56</v>
      </c>
      <c r="AN359" s="1">
        <f>Table2[[#This Row],[GD]]</f>
        <v>-28</v>
      </c>
      <c r="AO359" s="1">
        <f>Table2[[#This Row],[Pts]]</f>
        <v>33</v>
      </c>
      <c r="AP359" s="1" t="str">
        <f>Table2[[#This Row],[Column1]]</f>
        <v>Relegated</v>
      </c>
      <c r="AR359" t="b">
        <f t="shared" si="9"/>
        <v>1</v>
      </c>
      <c r="AS359">
        <f>IF(AR359,ROWS($AR$2:AR359),"")</f>
        <v>358</v>
      </c>
      <c r="AT359">
        <f>IFERROR(SMALL($AS$2:$AS$440,ROWS($AS$2:AS359)),"")</f>
        <v>358</v>
      </c>
      <c r="AU359">
        <f>IF(AT359&lt;&gt;"",INDEX($AE$2:$AP$440,MATCH($AT359,$AS$2:$AS$440,0),COLUMNS($AT$2:AT359)),"")</f>
        <v>2017</v>
      </c>
      <c r="AV359">
        <f>IF(AU359&lt;&gt;"",INDEX($AE$2:$AP$440,MATCH($AT359,$AS$2:$AS$440,0),COLUMNS($AT$2:AU359)),"")</f>
        <v>18</v>
      </c>
      <c r="AW359" t="str">
        <f>IF(AV359&lt;&gt;"",INDEX($AE$2:$AP$440,MATCH($AT359,$AS$2:$AS$440,0),COLUMNS($AT$2:AV359)),"")</f>
        <v>Swansea City</v>
      </c>
      <c r="AX359">
        <f>IF(AW359&lt;&gt;"",INDEX($AE$2:$AP$440,MATCH($AT359,$AS$2:$AS$440,0),COLUMNS($AT$2:AW359)),"")</f>
        <v>38</v>
      </c>
      <c r="AY359">
        <f>IF(AX359&lt;&gt;"",INDEX($AE$2:$AP$440,MATCH($AT359,$AS$2:$AS$440,0),COLUMNS($AT$2:AX359)),"")</f>
        <v>8</v>
      </c>
      <c r="AZ359">
        <f>IF(AY359&lt;&gt;"",INDEX($AE$2:$AP$440,MATCH($AT359,$AS$2:$AS$440,0),COLUMNS($AT$2:AY359)),"")</f>
        <v>9</v>
      </c>
      <c r="BA359">
        <f>IF(AZ359&lt;&gt;"",INDEX($AE$2:$AP$440,MATCH($AT359,$AS$2:$AS$440,0),COLUMNS($AT$2:AZ359)),"")</f>
        <v>21</v>
      </c>
      <c r="BB359">
        <f>IF(BA359&lt;&gt;"",INDEX($AE$2:$AP$440,MATCH($AT359,$AS$2:$AS$440,0),COLUMNS($AT$2:BA359)),"")</f>
        <v>28</v>
      </c>
      <c r="BC359">
        <f>IF(BB359&lt;&gt;"",INDEX($AE$2:$AP$440,MATCH($AT359,$AS$2:$AS$440,0),COLUMNS($AT$2:BB359)),"")</f>
        <v>56</v>
      </c>
      <c r="BD359">
        <f>IF(BC359&lt;&gt;"",INDEX($AE$2:$AP$440,MATCH($AT359,$AS$2:$AS$440,0),COLUMNS($AT$2:BC359)),"")</f>
        <v>-28</v>
      </c>
      <c r="BE359">
        <f>IF(BD359&lt;&gt;"",INDEX($AE$2:$AP$440,MATCH($AT359,$AS$2:$AS$440,0),COLUMNS($AT$2:BD359)),"")</f>
        <v>33</v>
      </c>
      <c r="BF359" t="str">
        <f>IF(BE359&lt;&gt;"",INDEX($AE$2:$AP$440,MATCH($AT359,$AS$2:$AS$440,0),COLUMNS($AT$2:BE359)),"")</f>
        <v>Relegated</v>
      </c>
    </row>
    <row r="360" spans="1:58" x14ac:dyDescent="0.25">
      <c r="A360" s="3">
        <v>2017</v>
      </c>
      <c r="B360" s="3">
        <v>19</v>
      </c>
      <c r="C360" s="4" t="s">
        <v>44</v>
      </c>
      <c r="D360" s="3">
        <v>38</v>
      </c>
      <c r="E360" s="3">
        <v>7</v>
      </c>
      <c r="F360" s="3">
        <v>12</v>
      </c>
      <c r="G360" s="3">
        <v>19</v>
      </c>
      <c r="H360" s="3">
        <v>35</v>
      </c>
      <c r="I360" s="3">
        <v>68</v>
      </c>
      <c r="J360" s="3">
        <v>-33</v>
      </c>
      <c r="K360" s="3">
        <v>33</v>
      </c>
      <c r="L360" s="5" t="str">
        <f>IF(Table2[[#This Row],['#]]=1,"Champion", IF(Table2[[#This Row],['#]]&gt;=18,"Relegated",Table2[[#This Row],['#]]))</f>
        <v>Relegated</v>
      </c>
      <c r="N360">
        <f>IF(COUNTIF($O$2:O360,O360)=1,N359+1,N359)</f>
        <v>43</v>
      </c>
      <c r="O360" s="4" t="str">
        <f>Table2[[#This Row],[Team]]</f>
        <v>Stoke City</v>
      </c>
      <c r="P360" s="1" t="str">
        <f>IFERROR(VLOOKUP(ROWS($O$2:O360),$N$2:$O$441,2,0),"")</f>
        <v/>
      </c>
      <c r="Q360" s="1" t="str">
        <f>IF(P360&lt;&gt;"",SUMPRODUCT(--(Table2[Team]=P360)),"")</f>
        <v/>
      </c>
      <c r="R360" s="11" t="str">
        <f>IF(Q360&lt;&gt;"",Q360+ROWS($Q$2:Q360)/100,"")</f>
        <v/>
      </c>
      <c r="S360" t="str">
        <f>IF(R360&lt;&gt;"",LARGE($R$2:$R$441,ROWS($R$2:R360)),"")</f>
        <v/>
      </c>
      <c r="T360" s="1" t="str">
        <f>IF(R360&lt;&gt;"",INDEX($P$2:$Q$441,MATCH($S360,$R$2:$R$441,0),COLUMNS($S$2:S360)),"")</f>
        <v/>
      </c>
      <c r="U360" s="1" t="str">
        <f>IF(S360&lt;&gt;"",INDEX($P$2:$Q$441,MATCH($S360,$R$2:$R$441,0),COLUMNS($S$2:T360)),"")</f>
        <v/>
      </c>
      <c r="AE360" s="1">
        <f>Table2[[#This Row],[Year]]</f>
        <v>2017</v>
      </c>
      <c r="AF360" s="1">
        <f>Table2[[#This Row],['#]]</f>
        <v>19</v>
      </c>
      <c r="AG360" s="1" t="str">
        <f>Table2[[#This Row],[Team]]</f>
        <v>Stoke City</v>
      </c>
      <c r="AH360" s="1">
        <f>Table2[[#This Row],[Pl]]</f>
        <v>38</v>
      </c>
      <c r="AI360" s="1">
        <f>Table2[[#This Row],[W]]</f>
        <v>7</v>
      </c>
      <c r="AJ360" s="1">
        <f>Table2[[#This Row],[D]]</f>
        <v>12</v>
      </c>
      <c r="AK360" s="1">
        <f>Table2[[#This Row],[L]]</f>
        <v>19</v>
      </c>
      <c r="AL360" s="1">
        <f>Table2[[#This Row],[F]]</f>
        <v>35</v>
      </c>
      <c r="AM360" s="1">
        <f>Table2[[#This Row],[A]]</f>
        <v>68</v>
      </c>
      <c r="AN360" s="1">
        <f>Table2[[#This Row],[GD]]</f>
        <v>-33</v>
      </c>
      <c r="AO360" s="1">
        <f>Table2[[#This Row],[Pts]]</f>
        <v>33</v>
      </c>
      <c r="AP360" s="1" t="str">
        <f>Table2[[#This Row],[Column1]]</f>
        <v>Relegated</v>
      </c>
      <c r="AR360" t="b">
        <f t="shared" si="9"/>
        <v>1</v>
      </c>
      <c r="AS360">
        <f>IF(AR360,ROWS($AR$2:AR360),"")</f>
        <v>359</v>
      </c>
      <c r="AT360">
        <f>IFERROR(SMALL($AS$2:$AS$440,ROWS($AS$2:AS360)),"")</f>
        <v>359</v>
      </c>
      <c r="AU360">
        <f>IF(AT360&lt;&gt;"",INDEX($AE$2:$AP$440,MATCH($AT360,$AS$2:$AS$440,0),COLUMNS($AT$2:AT360)),"")</f>
        <v>2017</v>
      </c>
      <c r="AV360">
        <f>IF(AU360&lt;&gt;"",INDEX($AE$2:$AP$440,MATCH($AT360,$AS$2:$AS$440,0),COLUMNS($AT$2:AU360)),"")</f>
        <v>19</v>
      </c>
      <c r="AW360" t="str">
        <f>IF(AV360&lt;&gt;"",INDEX($AE$2:$AP$440,MATCH($AT360,$AS$2:$AS$440,0),COLUMNS($AT$2:AV360)),"")</f>
        <v>Stoke City</v>
      </c>
      <c r="AX360">
        <f>IF(AW360&lt;&gt;"",INDEX($AE$2:$AP$440,MATCH($AT360,$AS$2:$AS$440,0),COLUMNS($AT$2:AW360)),"")</f>
        <v>38</v>
      </c>
      <c r="AY360">
        <f>IF(AX360&lt;&gt;"",INDEX($AE$2:$AP$440,MATCH($AT360,$AS$2:$AS$440,0),COLUMNS($AT$2:AX360)),"")</f>
        <v>7</v>
      </c>
      <c r="AZ360">
        <f>IF(AY360&lt;&gt;"",INDEX($AE$2:$AP$440,MATCH($AT360,$AS$2:$AS$440,0),COLUMNS($AT$2:AY360)),"")</f>
        <v>12</v>
      </c>
      <c r="BA360">
        <f>IF(AZ360&lt;&gt;"",INDEX($AE$2:$AP$440,MATCH($AT360,$AS$2:$AS$440,0),COLUMNS($AT$2:AZ360)),"")</f>
        <v>19</v>
      </c>
      <c r="BB360">
        <f>IF(BA360&lt;&gt;"",INDEX($AE$2:$AP$440,MATCH($AT360,$AS$2:$AS$440,0),COLUMNS($AT$2:BA360)),"")</f>
        <v>35</v>
      </c>
      <c r="BC360">
        <f>IF(BB360&lt;&gt;"",INDEX($AE$2:$AP$440,MATCH($AT360,$AS$2:$AS$440,0),COLUMNS($AT$2:BB360)),"")</f>
        <v>68</v>
      </c>
      <c r="BD360">
        <f>IF(BC360&lt;&gt;"",INDEX($AE$2:$AP$440,MATCH($AT360,$AS$2:$AS$440,0),COLUMNS($AT$2:BC360)),"")</f>
        <v>-33</v>
      </c>
      <c r="BE360">
        <f>IF(BD360&lt;&gt;"",INDEX($AE$2:$AP$440,MATCH($AT360,$AS$2:$AS$440,0),COLUMNS($AT$2:BD360)),"")</f>
        <v>33</v>
      </c>
      <c r="BF360" t="str">
        <f>IF(BE360&lt;&gt;"",INDEX($AE$2:$AP$440,MATCH($AT360,$AS$2:$AS$440,0),COLUMNS($AT$2:BE360)),"")</f>
        <v>Relegated</v>
      </c>
    </row>
    <row r="361" spans="1:58" x14ac:dyDescent="0.25">
      <c r="A361" s="5">
        <v>2017</v>
      </c>
      <c r="B361" s="5">
        <v>20</v>
      </c>
      <c r="C361" s="6" t="s">
        <v>35</v>
      </c>
      <c r="D361" s="5">
        <v>38</v>
      </c>
      <c r="E361" s="5">
        <v>6</v>
      </c>
      <c r="F361" s="5">
        <v>13</v>
      </c>
      <c r="G361" s="5">
        <v>19</v>
      </c>
      <c r="H361" s="5">
        <v>31</v>
      </c>
      <c r="I361" s="5">
        <v>56</v>
      </c>
      <c r="J361" s="5">
        <v>-25</v>
      </c>
      <c r="K361" s="5">
        <v>31</v>
      </c>
      <c r="L361" s="5" t="str">
        <f>IF(Table2[[#This Row],['#]]=1,"Champion", IF(Table2[[#This Row],['#]]&gt;=18,"Relegated",Table2[[#This Row],['#]]))</f>
        <v>Relegated</v>
      </c>
      <c r="N361">
        <f>IF(COUNTIF($O$2:O361,O361)=1,N360+1,N360)</f>
        <v>43</v>
      </c>
      <c r="O361" s="4" t="str">
        <f>Table2[[#This Row],[Team]]</f>
        <v>West Bromwich Albion</v>
      </c>
      <c r="P361" s="1" t="str">
        <f>IFERROR(VLOOKUP(ROWS($O$2:O361),$N$2:$O$441,2,0),"")</f>
        <v/>
      </c>
      <c r="Q361" s="1" t="str">
        <f>IF(P361&lt;&gt;"",SUMPRODUCT(--(Table2[Team]=P361)),"")</f>
        <v/>
      </c>
      <c r="R361" s="11" t="str">
        <f>IF(Q361&lt;&gt;"",Q361+ROWS($Q$2:Q361)/100,"")</f>
        <v/>
      </c>
      <c r="S361" t="str">
        <f>IF(R361&lt;&gt;"",LARGE($R$2:$R$441,ROWS($R$2:R361)),"")</f>
        <v/>
      </c>
      <c r="T361" s="1" t="str">
        <f>IF(R361&lt;&gt;"",INDEX($P$2:$Q$441,MATCH($S361,$R$2:$R$441,0),COLUMNS($S$2:S361)),"")</f>
        <v/>
      </c>
      <c r="U361" s="1" t="str">
        <f>IF(S361&lt;&gt;"",INDEX($P$2:$Q$441,MATCH($S361,$R$2:$R$441,0),COLUMNS($S$2:T361)),"")</f>
        <v/>
      </c>
      <c r="AE361" s="1">
        <f>Table2[[#This Row],[Year]]</f>
        <v>2017</v>
      </c>
      <c r="AF361" s="1">
        <f>Table2[[#This Row],['#]]</f>
        <v>20</v>
      </c>
      <c r="AG361" s="1" t="str">
        <f>Table2[[#This Row],[Team]]</f>
        <v>West Bromwich Albion</v>
      </c>
      <c r="AH361" s="1">
        <f>Table2[[#This Row],[Pl]]</f>
        <v>38</v>
      </c>
      <c r="AI361" s="1">
        <f>Table2[[#This Row],[W]]</f>
        <v>6</v>
      </c>
      <c r="AJ361" s="1">
        <f>Table2[[#This Row],[D]]</f>
        <v>13</v>
      </c>
      <c r="AK361" s="1">
        <f>Table2[[#This Row],[L]]</f>
        <v>19</v>
      </c>
      <c r="AL361" s="1">
        <f>Table2[[#This Row],[F]]</f>
        <v>31</v>
      </c>
      <c r="AM361" s="1">
        <f>Table2[[#This Row],[A]]</f>
        <v>56</v>
      </c>
      <c r="AN361" s="1">
        <f>Table2[[#This Row],[GD]]</f>
        <v>-25</v>
      </c>
      <c r="AO361" s="1">
        <f>Table2[[#This Row],[Pts]]</f>
        <v>31</v>
      </c>
      <c r="AP361" s="1" t="str">
        <f>Table2[[#This Row],[Column1]]</f>
        <v>Relegated</v>
      </c>
      <c r="AR361" t="b">
        <f t="shared" si="9"/>
        <v>1</v>
      </c>
      <c r="AS361">
        <f>IF(AR361,ROWS($AR$2:AR361),"")</f>
        <v>360</v>
      </c>
      <c r="AT361">
        <f>IFERROR(SMALL($AS$2:$AS$440,ROWS($AS$2:AS361)),"")</f>
        <v>360</v>
      </c>
      <c r="AU361">
        <f>IF(AT361&lt;&gt;"",INDEX($AE$2:$AP$440,MATCH($AT361,$AS$2:$AS$440,0),COLUMNS($AT$2:AT361)),"")</f>
        <v>2017</v>
      </c>
      <c r="AV361">
        <f>IF(AU361&lt;&gt;"",INDEX($AE$2:$AP$440,MATCH($AT361,$AS$2:$AS$440,0),COLUMNS($AT$2:AU361)),"")</f>
        <v>20</v>
      </c>
      <c r="AW361" t="str">
        <f>IF(AV361&lt;&gt;"",INDEX($AE$2:$AP$440,MATCH($AT361,$AS$2:$AS$440,0),COLUMNS($AT$2:AV361)),"")</f>
        <v>West Bromwich Albion</v>
      </c>
      <c r="AX361">
        <f>IF(AW361&lt;&gt;"",INDEX($AE$2:$AP$440,MATCH($AT361,$AS$2:$AS$440,0),COLUMNS($AT$2:AW361)),"")</f>
        <v>38</v>
      </c>
      <c r="AY361">
        <f>IF(AX361&lt;&gt;"",INDEX($AE$2:$AP$440,MATCH($AT361,$AS$2:$AS$440,0),COLUMNS($AT$2:AX361)),"")</f>
        <v>6</v>
      </c>
      <c r="AZ361">
        <f>IF(AY361&lt;&gt;"",INDEX($AE$2:$AP$440,MATCH($AT361,$AS$2:$AS$440,0),COLUMNS($AT$2:AY361)),"")</f>
        <v>13</v>
      </c>
      <c r="BA361">
        <f>IF(AZ361&lt;&gt;"",INDEX($AE$2:$AP$440,MATCH($AT361,$AS$2:$AS$440,0),COLUMNS($AT$2:AZ361)),"")</f>
        <v>19</v>
      </c>
      <c r="BB361">
        <f>IF(BA361&lt;&gt;"",INDEX($AE$2:$AP$440,MATCH($AT361,$AS$2:$AS$440,0),COLUMNS($AT$2:BA361)),"")</f>
        <v>31</v>
      </c>
      <c r="BC361">
        <f>IF(BB361&lt;&gt;"",INDEX($AE$2:$AP$440,MATCH($AT361,$AS$2:$AS$440,0),COLUMNS($AT$2:BB361)),"")</f>
        <v>56</v>
      </c>
      <c r="BD361">
        <f>IF(BC361&lt;&gt;"",INDEX($AE$2:$AP$440,MATCH($AT361,$AS$2:$AS$440,0),COLUMNS($AT$2:BC361)),"")</f>
        <v>-25</v>
      </c>
      <c r="BE361">
        <f>IF(BD361&lt;&gt;"",INDEX($AE$2:$AP$440,MATCH($AT361,$AS$2:$AS$440,0),COLUMNS($AT$2:BD361)),"")</f>
        <v>31</v>
      </c>
      <c r="BF361" t="str">
        <f>IF(BE361&lt;&gt;"",INDEX($AE$2:$AP$440,MATCH($AT361,$AS$2:$AS$440,0),COLUMNS($AT$2:BE361)),"")</f>
        <v>Relegated</v>
      </c>
    </row>
    <row r="362" spans="1:58" x14ac:dyDescent="0.25">
      <c r="A362" s="3">
        <v>2018</v>
      </c>
      <c r="B362" s="3">
        <v>1</v>
      </c>
      <c r="C362" s="4" t="s">
        <v>28</v>
      </c>
      <c r="D362" s="3">
        <v>38</v>
      </c>
      <c r="E362" s="3">
        <v>32</v>
      </c>
      <c r="F362" s="3">
        <v>2</v>
      </c>
      <c r="G362" s="3">
        <v>4</v>
      </c>
      <c r="H362" s="3">
        <v>95</v>
      </c>
      <c r="I362" s="3">
        <v>23</v>
      </c>
      <c r="J362" s="3">
        <v>72</v>
      </c>
      <c r="K362" s="3">
        <v>98</v>
      </c>
      <c r="L362" s="5" t="str">
        <f>IF(Table2[[#This Row],['#]]=1,"Champion", IF(Table2[[#This Row],['#]]&gt;=18,"Relegated",Table2[[#This Row],['#]]))</f>
        <v>Champion</v>
      </c>
      <c r="N362">
        <f>IF(COUNTIF($O$2:O362,O362)=1,N361+1,N361)</f>
        <v>43</v>
      </c>
      <c r="O362" s="4" t="str">
        <f>Table2[[#This Row],[Team]]</f>
        <v>Manchester City</v>
      </c>
      <c r="P362" s="1" t="str">
        <f>IFERROR(VLOOKUP(ROWS($O$2:O362),$N$2:$O$441,2,0),"")</f>
        <v/>
      </c>
      <c r="Q362" s="1" t="str">
        <f>IF(P362&lt;&gt;"",SUMPRODUCT(--(Table2[Team]=P362)),"")</f>
        <v/>
      </c>
      <c r="R362" s="11" t="str">
        <f>IF(Q362&lt;&gt;"",Q362+ROWS($Q$2:Q362)/100,"")</f>
        <v/>
      </c>
      <c r="S362" t="str">
        <f>IF(R362&lt;&gt;"",LARGE($R$2:$R$441,ROWS($R$2:R362)),"")</f>
        <v/>
      </c>
      <c r="T362" s="1" t="str">
        <f>IF(R362&lt;&gt;"",INDEX($P$2:$Q$441,MATCH($S362,$R$2:$R$441,0),COLUMNS($S$2:S362)),"")</f>
        <v/>
      </c>
      <c r="U362" s="1" t="str">
        <f>IF(S362&lt;&gt;"",INDEX($P$2:$Q$441,MATCH($S362,$R$2:$R$441,0),COLUMNS($S$2:T362)),"")</f>
        <v/>
      </c>
      <c r="AE362" s="1">
        <f>Table2[[#This Row],[Year]]</f>
        <v>2018</v>
      </c>
      <c r="AF362" s="1">
        <f>Table2[[#This Row],['#]]</f>
        <v>1</v>
      </c>
      <c r="AG362" s="1" t="str">
        <f>Table2[[#This Row],[Team]]</f>
        <v>Manchester City</v>
      </c>
      <c r="AH362" s="1">
        <f>Table2[[#This Row],[Pl]]</f>
        <v>38</v>
      </c>
      <c r="AI362" s="1">
        <f>Table2[[#This Row],[W]]</f>
        <v>32</v>
      </c>
      <c r="AJ362" s="1">
        <f>Table2[[#This Row],[D]]</f>
        <v>2</v>
      </c>
      <c r="AK362" s="1">
        <f>Table2[[#This Row],[L]]</f>
        <v>4</v>
      </c>
      <c r="AL362" s="1">
        <f>Table2[[#This Row],[F]]</f>
        <v>95</v>
      </c>
      <c r="AM362" s="1">
        <f>Table2[[#This Row],[A]]</f>
        <v>23</v>
      </c>
      <c r="AN362" s="1">
        <f>Table2[[#This Row],[GD]]</f>
        <v>72</v>
      </c>
      <c r="AO362" s="1">
        <f>Table2[[#This Row],[Pts]]</f>
        <v>98</v>
      </c>
      <c r="AP362" s="1" t="str">
        <f>Table2[[#This Row],[Column1]]</f>
        <v>Champion</v>
      </c>
      <c r="AR362" t="b">
        <f t="shared" si="9"/>
        <v>1</v>
      </c>
      <c r="AS362">
        <f>IF(AR362,ROWS($AR$2:AR362),"")</f>
        <v>361</v>
      </c>
      <c r="AT362">
        <f>IFERROR(SMALL($AS$2:$AS$440,ROWS($AS$2:AS362)),"")</f>
        <v>361</v>
      </c>
      <c r="AU362">
        <f>IF(AT362&lt;&gt;"",INDEX($AE$2:$AP$440,MATCH($AT362,$AS$2:$AS$440,0),COLUMNS($AT$2:AT362)),"")</f>
        <v>2018</v>
      </c>
      <c r="AV362">
        <f>IF(AU362&lt;&gt;"",INDEX($AE$2:$AP$440,MATCH($AT362,$AS$2:$AS$440,0),COLUMNS($AT$2:AU362)),"")</f>
        <v>1</v>
      </c>
      <c r="AW362" t="str">
        <f>IF(AV362&lt;&gt;"",INDEX($AE$2:$AP$440,MATCH($AT362,$AS$2:$AS$440,0),COLUMNS($AT$2:AV362)),"")</f>
        <v>Manchester City</v>
      </c>
      <c r="AX362">
        <f>IF(AW362&lt;&gt;"",INDEX($AE$2:$AP$440,MATCH($AT362,$AS$2:$AS$440,0),COLUMNS($AT$2:AW362)),"")</f>
        <v>38</v>
      </c>
      <c r="AY362">
        <f>IF(AX362&lt;&gt;"",INDEX($AE$2:$AP$440,MATCH($AT362,$AS$2:$AS$440,0),COLUMNS($AT$2:AX362)),"")</f>
        <v>32</v>
      </c>
      <c r="AZ362">
        <f>IF(AY362&lt;&gt;"",INDEX($AE$2:$AP$440,MATCH($AT362,$AS$2:$AS$440,0),COLUMNS($AT$2:AY362)),"")</f>
        <v>2</v>
      </c>
      <c r="BA362">
        <f>IF(AZ362&lt;&gt;"",INDEX($AE$2:$AP$440,MATCH($AT362,$AS$2:$AS$440,0),COLUMNS($AT$2:AZ362)),"")</f>
        <v>4</v>
      </c>
      <c r="BB362">
        <f>IF(BA362&lt;&gt;"",INDEX($AE$2:$AP$440,MATCH($AT362,$AS$2:$AS$440,0),COLUMNS($AT$2:BA362)),"")</f>
        <v>95</v>
      </c>
      <c r="BC362">
        <f>IF(BB362&lt;&gt;"",INDEX($AE$2:$AP$440,MATCH($AT362,$AS$2:$AS$440,0),COLUMNS($AT$2:BB362)),"")</f>
        <v>23</v>
      </c>
      <c r="BD362">
        <f>IF(BC362&lt;&gt;"",INDEX($AE$2:$AP$440,MATCH($AT362,$AS$2:$AS$440,0),COLUMNS($AT$2:BC362)),"")</f>
        <v>72</v>
      </c>
      <c r="BE362">
        <f>IF(BD362&lt;&gt;"",INDEX($AE$2:$AP$440,MATCH($AT362,$AS$2:$AS$440,0),COLUMNS($AT$2:BD362)),"")</f>
        <v>98</v>
      </c>
      <c r="BF362" t="str">
        <f>IF(BE362&lt;&gt;"",INDEX($AE$2:$AP$440,MATCH($AT362,$AS$2:$AS$440,0),COLUMNS($AT$2:BE362)),"")</f>
        <v>Champion</v>
      </c>
    </row>
    <row r="363" spans="1:58" x14ac:dyDescent="0.25">
      <c r="A363" s="5">
        <v>2018</v>
      </c>
      <c r="B363" s="5">
        <v>2</v>
      </c>
      <c r="C363" s="4" t="s">
        <v>13</v>
      </c>
      <c r="D363" s="5">
        <v>38</v>
      </c>
      <c r="E363" s="5">
        <v>30</v>
      </c>
      <c r="F363" s="5">
        <v>7</v>
      </c>
      <c r="G363" s="5">
        <v>1</v>
      </c>
      <c r="H363" s="5">
        <v>89</v>
      </c>
      <c r="I363" s="5">
        <v>22</v>
      </c>
      <c r="J363" s="5">
        <v>67</v>
      </c>
      <c r="K363" s="5">
        <v>97</v>
      </c>
      <c r="L363" s="5">
        <f>IF(Table2[[#This Row],['#]]=1,"Champion", IF(Table2[[#This Row],['#]]&gt;=18,"Relegated",Table2[[#This Row],['#]]))</f>
        <v>2</v>
      </c>
      <c r="N363">
        <f>IF(COUNTIF($O$2:O363,O363)=1,N362+1,N362)</f>
        <v>43</v>
      </c>
      <c r="O363" s="4" t="str">
        <f>Table2[[#This Row],[Team]]</f>
        <v>Liverpool</v>
      </c>
      <c r="P363" s="1" t="str">
        <f>IFERROR(VLOOKUP(ROWS($O$2:O363),$N$2:$O$441,2,0),"")</f>
        <v/>
      </c>
      <c r="Q363" s="1" t="str">
        <f>IF(P363&lt;&gt;"",SUMPRODUCT(--(Table2[Team]=P363)),"")</f>
        <v/>
      </c>
      <c r="R363" s="11" t="str">
        <f>IF(Q363&lt;&gt;"",Q363+ROWS($Q$2:Q363)/100,"")</f>
        <v/>
      </c>
      <c r="S363" t="str">
        <f>IF(R363&lt;&gt;"",LARGE($R$2:$R$441,ROWS($R$2:R363)),"")</f>
        <v/>
      </c>
      <c r="T363" s="1" t="str">
        <f>IF(R363&lt;&gt;"",INDEX($P$2:$Q$441,MATCH($S363,$R$2:$R$441,0),COLUMNS($S$2:S363)),"")</f>
        <v/>
      </c>
      <c r="U363" s="1" t="str">
        <f>IF(S363&lt;&gt;"",INDEX($P$2:$Q$441,MATCH($S363,$R$2:$R$441,0),COLUMNS($S$2:T363)),"")</f>
        <v/>
      </c>
      <c r="AE363" s="1">
        <f>Table2[[#This Row],[Year]]</f>
        <v>2018</v>
      </c>
      <c r="AF363" s="1">
        <f>Table2[[#This Row],['#]]</f>
        <v>2</v>
      </c>
      <c r="AG363" s="1" t="str">
        <f>Table2[[#This Row],[Team]]</f>
        <v>Liverpool</v>
      </c>
      <c r="AH363" s="1">
        <f>Table2[[#This Row],[Pl]]</f>
        <v>38</v>
      </c>
      <c r="AI363" s="1">
        <f>Table2[[#This Row],[W]]</f>
        <v>30</v>
      </c>
      <c r="AJ363" s="1">
        <f>Table2[[#This Row],[D]]</f>
        <v>7</v>
      </c>
      <c r="AK363" s="1">
        <f>Table2[[#This Row],[L]]</f>
        <v>1</v>
      </c>
      <c r="AL363" s="1">
        <f>Table2[[#This Row],[F]]</f>
        <v>89</v>
      </c>
      <c r="AM363" s="1">
        <f>Table2[[#This Row],[A]]</f>
        <v>22</v>
      </c>
      <c r="AN363" s="1">
        <f>Table2[[#This Row],[GD]]</f>
        <v>67</v>
      </c>
      <c r="AO363" s="1">
        <f>Table2[[#This Row],[Pts]]</f>
        <v>97</v>
      </c>
      <c r="AP363" s="1">
        <f>Table2[[#This Row],[Column1]]</f>
        <v>2</v>
      </c>
      <c r="AR363" t="b">
        <f t="shared" si="9"/>
        <v>1</v>
      </c>
      <c r="AS363">
        <f>IF(AR363,ROWS($AR$2:AR363),"")</f>
        <v>362</v>
      </c>
      <c r="AT363">
        <f>IFERROR(SMALL($AS$2:$AS$440,ROWS($AS$2:AS363)),"")</f>
        <v>362</v>
      </c>
      <c r="AU363">
        <f>IF(AT363&lt;&gt;"",INDEX($AE$2:$AP$440,MATCH($AT363,$AS$2:$AS$440,0),COLUMNS($AT$2:AT363)),"")</f>
        <v>2018</v>
      </c>
      <c r="AV363">
        <f>IF(AU363&lt;&gt;"",INDEX($AE$2:$AP$440,MATCH($AT363,$AS$2:$AS$440,0),COLUMNS($AT$2:AU363)),"")</f>
        <v>2</v>
      </c>
      <c r="AW363" t="str">
        <f>IF(AV363&lt;&gt;"",INDEX($AE$2:$AP$440,MATCH($AT363,$AS$2:$AS$440,0),COLUMNS($AT$2:AV363)),"")</f>
        <v>Liverpool</v>
      </c>
      <c r="AX363">
        <f>IF(AW363&lt;&gt;"",INDEX($AE$2:$AP$440,MATCH($AT363,$AS$2:$AS$440,0),COLUMNS($AT$2:AW363)),"")</f>
        <v>38</v>
      </c>
      <c r="AY363">
        <f>IF(AX363&lt;&gt;"",INDEX($AE$2:$AP$440,MATCH($AT363,$AS$2:$AS$440,0),COLUMNS($AT$2:AX363)),"")</f>
        <v>30</v>
      </c>
      <c r="AZ363">
        <f>IF(AY363&lt;&gt;"",INDEX($AE$2:$AP$440,MATCH($AT363,$AS$2:$AS$440,0),COLUMNS($AT$2:AY363)),"")</f>
        <v>7</v>
      </c>
      <c r="BA363">
        <f>IF(AZ363&lt;&gt;"",INDEX($AE$2:$AP$440,MATCH($AT363,$AS$2:$AS$440,0),COLUMNS($AT$2:AZ363)),"")</f>
        <v>1</v>
      </c>
      <c r="BB363">
        <f>IF(BA363&lt;&gt;"",INDEX($AE$2:$AP$440,MATCH($AT363,$AS$2:$AS$440,0),COLUMNS($AT$2:BA363)),"")</f>
        <v>89</v>
      </c>
      <c r="BC363">
        <f>IF(BB363&lt;&gt;"",INDEX($AE$2:$AP$440,MATCH($AT363,$AS$2:$AS$440,0),COLUMNS($AT$2:BB363)),"")</f>
        <v>22</v>
      </c>
      <c r="BD363">
        <f>IF(BC363&lt;&gt;"",INDEX($AE$2:$AP$440,MATCH($AT363,$AS$2:$AS$440,0),COLUMNS($AT$2:BC363)),"")</f>
        <v>67</v>
      </c>
      <c r="BE363">
        <f>IF(BD363&lt;&gt;"",INDEX($AE$2:$AP$440,MATCH($AT363,$AS$2:$AS$440,0),COLUMNS($AT$2:BD363)),"")</f>
        <v>97</v>
      </c>
      <c r="BF363">
        <f>IF(BE363&lt;&gt;"",INDEX($AE$2:$AP$440,MATCH($AT363,$AS$2:$AS$440,0),COLUMNS($AT$2:BE363)),"")</f>
        <v>2</v>
      </c>
    </row>
    <row r="364" spans="1:58" x14ac:dyDescent="0.25">
      <c r="A364" s="3">
        <v>2018</v>
      </c>
      <c r="B364" s="3">
        <v>3</v>
      </c>
      <c r="C364" s="4" t="s">
        <v>16</v>
      </c>
      <c r="D364" s="3">
        <v>38</v>
      </c>
      <c r="E364" s="3">
        <v>21</v>
      </c>
      <c r="F364" s="3">
        <v>9</v>
      </c>
      <c r="G364" s="3">
        <v>8</v>
      </c>
      <c r="H364" s="3">
        <v>63</v>
      </c>
      <c r="I364" s="3">
        <v>39</v>
      </c>
      <c r="J364" s="3">
        <v>24</v>
      </c>
      <c r="K364" s="3">
        <v>72</v>
      </c>
      <c r="L364" s="5">
        <f>IF(Table2[[#This Row],['#]]=1,"Champion", IF(Table2[[#This Row],['#]]&gt;=18,"Relegated",Table2[[#This Row],['#]]))</f>
        <v>3</v>
      </c>
      <c r="N364">
        <f>IF(COUNTIF($O$2:O364,O364)=1,N363+1,N363)</f>
        <v>43</v>
      </c>
      <c r="O364" s="4" t="str">
        <f>Table2[[#This Row],[Team]]</f>
        <v>Chelsea</v>
      </c>
      <c r="P364" s="1" t="str">
        <f>IFERROR(VLOOKUP(ROWS($O$2:O364),$N$2:$O$441,2,0),"")</f>
        <v/>
      </c>
      <c r="Q364" s="1" t="str">
        <f>IF(P364&lt;&gt;"",SUMPRODUCT(--(Table2[Team]=P364)),"")</f>
        <v/>
      </c>
      <c r="R364" s="11" t="str">
        <f>IF(Q364&lt;&gt;"",Q364+ROWS($Q$2:Q364)/100,"")</f>
        <v/>
      </c>
      <c r="S364" t="str">
        <f>IF(R364&lt;&gt;"",LARGE($R$2:$R$441,ROWS($R$2:R364)),"")</f>
        <v/>
      </c>
      <c r="T364" s="1" t="str">
        <f>IF(R364&lt;&gt;"",INDEX($P$2:$Q$441,MATCH($S364,$R$2:$R$441,0),COLUMNS($S$2:S364)),"")</f>
        <v/>
      </c>
      <c r="U364" s="1" t="str">
        <f>IF(S364&lt;&gt;"",INDEX($P$2:$Q$441,MATCH($S364,$R$2:$R$441,0),COLUMNS($S$2:T364)),"")</f>
        <v/>
      </c>
      <c r="AE364" s="1">
        <f>Table2[[#This Row],[Year]]</f>
        <v>2018</v>
      </c>
      <c r="AF364" s="1">
        <f>Table2[[#This Row],['#]]</f>
        <v>3</v>
      </c>
      <c r="AG364" s="1" t="str">
        <f>Table2[[#This Row],[Team]]</f>
        <v>Chelsea</v>
      </c>
      <c r="AH364" s="1">
        <f>Table2[[#This Row],[Pl]]</f>
        <v>38</v>
      </c>
      <c r="AI364" s="1">
        <f>Table2[[#This Row],[W]]</f>
        <v>21</v>
      </c>
      <c r="AJ364" s="1">
        <f>Table2[[#This Row],[D]]</f>
        <v>9</v>
      </c>
      <c r="AK364" s="1">
        <f>Table2[[#This Row],[L]]</f>
        <v>8</v>
      </c>
      <c r="AL364" s="1">
        <f>Table2[[#This Row],[F]]</f>
        <v>63</v>
      </c>
      <c r="AM364" s="1">
        <f>Table2[[#This Row],[A]]</f>
        <v>39</v>
      </c>
      <c r="AN364" s="1">
        <f>Table2[[#This Row],[GD]]</f>
        <v>24</v>
      </c>
      <c r="AO364" s="1">
        <f>Table2[[#This Row],[Pts]]</f>
        <v>72</v>
      </c>
      <c r="AP364" s="1">
        <f>Table2[[#This Row],[Column1]]</f>
        <v>3</v>
      </c>
      <c r="AR364" t="b">
        <f t="shared" si="9"/>
        <v>1</v>
      </c>
      <c r="AS364">
        <f>IF(AR364,ROWS($AR$2:AR364),"")</f>
        <v>363</v>
      </c>
      <c r="AT364">
        <f>IFERROR(SMALL($AS$2:$AS$440,ROWS($AS$2:AS364)),"")</f>
        <v>363</v>
      </c>
      <c r="AU364">
        <f>IF(AT364&lt;&gt;"",INDEX($AE$2:$AP$440,MATCH($AT364,$AS$2:$AS$440,0),COLUMNS($AT$2:AT364)),"")</f>
        <v>2018</v>
      </c>
      <c r="AV364">
        <f>IF(AU364&lt;&gt;"",INDEX($AE$2:$AP$440,MATCH($AT364,$AS$2:$AS$440,0),COLUMNS($AT$2:AU364)),"")</f>
        <v>3</v>
      </c>
      <c r="AW364" t="str">
        <f>IF(AV364&lt;&gt;"",INDEX($AE$2:$AP$440,MATCH($AT364,$AS$2:$AS$440,0),COLUMNS($AT$2:AV364)),"")</f>
        <v>Chelsea</v>
      </c>
      <c r="AX364">
        <f>IF(AW364&lt;&gt;"",INDEX($AE$2:$AP$440,MATCH($AT364,$AS$2:$AS$440,0),COLUMNS($AT$2:AW364)),"")</f>
        <v>38</v>
      </c>
      <c r="AY364">
        <f>IF(AX364&lt;&gt;"",INDEX($AE$2:$AP$440,MATCH($AT364,$AS$2:$AS$440,0),COLUMNS($AT$2:AX364)),"")</f>
        <v>21</v>
      </c>
      <c r="AZ364">
        <f>IF(AY364&lt;&gt;"",INDEX($AE$2:$AP$440,MATCH($AT364,$AS$2:$AS$440,0),COLUMNS($AT$2:AY364)),"")</f>
        <v>9</v>
      </c>
      <c r="BA364">
        <f>IF(AZ364&lt;&gt;"",INDEX($AE$2:$AP$440,MATCH($AT364,$AS$2:$AS$440,0),COLUMNS($AT$2:AZ364)),"")</f>
        <v>8</v>
      </c>
      <c r="BB364">
        <f>IF(BA364&lt;&gt;"",INDEX($AE$2:$AP$440,MATCH($AT364,$AS$2:$AS$440,0),COLUMNS($AT$2:BA364)),"")</f>
        <v>63</v>
      </c>
      <c r="BC364">
        <f>IF(BB364&lt;&gt;"",INDEX($AE$2:$AP$440,MATCH($AT364,$AS$2:$AS$440,0),COLUMNS($AT$2:BB364)),"")</f>
        <v>39</v>
      </c>
      <c r="BD364">
        <f>IF(BC364&lt;&gt;"",INDEX($AE$2:$AP$440,MATCH($AT364,$AS$2:$AS$440,0),COLUMNS($AT$2:BC364)),"")</f>
        <v>24</v>
      </c>
      <c r="BE364">
        <f>IF(BD364&lt;&gt;"",INDEX($AE$2:$AP$440,MATCH($AT364,$AS$2:$AS$440,0),COLUMNS($AT$2:BD364)),"")</f>
        <v>72</v>
      </c>
      <c r="BF364">
        <f>IF(BE364&lt;&gt;"",INDEX($AE$2:$AP$440,MATCH($AT364,$AS$2:$AS$440,0),COLUMNS($AT$2:BE364)),"")</f>
        <v>3</v>
      </c>
    </row>
    <row r="365" spans="1:58" x14ac:dyDescent="0.25">
      <c r="A365" s="5">
        <v>2018</v>
      </c>
      <c r="B365" s="5">
        <v>4</v>
      </c>
      <c r="C365" s="6" t="s">
        <v>22</v>
      </c>
      <c r="D365" s="5">
        <v>38</v>
      </c>
      <c r="E365" s="5">
        <v>23</v>
      </c>
      <c r="F365" s="5">
        <v>2</v>
      </c>
      <c r="G365" s="5">
        <v>13</v>
      </c>
      <c r="H365" s="5">
        <v>67</v>
      </c>
      <c r="I365" s="5">
        <v>39</v>
      </c>
      <c r="J365" s="5">
        <v>28</v>
      </c>
      <c r="K365" s="5">
        <v>71</v>
      </c>
      <c r="L365" s="5">
        <f>IF(Table2[[#This Row],['#]]=1,"Champion", IF(Table2[[#This Row],['#]]&gt;=18,"Relegated",Table2[[#This Row],['#]]))</f>
        <v>4</v>
      </c>
      <c r="N365">
        <f>IF(COUNTIF($O$2:O365,O365)=1,N364+1,N364)</f>
        <v>43</v>
      </c>
      <c r="O365" s="4" t="str">
        <f>Table2[[#This Row],[Team]]</f>
        <v>Tottenham Hotspur</v>
      </c>
      <c r="P365" s="1" t="str">
        <f>IFERROR(VLOOKUP(ROWS($O$2:O365),$N$2:$O$441,2,0),"")</f>
        <v/>
      </c>
      <c r="Q365" s="1" t="str">
        <f>IF(P365&lt;&gt;"",SUMPRODUCT(--(Table2[Team]=P365)),"")</f>
        <v/>
      </c>
      <c r="R365" s="11" t="str">
        <f>IF(Q365&lt;&gt;"",Q365+ROWS($Q$2:Q365)/100,"")</f>
        <v/>
      </c>
      <c r="S365" t="str">
        <f>IF(R365&lt;&gt;"",LARGE($R$2:$R$441,ROWS($R$2:R365)),"")</f>
        <v/>
      </c>
      <c r="T365" s="1" t="str">
        <f>IF(R365&lt;&gt;"",INDEX($P$2:$Q$441,MATCH($S365,$R$2:$R$441,0),COLUMNS($S$2:S365)),"")</f>
        <v/>
      </c>
      <c r="U365" s="1" t="str">
        <f>IF(S365&lt;&gt;"",INDEX($P$2:$Q$441,MATCH($S365,$R$2:$R$441,0),COLUMNS($S$2:T365)),"")</f>
        <v/>
      </c>
      <c r="AE365" s="1">
        <f>Table2[[#This Row],[Year]]</f>
        <v>2018</v>
      </c>
      <c r="AF365" s="1">
        <f>Table2[[#This Row],['#]]</f>
        <v>4</v>
      </c>
      <c r="AG365" s="1" t="str">
        <f>Table2[[#This Row],[Team]]</f>
        <v>Tottenham Hotspur</v>
      </c>
      <c r="AH365" s="1">
        <f>Table2[[#This Row],[Pl]]</f>
        <v>38</v>
      </c>
      <c r="AI365" s="1">
        <f>Table2[[#This Row],[W]]</f>
        <v>23</v>
      </c>
      <c r="AJ365" s="1">
        <f>Table2[[#This Row],[D]]</f>
        <v>2</v>
      </c>
      <c r="AK365" s="1">
        <f>Table2[[#This Row],[L]]</f>
        <v>13</v>
      </c>
      <c r="AL365" s="1">
        <f>Table2[[#This Row],[F]]</f>
        <v>67</v>
      </c>
      <c r="AM365" s="1">
        <f>Table2[[#This Row],[A]]</f>
        <v>39</v>
      </c>
      <c r="AN365" s="1">
        <f>Table2[[#This Row],[GD]]</f>
        <v>28</v>
      </c>
      <c r="AO365" s="1">
        <f>Table2[[#This Row],[Pts]]</f>
        <v>71</v>
      </c>
      <c r="AP365" s="1">
        <f>Table2[[#This Row],[Column1]]</f>
        <v>4</v>
      </c>
      <c r="AR365" t="b">
        <f t="shared" si="9"/>
        <v>1</v>
      </c>
      <c r="AS365">
        <f>IF(AR365,ROWS($AR$2:AR365),"")</f>
        <v>364</v>
      </c>
      <c r="AT365">
        <f>IFERROR(SMALL($AS$2:$AS$440,ROWS($AS$2:AS365)),"")</f>
        <v>364</v>
      </c>
      <c r="AU365">
        <f>IF(AT365&lt;&gt;"",INDEX($AE$2:$AP$440,MATCH($AT365,$AS$2:$AS$440,0),COLUMNS($AT$2:AT365)),"")</f>
        <v>2018</v>
      </c>
      <c r="AV365">
        <f>IF(AU365&lt;&gt;"",INDEX($AE$2:$AP$440,MATCH($AT365,$AS$2:$AS$440,0),COLUMNS($AT$2:AU365)),"")</f>
        <v>4</v>
      </c>
      <c r="AW365" t="str">
        <f>IF(AV365&lt;&gt;"",INDEX($AE$2:$AP$440,MATCH($AT365,$AS$2:$AS$440,0),COLUMNS($AT$2:AV365)),"")</f>
        <v>Tottenham Hotspur</v>
      </c>
      <c r="AX365">
        <f>IF(AW365&lt;&gt;"",INDEX($AE$2:$AP$440,MATCH($AT365,$AS$2:$AS$440,0),COLUMNS($AT$2:AW365)),"")</f>
        <v>38</v>
      </c>
      <c r="AY365">
        <f>IF(AX365&lt;&gt;"",INDEX($AE$2:$AP$440,MATCH($AT365,$AS$2:$AS$440,0),COLUMNS($AT$2:AX365)),"")</f>
        <v>23</v>
      </c>
      <c r="AZ365">
        <f>IF(AY365&lt;&gt;"",INDEX($AE$2:$AP$440,MATCH($AT365,$AS$2:$AS$440,0),COLUMNS($AT$2:AY365)),"")</f>
        <v>2</v>
      </c>
      <c r="BA365">
        <f>IF(AZ365&lt;&gt;"",INDEX($AE$2:$AP$440,MATCH($AT365,$AS$2:$AS$440,0),COLUMNS($AT$2:AZ365)),"")</f>
        <v>13</v>
      </c>
      <c r="BB365">
        <f>IF(BA365&lt;&gt;"",INDEX($AE$2:$AP$440,MATCH($AT365,$AS$2:$AS$440,0),COLUMNS($AT$2:BA365)),"")</f>
        <v>67</v>
      </c>
      <c r="BC365">
        <f>IF(BB365&lt;&gt;"",INDEX($AE$2:$AP$440,MATCH($AT365,$AS$2:$AS$440,0),COLUMNS($AT$2:BB365)),"")</f>
        <v>39</v>
      </c>
      <c r="BD365">
        <f>IF(BC365&lt;&gt;"",INDEX($AE$2:$AP$440,MATCH($AT365,$AS$2:$AS$440,0),COLUMNS($AT$2:BC365)),"")</f>
        <v>28</v>
      </c>
      <c r="BE365">
        <f>IF(BD365&lt;&gt;"",INDEX($AE$2:$AP$440,MATCH($AT365,$AS$2:$AS$440,0),COLUMNS($AT$2:BD365)),"")</f>
        <v>71</v>
      </c>
      <c r="BF365">
        <f>IF(BE365&lt;&gt;"",INDEX($AE$2:$AP$440,MATCH($AT365,$AS$2:$AS$440,0),COLUMNS($AT$2:BE365)),"")</f>
        <v>4</v>
      </c>
    </row>
    <row r="366" spans="1:58" x14ac:dyDescent="0.25">
      <c r="A366" s="3">
        <v>2018</v>
      </c>
      <c r="B366" s="3">
        <v>5</v>
      </c>
      <c r="C366" s="6" t="s">
        <v>12</v>
      </c>
      <c r="D366" s="3">
        <v>38</v>
      </c>
      <c r="E366" s="3">
        <v>21</v>
      </c>
      <c r="F366" s="3">
        <v>7</v>
      </c>
      <c r="G366" s="3">
        <v>10</v>
      </c>
      <c r="H366" s="3">
        <v>73</v>
      </c>
      <c r="I366" s="3">
        <v>51</v>
      </c>
      <c r="J366" s="3">
        <v>22</v>
      </c>
      <c r="K366" s="3">
        <v>70</v>
      </c>
      <c r="L366" s="5">
        <f>IF(Table2[[#This Row],['#]]=1,"Champion", IF(Table2[[#This Row],['#]]&gt;=18,"Relegated",Table2[[#This Row],['#]]))</f>
        <v>5</v>
      </c>
      <c r="N366">
        <f>IF(COUNTIF($O$2:O366,O366)=1,N365+1,N365)</f>
        <v>43</v>
      </c>
      <c r="O366" s="4" t="str">
        <f>Table2[[#This Row],[Team]]</f>
        <v>Arsenal</v>
      </c>
      <c r="P366" s="1" t="str">
        <f>IFERROR(VLOOKUP(ROWS($O$2:O366),$N$2:$O$441,2,0),"")</f>
        <v/>
      </c>
      <c r="Q366" s="1" t="str">
        <f>IF(P366&lt;&gt;"",SUMPRODUCT(--(Table2[Team]=P366)),"")</f>
        <v/>
      </c>
      <c r="R366" s="11" t="str">
        <f>IF(Q366&lt;&gt;"",Q366+ROWS($Q$2:Q366)/100,"")</f>
        <v/>
      </c>
      <c r="S366" t="str">
        <f>IF(R366&lt;&gt;"",LARGE($R$2:$R$441,ROWS($R$2:R366)),"")</f>
        <v/>
      </c>
      <c r="T366" s="1" t="str">
        <f>IF(R366&lt;&gt;"",INDEX($P$2:$Q$441,MATCH($S366,$R$2:$R$441,0),COLUMNS($S$2:S366)),"")</f>
        <v/>
      </c>
      <c r="U366" s="1" t="str">
        <f>IF(S366&lt;&gt;"",INDEX($P$2:$Q$441,MATCH($S366,$R$2:$R$441,0),COLUMNS($S$2:T366)),"")</f>
        <v/>
      </c>
      <c r="AE366" s="1">
        <f>Table2[[#This Row],[Year]]</f>
        <v>2018</v>
      </c>
      <c r="AF366" s="1">
        <f>Table2[[#This Row],['#]]</f>
        <v>5</v>
      </c>
      <c r="AG366" s="1" t="str">
        <f>Table2[[#This Row],[Team]]</f>
        <v>Arsenal</v>
      </c>
      <c r="AH366" s="1">
        <f>Table2[[#This Row],[Pl]]</f>
        <v>38</v>
      </c>
      <c r="AI366" s="1">
        <f>Table2[[#This Row],[W]]</f>
        <v>21</v>
      </c>
      <c r="AJ366" s="1">
        <f>Table2[[#This Row],[D]]</f>
        <v>7</v>
      </c>
      <c r="AK366" s="1">
        <f>Table2[[#This Row],[L]]</f>
        <v>10</v>
      </c>
      <c r="AL366" s="1">
        <f>Table2[[#This Row],[F]]</f>
        <v>73</v>
      </c>
      <c r="AM366" s="1">
        <f>Table2[[#This Row],[A]]</f>
        <v>51</v>
      </c>
      <c r="AN366" s="1">
        <f>Table2[[#This Row],[GD]]</f>
        <v>22</v>
      </c>
      <c r="AO366" s="1">
        <f>Table2[[#This Row],[Pts]]</f>
        <v>70</v>
      </c>
      <c r="AP366" s="1">
        <f>Table2[[#This Row],[Column1]]</f>
        <v>5</v>
      </c>
      <c r="AR366" t="b">
        <f t="shared" si="9"/>
        <v>1</v>
      </c>
      <c r="AS366">
        <f>IF(AR366,ROWS($AR$2:AR366),"")</f>
        <v>365</v>
      </c>
      <c r="AT366">
        <f>IFERROR(SMALL($AS$2:$AS$440,ROWS($AS$2:AS366)),"")</f>
        <v>365</v>
      </c>
      <c r="AU366">
        <f>IF(AT366&lt;&gt;"",INDEX($AE$2:$AP$440,MATCH($AT366,$AS$2:$AS$440,0),COLUMNS($AT$2:AT366)),"")</f>
        <v>2018</v>
      </c>
      <c r="AV366">
        <f>IF(AU366&lt;&gt;"",INDEX($AE$2:$AP$440,MATCH($AT366,$AS$2:$AS$440,0),COLUMNS($AT$2:AU366)),"")</f>
        <v>5</v>
      </c>
      <c r="AW366" t="str">
        <f>IF(AV366&lt;&gt;"",INDEX($AE$2:$AP$440,MATCH($AT366,$AS$2:$AS$440,0),COLUMNS($AT$2:AV366)),"")</f>
        <v>Arsenal</v>
      </c>
      <c r="AX366">
        <f>IF(AW366&lt;&gt;"",INDEX($AE$2:$AP$440,MATCH($AT366,$AS$2:$AS$440,0),COLUMNS($AT$2:AW366)),"")</f>
        <v>38</v>
      </c>
      <c r="AY366">
        <f>IF(AX366&lt;&gt;"",INDEX($AE$2:$AP$440,MATCH($AT366,$AS$2:$AS$440,0),COLUMNS($AT$2:AX366)),"")</f>
        <v>21</v>
      </c>
      <c r="AZ366">
        <f>IF(AY366&lt;&gt;"",INDEX($AE$2:$AP$440,MATCH($AT366,$AS$2:$AS$440,0),COLUMNS($AT$2:AY366)),"")</f>
        <v>7</v>
      </c>
      <c r="BA366">
        <f>IF(AZ366&lt;&gt;"",INDEX($AE$2:$AP$440,MATCH($AT366,$AS$2:$AS$440,0),COLUMNS($AT$2:AZ366)),"")</f>
        <v>10</v>
      </c>
      <c r="BB366">
        <f>IF(BA366&lt;&gt;"",INDEX($AE$2:$AP$440,MATCH($AT366,$AS$2:$AS$440,0),COLUMNS($AT$2:BA366)),"")</f>
        <v>73</v>
      </c>
      <c r="BC366">
        <f>IF(BB366&lt;&gt;"",INDEX($AE$2:$AP$440,MATCH($AT366,$AS$2:$AS$440,0),COLUMNS($AT$2:BB366)),"")</f>
        <v>51</v>
      </c>
      <c r="BD366">
        <f>IF(BC366&lt;&gt;"",INDEX($AE$2:$AP$440,MATCH($AT366,$AS$2:$AS$440,0),COLUMNS($AT$2:BC366)),"")</f>
        <v>22</v>
      </c>
      <c r="BE366">
        <f>IF(BD366&lt;&gt;"",INDEX($AE$2:$AP$440,MATCH($AT366,$AS$2:$AS$440,0),COLUMNS($AT$2:BD366)),"")</f>
        <v>70</v>
      </c>
      <c r="BF366">
        <f>IF(BE366&lt;&gt;"",INDEX($AE$2:$AP$440,MATCH($AT366,$AS$2:$AS$440,0),COLUMNS($AT$2:BE366)),"")</f>
        <v>5</v>
      </c>
    </row>
    <row r="367" spans="1:58" x14ac:dyDescent="0.25">
      <c r="A367" s="5">
        <v>2018</v>
      </c>
      <c r="B367" s="5">
        <v>6</v>
      </c>
      <c r="C367" s="6" t="s">
        <v>11</v>
      </c>
      <c r="D367" s="5">
        <v>38</v>
      </c>
      <c r="E367" s="5">
        <v>19</v>
      </c>
      <c r="F367" s="5">
        <v>9</v>
      </c>
      <c r="G367" s="5">
        <v>10</v>
      </c>
      <c r="H367" s="5">
        <v>65</v>
      </c>
      <c r="I367" s="5">
        <v>54</v>
      </c>
      <c r="J367" s="5">
        <v>11</v>
      </c>
      <c r="K367" s="5">
        <v>66</v>
      </c>
      <c r="L367" s="5">
        <f>IF(Table2[[#This Row],['#]]=1,"Champion", IF(Table2[[#This Row],['#]]&gt;=18,"Relegated",Table2[[#This Row],['#]]))</f>
        <v>6</v>
      </c>
      <c r="N367">
        <f>IF(COUNTIF($O$2:O367,O367)=1,N366+1,N366)</f>
        <v>43</v>
      </c>
      <c r="O367" s="4" t="str">
        <f>Table2[[#This Row],[Team]]</f>
        <v>Manchester United</v>
      </c>
      <c r="P367" s="1" t="str">
        <f>IFERROR(VLOOKUP(ROWS($O$2:O367),$N$2:$O$441,2,0),"")</f>
        <v/>
      </c>
      <c r="Q367" s="1" t="str">
        <f>IF(P367&lt;&gt;"",SUMPRODUCT(--(Table2[Team]=P367)),"")</f>
        <v/>
      </c>
      <c r="R367" s="11" t="str">
        <f>IF(Q367&lt;&gt;"",Q367+ROWS($Q$2:Q367)/100,"")</f>
        <v/>
      </c>
      <c r="S367" t="str">
        <f>IF(R367&lt;&gt;"",LARGE($R$2:$R$441,ROWS($R$2:R367)),"")</f>
        <v/>
      </c>
      <c r="T367" s="1" t="str">
        <f>IF(R367&lt;&gt;"",INDEX($P$2:$Q$441,MATCH($S367,$R$2:$R$441,0),COLUMNS($S$2:S367)),"")</f>
        <v/>
      </c>
      <c r="U367" s="1" t="str">
        <f>IF(S367&lt;&gt;"",INDEX($P$2:$Q$441,MATCH($S367,$R$2:$R$441,0),COLUMNS($S$2:T367)),"")</f>
        <v/>
      </c>
      <c r="AE367" s="1">
        <f>Table2[[#This Row],[Year]]</f>
        <v>2018</v>
      </c>
      <c r="AF367" s="1">
        <f>Table2[[#This Row],['#]]</f>
        <v>6</v>
      </c>
      <c r="AG367" s="1" t="str">
        <f>Table2[[#This Row],[Team]]</f>
        <v>Manchester United</v>
      </c>
      <c r="AH367" s="1">
        <f>Table2[[#This Row],[Pl]]</f>
        <v>38</v>
      </c>
      <c r="AI367" s="1">
        <f>Table2[[#This Row],[W]]</f>
        <v>19</v>
      </c>
      <c r="AJ367" s="1">
        <f>Table2[[#This Row],[D]]</f>
        <v>9</v>
      </c>
      <c r="AK367" s="1">
        <f>Table2[[#This Row],[L]]</f>
        <v>10</v>
      </c>
      <c r="AL367" s="1">
        <f>Table2[[#This Row],[F]]</f>
        <v>65</v>
      </c>
      <c r="AM367" s="1">
        <f>Table2[[#This Row],[A]]</f>
        <v>54</v>
      </c>
      <c r="AN367" s="1">
        <f>Table2[[#This Row],[GD]]</f>
        <v>11</v>
      </c>
      <c r="AO367" s="1">
        <f>Table2[[#This Row],[Pts]]</f>
        <v>66</v>
      </c>
      <c r="AP367" s="1">
        <f>Table2[[#This Row],[Column1]]</f>
        <v>6</v>
      </c>
      <c r="AR367" t="b">
        <f t="shared" si="9"/>
        <v>1</v>
      </c>
      <c r="AS367">
        <f>IF(AR367,ROWS($AR$2:AR367),"")</f>
        <v>366</v>
      </c>
      <c r="AT367">
        <f>IFERROR(SMALL($AS$2:$AS$440,ROWS($AS$2:AS367)),"")</f>
        <v>366</v>
      </c>
      <c r="AU367">
        <f>IF(AT367&lt;&gt;"",INDEX($AE$2:$AP$440,MATCH($AT367,$AS$2:$AS$440,0),COLUMNS($AT$2:AT367)),"")</f>
        <v>2018</v>
      </c>
      <c r="AV367">
        <f>IF(AU367&lt;&gt;"",INDEX($AE$2:$AP$440,MATCH($AT367,$AS$2:$AS$440,0),COLUMNS($AT$2:AU367)),"")</f>
        <v>6</v>
      </c>
      <c r="AW367" t="str">
        <f>IF(AV367&lt;&gt;"",INDEX($AE$2:$AP$440,MATCH($AT367,$AS$2:$AS$440,0),COLUMNS($AT$2:AV367)),"")</f>
        <v>Manchester United</v>
      </c>
      <c r="AX367">
        <f>IF(AW367&lt;&gt;"",INDEX($AE$2:$AP$440,MATCH($AT367,$AS$2:$AS$440,0),COLUMNS($AT$2:AW367)),"")</f>
        <v>38</v>
      </c>
      <c r="AY367">
        <f>IF(AX367&lt;&gt;"",INDEX($AE$2:$AP$440,MATCH($AT367,$AS$2:$AS$440,0),COLUMNS($AT$2:AX367)),"")</f>
        <v>19</v>
      </c>
      <c r="AZ367">
        <f>IF(AY367&lt;&gt;"",INDEX($AE$2:$AP$440,MATCH($AT367,$AS$2:$AS$440,0),COLUMNS($AT$2:AY367)),"")</f>
        <v>9</v>
      </c>
      <c r="BA367">
        <f>IF(AZ367&lt;&gt;"",INDEX($AE$2:$AP$440,MATCH($AT367,$AS$2:$AS$440,0),COLUMNS($AT$2:AZ367)),"")</f>
        <v>10</v>
      </c>
      <c r="BB367">
        <f>IF(BA367&lt;&gt;"",INDEX($AE$2:$AP$440,MATCH($AT367,$AS$2:$AS$440,0),COLUMNS($AT$2:BA367)),"")</f>
        <v>65</v>
      </c>
      <c r="BC367">
        <f>IF(BB367&lt;&gt;"",INDEX($AE$2:$AP$440,MATCH($AT367,$AS$2:$AS$440,0),COLUMNS($AT$2:BB367)),"")</f>
        <v>54</v>
      </c>
      <c r="BD367">
        <f>IF(BC367&lt;&gt;"",INDEX($AE$2:$AP$440,MATCH($AT367,$AS$2:$AS$440,0),COLUMNS($AT$2:BC367)),"")</f>
        <v>11</v>
      </c>
      <c r="BE367">
        <f>IF(BD367&lt;&gt;"",INDEX($AE$2:$AP$440,MATCH($AT367,$AS$2:$AS$440,0),COLUMNS($AT$2:BD367)),"")</f>
        <v>66</v>
      </c>
      <c r="BF367">
        <f>IF(BE367&lt;&gt;"",INDEX($AE$2:$AP$440,MATCH($AT367,$AS$2:$AS$440,0),COLUMNS($AT$2:BE367)),"")</f>
        <v>6</v>
      </c>
    </row>
    <row r="368" spans="1:58" x14ac:dyDescent="0.25">
      <c r="A368" s="3">
        <v>2018</v>
      </c>
      <c r="B368" s="3">
        <v>7</v>
      </c>
      <c r="C368" s="4" t="s">
        <v>37</v>
      </c>
      <c r="D368" s="3">
        <v>38</v>
      </c>
      <c r="E368" s="3">
        <v>16</v>
      </c>
      <c r="F368" s="3">
        <v>9</v>
      </c>
      <c r="G368" s="3">
        <v>13</v>
      </c>
      <c r="H368" s="3">
        <v>47</v>
      </c>
      <c r="I368" s="3">
        <v>46</v>
      </c>
      <c r="J368" s="3">
        <v>1</v>
      </c>
      <c r="K368" s="3">
        <v>57</v>
      </c>
      <c r="L368" s="5">
        <f>IF(Table2[[#This Row],['#]]=1,"Champion", IF(Table2[[#This Row],['#]]&gt;=18,"Relegated",Table2[[#This Row],['#]]))</f>
        <v>7</v>
      </c>
      <c r="N368">
        <f>IF(COUNTIF($O$2:O368,O368)=1,N367+1,N367)</f>
        <v>43</v>
      </c>
      <c r="O368" s="4" t="str">
        <f>Table2[[#This Row],[Team]]</f>
        <v>Wolverhampton Wanderers</v>
      </c>
      <c r="P368" s="1" t="str">
        <f>IFERROR(VLOOKUP(ROWS($O$2:O368),$N$2:$O$441,2,0),"")</f>
        <v/>
      </c>
      <c r="Q368" s="1" t="str">
        <f>IF(P368&lt;&gt;"",SUMPRODUCT(--(Table2[Team]=P368)),"")</f>
        <v/>
      </c>
      <c r="R368" s="11" t="str">
        <f>IF(Q368&lt;&gt;"",Q368+ROWS($Q$2:Q368)/100,"")</f>
        <v/>
      </c>
      <c r="S368" t="str">
        <f>IF(R368&lt;&gt;"",LARGE($R$2:$R$441,ROWS($R$2:R368)),"")</f>
        <v/>
      </c>
      <c r="T368" s="1" t="str">
        <f>IF(R368&lt;&gt;"",INDEX($P$2:$Q$441,MATCH($S368,$R$2:$R$441,0),COLUMNS($S$2:S368)),"")</f>
        <v/>
      </c>
      <c r="U368" s="1" t="str">
        <f>IF(S368&lt;&gt;"",INDEX($P$2:$Q$441,MATCH($S368,$R$2:$R$441,0),COLUMNS($S$2:T368)),"")</f>
        <v/>
      </c>
      <c r="AE368" s="1">
        <f>Table2[[#This Row],[Year]]</f>
        <v>2018</v>
      </c>
      <c r="AF368" s="1">
        <f>Table2[[#This Row],['#]]</f>
        <v>7</v>
      </c>
      <c r="AG368" s="1" t="str">
        <f>Table2[[#This Row],[Team]]</f>
        <v>Wolverhampton Wanderers</v>
      </c>
      <c r="AH368" s="1">
        <f>Table2[[#This Row],[Pl]]</f>
        <v>38</v>
      </c>
      <c r="AI368" s="1">
        <f>Table2[[#This Row],[W]]</f>
        <v>16</v>
      </c>
      <c r="AJ368" s="1">
        <f>Table2[[#This Row],[D]]</f>
        <v>9</v>
      </c>
      <c r="AK368" s="1">
        <f>Table2[[#This Row],[L]]</f>
        <v>13</v>
      </c>
      <c r="AL368" s="1">
        <f>Table2[[#This Row],[F]]</f>
        <v>47</v>
      </c>
      <c r="AM368" s="1">
        <f>Table2[[#This Row],[A]]</f>
        <v>46</v>
      </c>
      <c r="AN368" s="1">
        <f>Table2[[#This Row],[GD]]</f>
        <v>1</v>
      </c>
      <c r="AO368" s="1">
        <f>Table2[[#This Row],[Pts]]</f>
        <v>57</v>
      </c>
      <c r="AP368" s="1">
        <f>Table2[[#This Row],[Column1]]</f>
        <v>7</v>
      </c>
      <c r="AR368" t="b">
        <f t="shared" si="9"/>
        <v>1</v>
      </c>
      <c r="AS368">
        <f>IF(AR368,ROWS($AR$2:AR368),"")</f>
        <v>367</v>
      </c>
      <c r="AT368">
        <f>IFERROR(SMALL($AS$2:$AS$440,ROWS($AS$2:AS368)),"")</f>
        <v>367</v>
      </c>
      <c r="AU368">
        <f>IF(AT368&lt;&gt;"",INDEX($AE$2:$AP$440,MATCH($AT368,$AS$2:$AS$440,0),COLUMNS($AT$2:AT368)),"")</f>
        <v>2018</v>
      </c>
      <c r="AV368">
        <f>IF(AU368&lt;&gt;"",INDEX($AE$2:$AP$440,MATCH($AT368,$AS$2:$AS$440,0),COLUMNS($AT$2:AU368)),"")</f>
        <v>7</v>
      </c>
      <c r="AW368" t="str">
        <f>IF(AV368&lt;&gt;"",INDEX($AE$2:$AP$440,MATCH($AT368,$AS$2:$AS$440,0),COLUMNS($AT$2:AV368)),"")</f>
        <v>Wolverhampton Wanderers</v>
      </c>
      <c r="AX368">
        <f>IF(AW368&lt;&gt;"",INDEX($AE$2:$AP$440,MATCH($AT368,$AS$2:$AS$440,0),COLUMNS($AT$2:AW368)),"")</f>
        <v>38</v>
      </c>
      <c r="AY368">
        <f>IF(AX368&lt;&gt;"",INDEX($AE$2:$AP$440,MATCH($AT368,$AS$2:$AS$440,0),COLUMNS($AT$2:AX368)),"")</f>
        <v>16</v>
      </c>
      <c r="AZ368">
        <f>IF(AY368&lt;&gt;"",INDEX($AE$2:$AP$440,MATCH($AT368,$AS$2:$AS$440,0),COLUMNS($AT$2:AY368)),"")</f>
        <v>9</v>
      </c>
      <c r="BA368">
        <f>IF(AZ368&lt;&gt;"",INDEX($AE$2:$AP$440,MATCH($AT368,$AS$2:$AS$440,0),COLUMNS($AT$2:AZ368)),"")</f>
        <v>13</v>
      </c>
      <c r="BB368">
        <f>IF(BA368&lt;&gt;"",INDEX($AE$2:$AP$440,MATCH($AT368,$AS$2:$AS$440,0),COLUMNS($AT$2:BA368)),"")</f>
        <v>47</v>
      </c>
      <c r="BC368">
        <f>IF(BB368&lt;&gt;"",INDEX($AE$2:$AP$440,MATCH($AT368,$AS$2:$AS$440,0),COLUMNS($AT$2:BB368)),"")</f>
        <v>46</v>
      </c>
      <c r="BD368">
        <f>IF(BC368&lt;&gt;"",INDEX($AE$2:$AP$440,MATCH($AT368,$AS$2:$AS$440,0),COLUMNS($AT$2:BC368)),"")</f>
        <v>1</v>
      </c>
      <c r="BE368">
        <f>IF(BD368&lt;&gt;"",INDEX($AE$2:$AP$440,MATCH($AT368,$AS$2:$AS$440,0),COLUMNS($AT$2:BD368)),"")</f>
        <v>57</v>
      </c>
      <c r="BF368">
        <f>IF(BE368&lt;&gt;"",INDEX($AE$2:$AP$440,MATCH($AT368,$AS$2:$AS$440,0),COLUMNS($AT$2:BE368)),"")</f>
        <v>7</v>
      </c>
    </row>
    <row r="369" spans="1:58" x14ac:dyDescent="0.25">
      <c r="A369" s="5">
        <v>2018</v>
      </c>
      <c r="B369" s="5">
        <v>8</v>
      </c>
      <c r="C369" s="6" t="s">
        <v>26</v>
      </c>
      <c r="D369" s="5">
        <v>38</v>
      </c>
      <c r="E369" s="5">
        <v>15</v>
      </c>
      <c r="F369" s="5">
        <v>9</v>
      </c>
      <c r="G369" s="5">
        <v>14</v>
      </c>
      <c r="H369" s="5">
        <v>54</v>
      </c>
      <c r="I369" s="5">
        <v>46</v>
      </c>
      <c r="J369" s="5">
        <v>8</v>
      </c>
      <c r="K369" s="5">
        <v>54</v>
      </c>
      <c r="L369" s="5">
        <f>IF(Table2[[#This Row],['#]]=1,"Champion", IF(Table2[[#This Row],['#]]&gt;=18,"Relegated",Table2[[#This Row],['#]]))</f>
        <v>8</v>
      </c>
      <c r="N369">
        <f>IF(COUNTIF($O$2:O369,O369)=1,N368+1,N368)</f>
        <v>43</v>
      </c>
      <c r="O369" s="4" t="str">
        <f>Table2[[#This Row],[Team]]</f>
        <v>Everton</v>
      </c>
      <c r="P369" s="1" t="str">
        <f>IFERROR(VLOOKUP(ROWS($O$2:O369),$N$2:$O$441,2,0),"")</f>
        <v/>
      </c>
      <c r="Q369" s="1" t="str">
        <f>IF(P369&lt;&gt;"",SUMPRODUCT(--(Table2[Team]=P369)),"")</f>
        <v/>
      </c>
      <c r="R369" s="11" t="str">
        <f>IF(Q369&lt;&gt;"",Q369+ROWS($Q$2:Q369)/100,"")</f>
        <v/>
      </c>
      <c r="S369" t="str">
        <f>IF(R369&lt;&gt;"",LARGE($R$2:$R$441,ROWS($R$2:R369)),"")</f>
        <v/>
      </c>
      <c r="T369" s="1" t="str">
        <f>IF(R369&lt;&gt;"",INDEX($P$2:$Q$441,MATCH($S369,$R$2:$R$441,0),COLUMNS($S$2:S369)),"")</f>
        <v/>
      </c>
      <c r="U369" s="1" t="str">
        <f>IF(S369&lt;&gt;"",INDEX($P$2:$Q$441,MATCH($S369,$R$2:$R$441,0),COLUMNS($S$2:T369)),"")</f>
        <v/>
      </c>
      <c r="AE369" s="1">
        <f>Table2[[#This Row],[Year]]</f>
        <v>2018</v>
      </c>
      <c r="AF369" s="1">
        <f>Table2[[#This Row],['#]]</f>
        <v>8</v>
      </c>
      <c r="AG369" s="1" t="str">
        <f>Table2[[#This Row],[Team]]</f>
        <v>Everton</v>
      </c>
      <c r="AH369" s="1">
        <f>Table2[[#This Row],[Pl]]</f>
        <v>38</v>
      </c>
      <c r="AI369" s="1">
        <f>Table2[[#This Row],[W]]</f>
        <v>15</v>
      </c>
      <c r="AJ369" s="1">
        <f>Table2[[#This Row],[D]]</f>
        <v>9</v>
      </c>
      <c r="AK369" s="1">
        <f>Table2[[#This Row],[L]]</f>
        <v>14</v>
      </c>
      <c r="AL369" s="1">
        <f>Table2[[#This Row],[F]]</f>
        <v>54</v>
      </c>
      <c r="AM369" s="1">
        <f>Table2[[#This Row],[A]]</f>
        <v>46</v>
      </c>
      <c r="AN369" s="1">
        <f>Table2[[#This Row],[GD]]</f>
        <v>8</v>
      </c>
      <c r="AO369" s="1">
        <f>Table2[[#This Row],[Pts]]</f>
        <v>54</v>
      </c>
      <c r="AP369" s="1">
        <f>Table2[[#This Row],[Column1]]</f>
        <v>8</v>
      </c>
      <c r="AR369" t="b">
        <f t="shared" si="9"/>
        <v>1</v>
      </c>
      <c r="AS369">
        <f>IF(AR369,ROWS($AR$2:AR369),"")</f>
        <v>368</v>
      </c>
      <c r="AT369">
        <f>IFERROR(SMALL($AS$2:$AS$440,ROWS($AS$2:AS369)),"")</f>
        <v>368</v>
      </c>
      <c r="AU369">
        <f>IF(AT369&lt;&gt;"",INDEX($AE$2:$AP$440,MATCH($AT369,$AS$2:$AS$440,0),COLUMNS($AT$2:AT369)),"")</f>
        <v>2018</v>
      </c>
      <c r="AV369">
        <f>IF(AU369&lt;&gt;"",INDEX($AE$2:$AP$440,MATCH($AT369,$AS$2:$AS$440,0),COLUMNS($AT$2:AU369)),"")</f>
        <v>8</v>
      </c>
      <c r="AW369" t="str">
        <f>IF(AV369&lt;&gt;"",INDEX($AE$2:$AP$440,MATCH($AT369,$AS$2:$AS$440,0),COLUMNS($AT$2:AV369)),"")</f>
        <v>Everton</v>
      </c>
      <c r="AX369">
        <f>IF(AW369&lt;&gt;"",INDEX($AE$2:$AP$440,MATCH($AT369,$AS$2:$AS$440,0),COLUMNS($AT$2:AW369)),"")</f>
        <v>38</v>
      </c>
      <c r="AY369">
        <f>IF(AX369&lt;&gt;"",INDEX($AE$2:$AP$440,MATCH($AT369,$AS$2:$AS$440,0),COLUMNS($AT$2:AX369)),"")</f>
        <v>15</v>
      </c>
      <c r="AZ369">
        <f>IF(AY369&lt;&gt;"",INDEX($AE$2:$AP$440,MATCH($AT369,$AS$2:$AS$440,0),COLUMNS($AT$2:AY369)),"")</f>
        <v>9</v>
      </c>
      <c r="BA369">
        <f>IF(AZ369&lt;&gt;"",INDEX($AE$2:$AP$440,MATCH($AT369,$AS$2:$AS$440,0),COLUMNS($AT$2:AZ369)),"")</f>
        <v>14</v>
      </c>
      <c r="BB369">
        <f>IF(BA369&lt;&gt;"",INDEX($AE$2:$AP$440,MATCH($AT369,$AS$2:$AS$440,0),COLUMNS($AT$2:BA369)),"")</f>
        <v>54</v>
      </c>
      <c r="BC369">
        <f>IF(BB369&lt;&gt;"",INDEX($AE$2:$AP$440,MATCH($AT369,$AS$2:$AS$440,0),COLUMNS($AT$2:BB369)),"")</f>
        <v>46</v>
      </c>
      <c r="BD369">
        <f>IF(BC369&lt;&gt;"",INDEX($AE$2:$AP$440,MATCH($AT369,$AS$2:$AS$440,0),COLUMNS($AT$2:BC369)),"")</f>
        <v>8</v>
      </c>
      <c r="BE369">
        <f>IF(BD369&lt;&gt;"",INDEX($AE$2:$AP$440,MATCH($AT369,$AS$2:$AS$440,0),COLUMNS($AT$2:BD369)),"")</f>
        <v>54</v>
      </c>
      <c r="BF369">
        <f>IF(BE369&lt;&gt;"",INDEX($AE$2:$AP$440,MATCH($AT369,$AS$2:$AS$440,0),COLUMNS($AT$2:BE369)),"")</f>
        <v>8</v>
      </c>
    </row>
    <row r="370" spans="1:58" x14ac:dyDescent="0.25">
      <c r="A370" s="3">
        <v>2018</v>
      </c>
      <c r="B370" s="3">
        <v>9</v>
      </c>
      <c r="C370" s="4" t="s">
        <v>23</v>
      </c>
      <c r="D370" s="3">
        <v>38</v>
      </c>
      <c r="E370" s="3">
        <v>15</v>
      </c>
      <c r="F370" s="3">
        <v>7</v>
      </c>
      <c r="G370" s="3">
        <v>16</v>
      </c>
      <c r="H370" s="3">
        <v>51</v>
      </c>
      <c r="I370" s="3">
        <v>48</v>
      </c>
      <c r="J370" s="3">
        <v>3</v>
      </c>
      <c r="K370" s="3">
        <v>52</v>
      </c>
      <c r="L370" s="5">
        <f>IF(Table2[[#This Row],['#]]=1,"Champion", IF(Table2[[#This Row],['#]]&gt;=18,"Relegated",Table2[[#This Row],['#]]))</f>
        <v>9</v>
      </c>
      <c r="N370">
        <f>IF(COUNTIF($O$2:O370,O370)=1,N369+1,N369)</f>
        <v>43</v>
      </c>
      <c r="O370" s="4" t="str">
        <f>Table2[[#This Row],[Team]]</f>
        <v>Leicester City</v>
      </c>
      <c r="P370" s="1" t="str">
        <f>IFERROR(VLOOKUP(ROWS($O$2:O370),$N$2:$O$441,2,0),"")</f>
        <v/>
      </c>
      <c r="Q370" s="1" t="str">
        <f>IF(P370&lt;&gt;"",SUMPRODUCT(--(Table2[Team]=P370)),"")</f>
        <v/>
      </c>
      <c r="R370" s="11" t="str">
        <f>IF(Q370&lt;&gt;"",Q370+ROWS($Q$2:Q370)/100,"")</f>
        <v/>
      </c>
      <c r="S370" t="str">
        <f>IF(R370&lt;&gt;"",LARGE($R$2:$R$441,ROWS($R$2:R370)),"")</f>
        <v/>
      </c>
      <c r="T370" s="1" t="str">
        <f>IF(R370&lt;&gt;"",INDEX($P$2:$Q$441,MATCH($S370,$R$2:$R$441,0),COLUMNS($S$2:S370)),"")</f>
        <v/>
      </c>
      <c r="U370" s="1" t="str">
        <f>IF(S370&lt;&gt;"",INDEX($P$2:$Q$441,MATCH($S370,$R$2:$R$441,0),COLUMNS($S$2:T370)),"")</f>
        <v/>
      </c>
      <c r="AE370" s="1">
        <f>Table2[[#This Row],[Year]]</f>
        <v>2018</v>
      </c>
      <c r="AF370" s="1">
        <f>Table2[[#This Row],['#]]</f>
        <v>9</v>
      </c>
      <c r="AG370" s="1" t="str">
        <f>Table2[[#This Row],[Team]]</f>
        <v>Leicester City</v>
      </c>
      <c r="AH370" s="1">
        <f>Table2[[#This Row],[Pl]]</f>
        <v>38</v>
      </c>
      <c r="AI370" s="1">
        <f>Table2[[#This Row],[W]]</f>
        <v>15</v>
      </c>
      <c r="AJ370" s="1">
        <f>Table2[[#This Row],[D]]</f>
        <v>7</v>
      </c>
      <c r="AK370" s="1">
        <f>Table2[[#This Row],[L]]</f>
        <v>16</v>
      </c>
      <c r="AL370" s="1">
        <f>Table2[[#This Row],[F]]</f>
        <v>51</v>
      </c>
      <c r="AM370" s="1">
        <f>Table2[[#This Row],[A]]</f>
        <v>48</v>
      </c>
      <c r="AN370" s="1">
        <f>Table2[[#This Row],[GD]]</f>
        <v>3</v>
      </c>
      <c r="AO370" s="1">
        <f>Table2[[#This Row],[Pts]]</f>
        <v>52</v>
      </c>
      <c r="AP370" s="1">
        <f>Table2[[#This Row],[Column1]]</f>
        <v>9</v>
      </c>
      <c r="AR370" t="b">
        <f t="shared" si="9"/>
        <v>1</v>
      </c>
      <c r="AS370">
        <f>IF(AR370,ROWS($AR$2:AR370),"")</f>
        <v>369</v>
      </c>
      <c r="AT370">
        <f>IFERROR(SMALL($AS$2:$AS$440,ROWS($AS$2:AS370)),"")</f>
        <v>369</v>
      </c>
      <c r="AU370">
        <f>IF(AT370&lt;&gt;"",INDEX($AE$2:$AP$440,MATCH($AT370,$AS$2:$AS$440,0),COLUMNS($AT$2:AT370)),"")</f>
        <v>2018</v>
      </c>
      <c r="AV370">
        <f>IF(AU370&lt;&gt;"",INDEX($AE$2:$AP$440,MATCH($AT370,$AS$2:$AS$440,0),COLUMNS($AT$2:AU370)),"")</f>
        <v>9</v>
      </c>
      <c r="AW370" t="str">
        <f>IF(AV370&lt;&gt;"",INDEX($AE$2:$AP$440,MATCH($AT370,$AS$2:$AS$440,0),COLUMNS($AT$2:AV370)),"")</f>
        <v>Leicester City</v>
      </c>
      <c r="AX370">
        <f>IF(AW370&lt;&gt;"",INDEX($AE$2:$AP$440,MATCH($AT370,$AS$2:$AS$440,0),COLUMNS($AT$2:AW370)),"")</f>
        <v>38</v>
      </c>
      <c r="AY370">
        <f>IF(AX370&lt;&gt;"",INDEX($AE$2:$AP$440,MATCH($AT370,$AS$2:$AS$440,0),COLUMNS($AT$2:AX370)),"")</f>
        <v>15</v>
      </c>
      <c r="AZ370">
        <f>IF(AY370&lt;&gt;"",INDEX($AE$2:$AP$440,MATCH($AT370,$AS$2:$AS$440,0),COLUMNS($AT$2:AY370)),"")</f>
        <v>7</v>
      </c>
      <c r="BA370">
        <f>IF(AZ370&lt;&gt;"",INDEX($AE$2:$AP$440,MATCH($AT370,$AS$2:$AS$440,0),COLUMNS($AT$2:AZ370)),"")</f>
        <v>16</v>
      </c>
      <c r="BB370">
        <f>IF(BA370&lt;&gt;"",INDEX($AE$2:$AP$440,MATCH($AT370,$AS$2:$AS$440,0),COLUMNS($AT$2:BA370)),"")</f>
        <v>51</v>
      </c>
      <c r="BC370">
        <f>IF(BB370&lt;&gt;"",INDEX($AE$2:$AP$440,MATCH($AT370,$AS$2:$AS$440,0),COLUMNS($AT$2:BB370)),"")</f>
        <v>48</v>
      </c>
      <c r="BD370">
        <f>IF(BC370&lt;&gt;"",INDEX($AE$2:$AP$440,MATCH($AT370,$AS$2:$AS$440,0),COLUMNS($AT$2:BC370)),"")</f>
        <v>3</v>
      </c>
      <c r="BE370">
        <f>IF(BD370&lt;&gt;"",INDEX($AE$2:$AP$440,MATCH($AT370,$AS$2:$AS$440,0),COLUMNS($AT$2:BD370)),"")</f>
        <v>52</v>
      </c>
      <c r="BF370">
        <f>IF(BE370&lt;&gt;"",INDEX($AE$2:$AP$440,MATCH($AT370,$AS$2:$AS$440,0),COLUMNS($AT$2:BE370)),"")</f>
        <v>9</v>
      </c>
    </row>
    <row r="371" spans="1:58" x14ac:dyDescent="0.25">
      <c r="A371" s="5">
        <v>2018</v>
      </c>
      <c r="B371" s="5">
        <v>10</v>
      </c>
      <c r="C371" s="6" t="s">
        <v>25</v>
      </c>
      <c r="D371" s="5">
        <v>38</v>
      </c>
      <c r="E371" s="5">
        <v>15</v>
      </c>
      <c r="F371" s="5">
        <v>7</v>
      </c>
      <c r="G371" s="5">
        <v>16</v>
      </c>
      <c r="H371" s="5">
        <v>52</v>
      </c>
      <c r="I371" s="5">
        <v>55</v>
      </c>
      <c r="J371" s="5">
        <v>-3</v>
      </c>
      <c r="K371" s="5">
        <v>52</v>
      </c>
      <c r="L371" s="5">
        <f>IF(Table2[[#This Row],['#]]=1,"Champion", IF(Table2[[#This Row],['#]]&gt;=18,"Relegated",Table2[[#This Row],['#]]))</f>
        <v>10</v>
      </c>
      <c r="N371">
        <f>IF(COUNTIF($O$2:O371,O371)=1,N370+1,N370)</f>
        <v>43</v>
      </c>
      <c r="O371" s="4" t="str">
        <f>Table2[[#This Row],[Team]]</f>
        <v>West Ham United</v>
      </c>
      <c r="P371" s="1" t="str">
        <f>IFERROR(VLOOKUP(ROWS($O$2:O371),$N$2:$O$441,2,0),"")</f>
        <v/>
      </c>
      <c r="Q371" s="1" t="str">
        <f>IF(P371&lt;&gt;"",SUMPRODUCT(--(Table2[Team]=P371)),"")</f>
        <v/>
      </c>
      <c r="R371" s="11" t="str">
        <f>IF(Q371&lt;&gt;"",Q371+ROWS($Q$2:Q371)/100,"")</f>
        <v/>
      </c>
      <c r="S371" t="str">
        <f>IF(R371&lt;&gt;"",LARGE($R$2:$R$441,ROWS($R$2:R371)),"")</f>
        <v/>
      </c>
      <c r="T371" s="1" t="str">
        <f>IF(R371&lt;&gt;"",INDEX($P$2:$Q$441,MATCH($S371,$R$2:$R$441,0),COLUMNS($S$2:S371)),"")</f>
        <v/>
      </c>
      <c r="U371" s="1" t="str">
        <f>IF(S371&lt;&gt;"",INDEX($P$2:$Q$441,MATCH($S371,$R$2:$R$441,0),COLUMNS($S$2:T371)),"")</f>
        <v/>
      </c>
      <c r="AE371" s="1">
        <f>Table2[[#This Row],[Year]]</f>
        <v>2018</v>
      </c>
      <c r="AF371" s="1">
        <f>Table2[[#This Row],['#]]</f>
        <v>10</v>
      </c>
      <c r="AG371" s="1" t="str">
        <f>Table2[[#This Row],[Team]]</f>
        <v>West Ham United</v>
      </c>
      <c r="AH371" s="1">
        <f>Table2[[#This Row],[Pl]]</f>
        <v>38</v>
      </c>
      <c r="AI371" s="1">
        <f>Table2[[#This Row],[W]]</f>
        <v>15</v>
      </c>
      <c r="AJ371" s="1">
        <f>Table2[[#This Row],[D]]</f>
        <v>7</v>
      </c>
      <c r="AK371" s="1">
        <f>Table2[[#This Row],[L]]</f>
        <v>16</v>
      </c>
      <c r="AL371" s="1">
        <f>Table2[[#This Row],[F]]</f>
        <v>52</v>
      </c>
      <c r="AM371" s="1">
        <f>Table2[[#This Row],[A]]</f>
        <v>55</v>
      </c>
      <c r="AN371" s="1">
        <f>Table2[[#This Row],[GD]]</f>
        <v>-3</v>
      </c>
      <c r="AO371" s="1">
        <f>Table2[[#This Row],[Pts]]</f>
        <v>52</v>
      </c>
      <c r="AP371" s="1">
        <f>Table2[[#This Row],[Column1]]</f>
        <v>10</v>
      </c>
      <c r="AR371" t="b">
        <f t="shared" si="9"/>
        <v>1</v>
      </c>
      <c r="AS371">
        <f>IF(AR371,ROWS($AR$2:AR371),"")</f>
        <v>370</v>
      </c>
      <c r="AT371">
        <f>IFERROR(SMALL($AS$2:$AS$440,ROWS($AS$2:AS371)),"")</f>
        <v>370</v>
      </c>
      <c r="AU371">
        <f>IF(AT371&lt;&gt;"",INDEX($AE$2:$AP$440,MATCH($AT371,$AS$2:$AS$440,0),COLUMNS($AT$2:AT371)),"")</f>
        <v>2018</v>
      </c>
      <c r="AV371">
        <f>IF(AU371&lt;&gt;"",INDEX($AE$2:$AP$440,MATCH($AT371,$AS$2:$AS$440,0),COLUMNS($AT$2:AU371)),"")</f>
        <v>10</v>
      </c>
      <c r="AW371" t="str">
        <f>IF(AV371&lt;&gt;"",INDEX($AE$2:$AP$440,MATCH($AT371,$AS$2:$AS$440,0),COLUMNS($AT$2:AV371)),"")</f>
        <v>West Ham United</v>
      </c>
      <c r="AX371">
        <f>IF(AW371&lt;&gt;"",INDEX($AE$2:$AP$440,MATCH($AT371,$AS$2:$AS$440,0),COLUMNS($AT$2:AW371)),"")</f>
        <v>38</v>
      </c>
      <c r="AY371">
        <f>IF(AX371&lt;&gt;"",INDEX($AE$2:$AP$440,MATCH($AT371,$AS$2:$AS$440,0),COLUMNS($AT$2:AX371)),"")</f>
        <v>15</v>
      </c>
      <c r="AZ371">
        <f>IF(AY371&lt;&gt;"",INDEX($AE$2:$AP$440,MATCH($AT371,$AS$2:$AS$440,0),COLUMNS($AT$2:AY371)),"")</f>
        <v>7</v>
      </c>
      <c r="BA371">
        <f>IF(AZ371&lt;&gt;"",INDEX($AE$2:$AP$440,MATCH($AT371,$AS$2:$AS$440,0),COLUMNS($AT$2:AZ371)),"")</f>
        <v>16</v>
      </c>
      <c r="BB371">
        <f>IF(BA371&lt;&gt;"",INDEX($AE$2:$AP$440,MATCH($AT371,$AS$2:$AS$440,0),COLUMNS($AT$2:BA371)),"")</f>
        <v>52</v>
      </c>
      <c r="BC371">
        <f>IF(BB371&lt;&gt;"",INDEX($AE$2:$AP$440,MATCH($AT371,$AS$2:$AS$440,0),COLUMNS($AT$2:BB371)),"")</f>
        <v>55</v>
      </c>
      <c r="BD371">
        <f>IF(BC371&lt;&gt;"",INDEX($AE$2:$AP$440,MATCH($AT371,$AS$2:$AS$440,0),COLUMNS($AT$2:BC371)),"")</f>
        <v>-3</v>
      </c>
      <c r="BE371">
        <f>IF(BD371&lt;&gt;"",INDEX($AE$2:$AP$440,MATCH($AT371,$AS$2:$AS$440,0),COLUMNS($AT$2:BD371)),"")</f>
        <v>52</v>
      </c>
      <c r="BF371">
        <f>IF(BE371&lt;&gt;"",INDEX($AE$2:$AP$440,MATCH($AT371,$AS$2:$AS$440,0),COLUMNS($AT$2:BE371)),"")</f>
        <v>10</v>
      </c>
    </row>
    <row r="372" spans="1:58" x14ac:dyDescent="0.25">
      <c r="A372" s="3">
        <v>2018</v>
      </c>
      <c r="B372" s="3">
        <v>11</v>
      </c>
      <c r="C372" s="4" t="s">
        <v>43</v>
      </c>
      <c r="D372" s="3">
        <v>38</v>
      </c>
      <c r="E372" s="3">
        <v>14</v>
      </c>
      <c r="F372" s="3">
        <v>8</v>
      </c>
      <c r="G372" s="3">
        <v>16</v>
      </c>
      <c r="H372" s="3">
        <v>52</v>
      </c>
      <c r="I372" s="3">
        <v>59</v>
      </c>
      <c r="J372" s="3">
        <v>-7</v>
      </c>
      <c r="K372" s="3">
        <v>50</v>
      </c>
      <c r="L372" s="5">
        <f>IF(Table2[[#This Row],['#]]=1,"Champion", IF(Table2[[#This Row],['#]]&gt;=18,"Relegated",Table2[[#This Row],['#]]))</f>
        <v>11</v>
      </c>
      <c r="N372">
        <f>IF(COUNTIF($O$2:O372,O372)=1,N371+1,N371)</f>
        <v>43</v>
      </c>
      <c r="O372" s="4" t="str">
        <f>Table2[[#This Row],[Team]]</f>
        <v>Watford</v>
      </c>
      <c r="P372" s="1" t="str">
        <f>IFERROR(VLOOKUP(ROWS($O$2:O372),$N$2:$O$441,2,0),"")</f>
        <v/>
      </c>
      <c r="Q372" s="1" t="str">
        <f>IF(P372&lt;&gt;"",SUMPRODUCT(--(Table2[Team]=P372)),"")</f>
        <v/>
      </c>
      <c r="R372" s="11" t="str">
        <f>IF(Q372&lt;&gt;"",Q372+ROWS($Q$2:Q372)/100,"")</f>
        <v/>
      </c>
      <c r="S372" t="str">
        <f>IF(R372&lt;&gt;"",LARGE($R$2:$R$441,ROWS($R$2:R372)),"")</f>
        <v/>
      </c>
      <c r="T372" s="1" t="str">
        <f>IF(R372&lt;&gt;"",INDEX($P$2:$Q$441,MATCH($S372,$R$2:$R$441,0),COLUMNS($S$2:S372)),"")</f>
        <v/>
      </c>
      <c r="U372" s="1" t="str">
        <f>IF(S372&lt;&gt;"",INDEX($P$2:$Q$441,MATCH($S372,$R$2:$R$441,0),COLUMNS($S$2:T372)),"")</f>
        <v/>
      </c>
      <c r="AE372" s="1">
        <f>Table2[[#This Row],[Year]]</f>
        <v>2018</v>
      </c>
      <c r="AF372" s="1">
        <f>Table2[[#This Row],['#]]</f>
        <v>11</v>
      </c>
      <c r="AG372" s="1" t="str">
        <f>Table2[[#This Row],[Team]]</f>
        <v>Watford</v>
      </c>
      <c r="AH372" s="1">
        <f>Table2[[#This Row],[Pl]]</f>
        <v>38</v>
      </c>
      <c r="AI372" s="1">
        <f>Table2[[#This Row],[W]]</f>
        <v>14</v>
      </c>
      <c r="AJ372" s="1">
        <f>Table2[[#This Row],[D]]</f>
        <v>8</v>
      </c>
      <c r="AK372" s="1">
        <f>Table2[[#This Row],[L]]</f>
        <v>16</v>
      </c>
      <c r="AL372" s="1">
        <f>Table2[[#This Row],[F]]</f>
        <v>52</v>
      </c>
      <c r="AM372" s="1">
        <f>Table2[[#This Row],[A]]</f>
        <v>59</v>
      </c>
      <c r="AN372" s="1">
        <f>Table2[[#This Row],[GD]]</f>
        <v>-7</v>
      </c>
      <c r="AO372" s="1">
        <f>Table2[[#This Row],[Pts]]</f>
        <v>50</v>
      </c>
      <c r="AP372" s="1">
        <f>Table2[[#This Row],[Column1]]</f>
        <v>11</v>
      </c>
      <c r="AR372" t="b">
        <f t="shared" si="9"/>
        <v>1</v>
      </c>
      <c r="AS372">
        <f>IF(AR372,ROWS($AR$2:AR372),"")</f>
        <v>371</v>
      </c>
      <c r="AT372">
        <f>IFERROR(SMALL($AS$2:$AS$440,ROWS($AS$2:AS372)),"")</f>
        <v>371</v>
      </c>
      <c r="AU372">
        <f>IF(AT372&lt;&gt;"",INDEX($AE$2:$AP$440,MATCH($AT372,$AS$2:$AS$440,0),COLUMNS($AT$2:AT372)),"")</f>
        <v>2018</v>
      </c>
      <c r="AV372">
        <f>IF(AU372&lt;&gt;"",INDEX($AE$2:$AP$440,MATCH($AT372,$AS$2:$AS$440,0),COLUMNS($AT$2:AU372)),"")</f>
        <v>11</v>
      </c>
      <c r="AW372" t="str">
        <f>IF(AV372&lt;&gt;"",INDEX($AE$2:$AP$440,MATCH($AT372,$AS$2:$AS$440,0),COLUMNS($AT$2:AV372)),"")</f>
        <v>Watford</v>
      </c>
      <c r="AX372">
        <f>IF(AW372&lt;&gt;"",INDEX($AE$2:$AP$440,MATCH($AT372,$AS$2:$AS$440,0),COLUMNS($AT$2:AW372)),"")</f>
        <v>38</v>
      </c>
      <c r="AY372">
        <f>IF(AX372&lt;&gt;"",INDEX($AE$2:$AP$440,MATCH($AT372,$AS$2:$AS$440,0),COLUMNS($AT$2:AX372)),"")</f>
        <v>14</v>
      </c>
      <c r="AZ372">
        <f>IF(AY372&lt;&gt;"",INDEX($AE$2:$AP$440,MATCH($AT372,$AS$2:$AS$440,0),COLUMNS($AT$2:AY372)),"")</f>
        <v>8</v>
      </c>
      <c r="BA372">
        <f>IF(AZ372&lt;&gt;"",INDEX($AE$2:$AP$440,MATCH($AT372,$AS$2:$AS$440,0),COLUMNS($AT$2:AZ372)),"")</f>
        <v>16</v>
      </c>
      <c r="BB372">
        <f>IF(BA372&lt;&gt;"",INDEX($AE$2:$AP$440,MATCH($AT372,$AS$2:$AS$440,0),COLUMNS($AT$2:BA372)),"")</f>
        <v>52</v>
      </c>
      <c r="BC372">
        <f>IF(BB372&lt;&gt;"",INDEX($AE$2:$AP$440,MATCH($AT372,$AS$2:$AS$440,0),COLUMNS($AT$2:BB372)),"")</f>
        <v>59</v>
      </c>
      <c r="BD372">
        <f>IF(BC372&lt;&gt;"",INDEX($AE$2:$AP$440,MATCH($AT372,$AS$2:$AS$440,0),COLUMNS($AT$2:BC372)),"")</f>
        <v>-7</v>
      </c>
      <c r="BE372">
        <f>IF(BD372&lt;&gt;"",INDEX($AE$2:$AP$440,MATCH($AT372,$AS$2:$AS$440,0),COLUMNS($AT$2:BD372)),"")</f>
        <v>50</v>
      </c>
      <c r="BF372">
        <f>IF(BE372&lt;&gt;"",INDEX($AE$2:$AP$440,MATCH($AT372,$AS$2:$AS$440,0),COLUMNS($AT$2:BE372)),"")</f>
        <v>11</v>
      </c>
    </row>
    <row r="373" spans="1:58" x14ac:dyDescent="0.25">
      <c r="A373" s="5">
        <v>2018</v>
      </c>
      <c r="B373" s="5">
        <v>12</v>
      </c>
      <c r="C373" s="6" t="s">
        <v>38</v>
      </c>
      <c r="D373" s="5">
        <v>38</v>
      </c>
      <c r="E373" s="5">
        <v>14</v>
      </c>
      <c r="F373" s="5">
        <v>7</v>
      </c>
      <c r="G373" s="5">
        <v>17</v>
      </c>
      <c r="H373" s="5">
        <v>51</v>
      </c>
      <c r="I373" s="5">
        <v>53</v>
      </c>
      <c r="J373" s="5">
        <v>-2</v>
      </c>
      <c r="K373" s="5">
        <v>49</v>
      </c>
      <c r="L373" s="5">
        <f>IF(Table2[[#This Row],['#]]=1,"Champion", IF(Table2[[#This Row],['#]]&gt;=18,"Relegated",Table2[[#This Row],['#]]))</f>
        <v>12</v>
      </c>
      <c r="N373">
        <f>IF(COUNTIF($O$2:O373,O373)=1,N372+1,N372)</f>
        <v>43</v>
      </c>
      <c r="O373" s="4" t="str">
        <f>Table2[[#This Row],[Team]]</f>
        <v>Crystal Palace</v>
      </c>
      <c r="P373" s="1" t="str">
        <f>IFERROR(VLOOKUP(ROWS($O$2:O373),$N$2:$O$441,2,0),"")</f>
        <v/>
      </c>
      <c r="Q373" s="1" t="str">
        <f>IF(P373&lt;&gt;"",SUMPRODUCT(--(Table2[Team]=P373)),"")</f>
        <v/>
      </c>
      <c r="R373" s="11" t="str">
        <f>IF(Q373&lt;&gt;"",Q373+ROWS($Q$2:Q373)/100,"")</f>
        <v/>
      </c>
      <c r="S373" t="str">
        <f>IF(R373&lt;&gt;"",LARGE($R$2:$R$441,ROWS($R$2:R373)),"")</f>
        <v/>
      </c>
      <c r="T373" s="1" t="str">
        <f>IF(R373&lt;&gt;"",INDEX($P$2:$Q$441,MATCH($S373,$R$2:$R$441,0),COLUMNS($S$2:S373)),"")</f>
        <v/>
      </c>
      <c r="U373" s="1" t="str">
        <f>IF(S373&lt;&gt;"",INDEX($P$2:$Q$441,MATCH($S373,$R$2:$R$441,0),COLUMNS($S$2:T373)),"")</f>
        <v/>
      </c>
      <c r="AE373" s="1">
        <f>Table2[[#This Row],[Year]]</f>
        <v>2018</v>
      </c>
      <c r="AF373" s="1">
        <f>Table2[[#This Row],['#]]</f>
        <v>12</v>
      </c>
      <c r="AG373" s="1" t="str">
        <f>Table2[[#This Row],[Team]]</f>
        <v>Crystal Palace</v>
      </c>
      <c r="AH373" s="1">
        <f>Table2[[#This Row],[Pl]]</f>
        <v>38</v>
      </c>
      <c r="AI373" s="1">
        <f>Table2[[#This Row],[W]]</f>
        <v>14</v>
      </c>
      <c r="AJ373" s="1">
        <f>Table2[[#This Row],[D]]</f>
        <v>7</v>
      </c>
      <c r="AK373" s="1">
        <f>Table2[[#This Row],[L]]</f>
        <v>17</v>
      </c>
      <c r="AL373" s="1">
        <f>Table2[[#This Row],[F]]</f>
        <v>51</v>
      </c>
      <c r="AM373" s="1">
        <f>Table2[[#This Row],[A]]</f>
        <v>53</v>
      </c>
      <c r="AN373" s="1">
        <f>Table2[[#This Row],[GD]]</f>
        <v>-2</v>
      </c>
      <c r="AO373" s="1">
        <f>Table2[[#This Row],[Pts]]</f>
        <v>49</v>
      </c>
      <c r="AP373" s="1">
        <f>Table2[[#This Row],[Column1]]</f>
        <v>12</v>
      </c>
      <c r="AR373" t="b">
        <f t="shared" si="9"/>
        <v>1</v>
      </c>
      <c r="AS373">
        <f>IF(AR373,ROWS($AR$2:AR373),"")</f>
        <v>372</v>
      </c>
      <c r="AT373">
        <f>IFERROR(SMALL($AS$2:$AS$440,ROWS($AS$2:AS373)),"")</f>
        <v>372</v>
      </c>
      <c r="AU373">
        <f>IF(AT373&lt;&gt;"",INDEX($AE$2:$AP$440,MATCH($AT373,$AS$2:$AS$440,0),COLUMNS($AT$2:AT373)),"")</f>
        <v>2018</v>
      </c>
      <c r="AV373">
        <f>IF(AU373&lt;&gt;"",INDEX($AE$2:$AP$440,MATCH($AT373,$AS$2:$AS$440,0),COLUMNS($AT$2:AU373)),"")</f>
        <v>12</v>
      </c>
      <c r="AW373" t="str">
        <f>IF(AV373&lt;&gt;"",INDEX($AE$2:$AP$440,MATCH($AT373,$AS$2:$AS$440,0),COLUMNS($AT$2:AV373)),"")</f>
        <v>Crystal Palace</v>
      </c>
      <c r="AX373">
        <f>IF(AW373&lt;&gt;"",INDEX($AE$2:$AP$440,MATCH($AT373,$AS$2:$AS$440,0),COLUMNS($AT$2:AW373)),"")</f>
        <v>38</v>
      </c>
      <c r="AY373">
        <f>IF(AX373&lt;&gt;"",INDEX($AE$2:$AP$440,MATCH($AT373,$AS$2:$AS$440,0),COLUMNS($AT$2:AX373)),"")</f>
        <v>14</v>
      </c>
      <c r="AZ373">
        <f>IF(AY373&lt;&gt;"",INDEX($AE$2:$AP$440,MATCH($AT373,$AS$2:$AS$440,0),COLUMNS($AT$2:AY373)),"")</f>
        <v>7</v>
      </c>
      <c r="BA373">
        <f>IF(AZ373&lt;&gt;"",INDEX($AE$2:$AP$440,MATCH($AT373,$AS$2:$AS$440,0),COLUMNS($AT$2:AZ373)),"")</f>
        <v>17</v>
      </c>
      <c r="BB373">
        <f>IF(BA373&lt;&gt;"",INDEX($AE$2:$AP$440,MATCH($AT373,$AS$2:$AS$440,0),COLUMNS($AT$2:BA373)),"")</f>
        <v>51</v>
      </c>
      <c r="BC373">
        <f>IF(BB373&lt;&gt;"",INDEX($AE$2:$AP$440,MATCH($AT373,$AS$2:$AS$440,0),COLUMNS($AT$2:BB373)),"")</f>
        <v>53</v>
      </c>
      <c r="BD373">
        <f>IF(BC373&lt;&gt;"",INDEX($AE$2:$AP$440,MATCH($AT373,$AS$2:$AS$440,0),COLUMNS($AT$2:BC373)),"")</f>
        <v>-2</v>
      </c>
      <c r="BE373">
        <f>IF(BD373&lt;&gt;"",INDEX($AE$2:$AP$440,MATCH($AT373,$AS$2:$AS$440,0),COLUMNS($AT$2:BD373)),"")</f>
        <v>49</v>
      </c>
      <c r="BF373">
        <f>IF(BE373&lt;&gt;"",INDEX($AE$2:$AP$440,MATCH($AT373,$AS$2:$AS$440,0),COLUMNS($AT$2:BE373)),"")</f>
        <v>12</v>
      </c>
    </row>
    <row r="374" spans="1:58" x14ac:dyDescent="0.25">
      <c r="A374" s="3">
        <v>2018</v>
      </c>
      <c r="B374" s="3">
        <v>13</v>
      </c>
      <c r="C374" s="4" t="s">
        <v>21</v>
      </c>
      <c r="D374" s="3">
        <v>38</v>
      </c>
      <c r="E374" s="3">
        <v>12</v>
      </c>
      <c r="F374" s="3">
        <v>9</v>
      </c>
      <c r="G374" s="3">
        <v>17</v>
      </c>
      <c r="H374" s="3">
        <v>42</v>
      </c>
      <c r="I374" s="3">
        <v>48</v>
      </c>
      <c r="J374" s="3">
        <v>-6</v>
      </c>
      <c r="K374" s="3">
        <v>45</v>
      </c>
      <c r="L374" s="5">
        <f>IF(Table2[[#This Row],['#]]=1,"Champion", IF(Table2[[#This Row],['#]]&gt;=18,"Relegated",Table2[[#This Row],['#]]))</f>
        <v>13</v>
      </c>
      <c r="N374">
        <f>IF(COUNTIF($O$2:O374,O374)=1,N373+1,N373)</f>
        <v>43</v>
      </c>
      <c r="O374" s="4" t="str">
        <f>Table2[[#This Row],[Team]]</f>
        <v>Newcastle United</v>
      </c>
      <c r="P374" s="1" t="str">
        <f>IFERROR(VLOOKUP(ROWS($O$2:O374),$N$2:$O$441,2,0),"")</f>
        <v/>
      </c>
      <c r="Q374" s="1" t="str">
        <f>IF(P374&lt;&gt;"",SUMPRODUCT(--(Table2[Team]=P374)),"")</f>
        <v/>
      </c>
      <c r="R374" s="11" t="str">
        <f>IF(Q374&lt;&gt;"",Q374+ROWS($Q$2:Q374)/100,"")</f>
        <v/>
      </c>
      <c r="S374" t="str">
        <f>IF(R374&lt;&gt;"",LARGE($R$2:$R$441,ROWS($R$2:R374)),"")</f>
        <v/>
      </c>
      <c r="T374" s="1" t="str">
        <f>IF(R374&lt;&gt;"",INDEX($P$2:$Q$441,MATCH($S374,$R$2:$R$441,0),COLUMNS($S$2:S374)),"")</f>
        <v/>
      </c>
      <c r="U374" s="1" t="str">
        <f>IF(S374&lt;&gt;"",INDEX($P$2:$Q$441,MATCH($S374,$R$2:$R$441,0),COLUMNS($S$2:T374)),"")</f>
        <v/>
      </c>
      <c r="AE374" s="1">
        <f>Table2[[#This Row],[Year]]</f>
        <v>2018</v>
      </c>
      <c r="AF374" s="1">
        <f>Table2[[#This Row],['#]]</f>
        <v>13</v>
      </c>
      <c r="AG374" s="1" t="str">
        <f>Table2[[#This Row],[Team]]</f>
        <v>Newcastle United</v>
      </c>
      <c r="AH374" s="1">
        <f>Table2[[#This Row],[Pl]]</f>
        <v>38</v>
      </c>
      <c r="AI374" s="1">
        <f>Table2[[#This Row],[W]]</f>
        <v>12</v>
      </c>
      <c r="AJ374" s="1">
        <f>Table2[[#This Row],[D]]</f>
        <v>9</v>
      </c>
      <c r="AK374" s="1">
        <f>Table2[[#This Row],[L]]</f>
        <v>17</v>
      </c>
      <c r="AL374" s="1">
        <f>Table2[[#This Row],[F]]</f>
        <v>42</v>
      </c>
      <c r="AM374" s="1">
        <f>Table2[[#This Row],[A]]</f>
        <v>48</v>
      </c>
      <c r="AN374" s="1">
        <f>Table2[[#This Row],[GD]]</f>
        <v>-6</v>
      </c>
      <c r="AO374" s="1">
        <f>Table2[[#This Row],[Pts]]</f>
        <v>45</v>
      </c>
      <c r="AP374" s="1">
        <f>Table2[[#This Row],[Column1]]</f>
        <v>13</v>
      </c>
      <c r="AR374" t="b">
        <f t="shared" si="9"/>
        <v>1</v>
      </c>
      <c r="AS374">
        <f>IF(AR374,ROWS($AR$2:AR374),"")</f>
        <v>373</v>
      </c>
      <c r="AT374">
        <f>IFERROR(SMALL($AS$2:$AS$440,ROWS($AS$2:AS374)),"")</f>
        <v>373</v>
      </c>
      <c r="AU374">
        <f>IF(AT374&lt;&gt;"",INDEX($AE$2:$AP$440,MATCH($AT374,$AS$2:$AS$440,0),COLUMNS($AT$2:AT374)),"")</f>
        <v>2018</v>
      </c>
      <c r="AV374">
        <f>IF(AU374&lt;&gt;"",INDEX($AE$2:$AP$440,MATCH($AT374,$AS$2:$AS$440,0),COLUMNS($AT$2:AU374)),"")</f>
        <v>13</v>
      </c>
      <c r="AW374" t="str">
        <f>IF(AV374&lt;&gt;"",INDEX($AE$2:$AP$440,MATCH($AT374,$AS$2:$AS$440,0),COLUMNS($AT$2:AV374)),"")</f>
        <v>Newcastle United</v>
      </c>
      <c r="AX374">
        <f>IF(AW374&lt;&gt;"",INDEX($AE$2:$AP$440,MATCH($AT374,$AS$2:$AS$440,0),COLUMNS($AT$2:AW374)),"")</f>
        <v>38</v>
      </c>
      <c r="AY374">
        <f>IF(AX374&lt;&gt;"",INDEX($AE$2:$AP$440,MATCH($AT374,$AS$2:$AS$440,0),COLUMNS($AT$2:AX374)),"")</f>
        <v>12</v>
      </c>
      <c r="AZ374">
        <f>IF(AY374&lt;&gt;"",INDEX($AE$2:$AP$440,MATCH($AT374,$AS$2:$AS$440,0),COLUMNS($AT$2:AY374)),"")</f>
        <v>9</v>
      </c>
      <c r="BA374">
        <f>IF(AZ374&lt;&gt;"",INDEX($AE$2:$AP$440,MATCH($AT374,$AS$2:$AS$440,0),COLUMNS($AT$2:AZ374)),"")</f>
        <v>17</v>
      </c>
      <c r="BB374">
        <f>IF(BA374&lt;&gt;"",INDEX($AE$2:$AP$440,MATCH($AT374,$AS$2:$AS$440,0),COLUMNS($AT$2:BA374)),"")</f>
        <v>42</v>
      </c>
      <c r="BC374">
        <f>IF(BB374&lt;&gt;"",INDEX($AE$2:$AP$440,MATCH($AT374,$AS$2:$AS$440,0),COLUMNS($AT$2:BB374)),"")</f>
        <v>48</v>
      </c>
      <c r="BD374">
        <f>IF(BC374&lt;&gt;"",INDEX($AE$2:$AP$440,MATCH($AT374,$AS$2:$AS$440,0),COLUMNS($AT$2:BC374)),"")</f>
        <v>-6</v>
      </c>
      <c r="BE374">
        <f>IF(BD374&lt;&gt;"",INDEX($AE$2:$AP$440,MATCH($AT374,$AS$2:$AS$440,0),COLUMNS($AT$2:BD374)),"")</f>
        <v>45</v>
      </c>
      <c r="BF374">
        <f>IF(BE374&lt;&gt;"",INDEX($AE$2:$AP$440,MATCH($AT374,$AS$2:$AS$440,0),COLUMNS($AT$2:BE374)),"")</f>
        <v>13</v>
      </c>
    </row>
    <row r="375" spans="1:58" x14ac:dyDescent="0.25">
      <c r="A375" s="5">
        <v>2018</v>
      </c>
      <c r="B375" s="5">
        <v>14</v>
      </c>
      <c r="C375" s="6" t="s">
        <v>51</v>
      </c>
      <c r="D375" s="5">
        <v>38</v>
      </c>
      <c r="E375" s="5">
        <v>13</v>
      </c>
      <c r="F375" s="5">
        <v>6</v>
      </c>
      <c r="G375" s="5">
        <v>19</v>
      </c>
      <c r="H375" s="5">
        <v>56</v>
      </c>
      <c r="I375" s="5">
        <v>70</v>
      </c>
      <c r="J375" s="5">
        <v>-14</v>
      </c>
      <c r="K375" s="5">
        <v>45</v>
      </c>
      <c r="L375" s="5">
        <f>IF(Table2[[#This Row],['#]]=1,"Champion", IF(Table2[[#This Row],['#]]&gt;=18,"Relegated",Table2[[#This Row],['#]]))</f>
        <v>14</v>
      </c>
      <c r="N375">
        <f>IF(COUNTIF($O$2:O375,O375)=1,N374+1,N374)</f>
        <v>43</v>
      </c>
      <c r="O375" s="4" t="str">
        <f>Table2[[#This Row],[Team]]</f>
        <v>Bournemouth</v>
      </c>
      <c r="P375" s="1" t="str">
        <f>IFERROR(VLOOKUP(ROWS($O$2:O375),$N$2:$O$441,2,0),"")</f>
        <v/>
      </c>
      <c r="Q375" s="1" t="str">
        <f>IF(P375&lt;&gt;"",SUMPRODUCT(--(Table2[Team]=P375)),"")</f>
        <v/>
      </c>
      <c r="R375" s="11" t="str">
        <f>IF(Q375&lt;&gt;"",Q375+ROWS($Q$2:Q375)/100,"")</f>
        <v/>
      </c>
      <c r="S375" t="str">
        <f>IF(R375&lt;&gt;"",LARGE($R$2:$R$441,ROWS($R$2:R375)),"")</f>
        <v/>
      </c>
      <c r="T375" s="1" t="str">
        <f>IF(R375&lt;&gt;"",INDEX($P$2:$Q$441,MATCH($S375,$R$2:$R$441,0),COLUMNS($S$2:S375)),"")</f>
        <v/>
      </c>
      <c r="U375" s="1" t="str">
        <f>IF(S375&lt;&gt;"",INDEX($P$2:$Q$441,MATCH($S375,$R$2:$R$441,0),COLUMNS($S$2:T375)),"")</f>
        <v/>
      </c>
      <c r="AE375" s="1">
        <f>Table2[[#This Row],[Year]]</f>
        <v>2018</v>
      </c>
      <c r="AF375" s="1">
        <f>Table2[[#This Row],['#]]</f>
        <v>14</v>
      </c>
      <c r="AG375" s="1" t="str">
        <f>Table2[[#This Row],[Team]]</f>
        <v>Bournemouth</v>
      </c>
      <c r="AH375" s="1">
        <f>Table2[[#This Row],[Pl]]</f>
        <v>38</v>
      </c>
      <c r="AI375" s="1">
        <f>Table2[[#This Row],[W]]</f>
        <v>13</v>
      </c>
      <c r="AJ375" s="1">
        <f>Table2[[#This Row],[D]]</f>
        <v>6</v>
      </c>
      <c r="AK375" s="1">
        <f>Table2[[#This Row],[L]]</f>
        <v>19</v>
      </c>
      <c r="AL375" s="1">
        <f>Table2[[#This Row],[F]]</f>
        <v>56</v>
      </c>
      <c r="AM375" s="1">
        <f>Table2[[#This Row],[A]]</f>
        <v>70</v>
      </c>
      <c r="AN375" s="1">
        <f>Table2[[#This Row],[GD]]</f>
        <v>-14</v>
      </c>
      <c r="AO375" s="1">
        <f>Table2[[#This Row],[Pts]]</f>
        <v>45</v>
      </c>
      <c r="AP375" s="1">
        <f>Table2[[#This Row],[Column1]]</f>
        <v>14</v>
      </c>
      <c r="AR375" t="b">
        <f t="shared" si="9"/>
        <v>1</v>
      </c>
      <c r="AS375">
        <f>IF(AR375,ROWS($AR$2:AR375),"")</f>
        <v>374</v>
      </c>
      <c r="AT375">
        <f>IFERROR(SMALL($AS$2:$AS$440,ROWS($AS$2:AS375)),"")</f>
        <v>374</v>
      </c>
      <c r="AU375">
        <f>IF(AT375&lt;&gt;"",INDEX($AE$2:$AP$440,MATCH($AT375,$AS$2:$AS$440,0),COLUMNS($AT$2:AT375)),"")</f>
        <v>2018</v>
      </c>
      <c r="AV375">
        <f>IF(AU375&lt;&gt;"",INDEX($AE$2:$AP$440,MATCH($AT375,$AS$2:$AS$440,0),COLUMNS($AT$2:AU375)),"")</f>
        <v>14</v>
      </c>
      <c r="AW375" t="str">
        <f>IF(AV375&lt;&gt;"",INDEX($AE$2:$AP$440,MATCH($AT375,$AS$2:$AS$440,0),COLUMNS($AT$2:AV375)),"")</f>
        <v>Bournemouth</v>
      </c>
      <c r="AX375">
        <f>IF(AW375&lt;&gt;"",INDEX($AE$2:$AP$440,MATCH($AT375,$AS$2:$AS$440,0),COLUMNS($AT$2:AW375)),"")</f>
        <v>38</v>
      </c>
      <c r="AY375">
        <f>IF(AX375&lt;&gt;"",INDEX($AE$2:$AP$440,MATCH($AT375,$AS$2:$AS$440,0),COLUMNS($AT$2:AX375)),"")</f>
        <v>13</v>
      </c>
      <c r="AZ375">
        <f>IF(AY375&lt;&gt;"",INDEX($AE$2:$AP$440,MATCH($AT375,$AS$2:$AS$440,0),COLUMNS($AT$2:AY375)),"")</f>
        <v>6</v>
      </c>
      <c r="BA375">
        <f>IF(AZ375&lt;&gt;"",INDEX($AE$2:$AP$440,MATCH($AT375,$AS$2:$AS$440,0),COLUMNS($AT$2:AZ375)),"")</f>
        <v>19</v>
      </c>
      <c r="BB375">
        <f>IF(BA375&lt;&gt;"",INDEX($AE$2:$AP$440,MATCH($AT375,$AS$2:$AS$440,0),COLUMNS($AT$2:BA375)),"")</f>
        <v>56</v>
      </c>
      <c r="BC375">
        <f>IF(BB375&lt;&gt;"",INDEX($AE$2:$AP$440,MATCH($AT375,$AS$2:$AS$440,0),COLUMNS($AT$2:BB375)),"")</f>
        <v>70</v>
      </c>
      <c r="BD375">
        <f>IF(BC375&lt;&gt;"",INDEX($AE$2:$AP$440,MATCH($AT375,$AS$2:$AS$440,0),COLUMNS($AT$2:BC375)),"")</f>
        <v>-14</v>
      </c>
      <c r="BE375">
        <f>IF(BD375&lt;&gt;"",INDEX($AE$2:$AP$440,MATCH($AT375,$AS$2:$AS$440,0),COLUMNS($AT$2:BD375)),"")</f>
        <v>45</v>
      </c>
      <c r="BF375">
        <f>IF(BE375&lt;&gt;"",INDEX($AE$2:$AP$440,MATCH($AT375,$AS$2:$AS$440,0),COLUMNS($AT$2:BE375)),"")</f>
        <v>14</v>
      </c>
    </row>
    <row r="376" spans="1:58" x14ac:dyDescent="0.25">
      <c r="A376" s="3">
        <v>2018</v>
      </c>
      <c r="B376" s="3">
        <v>15</v>
      </c>
      <c r="C376" s="4" t="s">
        <v>46</v>
      </c>
      <c r="D376" s="3">
        <v>38</v>
      </c>
      <c r="E376" s="3">
        <v>11</v>
      </c>
      <c r="F376" s="3">
        <v>7</v>
      </c>
      <c r="G376" s="3">
        <v>20</v>
      </c>
      <c r="H376" s="3">
        <v>45</v>
      </c>
      <c r="I376" s="3">
        <v>68</v>
      </c>
      <c r="J376" s="3">
        <v>-23</v>
      </c>
      <c r="K376" s="3">
        <v>40</v>
      </c>
      <c r="L376" s="5">
        <f>IF(Table2[[#This Row],['#]]=1,"Champion", IF(Table2[[#This Row],['#]]&gt;=18,"Relegated",Table2[[#This Row],['#]]))</f>
        <v>15</v>
      </c>
      <c r="N376">
        <f>IF(COUNTIF($O$2:O376,O376)=1,N375+1,N375)</f>
        <v>43</v>
      </c>
      <c r="O376" s="4" t="str">
        <f>Table2[[#This Row],[Team]]</f>
        <v>Burnley</v>
      </c>
      <c r="P376" s="1" t="str">
        <f>IFERROR(VLOOKUP(ROWS($O$2:O376),$N$2:$O$441,2,0),"")</f>
        <v/>
      </c>
      <c r="Q376" s="1" t="str">
        <f>IF(P376&lt;&gt;"",SUMPRODUCT(--(Table2[Team]=P376)),"")</f>
        <v/>
      </c>
      <c r="R376" s="11" t="str">
        <f>IF(Q376&lt;&gt;"",Q376+ROWS($Q$2:Q376)/100,"")</f>
        <v/>
      </c>
      <c r="S376" t="str">
        <f>IF(R376&lt;&gt;"",LARGE($R$2:$R$441,ROWS($R$2:R376)),"")</f>
        <v/>
      </c>
      <c r="T376" s="1" t="str">
        <f>IF(R376&lt;&gt;"",INDEX($P$2:$Q$441,MATCH($S376,$R$2:$R$441,0),COLUMNS($S$2:S376)),"")</f>
        <v/>
      </c>
      <c r="U376" s="1" t="str">
        <f>IF(S376&lt;&gt;"",INDEX($P$2:$Q$441,MATCH($S376,$R$2:$R$441,0),COLUMNS($S$2:T376)),"")</f>
        <v/>
      </c>
      <c r="AE376" s="1">
        <f>Table2[[#This Row],[Year]]</f>
        <v>2018</v>
      </c>
      <c r="AF376" s="1">
        <f>Table2[[#This Row],['#]]</f>
        <v>15</v>
      </c>
      <c r="AG376" s="1" t="str">
        <f>Table2[[#This Row],[Team]]</f>
        <v>Burnley</v>
      </c>
      <c r="AH376" s="1">
        <f>Table2[[#This Row],[Pl]]</f>
        <v>38</v>
      </c>
      <c r="AI376" s="1">
        <f>Table2[[#This Row],[W]]</f>
        <v>11</v>
      </c>
      <c r="AJ376" s="1">
        <f>Table2[[#This Row],[D]]</f>
        <v>7</v>
      </c>
      <c r="AK376" s="1">
        <f>Table2[[#This Row],[L]]</f>
        <v>20</v>
      </c>
      <c r="AL376" s="1">
        <f>Table2[[#This Row],[F]]</f>
        <v>45</v>
      </c>
      <c r="AM376" s="1">
        <f>Table2[[#This Row],[A]]</f>
        <v>68</v>
      </c>
      <c r="AN376" s="1">
        <f>Table2[[#This Row],[GD]]</f>
        <v>-23</v>
      </c>
      <c r="AO376" s="1">
        <f>Table2[[#This Row],[Pts]]</f>
        <v>40</v>
      </c>
      <c r="AP376" s="1">
        <f>Table2[[#This Row],[Column1]]</f>
        <v>15</v>
      </c>
      <c r="AR376" t="b">
        <f t="shared" si="9"/>
        <v>1</v>
      </c>
      <c r="AS376">
        <f>IF(AR376,ROWS($AR$2:AR376),"")</f>
        <v>375</v>
      </c>
      <c r="AT376">
        <f>IFERROR(SMALL($AS$2:$AS$440,ROWS($AS$2:AS376)),"")</f>
        <v>375</v>
      </c>
      <c r="AU376">
        <f>IF(AT376&lt;&gt;"",INDEX($AE$2:$AP$440,MATCH($AT376,$AS$2:$AS$440,0),COLUMNS($AT$2:AT376)),"")</f>
        <v>2018</v>
      </c>
      <c r="AV376">
        <f>IF(AU376&lt;&gt;"",INDEX($AE$2:$AP$440,MATCH($AT376,$AS$2:$AS$440,0),COLUMNS($AT$2:AU376)),"")</f>
        <v>15</v>
      </c>
      <c r="AW376" t="str">
        <f>IF(AV376&lt;&gt;"",INDEX($AE$2:$AP$440,MATCH($AT376,$AS$2:$AS$440,0),COLUMNS($AT$2:AV376)),"")</f>
        <v>Burnley</v>
      </c>
      <c r="AX376">
        <f>IF(AW376&lt;&gt;"",INDEX($AE$2:$AP$440,MATCH($AT376,$AS$2:$AS$440,0),COLUMNS($AT$2:AW376)),"")</f>
        <v>38</v>
      </c>
      <c r="AY376">
        <f>IF(AX376&lt;&gt;"",INDEX($AE$2:$AP$440,MATCH($AT376,$AS$2:$AS$440,0),COLUMNS($AT$2:AX376)),"")</f>
        <v>11</v>
      </c>
      <c r="AZ376">
        <f>IF(AY376&lt;&gt;"",INDEX($AE$2:$AP$440,MATCH($AT376,$AS$2:$AS$440,0),COLUMNS($AT$2:AY376)),"")</f>
        <v>7</v>
      </c>
      <c r="BA376">
        <f>IF(AZ376&lt;&gt;"",INDEX($AE$2:$AP$440,MATCH($AT376,$AS$2:$AS$440,0),COLUMNS($AT$2:AZ376)),"")</f>
        <v>20</v>
      </c>
      <c r="BB376">
        <f>IF(BA376&lt;&gt;"",INDEX($AE$2:$AP$440,MATCH($AT376,$AS$2:$AS$440,0),COLUMNS($AT$2:BA376)),"")</f>
        <v>45</v>
      </c>
      <c r="BC376">
        <f>IF(BB376&lt;&gt;"",INDEX($AE$2:$AP$440,MATCH($AT376,$AS$2:$AS$440,0),COLUMNS($AT$2:BB376)),"")</f>
        <v>68</v>
      </c>
      <c r="BD376">
        <f>IF(BC376&lt;&gt;"",INDEX($AE$2:$AP$440,MATCH($AT376,$AS$2:$AS$440,0),COLUMNS($AT$2:BC376)),"")</f>
        <v>-23</v>
      </c>
      <c r="BE376">
        <f>IF(BD376&lt;&gt;"",INDEX($AE$2:$AP$440,MATCH($AT376,$AS$2:$AS$440,0),COLUMNS($AT$2:BD376)),"")</f>
        <v>40</v>
      </c>
      <c r="BF376">
        <f>IF(BE376&lt;&gt;"",INDEX($AE$2:$AP$440,MATCH($AT376,$AS$2:$AS$440,0),COLUMNS($AT$2:BE376)),"")</f>
        <v>15</v>
      </c>
    </row>
    <row r="377" spans="1:58" x14ac:dyDescent="0.25">
      <c r="A377" s="5">
        <v>2018</v>
      </c>
      <c r="B377" s="5">
        <v>16</v>
      </c>
      <c r="C377" s="6" t="s">
        <v>20</v>
      </c>
      <c r="D377" s="5">
        <v>38</v>
      </c>
      <c r="E377" s="5">
        <v>9</v>
      </c>
      <c r="F377" s="5">
        <v>12</v>
      </c>
      <c r="G377" s="5">
        <v>17</v>
      </c>
      <c r="H377" s="5">
        <v>45</v>
      </c>
      <c r="I377" s="5">
        <v>65</v>
      </c>
      <c r="J377" s="5">
        <v>-20</v>
      </c>
      <c r="K377" s="5">
        <v>39</v>
      </c>
      <c r="L377" s="5">
        <f>IF(Table2[[#This Row],['#]]=1,"Champion", IF(Table2[[#This Row],['#]]&gt;=18,"Relegated",Table2[[#This Row],['#]]))</f>
        <v>16</v>
      </c>
      <c r="N377">
        <f>IF(COUNTIF($O$2:O377,O377)=1,N376+1,N376)</f>
        <v>43</v>
      </c>
      <c r="O377" s="4" t="str">
        <f>Table2[[#This Row],[Team]]</f>
        <v>Southampton</v>
      </c>
      <c r="P377" s="1" t="str">
        <f>IFERROR(VLOOKUP(ROWS($O$2:O377),$N$2:$O$441,2,0),"")</f>
        <v/>
      </c>
      <c r="Q377" s="1" t="str">
        <f>IF(P377&lt;&gt;"",SUMPRODUCT(--(Table2[Team]=P377)),"")</f>
        <v/>
      </c>
      <c r="R377" s="11" t="str">
        <f>IF(Q377&lt;&gt;"",Q377+ROWS($Q$2:Q377)/100,"")</f>
        <v/>
      </c>
      <c r="S377" t="str">
        <f>IF(R377&lt;&gt;"",LARGE($R$2:$R$441,ROWS($R$2:R377)),"")</f>
        <v/>
      </c>
      <c r="T377" s="1" t="str">
        <f>IF(R377&lt;&gt;"",INDEX($P$2:$Q$441,MATCH($S377,$R$2:$R$441,0),COLUMNS($S$2:S377)),"")</f>
        <v/>
      </c>
      <c r="U377" s="1" t="str">
        <f>IF(S377&lt;&gt;"",INDEX($P$2:$Q$441,MATCH($S377,$R$2:$R$441,0),COLUMNS($S$2:T377)),"")</f>
        <v/>
      </c>
      <c r="AE377" s="1">
        <f>Table2[[#This Row],[Year]]</f>
        <v>2018</v>
      </c>
      <c r="AF377" s="1">
        <f>Table2[[#This Row],['#]]</f>
        <v>16</v>
      </c>
      <c r="AG377" s="1" t="str">
        <f>Table2[[#This Row],[Team]]</f>
        <v>Southampton</v>
      </c>
      <c r="AH377" s="1">
        <f>Table2[[#This Row],[Pl]]</f>
        <v>38</v>
      </c>
      <c r="AI377" s="1">
        <f>Table2[[#This Row],[W]]</f>
        <v>9</v>
      </c>
      <c r="AJ377" s="1">
        <f>Table2[[#This Row],[D]]</f>
        <v>12</v>
      </c>
      <c r="AK377" s="1">
        <f>Table2[[#This Row],[L]]</f>
        <v>17</v>
      </c>
      <c r="AL377" s="1">
        <f>Table2[[#This Row],[F]]</f>
        <v>45</v>
      </c>
      <c r="AM377" s="1">
        <f>Table2[[#This Row],[A]]</f>
        <v>65</v>
      </c>
      <c r="AN377" s="1">
        <f>Table2[[#This Row],[GD]]</f>
        <v>-20</v>
      </c>
      <c r="AO377" s="1">
        <f>Table2[[#This Row],[Pts]]</f>
        <v>39</v>
      </c>
      <c r="AP377" s="1">
        <f>Table2[[#This Row],[Column1]]</f>
        <v>16</v>
      </c>
      <c r="AR377" t="b">
        <f t="shared" si="9"/>
        <v>1</v>
      </c>
      <c r="AS377">
        <f>IF(AR377,ROWS($AR$2:AR377),"")</f>
        <v>376</v>
      </c>
      <c r="AT377">
        <f>IFERROR(SMALL($AS$2:$AS$440,ROWS($AS$2:AS377)),"")</f>
        <v>376</v>
      </c>
      <c r="AU377">
        <f>IF(AT377&lt;&gt;"",INDEX($AE$2:$AP$440,MATCH($AT377,$AS$2:$AS$440,0),COLUMNS($AT$2:AT377)),"")</f>
        <v>2018</v>
      </c>
      <c r="AV377">
        <f>IF(AU377&lt;&gt;"",INDEX($AE$2:$AP$440,MATCH($AT377,$AS$2:$AS$440,0),COLUMNS($AT$2:AU377)),"")</f>
        <v>16</v>
      </c>
      <c r="AW377" t="str">
        <f>IF(AV377&lt;&gt;"",INDEX($AE$2:$AP$440,MATCH($AT377,$AS$2:$AS$440,0),COLUMNS($AT$2:AV377)),"")</f>
        <v>Southampton</v>
      </c>
      <c r="AX377">
        <f>IF(AW377&lt;&gt;"",INDEX($AE$2:$AP$440,MATCH($AT377,$AS$2:$AS$440,0),COLUMNS($AT$2:AW377)),"")</f>
        <v>38</v>
      </c>
      <c r="AY377">
        <f>IF(AX377&lt;&gt;"",INDEX($AE$2:$AP$440,MATCH($AT377,$AS$2:$AS$440,0),COLUMNS($AT$2:AX377)),"")</f>
        <v>9</v>
      </c>
      <c r="AZ377">
        <f>IF(AY377&lt;&gt;"",INDEX($AE$2:$AP$440,MATCH($AT377,$AS$2:$AS$440,0),COLUMNS($AT$2:AY377)),"")</f>
        <v>12</v>
      </c>
      <c r="BA377">
        <f>IF(AZ377&lt;&gt;"",INDEX($AE$2:$AP$440,MATCH($AT377,$AS$2:$AS$440,0),COLUMNS($AT$2:AZ377)),"")</f>
        <v>17</v>
      </c>
      <c r="BB377">
        <f>IF(BA377&lt;&gt;"",INDEX($AE$2:$AP$440,MATCH($AT377,$AS$2:$AS$440,0),COLUMNS($AT$2:BA377)),"")</f>
        <v>45</v>
      </c>
      <c r="BC377">
        <f>IF(BB377&lt;&gt;"",INDEX($AE$2:$AP$440,MATCH($AT377,$AS$2:$AS$440,0),COLUMNS($AT$2:BB377)),"")</f>
        <v>65</v>
      </c>
      <c r="BD377">
        <f>IF(BC377&lt;&gt;"",INDEX($AE$2:$AP$440,MATCH($AT377,$AS$2:$AS$440,0),COLUMNS($AT$2:BC377)),"")</f>
        <v>-20</v>
      </c>
      <c r="BE377">
        <f>IF(BD377&lt;&gt;"",INDEX($AE$2:$AP$440,MATCH($AT377,$AS$2:$AS$440,0),COLUMNS($AT$2:BD377)),"")</f>
        <v>39</v>
      </c>
      <c r="BF377">
        <f>IF(BE377&lt;&gt;"",INDEX($AE$2:$AP$440,MATCH($AT377,$AS$2:$AS$440,0),COLUMNS($AT$2:BE377)),"")</f>
        <v>16</v>
      </c>
    </row>
    <row r="378" spans="1:58" x14ac:dyDescent="0.25">
      <c r="A378" s="3">
        <v>2018</v>
      </c>
      <c r="B378" s="3">
        <v>17</v>
      </c>
      <c r="C378" s="4" t="s">
        <v>55</v>
      </c>
      <c r="D378" s="3">
        <v>38</v>
      </c>
      <c r="E378" s="3">
        <v>9</v>
      </c>
      <c r="F378" s="3">
        <v>9</v>
      </c>
      <c r="G378" s="3">
        <v>20</v>
      </c>
      <c r="H378" s="3">
        <v>35</v>
      </c>
      <c r="I378" s="3">
        <v>60</v>
      </c>
      <c r="J378" s="3">
        <v>-25</v>
      </c>
      <c r="K378" s="3">
        <v>36</v>
      </c>
      <c r="L378" s="5">
        <f>IF(Table2[[#This Row],['#]]=1,"Champion", IF(Table2[[#This Row],['#]]&gt;=18,"Relegated",Table2[[#This Row],['#]]))</f>
        <v>17</v>
      </c>
      <c r="N378">
        <f>IF(COUNTIF($O$2:O378,O378)=1,N377+1,N377)</f>
        <v>43</v>
      </c>
      <c r="O378" s="4" t="str">
        <f>Table2[[#This Row],[Team]]</f>
        <v>Brighton And Hove Albion</v>
      </c>
      <c r="P378" s="1" t="str">
        <f>IFERROR(VLOOKUP(ROWS($O$2:O378),$N$2:$O$441,2,0),"")</f>
        <v/>
      </c>
      <c r="Q378" s="1" t="str">
        <f>IF(P378&lt;&gt;"",SUMPRODUCT(--(Table2[Team]=P378)),"")</f>
        <v/>
      </c>
      <c r="R378" s="11" t="str">
        <f>IF(Q378&lt;&gt;"",Q378+ROWS($Q$2:Q378)/100,"")</f>
        <v/>
      </c>
      <c r="S378" t="str">
        <f>IF(R378&lt;&gt;"",LARGE($R$2:$R$441,ROWS($R$2:R378)),"")</f>
        <v/>
      </c>
      <c r="T378" s="1" t="str">
        <f>IF(R378&lt;&gt;"",INDEX($P$2:$Q$441,MATCH($S378,$R$2:$R$441,0),COLUMNS($S$2:S378)),"")</f>
        <v/>
      </c>
      <c r="U378" s="1" t="str">
        <f>IF(S378&lt;&gt;"",INDEX($P$2:$Q$441,MATCH($S378,$R$2:$R$441,0),COLUMNS($S$2:T378)),"")</f>
        <v/>
      </c>
      <c r="AE378" s="1">
        <f>Table2[[#This Row],[Year]]</f>
        <v>2018</v>
      </c>
      <c r="AF378" s="1">
        <f>Table2[[#This Row],['#]]</f>
        <v>17</v>
      </c>
      <c r="AG378" s="1" t="str">
        <f>Table2[[#This Row],[Team]]</f>
        <v>Brighton And Hove Albion</v>
      </c>
      <c r="AH378" s="1">
        <f>Table2[[#This Row],[Pl]]</f>
        <v>38</v>
      </c>
      <c r="AI378" s="1">
        <f>Table2[[#This Row],[W]]</f>
        <v>9</v>
      </c>
      <c r="AJ378" s="1">
        <f>Table2[[#This Row],[D]]</f>
        <v>9</v>
      </c>
      <c r="AK378" s="1">
        <f>Table2[[#This Row],[L]]</f>
        <v>20</v>
      </c>
      <c r="AL378" s="1">
        <f>Table2[[#This Row],[F]]</f>
        <v>35</v>
      </c>
      <c r="AM378" s="1">
        <f>Table2[[#This Row],[A]]</f>
        <v>60</v>
      </c>
      <c r="AN378" s="1">
        <f>Table2[[#This Row],[GD]]</f>
        <v>-25</v>
      </c>
      <c r="AO378" s="1">
        <f>Table2[[#This Row],[Pts]]</f>
        <v>36</v>
      </c>
      <c r="AP378" s="1">
        <f>Table2[[#This Row],[Column1]]</f>
        <v>17</v>
      </c>
      <c r="AR378" t="b">
        <f t="shared" si="9"/>
        <v>1</v>
      </c>
      <c r="AS378">
        <f>IF(AR378,ROWS($AR$2:AR378),"")</f>
        <v>377</v>
      </c>
      <c r="AT378">
        <f>IFERROR(SMALL($AS$2:$AS$440,ROWS($AS$2:AS378)),"")</f>
        <v>377</v>
      </c>
      <c r="AU378">
        <f>IF(AT378&lt;&gt;"",INDEX($AE$2:$AP$440,MATCH($AT378,$AS$2:$AS$440,0),COLUMNS($AT$2:AT378)),"")</f>
        <v>2018</v>
      </c>
      <c r="AV378">
        <f>IF(AU378&lt;&gt;"",INDEX($AE$2:$AP$440,MATCH($AT378,$AS$2:$AS$440,0),COLUMNS($AT$2:AU378)),"")</f>
        <v>17</v>
      </c>
      <c r="AW378" t="str">
        <f>IF(AV378&lt;&gt;"",INDEX($AE$2:$AP$440,MATCH($AT378,$AS$2:$AS$440,0),COLUMNS($AT$2:AV378)),"")</f>
        <v>Brighton And Hove Albion</v>
      </c>
      <c r="AX378">
        <f>IF(AW378&lt;&gt;"",INDEX($AE$2:$AP$440,MATCH($AT378,$AS$2:$AS$440,0),COLUMNS($AT$2:AW378)),"")</f>
        <v>38</v>
      </c>
      <c r="AY378">
        <f>IF(AX378&lt;&gt;"",INDEX($AE$2:$AP$440,MATCH($AT378,$AS$2:$AS$440,0),COLUMNS($AT$2:AX378)),"")</f>
        <v>9</v>
      </c>
      <c r="AZ378">
        <f>IF(AY378&lt;&gt;"",INDEX($AE$2:$AP$440,MATCH($AT378,$AS$2:$AS$440,0),COLUMNS($AT$2:AY378)),"")</f>
        <v>9</v>
      </c>
      <c r="BA378">
        <f>IF(AZ378&lt;&gt;"",INDEX($AE$2:$AP$440,MATCH($AT378,$AS$2:$AS$440,0),COLUMNS($AT$2:AZ378)),"")</f>
        <v>20</v>
      </c>
      <c r="BB378">
        <f>IF(BA378&lt;&gt;"",INDEX($AE$2:$AP$440,MATCH($AT378,$AS$2:$AS$440,0),COLUMNS($AT$2:BA378)),"")</f>
        <v>35</v>
      </c>
      <c r="BC378">
        <f>IF(BB378&lt;&gt;"",INDEX($AE$2:$AP$440,MATCH($AT378,$AS$2:$AS$440,0),COLUMNS($AT$2:BB378)),"")</f>
        <v>60</v>
      </c>
      <c r="BD378">
        <f>IF(BC378&lt;&gt;"",INDEX($AE$2:$AP$440,MATCH($AT378,$AS$2:$AS$440,0),COLUMNS($AT$2:BC378)),"")</f>
        <v>-25</v>
      </c>
      <c r="BE378">
        <f>IF(BD378&lt;&gt;"",INDEX($AE$2:$AP$440,MATCH($AT378,$AS$2:$AS$440,0),COLUMNS($AT$2:BD378)),"")</f>
        <v>36</v>
      </c>
      <c r="BF378">
        <f>IF(BE378&lt;&gt;"",INDEX($AE$2:$AP$440,MATCH($AT378,$AS$2:$AS$440,0),COLUMNS($AT$2:BE378)),"")</f>
        <v>17</v>
      </c>
    </row>
    <row r="379" spans="1:58" x14ac:dyDescent="0.25">
      <c r="A379" s="5">
        <v>2018</v>
      </c>
      <c r="B379" s="5">
        <v>18</v>
      </c>
      <c r="C379" s="6" t="s">
        <v>50</v>
      </c>
      <c r="D379" s="5">
        <v>38</v>
      </c>
      <c r="E379" s="5">
        <v>10</v>
      </c>
      <c r="F379" s="5">
        <v>4</v>
      </c>
      <c r="G379" s="5">
        <v>24</v>
      </c>
      <c r="H379" s="5">
        <v>34</v>
      </c>
      <c r="I379" s="5">
        <v>69</v>
      </c>
      <c r="J379" s="5">
        <v>-35</v>
      </c>
      <c r="K379" s="5">
        <v>34</v>
      </c>
      <c r="L379" s="5" t="str">
        <f>IF(Table2[[#This Row],['#]]=1,"Champion", IF(Table2[[#This Row],['#]]&gt;=18,"Relegated",Table2[[#This Row],['#]]))</f>
        <v>Relegated</v>
      </c>
      <c r="N379">
        <f>IF(COUNTIF($O$2:O379,O379)=1,N378+1,N378)</f>
        <v>43</v>
      </c>
      <c r="O379" s="4" t="str">
        <f>Table2[[#This Row],[Team]]</f>
        <v>Cardiff City</v>
      </c>
      <c r="P379" s="1" t="str">
        <f>IFERROR(VLOOKUP(ROWS($O$2:O379),$N$2:$O$441,2,0),"")</f>
        <v/>
      </c>
      <c r="Q379" s="1" t="str">
        <f>IF(P379&lt;&gt;"",SUMPRODUCT(--(Table2[Team]=P379)),"")</f>
        <v/>
      </c>
      <c r="R379" s="11" t="str">
        <f>IF(Q379&lt;&gt;"",Q379+ROWS($Q$2:Q379)/100,"")</f>
        <v/>
      </c>
      <c r="S379" t="str">
        <f>IF(R379&lt;&gt;"",LARGE($R$2:$R$441,ROWS($R$2:R379)),"")</f>
        <v/>
      </c>
      <c r="T379" s="1" t="str">
        <f>IF(R379&lt;&gt;"",INDEX($P$2:$Q$441,MATCH($S379,$R$2:$R$441,0),COLUMNS($S$2:S379)),"")</f>
        <v/>
      </c>
      <c r="U379" s="1" t="str">
        <f>IF(S379&lt;&gt;"",INDEX($P$2:$Q$441,MATCH($S379,$R$2:$R$441,0),COLUMNS($S$2:T379)),"")</f>
        <v/>
      </c>
      <c r="AE379" s="1">
        <f>Table2[[#This Row],[Year]]</f>
        <v>2018</v>
      </c>
      <c r="AF379" s="1">
        <f>Table2[[#This Row],['#]]</f>
        <v>18</v>
      </c>
      <c r="AG379" s="1" t="str">
        <f>Table2[[#This Row],[Team]]</f>
        <v>Cardiff City</v>
      </c>
      <c r="AH379" s="1">
        <f>Table2[[#This Row],[Pl]]</f>
        <v>38</v>
      </c>
      <c r="AI379" s="1">
        <f>Table2[[#This Row],[W]]</f>
        <v>10</v>
      </c>
      <c r="AJ379" s="1">
        <f>Table2[[#This Row],[D]]</f>
        <v>4</v>
      </c>
      <c r="AK379" s="1">
        <f>Table2[[#This Row],[L]]</f>
        <v>24</v>
      </c>
      <c r="AL379" s="1">
        <f>Table2[[#This Row],[F]]</f>
        <v>34</v>
      </c>
      <c r="AM379" s="1">
        <f>Table2[[#This Row],[A]]</f>
        <v>69</v>
      </c>
      <c r="AN379" s="1">
        <f>Table2[[#This Row],[GD]]</f>
        <v>-35</v>
      </c>
      <c r="AO379" s="1">
        <f>Table2[[#This Row],[Pts]]</f>
        <v>34</v>
      </c>
      <c r="AP379" s="1" t="str">
        <f>Table2[[#This Row],[Column1]]</f>
        <v>Relegated</v>
      </c>
      <c r="AR379" t="b">
        <f t="shared" si="9"/>
        <v>1</v>
      </c>
      <c r="AS379">
        <f>IF(AR379,ROWS($AR$2:AR379),"")</f>
        <v>378</v>
      </c>
      <c r="AT379">
        <f>IFERROR(SMALL($AS$2:$AS$440,ROWS($AS$2:AS379)),"")</f>
        <v>378</v>
      </c>
      <c r="AU379">
        <f>IF(AT379&lt;&gt;"",INDEX($AE$2:$AP$440,MATCH($AT379,$AS$2:$AS$440,0),COLUMNS($AT$2:AT379)),"")</f>
        <v>2018</v>
      </c>
      <c r="AV379">
        <f>IF(AU379&lt;&gt;"",INDEX($AE$2:$AP$440,MATCH($AT379,$AS$2:$AS$440,0),COLUMNS($AT$2:AU379)),"")</f>
        <v>18</v>
      </c>
      <c r="AW379" t="str">
        <f>IF(AV379&lt;&gt;"",INDEX($AE$2:$AP$440,MATCH($AT379,$AS$2:$AS$440,0),COLUMNS($AT$2:AV379)),"")</f>
        <v>Cardiff City</v>
      </c>
      <c r="AX379">
        <f>IF(AW379&lt;&gt;"",INDEX($AE$2:$AP$440,MATCH($AT379,$AS$2:$AS$440,0),COLUMNS($AT$2:AW379)),"")</f>
        <v>38</v>
      </c>
      <c r="AY379">
        <f>IF(AX379&lt;&gt;"",INDEX($AE$2:$AP$440,MATCH($AT379,$AS$2:$AS$440,0),COLUMNS($AT$2:AX379)),"")</f>
        <v>10</v>
      </c>
      <c r="AZ379">
        <f>IF(AY379&lt;&gt;"",INDEX($AE$2:$AP$440,MATCH($AT379,$AS$2:$AS$440,0),COLUMNS($AT$2:AY379)),"")</f>
        <v>4</v>
      </c>
      <c r="BA379">
        <f>IF(AZ379&lt;&gt;"",INDEX($AE$2:$AP$440,MATCH($AT379,$AS$2:$AS$440,0),COLUMNS($AT$2:AZ379)),"")</f>
        <v>24</v>
      </c>
      <c r="BB379">
        <f>IF(BA379&lt;&gt;"",INDEX($AE$2:$AP$440,MATCH($AT379,$AS$2:$AS$440,0),COLUMNS($AT$2:BA379)),"")</f>
        <v>34</v>
      </c>
      <c r="BC379">
        <f>IF(BB379&lt;&gt;"",INDEX($AE$2:$AP$440,MATCH($AT379,$AS$2:$AS$440,0),COLUMNS($AT$2:BB379)),"")</f>
        <v>69</v>
      </c>
      <c r="BD379">
        <f>IF(BC379&lt;&gt;"",INDEX($AE$2:$AP$440,MATCH($AT379,$AS$2:$AS$440,0),COLUMNS($AT$2:BC379)),"")</f>
        <v>-35</v>
      </c>
      <c r="BE379">
        <f>IF(BD379&lt;&gt;"",INDEX($AE$2:$AP$440,MATCH($AT379,$AS$2:$AS$440,0),COLUMNS($AT$2:BD379)),"")</f>
        <v>34</v>
      </c>
      <c r="BF379" t="str">
        <f>IF(BE379&lt;&gt;"",INDEX($AE$2:$AP$440,MATCH($AT379,$AS$2:$AS$440,0),COLUMNS($AT$2:BE379)),"")</f>
        <v>Relegated</v>
      </c>
    </row>
    <row r="380" spans="1:58" x14ac:dyDescent="0.25">
      <c r="A380" s="3">
        <v>2018</v>
      </c>
      <c r="B380" s="3">
        <v>19</v>
      </c>
      <c r="C380" s="4" t="s">
        <v>32</v>
      </c>
      <c r="D380" s="3">
        <v>38</v>
      </c>
      <c r="E380" s="3">
        <v>7</v>
      </c>
      <c r="F380" s="3">
        <v>5</v>
      </c>
      <c r="G380" s="3">
        <v>26</v>
      </c>
      <c r="H380" s="3">
        <v>34</v>
      </c>
      <c r="I380" s="3">
        <v>81</v>
      </c>
      <c r="J380" s="3">
        <v>-47</v>
      </c>
      <c r="K380" s="3">
        <v>26</v>
      </c>
      <c r="L380" s="5" t="str">
        <f>IF(Table2[[#This Row],['#]]=1,"Champion", IF(Table2[[#This Row],['#]]&gt;=18,"Relegated",Table2[[#This Row],['#]]))</f>
        <v>Relegated</v>
      </c>
      <c r="N380">
        <f>IF(COUNTIF($O$2:O380,O380)=1,N379+1,N379)</f>
        <v>43</v>
      </c>
      <c r="O380" s="4" t="str">
        <f>Table2[[#This Row],[Team]]</f>
        <v>Fulham</v>
      </c>
      <c r="P380" s="1" t="str">
        <f>IFERROR(VLOOKUP(ROWS($O$2:O380),$N$2:$O$441,2,0),"")</f>
        <v/>
      </c>
      <c r="Q380" s="1" t="str">
        <f>IF(P380&lt;&gt;"",SUMPRODUCT(--(Table2[Team]=P380)),"")</f>
        <v/>
      </c>
      <c r="R380" s="11" t="str">
        <f>IF(Q380&lt;&gt;"",Q380+ROWS($Q$2:Q380)/100,"")</f>
        <v/>
      </c>
      <c r="S380" t="str">
        <f>IF(R380&lt;&gt;"",LARGE($R$2:$R$441,ROWS($R$2:R380)),"")</f>
        <v/>
      </c>
      <c r="T380" s="1" t="str">
        <f>IF(R380&lt;&gt;"",INDEX($P$2:$Q$441,MATCH($S380,$R$2:$R$441,0),COLUMNS($S$2:S380)),"")</f>
        <v/>
      </c>
      <c r="U380" s="1" t="str">
        <f>IF(S380&lt;&gt;"",INDEX($P$2:$Q$441,MATCH($S380,$R$2:$R$441,0),COLUMNS($S$2:T380)),"")</f>
        <v/>
      </c>
      <c r="AE380" s="1">
        <f>Table2[[#This Row],[Year]]</f>
        <v>2018</v>
      </c>
      <c r="AF380" s="1">
        <f>Table2[[#This Row],['#]]</f>
        <v>19</v>
      </c>
      <c r="AG380" s="1" t="str">
        <f>Table2[[#This Row],[Team]]</f>
        <v>Fulham</v>
      </c>
      <c r="AH380" s="1">
        <f>Table2[[#This Row],[Pl]]</f>
        <v>38</v>
      </c>
      <c r="AI380" s="1">
        <f>Table2[[#This Row],[W]]</f>
        <v>7</v>
      </c>
      <c r="AJ380" s="1">
        <f>Table2[[#This Row],[D]]</f>
        <v>5</v>
      </c>
      <c r="AK380" s="1">
        <f>Table2[[#This Row],[L]]</f>
        <v>26</v>
      </c>
      <c r="AL380" s="1">
        <f>Table2[[#This Row],[F]]</f>
        <v>34</v>
      </c>
      <c r="AM380" s="1">
        <f>Table2[[#This Row],[A]]</f>
        <v>81</v>
      </c>
      <c r="AN380" s="1">
        <f>Table2[[#This Row],[GD]]</f>
        <v>-47</v>
      </c>
      <c r="AO380" s="1">
        <f>Table2[[#This Row],[Pts]]</f>
        <v>26</v>
      </c>
      <c r="AP380" s="1" t="str">
        <f>Table2[[#This Row],[Column1]]</f>
        <v>Relegated</v>
      </c>
      <c r="AR380" t="b">
        <f t="shared" si="9"/>
        <v>1</v>
      </c>
      <c r="AS380">
        <f>IF(AR380,ROWS($AR$2:AR380),"")</f>
        <v>379</v>
      </c>
      <c r="AT380">
        <f>IFERROR(SMALL($AS$2:$AS$440,ROWS($AS$2:AS380)),"")</f>
        <v>379</v>
      </c>
      <c r="AU380">
        <f>IF(AT380&lt;&gt;"",INDEX($AE$2:$AP$440,MATCH($AT380,$AS$2:$AS$440,0),COLUMNS($AT$2:AT380)),"")</f>
        <v>2018</v>
      </c>
      <c r="AV380">
        <f>IF(AU380&lt;&gt;"",INDEX($AE$2:$AP$440,MATCH($AT380,$AS$2:$AS$440,0),COLUMNS($AT$2:AU380)),"")</f>
        <v>19</v>
      </c>
      <c r="AW380" t="str">
        <f>IF(AV380&lt;&gt;"",INDEX($AE$2:$AP$440,MATCH($AT380,$AS$2:$AS$440,0),COLUMNS($AT$2:AV380)),"")</f>
        <v>Fulham</v>
      </c>
      <c r="AX380">
        <f>IF(AW380&lt;&gt;"",INDEX($AE$2:$AP$440,MATCH($AT380,$AS$2:$AS$440,0),COLUMNS($AT$2:AW380)),"")</f>
        <v>38</v>
      </c>
      <c r="AY380">
        <f>IF(AX380&lt;&gt;"",INDEX($AE$2:$AP$440,MATCH($AT380,$AS$2:$AS$440,0),COLUMNS($AT$2:AX380)),"")</f>
        <v>7</v>
      </c>
      <c r="AZ380">
        <f>IF(AY380&lt;&gt;"",INDEX($AE$2:$AP$440,MATCH($AT380,$AS$2:$AS$440,0),COLUMNS($AT$2:AY380)),"")</f>
        <v>5</v>
      </c>
      <c r="BA380">
        <f>IF(AZ380&lt;&gt;"",INDEX($AE$2:$AP$440,MATCH($AT380,$AS$2:$AS$440,0),COLUMNS($AT$2:AZ380)),"")</f>
        <v>26</v>
      </c>
      <c r="BB380">
        <f>IF(BA380&lt;&gt;"",INDEX($AE$2:$AP$440,MATCH($AT380,$AS$2:$AS$440,0),COLUMNS($AT$2:BA380)),"")</f>
        <v>34</v>
      </c>
      <c r="BC380">
        <f>IF(BB380&lt;&gt;"",INDEX($AE$2:$AP$440,MATCH($AT380,$AS$2:$AS$440,0),COLUMNS($AT$2:BB380)),"")</f>
        <v>81</v>
      </c>
      <c r="BD380">
        <f>IF(BC380&lt;&gt;"",INDEX($AE$2:$AP$440,MATCH($AT380,$AS$2:$AS$440,0),COLUMNS($AT$2:BC380)),"")</f>
        <v>-47</v>
      </c>
      <c r="BE380">
        <f>IF(BD380&lt;&gt;"",INDEX($AE$2:$AP$440,MATCH($AT380,$AS$2:$AS$440,0),COLUMNS($AT$2:BD380)),"")</f>
        <v>26</v>
      </c>
      <c r="BF380" t="str">
        <f>IF(BE380&lt;&gt;"",INDEX($AE$2:$AP$440,MATCH($AT380,$AS$2:$AS$440,0),COLUMNS($AT$2:BE380)),"")</f>
        <v>Relegated</v>
      </c>
    </row>
    <row r="381" spans="1:58" x14ac:dyDescent="0.25">
      <c r="A381" s="5">
        <v>2018</v>
      </c>
      <c r="B381" s="5">
        <v>20</v>
      </c>
      <c r="C381" s="6" t="s">
        <v>52</v>
      </c>
      <c r="D381" s="5">
        <v>38</v>
      </c>
      <c r="E381" s="5">
        <v>3</v>
      </c>
      <c r="F381" s="5">
        <v>7</v>
      </c>
      <c r="G381" s="5">
        <v>28</v>
      </c>
      <c r="H381" s="5">
        <v>22</v>
      </c>
      <c r="I381" s="5">
        <v>76</v>
      </c>
      <c r="J381" s="5">
        <v>-54</v>
      </c>
      <c r="K381" s="5">
        <v>16</v>
      </c>
      <c r="L381" s="5" t="str">
        <f>IF(Table2[[#This Row],['#]]=1,"Champion", IF(Table2[[#This Row],['#]]&gt;=18,"Relegated",Table2[[#This Row],['#]]))</f>
        <v>Relegated</v>
      </c>
      <c r="N381">
        <f>IF(COUNTIF($O$2:O381,O381)=1,N380+1,N380)</f>
        <v>43</v>
      </c>
      <c r="O381" s="4" t="str">
        <f>Table2[[#This Row],[Team]]</f>
        <v>Huddersfield Town</v>
      </c>
      <c r="P381" s="1" t="str">
        <f>IFERROR(VLOOKUP(ROWS($O$2:O381),$N$2:$O$441,2,0),"")</f>
        <v/>
      </c>
      <c r="Q381" s="1" t="str">
        <f>IF(P381&lt;&gt;"",SUMPRODUCT(--(Table2[Team]=P381)),"")</f>
        <v/>
      </c>
      <c r="R381" s="11" t="str">
        <f>IF(Q381&lt;&gt;"",Q381+ROWS($Q$2:Q381)/100,"")</f>
        <v/>
      </c>
      <c r="S381" t="str">
        <f>IF(R381&lt;&gt;"",LARGE($R$2:$R$441,ROWS($R$2:R381)),"")</f>
        <v/>
      </c>
      <c r="T381" s="1" t="str">
        <f>IF(R381&lt;&gt;"",INDEX($P$2:$Q$441,MATCH($S381,$R$2:$R$441,0),COLUMNS($S$2:S381)),"")</f>
        <v/>
      </c>
      <c r="U381" s="1" t="str">
        <f>IF(S381&lt;&gt;"",INDEX($P$2:$Q$441,MATCH($S381,$R$2:$R$441,0),COLUMNS($S$2:T381)),"")</f>
        <v/>
      </c>
      <c r="AE381" s="1">
        <f>Table2[[#This Row],[Year]]</f>
        <v>2018</v>
      </c>
      <c r="AF381" s="1">
        <f>Table2[[#This Row],['#]]</f>
        <v>20</v>
      </c>
      <c r="AG381" s="1" t="str">
        <f>Table2[[#This Row],[Team]]</f>
        <v>Huddersfield Town</v>
      </c>
      <c r="AH381" s="1">
        <f>Table2[[#This Row],[Pl]]</f>
        <v>38</v>
      </c>
      <c r="AI381" s="1">
        <f>Table2[[#This Row],[W]]</f>
        <v>3</v>
      </c>
      <c r="AJ381" s="1">
        <f>Table2[[#This Row],[D]]</f>
        <v>7</v>
      </c>
      <c r="AK381" s="1">
        <f>Table2[[#This Row],[L]]</f>
        <v>28</v>
      </c>
      <c r="AL381" s="1">
        <f>Table2[[#This Row],[F]]</f>
        <v>22</v>
      </c>
      <c r="AM381" s="1">
        <f>Table2[[#This Row],[A]]</f>
        <v>76</v>
      </c>
      <c r="AN381" s="1">
        <f>Table2[[#This Row],[GD]]</f>
        <v>-54</v>
      </c>
      <c r="AO381" s="1">
        <f>Table2[[#This Row],[Pts]]</f>
        <v>16</v>
      </c>
      <c r="AP381" s="1" t="str">
        <f>Table2[[#This Row],[Column1]]</f>
        <v>Relegated</v>
      </c>
      <c r="AR381" t="b">
        <f t="shared" si="9"/>
        <v>1</v>
      </c>
      <c r="AS381">
        <f>IF(AR381,ROWS($AR$2:AR381),"")</f>
        <v>380</v>
      </c>
      <c r="AT381">
        <f>IFERROR(SMALL($AS$2:$AS$440,ROWS($AS$2:AS381)),"")</f>
        <v>380</v>
      </c>
      <c r="AU381">
        <f>IF(AT381&lt;&gt;"",INDEX($AE$2:$AP$440,MATCH($AT381,$AS$2:$AS$440,0),COLUMNS($AT$2:AT381)),"")</f>
        <v>2018</v>
      </c>
      <c r="AV381">
        <f>IF(AU381&lt;&gt;"",INDEX($AE$2:$AP$440,MATCH($AT381,$AS$2:$AS$440,0),COLUMNS($AT$2:AU381)),"")</f>
        <v>20</v>
      </c>
      <c r="AW381" t="str">
        <f>IF(AV381&lt;&gt;"",INDEX($AE$2:$AP$440,MATCH($AT381,$AS$2:$AS$440,0),COLUMNS($AT$2:AV381)),"")</f>
        <v>Huddersfield Town</v>
      </c>
      <c r="AX381">
        <f>IF(AW381&lt;&gt;"",INDEX($AE$2:$AP$440,MATCH($AT381,$AS$2:$AS$440,0),COLUMNS($AT$2:AW381)),"")</f>
        <v>38</v>
      </c>
      <c r="AY381">
        <f>IF(AX381&lt;&gt;"",INDEX($AE$2:$AP$440,MATCH($AT381,$AS$2:$AS$440,0),COLUMNS($AT$2:AX381)),"")</f>
        <v>3</v>
      </c>
      <c r="AZ381">
        <f>IF(AY381&lt;&gt;"",INDEX($AE$2:$AP$440,MATCH($AT381,$AS$2:$AS$440,0),COLUMNS($AT$2:AY381)),"")</f>
        <v>7</v>
      </c>
      <c r="BA381">
        <f>IF(AZ381&lt;&gt;"",INDEX($AE$2:$AP$440,MATCH($AT381,$AS$2:$AS$440,0),COLUMNS($AT$2:AZ381)),"")</f>
        <v>28</v>
      </c>
      <c r="BB381">
        <f>IF(BA381&lt;&gt;"",INDEX($AE$2:$AP$440,MATCH($AT381,$AS$2:$AS$440,0),COLUMNS($AT$2:BA381)),"")</f>
        <v>22</v>
      </c>
      <c r="BC381">
        <f>IF(BB381&lt;&gt;"",INDEX($AE$2:$AP$440,MATCH($AT381,$AS$2:$AS$440,0),COLUMNS($AT$2:BB381)),"")</f>
        <v>76</v>
      </c>
      <c r="BD381">
        <f>IF(BC381&lt;&gt;"",INDEX($AE$2:$AP$440,MATCH($AT381,$AS$2:$AS$440,0),COLUMNS($AT$2:BC381)),"")</f>
        <v>-54</v>
      </c>
      <c r="BE381">
        <f>IF(BD381&lt;&gt;"",INDEX($AE$2:$AP$440,MATCH($AT381,$AS$2:$AS$440,0),COLUMNS($AT$2:BD381)),"")</f>
        <v>16</v>
      </c>
      <c r="BF381" t="str">
        <f>IF(BE381&lt;&gt;"",INDEX($AE$2:$AP$440,MATCH($AT381,$AS$2:$AS$440,0),COLUMNS($AT$2:BE381)),"")</f>
        <v>Relegated</v>
      </c>
    </row>
    <row r="382" spans="1:58" x14ac:dyDescent="0.25">
      <c r="A382" s="3">
        <v>2019</v>
      </c>
      <c r="B382" s="3">
        <v>1</v>
      </c>
      <c r="C382" s="4" t="s">
        <v>13</v>
      </c>
      <c r="D382" s="3">
        <v>38</v>
      </c>
      <c r="E382" s="3">
        <v>32</v>
      </c>
      <c r="F382" s="3">
        <v>3</v>
      </c>
      <c r="G382" s="3">
        <v>3</v>
      </c>
      <c r="H382" s="3">
        <v>85</v>
      </c>
      <c r="I382" s="3">
        <v>33</v>
      </c>
      <c r="J382" s="3">
        <v>52</v>
      </c>
      <c r="K382" s="3">
        <v>99</v>
      </c>
      <c r="L382" s="5" t="str">
        <f>IF(Table2[[#This Row],['#]]=1,"Champion", IF(Table2[[#This Row],['#]]&gt;=18,"Relegated",Table2[[#This Row],['#]]))</f>
        <v>Champion</v>
      </c>
      <c r="N382">
        <f>IF(COUNTIF($O$2:O382,O382)=1,N381+1,N381)</f>
        <v>43</v>
      </c>
      <c r="O382" s="4" t="str">
        <f>Table2[[#This Row],[Team]]</f>
        <v>Liverpool</v>
      </c>
      <c r="P382" s="1" t="str">
        <f>IFERROR(VLOOKUP(ROWS($O$2:O382),$N$2:$O$441,2,0),"")</f>
        <v/>
      </c>
      <c r="Q382" s="1" t="str">
        <f>IF(P382&lt;&gt;"",SUMPRODUCT(--(Table2[Team]=P382)),"")</f>
        <v/>
      </c>
      <c r="R382" s="11" t="str">
        <f>IF(Q382&lt;&gt;"",Q382+ROWS($Q$2:Q382)/100,"")</f>
        <v/>
      </c>
      <c r="S382" t="str">
        <f>IF(R382&lt;&gt;"",LARGE($R$2:$R$441,ROWS($R$2:R382)),"")</f>
        <v/>
      </c>
      <c r="T382" s="1" t="str">
        <f>IF(R382&lt;&gt;"",INDEX($P$2:$Q$441,MATCH($S382,$R$2:$R$441,0),COLUMNS($S$2:S382)),"")</f>
        <v/>
      </c>
      <c r="U382" s="1" t="str">
        <f>IF(S382&lt;&gt;"",INDEX($P$2:$Q$441,MATCH($S382,$R$2:$R$441,0),COLUMNS($S$2:T382)),"")</f>
        <v/>
      </c>
      <c r="AE382" s="1">
        <f>Table2[[#This Row],[Year]]</f>
        <v>2019</v>
      </c>
      <c r="AF382" s="1">
        <f>Table2[[#This Row],['#]]</f>
        <v>1</v>
      </c>
      <c r="AG382" s="1" t="str">
        <f>Table2[[#This Row],[Team]]</f>
        <v>Liverpool</v>
      </c>
      <c r="AH382" s="1">
        <f>Table2[[#This Row],[Pl]]</f>
        <v>38</v>
      </c>
      <c r="AI382" s="1">
        <f>Table2[[#This Row],[W]]</f>
        <v>32</v>
      </c>
      <c r="AJ382" s="1">
        <f>Table2[[#This Row],[D]]</f>
        <v>3</v>
      </c>
      <c r="AK382" s="1">
        <f>Table2[[#This Row],[L]]</f>
        <v>3</v>
      </c>
      <c r="AL382" s="1">
        <f>Table2[[#This Row],[F]]</f>
        <v>85</v>
      </c>
      <c r="AM382" s="1">
        <f>Table2[[#This Row],[A]]</f>
        <v>33</v>
      </c>
      <c r="AN382" s="1">
        <f>Table2[[#This Row],[GD]]</f>
        <v>52</v>
      </c>
      <c r="AO382" s="1">
        <f>Table2[[#This Row],[Pts]]</f>
        <v>99</v>
      </c>
      <c r="AP382" s="1" t="str">
        <f>Table2[[#This Row],[Column1]]</f>
        <v>Champion</v>
      </c>
      <c r="AR382" t="b">
        <f t="shared" si="9"/>
        <v>1</v>
      </c>
      <c r="AS382">
        <f>IF(AR382,ROWS($AR$2:AR382),"")</f>
        <v>381</v>
      </c>
      <c r="AT382">
        <f>IFERROR(SMALL($AS$2:$AS$440,ROWS($AS$2:AS382)),"")</f>
        <v>381</v>
      </c>
      <c r="AU382">
        <f>IF(AT382&lt;&gt;"",INDEX($AE$2:$AP$440,MATCH($AT382,$AS$2:$AS$440,0),COLUMNS($AT$2:AT382)),"")</f>
        <v>2019</v>
      </c>
      <c r="AV382">
        <f>IF(AU382&lt;&gt;"",INDEX($AE$2:$AP$440,MATCH($AT382,$AS$2:$AS$440,0),COLUMNS($AT$2:AU382)),"")</f>
        <v>1</v>
      </c>
      <c r="AW382" t="str">
        <f>IF(AV382&lt;&gt;"",INDEX($AE$2:$AP$440,MATCH($AT382,$AS$2:$AS$440,0),COLUMNS($AT$2:AV382)),"")</f>
        <v>Liverpool</v>
      </c>
      <c r="AX382">
        <f>IF(AW382&lt;&gt;"",INDEX($AE$2:$AP$440,MATCH($AT382,$AS$2:$AS$440,0),COLUMNS($AT$2:AW382)),"")</f>
        <v>38</v>
      </c>
      <c r="AY382">
        <f>IF(AX382&lt;&gt;"",INDEX($AE$2:$AP$440,MATCH($AT382,$AS$2:$AS$440,0),COLUMNS($AT$2:AX382)),"")</f>
        <v>32</v>
      </c>
      <c r="AZ382">
        <f>IF(AY382&lt;&gt;"",INDEX($AE$2:$AP$440,MATCH($AT382,$AS$2:$AS$440,0),COLUMNS($AT$2:AY382)),"")</f>
        <v>3</v>
      </c>
      <c r="BA382">
        <f>IF(AZ382&lt;&gt;"",INDEX($AE$2:$AP$440,MATCH($AT382,$AS$2:$AS$440,0),COLUMNS($AT$2:AZ382)),"")</f>
        <v>3</v>
      </c>
      <c r="BB382">
        <f>IF(BA382&lt;&gt;"",INDEX($AE$2:$AP$440,MATCH($AT382,$AS$2:$AS$440,0),COLUMNS($AT$2:BA382)),"")</f>
        <v>85</v>
      </c>
      <c r="BC382">
        <f>IF(BB382&lt;&gt;"",INDEX($AE$2:$AP$440,MATCH($AT382,$AS$2:$AS$440,0),COLUMNS($AT$2:BB382)),"")</f>
        <v>33</v>
      </c>
      <c r="BD382">
        <f>IF(BC382&lt;&gt;"",INDEX($AE$2:$AP$440,MATCH($AT382,$AS$2:$AS$440,0),COLUMNS($AT$2:BC382)),"")</f>
        <v>52</v>
      </c>
      <c r="BE382">
        <f>IF(BD382&lt;&gt;"",INDEX($AE$2:$AP$440,MATCH($AT382,$AS$2:$AS$440,0),COLUMNS($AT$2:BD382)),"")</f>
        <v>99</v>
      </c>
      <c r="BF382" t="str">
        <f>IF(BE382&lt;&gt;"",INDEX($AE$2:$AP$440,MATCH($AT382,$AS$2:$AS$440,0),COLUMNS($AT$2:BE382)),"")</f>
        <v>Champion</v>
      </c>
    </row>
    <row r="383" spans="1:58" x14ac:dyDescent="0.25">
      <c r="A383" s="5">
        <v>2019</v>
      </c>
      <c r="B383" s="5">
        <v>2</v>
      </c>
      <c r="C383" s="6" t="s">
        <v>28</v>
      </c>
      <c r="D383" s="5">
        <v>38</v>
      </c>
      <c r="E383" s="5">
        <v>26</v>
      </c>
      <c r="F383" s="5">
        <v>3</v>
      </c>
      <c r="G383" s="5">
        <v>9</v>
      </c>
      <c r="H383" s="5">
        <v>102</v>
      </c>
      <c r="I383" s="5">
        <v>35</v>
      </c>
      <c r="J383" s="5">
        <v>67</v>
      </c>
      <c r="K383" s="5">
        <v>81</v>
      </c>
      <c r="L383" s="5">
        <f>IF(Table2[[#This Row],['#]]=1,"Champion", IF(Table2[[#This Row],['#]]&gt;=18,"Relegated",Table2[[#This Row],['#]]))</f>
        <v>2</v>
      </c>
      <c r="N383">
        <f>IF(COUNTIF($O$2:O383,O383)=1,N382+1,N382)</f>
        <v>43</v>
      </c>
      <c r="O383" s="4" t="str">
        <f>Table2[[#This Row],[Team]]</f>
        <v>Manchester City</v>
      </c>
      <c r="P383" s="1" t="str">
        <f>IFERROR(VLOOKUP(ROWS($O$2:O383),$N$2:$O$441,2,0),"")</f>
        <v/>
      </c>
      <c r="Q383" s="1" t="str">
        <f>IF(P383&lt;&gt;"",SUMPRODUCT(--(Table2[Team]=P383)),"")</f>
        <v/>
      </c>
      <c r="R383" s="11" t="str">
        <f>IF(Q383&lt;&gt;"",Q383+ROWS($Q$2:Q383)/100,"")</f>
        <v/>
      </c>
      <c r="S383" t="str">
        <f>IF(R383&lt;&gt;"",LARGE($R$2:$R$441,ROWS($R$2:R383)),"")</f>
        <v/>
      </c>
      <c r="T383" s="1" t="str">
        <f>IF(R383&lt;&gt;"",INDEX($P$2:$Q$441,MATCH($S383,$R$2:$R$441,0),COLUMNS($S$2:S383)),"")</f>
        <v/>
      </c>
      <c r="U383" s="1" t="str">
        <f>IF(S383&lt;&gt;"",INDEX($P$2:$Q$441,MATCH($S383,$R$2:$R$441,0),COLUMNS($S$2:T383)),"")</f>
        <v/>
      </c>
      <c r="AE383" s="1">
        <f>Table2[[#This Row],[Year]]</f>
        <v>2019</v>
      </c>
      <c r="AF383" s="1">
        <f>Table2[[#This Row],['#]]</f>
        <v>2</v>
      </c>
      <c r="AG383" s="1" t="str">
        <f>Table2[[#This Row],[Team]]</f>
        <v>Manchester City</v>
      </c>
      <c r="AH383" s="1">
        <f>Table2[[#This Row],[Pl]]</f>
        <v>38</v>
      </c>
      <c r="AI383" s="1">
        <f>Table2[[#This Row],[W]]</f>
        <v>26</v>
      </c>
      <c r="AJ383" s="1">
        <f>Table2[[#This Row],[D]]</f>
        <v>3</v>
      </c>
      <c r="AK383" s="1">
        <f>Table2[[#This Row],[L]]</f>
        <v>9</v>
      </c>
      <c r="AL383" s="1">
        <f>Table2[[#This Row],[F]]</f>
        <v>102</v>
      </c>
      <c r="AM383" s="1">
        <f>Table2[[#This Row],[A]]</f>
        <v>35</v>
      </c>
      <c r="AN383" s="1">
        <f>Table2[[#This Row],[GD]]</f>
        <v>67</v>
      </c>
      <c r="AO383" s="1">
        <f>Table2[[#This Row],[Pts]]</f>
        <v>81</v>
      </c>
      <c r="AP383" s="1">
        <f>Table2[[#This Row],[Column1]]</f>
        <v>2</v>
      </c>
      <c r="AR383" t="b">
        <f t="shared" si="9"/>
        <v>1</v>
      </c>
      <c r="AS383">
        <f>IF(AR383,ROWS($AR$2:AR383),"")</f>
        <v>382</v>
      </c>
      <c r="AT383">
        <f>IFERROR(SMALL($AS$2:$AS$440,ROWS($AS$2:AS383)),"")</f>
        <v>382</v>
      </c>
      <c r="AU383">
        <f>IF(AT383&lt;&gt;"",INDEX($AE$2:$AP$440,MATCH($AT383,$AS$2:$AS$440,0),COLUMNS($AT$2:AT383)),"")</f>
        <v>2019</v>
      </c>
      <c r="AV383">
        <f>IF(AU383&lt;&gt;"",INDEX($AE$2:$AP$440,MATCH($AT383,$AS$2:$AS$440,0),COLUMNS($AT$2:AU383)),"")</f>
        <v>2</v>
      </c>
      <c r="AW383" t="str">
        <f>IF(AV383&lt;&gt;"",INDEX($AE$2:$AP$440,MATCH($AT383,$AS$2:$AS$440,0),COLUMNS($AT$2:AV383)),"")</f>
        <v>Manchester City</v>
      </c>
      <c r="AX383">
        <f>IF(AW383&lt;&gt;"",INDEX($AE$2:$AP$440,MATCH($AT383,$AS$2:$AS$440,0),COLUMNS($AT$2:AW383)),"")</f>
        <v>38</v>
      </c>
      <c r="AY383">
        <f>IF(AX383&lt;&gt;"",INDEX($AE$2:$AP$440,MATCH($AT383,$AS$2:$AS$440,0),COLUMNS($AT$2:AX383)),"")</f>
        <v>26</v>
      </c>
      <c r="AZ383">
        <f>IF(AY383&lt;&gt;"",INDEX($AE$2:$AP$440,MATCH($AT383,$AS$2:$AS$440,0),COLUMNS($AT$2:AY383)),"")</f>
        <v>3</v>
      </c>
      <c r="BA383">
        <f>IF(AZ383&lt;&gt;"",INDEX($AE$2:$AP$440,MATCH($AT383,$AS$2:$AS$440,0),COLUMNS($AT$2:AZ383)),"")</f>
        <v>9</v>
      </c>
      <c r="BB383">
        <f>IF(BA383&lt;&gt;"",INDEX($AE$2:$AP$440,MATCH($AT383,$AS$2:$AS$440,0),COLUMNS($AT$2:BA383)),"")</f>
        <v>102</v>
      </c>
      <c r="BC383">
        <f>IF(BB383&lt;&gt;"",INDEX($AE$2:$AP$440,MATCH($AT383,$AS$2:$AS$440,0),COLUMNS($AT$2:BB383)),"")</f>
        <v>35</v>
      </c>
      <c r="BD383">
        <f>IF(BC383&lt;&gt;"",INDEX($AE$2:$AP$440,MATCH($AT383,$AS$2:$AS$440,0),COLUMNS($AT$2:BC383)),"")</f>
        <v>67</v>
      </c>
      <c r="BE383">
        <f>IF(BD383&lt;&gt;"",INDEX($AE$2:$AP$440,MATCH($AT383,$AS$2:$AS$440,0),COLUMNS($AT$2:BD383)),"")</f>
        <v>81</v>
      </c>
      <c r="BF383">
        <f>IF(BE383&lt;&gt;"",INDEX($AE$2:$AP$440,MATCH($AT383,$AS$2:$AS$440,0),COLUMNS($AT$2:BE383)),"")</f>
        <v>2</v>
      </c>
    </row>
    <row r="384" spans="1:58" x14ac:dyDescent="0.25">
      <c r="A384" s="3">
        <v>2019</v>
      </c>
      <c r="B384" s="3">
        <v>3</v>
      </c>
      <c r="C384" s="4" t="s">
        <v>11</v>
      </c>
      <c r="D384" s="3">
        <v>38</v>
      </c>
      <c r="E384" s="3">
        <v>18</v>
      </c>
      <c r="F384" s="3">
        <v>12</v>
      </c>
      <c r="G384" s="3">
        <v>8</v>
      </c>
      <c r="H384" s="3">
        <v>66</v>
      </c>
      <c r="I384" s="3">
        <v>36</v>
      </c>
      <c r="J384" s="3">
        <v>30</v>
      </c>
      <c r="K384" s="3">
        <v>66</v>
      </c>
      <c r="L384" s="5">
        <f>IF(Table2[[#This Row],['#]]=1,"Champion", IF(Table2[[#This Row],['#]]&gt;=18,"Relegated",Table2[[#This Row],['#]]))</f>
        <v>3</v>
      </c>
      <c r="N384">
        <f>IF(COUNTIF($O$2:O384,O384)=1,N383+1,N383)</f>
        <v>43</v>
      </c>
      <c r="O384" s="4" t="str">
        <f>Table2[[#This Row],[Team]]</f>
        <v>Manchester United</v>
      </c>
      <c r="P384" s="1" t="str">
        <f>IFERROR(VLOOKUP(ROWS($O$2:O384),$N$2:$O$441,2,0),"")</f>
        <v/>
      </c>
      <c r="Q384" s="1" t="str">
        <f>IF(P384&lt;&gt;"",SUMPRODUCT(--(Table2[Team]=P384)),"")</f>
        <v/>
      </c>
      <c r="R384" s="11" t="str">
        <f>IF(Q384&lt;&gt;"",Q384+ROWS($Q$2:Q384)/100,"")</f>
        <v/>
      </c>
      <c r="S384" t="str">
        <f>IF(R384&lt;&gt;"",LARGE($R$2:$R$441,ROWS($R$2:R384)),"")</f>
        <v/>
      </c>
      <c r="T384" s="1" t="str">
        <f>IF(R384&lt;&gt;"",INDEX($P$2:$Q$441,MATCH($S384,$R$2:$R$441,0),COLUMNS($S$2:S384)),"")</f>
        <v/>
      </c>
      <c r="U384" s="1" t="str">
        <f>IF(S384&lt;&gt;"",INDEX($P$2:$Q$441,MATCH($S384,$R$2:$R$441,0),COLUMNS($S$2:T384)),"")</f>
        <v/>
      </c>
      <c r="AE384" s="1">
        <f>Table2[[#This Row],[Year]]</f>
        <v>2019</v>
      </c>
      <c r="AF384" s="1">
        <f>Table2[[#This Row],['#]]</f>
        <v>3</v>
      </c>
      <c r="AG384" s="1" t="str">
        <f>Table2[[#This Row],[Team]]</f>
        <v>Manchester United</v>
      </c>
      <c r="AH384" s="1">
        <f>Table2[[#This Row],[Pl]]</f>
        <v>38</v>
      </c>
      <c r="AI384" s="1">
        <f>Table2[[#This Row],[W]]</f>
        <v>18</v>
      </c>
      <c r="AJ384" s="1">
        <f>Table2[[#This Row],[D]]</f>
        <v>12</v>
      </c>
      <c r="AK384" s="1">
        <f>Table2[[#This Row],[L]]</f>
        <v>8</v>
      </c>
      <c r="AL384" s="1">
        <f>Table2[[#This Row],[F]]</f>
        <v>66</v>
      </c>
      <c r="AM384" s="1">
        <f>Table2[[#This Row],[A]]</f>
        <v>36</v>
      </c>
      <c r="AN384" s="1">
        <f>Table2[[#This Row],[GD]]</f>
        <v>30</v>
      </c>
      <c r="AO384" s="1">
        <f>Table2[[#This Row],[Pts]]</f>
        <v>66</v>
      </c>
      <c r="AP384" s="1">
        <f>Table2[[#This Row],[Column1]]</f>
        <v>3</v>
      </c>
      <c r="AR384" t="b">
        <f t="shared" si="9"/>
        <v>1</v>
      </c>
      <c r="AS384">
        <f>IF(AR384,ROWS($AR$2:AR384),"")</f>
        <v>383</v>
      </c>
      <c r="AT384">
        <f>IFERROR(SMALL($AS$2:$AS$440,ROWS($AS$2:AS384)),"")</f>
        <v>383</v>
      </c>
      <c r="AU384">
        <f>IF(AT384&lt;&gt;"",INDEX($AE$2:$AP$440,MATCH($AT384,$AS$2:$AS$440,0),COLUMNS($AT$2:AT384)),"")</f>
        <v>2019</v>
      </c>
      <c r="AV384">
        <f>IF(AU384&lt;&gt;"",INDEX($AE$2:$AP$440,MATCH($AT384,$AS$2:$AS$440,0),COLUMNS($AT$2:AU384)),"")</f>
        <v>3</v>
      </c>
      <c r="AW384" t="str">
        <f>IF(AV384&lt;&gt;"",INDEX($AE$2:$AP$440,MATCH($AT384,$AS$2:$AS$440,0),COLUMNS($AT$2:AV384)),"")</f>
        <v>Manchester United</v>
      </c>
      <c r="AX384">
        <f>IF(AW384&lt;&gt;"",INDEX($AE$2:$AP$440,MATCH($AT384,$AS$2:$AS$440,0),COLUMNS($AT$2:AW384)),"")</f>
        <v>38</v>
      </c>
      <c r="AY384">
        <f>IF(AX384&lt;&gt;"",INDEX($AE$2:$AP$440,MATCH($AT384,$AS$2:$AS$440,0),COLUMNS($AT$2:AX384)),"")</f>
        <v>18</v>
      </c>
      <c r="AZ384">
        <f>IF(AY384&lt;&gt;"",INDEX($AE$2:$AP$440,MATCH($AT384,$AS$2:$AS$440,0),COLUMNS($AT$2:AY384)),"")</f>
        <v>12</v>
      </c>
      <c r="BA384">
        <f>IF(AZ384&lt;&gt;"",INDEX($AE$2:$AP$440,MATCH($AT384,$AS$2:$AS$440,0),COLUMNS($AT$2:AZ384)),"")</f>
        <v>8</v>
      </c>
      <c r="BB384">
        <f>IF(BA384&lt;&gt;"",INDEX($AE$2:$AP$440,MATCH($AT384,$AS$2:$AS$440,0),COLUMNS($AT$2:BA384)),"")</f>
        <v>66</v>
      </c>
      <c r="BC384">
        <f>IF(BB384&lt;&gt;"",INDEX($AE$2:$AP$440,MATCH($AT384,$AS$2:$AS$440,0),COLUMNS($AT$2:BB384)),"")</f>
        <v>36</v>
      </c>
      <c r="BD384">
        <f>IF(BC384&lt;&gt;"",INDEX($AE$2:$AP$440,MATCH($AT384,$AS$2:$AS$440,0),COLUMNS($AT$2:BC384)),"")</f>
        <v>30</v>
      </c>
      <c r="BE384">
        <f>IF(BD384&lt;&gt;"",INDEX($AE$2:$AP$440,MATCH($AT384,$AS$2:$AS$440,0),COLUMNS($AT$2:BD384)),"")</f>
        <v>66</v>
      </c>
      <c r="BF384">
        <f>IF(BE384&lt;&gt;"",INDEX($AE$2:$AP$440,MATCH($AT384,$AS$2:$AS$440,0),COLUMNS($AT$2:BE384)),"")</f>
        <v>3</v>
      </c>
    </row>
    <row r="385" spans="1:58" x14ac:dyDescent="0.25">
      <c r="A385" s="5">
        <v>2019</v>
      </c>
      <c r="B385" s="5">
        <v>4</v>
      </c>
      <c r="C385" s="6" t="s">
        <v>16</v>
      </c>
      <c r="D385" s="5">
        <v>38</v>
      </c>
      <c r="E385" s="5">
        <v>20</v>
      </c>
      <c r="F385" s="5">
        <v>6</v>
      </c>
      <c r="G385" s="5">
        <v>12</v>
      </c>
      <c r="H385" s="5">
        <v>69</v>
      </c>
      <c r="I385" s="5">
        <v>54</v>
      </c>
      <c r="J385" s="5">
        <v>15</v>
      </c>
      <c r="K385" s="5">
        <v>66</v>
      </c>
      <c r="L385" s="5">
        <f>IF(Table2[[#This Row],['#]]=1,"Champion", IF(Table2[[#This Row],['#]]&gt;=18,"Relegated",Table2[[#This Row],['#]]))</f>
        <v>4</v>
      </c>
      <c r="N385">
        <f>IF(COUNTIF($O$2:O385,O385)=1,N384+1,N384)</f>
        <v>43</v>
      </c>
      <c r="O385" s="4" t="str">
        <f>Table2[[#This Row],[Team]]</f>
        <v>Chelsea</v>
      </c>
      <c r="P385" s="1" t="str">
        <f>IFERROR(VLOOKUP(ROWS($O$2:O385),$N$2:$O$441,2,0),"")</f>
        <v/>
      </c>
      <c r="Q385" s="1" t="str">
        <f>IF(P385&lt;&gt;"",SUMPRODUCT(--(Table2[Team]=P385)),"")</f>
        <v/>
      </c>
      <c r="R385" s="11" t="str">
        <f>IF(Q385&lt;&gt;"",Q385+ROWS($Q$2:Q385)/100,"")</f>
        <v/>
      </c>
      <c r="S385" t="str">
        <f>IF(R385&lt;&gt;"",LARGE($R$2:$R$441,ROWS($R$2:R385)),"")</f>
        <v/>
      </c>
      <c r="T385" s="1" t="str">
        <f>IF(R385&lt;&gt;"",INDEX($P$2:$Q$441,MATCH($S385,$R$2:$R$441,0),COLUMNS($S$2:S385)),"")</f>
        <v/>
      </c>
      <c r="U385" s="1" t="str">
        <f>IF(S385&lt;&gt;"",INDEX($P$2:$Q$441,MATCH($S385,$R$2:$R$441,0),COLUMNS($S$2:T385)),"")</f>
        <v/>
      </c>
      <c r="AE385" s="1">
        <f>Table2[[#This Row],[Year]]</f>
        <v>2019</v>
      </c>
      <c r="AF385" s="1">
        <f>Table2[[#This Row],['#]]</f>
        <v>4</v>
      </c>
      <c r="AG385" s="1" t="str">
        <f>Table2[[#This Row],[Team]]</f>
        <v>Chelsea</v>
      </c>
      <c r="AH385" s="1">
        <f>Table2[[#This Row],[Pl]]</f>
        <v>38</v>
      </c>
      <c r="AI385" s="1">
        <f>Table2[[#This Row],[W]]</f>
        <v>20</v>
      </c>
      <c r="AJ385" s="1">
        <f>Table2[[#This Row],[D]]</f>
        <v>6</v>
      </c>
      <c r="AK385" s="1">
        <f>Table2[[#This Row],[L]]</f>
        <v>12</v>
      </c>
      <c r="AL385" s="1">
        <f>Table2[[#This Row],[F]]</f>
        <v>69</v>
      </c>
      <c r="AM385" s="1">
        <f>Table2[[#This Row],[A]]</f>
        <v>54</v>
      </c>
      <c r="AN385" s="1">
        <f>Table2[[#This Row],[GD]]</f>
        <v>15</v>
      </c>
      <c r="AO385" s="1">
        <f>Table2[[#This Row],[Pts]]</f>
        <v>66</v>
      </c>
      <c r="AP385" s="1">
        <f>Table2[[#This Row],[Column1]]</f>
        <v>4</v>
      </c>
      <c r="AR385" t="b">
        <f t="shared" si="9"/>
        <v>1</v>
      </c>
      <c r="AS385">
        <f>IF(AR385,ROWS($AR$2:AR385),"")</f>
        <v>384</v>
      </c>
      <c r="AT385">
        <f>IFERROR(SMALL($AS$2:$AS$440,ROWS($AS$2:AS385)),"")</f>
        <v>384</v>
      </c>
      <c r="AU385">
        <f>IF(AT385&lt;&gt;"",INDEX($AE$2:$AP$440,MATCH($AT385,$AS$2:$AS$440,0),COLUMNS($AT$2:AT385)),"")</f>
        <v>2019</v>
      </c>
      <c r="AV385">
        <f>IF(AU385&lt;&gt;"",INDEX($AE$2:$AP$440,MATCH($AT385,$AS$2:$AS$440,0),COLUMNS($AT$2:AU385)),"")</f>
        <v>4</v>
      </c>
      <c r="AW385" t="str">
        <f>IF(AV385&lt;&gt;"",INDEX($AE$2:$AP$440,MATCH($AT385,$AS$2:$AS$440,0),COLUMNS($AT$2:AV385)),"")</f>
        <v>Chelsea</v>
      </c>
      <c r="AX385">
        <f>IF(AW385&lt;&gt;"",INDEX($AE$2:$AP$440,MATCH($AT385,$AS$2:$AS$440,0),COLUMNS($AT$2:AW385)),"")</f>
        <v>38</v>
      </c>
      <c r="AY385">
        <f>IF(AX385&lt;&gt;"",INDEX($AE$2:$AP$440,MATCH($AT385,$AS$2:$AS$440,0),COLUMNS($AT$2:AX385)),"")</f>
        <v>20</v>
      </c>
      <c r="AZ385">
        <f>IF(AY385&lt;&gt;"",INDEX($AE$2:$AP$440,MATCH($AT385,$AS$2:$AS$440,0),COLUMNS($AT$2:AY385)),"")</f>
        <v>6</v>
      </c>
      <c r="BA385">
        <f>IF(AZ385&lt;&gt;"",INDEX($AE$2:$AP$440,MATCH($AT385,$AS$2:$AS$440,0),COLUMNS($AT$2:AZ385)),"")</f>
        <v>12</v>
      </c>
      <c r="BB385">
        <f>IF(BA385&lt;&gt;"",INDEX($AE$2:$AP$440,MATCH($AT385,$AS$2:$AS$440,0),COLUMNS($AT$2:BA385)),"")</f>
        <v>69</v>
      </c>
      <c r="BC385">
        <f>IF(BB385&lt;&gt;"",INDEX($AE$2:$AP$440,MATCH($AT385,$AS$2:$AS$440,0),COLUMNS($AT$2:BB385)),"")</f>
        <v>54</v>
      </c>
      <c r="BD385">
        <f>IF(BC385&lt;&gt;"",INDEX($AE$2:$AP$440,MATCH($AT385,$AS$2:$AS$440,0),COLUMNS($AT$2:BC385)),"")</f>
        <v>15</v>
      </c>
      <c r="BE385">
        <f>IF(BD385&lt;&gt;"",INDEX($AE$2:$AP$440,MATCH($AT385,$AS$2:$AS$440,0),COLUMNS($AT$2:BD385)),"")</f>
        <v>66</v>
      </c>
      <c r="BF385">
        <f>IF(BE385&lt;&gt;"",INDEX($AE$2:$AP$440,MATCH($AT385,$AS$2:$AS$440,0),COLUMNS($AT$2:BE385)),"")</f>
        <v>4</v>
      </c>
    </row>
    <row r="386" spans="1:58" x14ac:dyDescent="0.25">
      <c r="A386" s="3">
        <v>2019</v>
      </c>
      <c r="B386" s="3">
        <v>5</v>
      </c>
      <c r="C386" s="4" t="s">
        <v>23</v>
      </c>
      <c r="D386" s="3">
        <v>38</v>
      </c>
      <c r="E386" s="3">
        <v>18</v>
      </c>
      <c r="F386" s="3">
        <v>8</v>
      </c>
      <c r="G386" s="3">
        <v>12</v>
      </c>
      <c r="H386" s="3">
        <v>67</v>
      </c>
      <c r="I386" s="3">
        <v>41</v>
      </c>
      <c r="J386" s="3">
        <v>26</v>
      </c>
      <c r="K386" s="3">
        <v>62</v>
      </c>
      <c r="L386" s="5">
        <f>IF(Table2[[#This Row],['#]]=1,"Champion", IF(Table2[[#This Row],['#]]&gt;=18,"Relegated",Table2[[#This Row],['#]]))</f>
        <v>5</v>
      </c>
      <c r="N386">
        <f>IF(COUNTIF($O$2:O386,O386)=1,N385+1,N385)</f>
        <v>43</v>
      </c>
      <c r="O386" s="4" t="str">
        <f>Table2[[#This Row],[Team]]</f>
        <v>Leicester City</v>
      </c>
      <c r="P386" s="1" t="str">
        <f>IFERROR(VLOOKUP(ROWS($O$2:O386),$N$2:$O$441,2,0),"")</f>
        <v/>
      </c>
      <c r="Q386" s="1" t="str">
        <f>IF(P386&lt;&gt;"",SUMPRODUCT(--(Table2[Team]=P386)),"")</f>
        <v/>
      </c>
      <c r="R386" s="11" t="str">
        <f>IF(Q386&lt;&gt;"",Q386+ROWS($Q$2:Q386)/100,"")</f>
        <v/>
      </c>
      <c r="S386" t="str">
        <f>IF(R386&lt;&gt;"",LARGE($R$2:$R$441,ROWS($R$2:R386)),"")</f>
        <v/>
      </c>
      <c r="T386" s="1" t="str">
        <f>IF(R386&lt;&gt;"",INDEX($P$2:$Q$441,MATCH($S386,$R$2:$R$441,0),COLUMNS($S$2:S386)),"")</f>
        <v/>
      </c>
      <c r="U386" s="1" t="str">
        <f>IF(S386&lt;&gt;"",INDEX($P$2:$Q$441,MATCH($S386,$R$2:$R$441,0),COLUMNS($S$2:T386)),"")</f>
        <v/>
      </c>
      <c r="AE386" s="1">
        <f>Table2[[#This Row],[Year]]</f>
        <v>2019</v>
      </c>
      <c r="AF386" s="1">
        <f>Table2[[#This Row],['#]]</f>
        <v>5</v>
      </c>
      <c r="AG386" s="1" t="str">
        <f>Table2[[#This Row],[Team]]</f>
        <v>Leicester City</v>
      </c>
      <c r="AH386" s="1">
        <f>Table2[[#This Row],[Pl]]</f>
        <v>38</v>
      </c>
      <c r="AI386" s="1">
        <f>Table2[[#This Row],[W]]</f>
        <v>18</v>
      </c>
      <c r="AJ386" s="1">
        <f>Table2[[#This Row],[D]]</f>
        <v>8</v>
      </c>
      <c r="AK386" s="1">
        <f>Table2[[#This Row],[L]]</f>
        <v>12</v>
      </c>
      <c r="AL386" s="1">
        <f>Table2[[#This Row],[F]]</f>
        <v>67</v>
      </c>
      <c r="AM386" s="1">
        <f>Table2[[#This Row],[A]]</f>
        <v>41</v>
      </c>
      <c r="AN386" s="1">
        <f>Table2[[#This Row],[GD]]</f>
        <v>26</v>
      </c>
      <c r="AO386" s="1">
        <f>Table2[[#This Row],[Pts]]</f>
        <v>62</v>
      </c>
      <c r="AP386" s="1">
        <f>Table2[[#This Row],[Column1]]</f>
        <v>5</v>
      </c>
      <c r="AR386" t="b">
        <f t="shared" si="9"/>
        <v>1</v>
      </c>
      <c r="AS386">
        <f>IF(AR386,ROWS($AR$2:AR386),"")</f>
        <v>385</v>
      </c>
      <c r="AT386">
        <f>IFERROR(SMALL($AS$2:$AS$440,ROWS($AS$2:AS386)),"")</f>
        <v>385</v>
      </c>
      <c r="AU386">
        <f>IF(AT386&lt;&gt;"",INDEX($AE$2:$AP$440,MATCH($AT386,$AS$2:$AS$440,0),COLUMNS($AT$2:AT386)),"")</f>
        <v>2019</v>
      </c>
      <c r="AV386">
        <f>IF(AU386&lt;&gt;"",INDEX($AE$2:$AP$440,MATCH($AT386,$AS$2:$AS$440,0),COLUMNS($AT$2:AU386)),"")</f>
        <v>5</v>
      </c>
      <c r="AW386" t="str">
        <f>IF(AV386&lt;&gt;"",INDEX($AE$2:$AP$440,MATCH($AT386,$AS$2:$AS$440,0),COLUMNS($AT$2:AV386)),"")</f>
        <v>Leicester City</v>
      </c>
      <c r="AX386">
        <f>IF(AW386&lt;&gt;"",INDEX($AE$2:$AP$440,MATCH($AT386,$AS$2:$AS$440,0),COLUMNS($AT$2:AW386)),"")</f>
        <v>38</v>
      </c>
      <c r="AY386">
        <f>IF(AX386&lt;&gt;"",INDEX($AE$2:$AP$440,MATCH($AT386,$AS$2:$AS$440,0),COLUMNS($AT$2:AX386)),"")</f>
        <v>18</v>
      </c>
      <c r="AZ386">
        <f>IF(AY386&lt;&gt;"",INDEX($AE$2:$AP$440,MATCH($AT386,$AS$2:$AS$440,0),COLUMNS($AT$2:AY386)),"")</f>
        <v>8</v>
      </c>
      <c r="BA386">
        <f>IF(AZ386&lt;&gt;"",INDEX($AE$2:$AP$440,MATCH($AT386,$AS$2:$AS$440,0),COLUMNS($AT$2:AZ386)),"")</f>
        <v>12</v>
      </c>
      <c r="BB386">
        <f>IF(BA386&lt;&gt;"",INDEX($AE$2:$AP$440,MATCH($AT386,$AS$2:$AS$440,0),COLUMNS($AT$2:BA386)),"")</f>
        <v>67</v>
      </c>
      <c r="BC386">
        <f>IF(BB386&lt;&gt;"",INDEX($AE$2:$AP$440,MATCH($AT386,$AS$2:$AS$440,0),COLUMNS($AT$2:BB386)),"")</f>
        <v>41</v>
      </c>
      <c r="BD386">
        <f>IF(BC386&lt;&gt;"",INDEX($AE$2:$AP$440,MATCH($AT386,$AS$2:$AS$440,0),COLUMNS($AT$2:BC386)),"")</f>
        <v>26</v>
      </c>
      <c r="BE386">
        <f>IF(BD386&lt;&gt;"",INDEX($AE$2:$AP$440,MATCH($AT386,$AS$2:$AS$440,0),COLUMNS($AT$2:BD386)),"")</f>
        <v>62</v>
      </c>
      <c r="BF386">
        <f>IF(BE386&lt;&gt;"",INDEX($AE$2:$AP$440,MATCH($AT386,$AS$2:$AS$440,0),COLUMNS($AT$2:BE386)),"")</f>
        <v>5</v>
      </c>
    </row>
    <row r="387" spans="1:58" x14ac:dyDescent="0.25">
      <c r="A387" s="5">
        <v>2019</v>
      </c>
      <c r="B387" s="5">
        <v>6</v>
      </c>
      <c r="C387" s="6" t="s">
        <v>22</v>
      </c>
      <c r="D387" s="5">
        <v>38</v>
      </c>
      <c r="E387" s="5">
        <v>16</v>
      </c>
      <c r="F387" s="5">
        <v>11</v>
      </c>
      <c r="G387" s="5">
        <v>11</v>
      </c>
      <c r="H387" s="5">
        <v>61</v>
      </c>
      <c r="I387" s="5">
        <v>47</v>
      </c>
      <c r="J387" s="5">
        <v>14</v>
      </c>
      <c r="K387" s="5">
        <v>59</v>
      </c>
      <c r="L387" s="5">
        <f>IF(Table2[[#This Row],['#]]=1,"Champion", IF(Table2[[#This Row],['#]]&gt;=18,"Relegated",Table2[[#This Row],['#]]))</f>
        <v>6</v>
      </c>
      <c r="N387">
        <f>IF(COUNTIF($O$2:O387,O387)=1,N386+1,N386)</f>
        <v>43</v>
      </c>
      <c r="O387" s="4" t="str">
        <f>Table2[[#This Row],[Team]]</f>
        <v>Tottenham Hotspur</v>
      </c>
      <c r="P387" s="1" t="str">
        <f>IFERROR(VLOOKUP(ROWS($O$2:O387),$N$2:$O$441,2,0),"")</f>
        <v/>
      </c>
      <c r="Q387" s="1" t="str">
        <f>IF(P387&lt;&gt;"",SUMPRODUCT(--(Table2[Team]=P387)),"")</f>
        <v/>
      </c>
      <c r="R387" s="11" t="str">
        <f>IF(Q387&lt;&gt;"",Q387+ROWS($Q$2:Q387)/100,"")</f>
        <v/>
      </c>
      <c r="S387" t="str">
        <f>IF(R387&lt;&gt;"",LARGE($R$2:$R$441,ROWS($R$2:R387)),"")</f>
        <v/>
      </c>
      <c r="T387" s="1" t="str">
        <f>IF(R387&lt;&gt;"",INDEX($P$2:$Q$441,MATCH($S387,$R$2:$R$441,0),COLUMNS($S$2:S387)),"")</f>
        <v/>
      </c>
      <c r="U387" s="1" t="str">
        <f>IF(S387&lt;&gt;"",INDEX($P$2:$Q$441,MATCH($S387,$R$2:$R$441,0),COLUMNS($S$2:T387)),"")</f>
        <v/>
      </c>
      <c r="AE387" s="1">
        <f>Table2[[#This Row],[Year]]</f>
        <v>2019</v>
      </c>
      <c r="AF387" s="1">
        <f>Table2[[#This Row],['#]]</f>
        <v>6</v>
      </c>
      <c r="AG387" s="1" t="str">
        <f>Table2[[#This Row],[Team]]</f>
        <v>Tottenham Hotspur</v>
      </c>
      <c r="AH387" s="1">
        <f>Table2[[#This Row],[Pl]]</f>
        <v>38</v>
      </c>
      <c r="AI387" s="1">
        <f>Table2[[#This Row],[W]]</f>
        <v>16</v>
      </c>
      <c r="AJ387" s="1">
        <f>Table2[[#This Row],[D]]</f>
        <v>11</v>
      </c>
      <c r="AK387" s="1">
        <f>Table2[[#This Row],[L]]</f>
        <v>11</v>
      </c>
      <c r="AL387" s="1">
        <f>Table2[[#This Row],[F]]</f>
        <v>61</v>
      </c>
      <c r="AM387" s="1">
        <f>Table2[[#This Row],[A]]</f>
        <v>47</v>
      </c>
      <c r="AN387" s="1">
        <f>Table2[[#This Row],[GD]]</f>
        <v>14</v>
      </c>
      <c r="AO387" s="1">
        <f>Table2[[#This Row],[Pts]]</f>
        <v>59</v>
      </c>
      <c r="AP387" s="1">
        <f>Table2[[#This Row],[Column1]]</f>
        <v>6</v>
      </c>
      <c r="AR387" t="b">
        <f t="shared" ref="AR387:AR440" si="10">IF($X$1="",TRUE,ISNUMBER(SEARCH($X$1,AG387)))</f>
        <v>1</v>
      </c>
      <c r="AS387">
        <f>IF(AR387,ROWS($AR$2:AR387),"")</f>
        <v>386</v>
      </c>
      <c r="AT387">
        <f>IFERROR(SMALL($AS$2:$AS$440,ROWS($AS$2:AS387)),"")</f>
        <v>386</v>
      </c>
      <c r="AU387">
        <f>IF(AT387&lt;&gt;"",INDEX($AE$2:$AP$440,MATCH($AT387,$AS$2:$AS$440,0),COLUMNS($AT$2:AT387)),"")</f>
        <v>2019</v>
      </c>
      <c r="AV387">
        <f>IF(AU387&lt;&gt;"",INDEX($AE$2:$AP$440,MATCH($AT387,$AS$2:$AS$440,0),COLUMNS($AT$2:AU387)),"")</f>
        <v>6</v>
      </c>
      <c r="AW387" t="str">
        <f>IF(AV387&lt;&gt;"",INDEX($AE$2:$AP$440,MATCH($AT387,$AS$2:$AS$440,0),COLUMNS($AT$2:AV387)),"")</f>
        <v>Tottenham Hotspur</v>
      </c>
      <c r="AX387">
        <f>IF(AW387&lt;&gt;"",INDEX($AE$2:$AP$440,MATCH($AT387,$AS$2:$AS$440,0),COLUMNS($AT$2:AW387)),"")</f>
        <v>38</v>
      </c>
      <c r="AY387">
        <f>IF(AX387&lt;&gt;"",INDEX($AE$2:$AP$440,MATCH($AT387,$AS$2:$AS$440,0),COLUMNS($AT$2:AX387)),"")</f>
        <v>16</v>
      </c>
      <c r="AZ387">
        <f>IF(AY387&lt;&gt;"",INDEX($AE$2:$AP$440,MATCH($AT387,$AS$2:$AS$440,0),COLUMNS($AT$2:AY387)),"")</f>
        <v>11</v>
      </c>
      <c r="BA387">
        <f>IF(AZ387&lt;&gt;"",INDEX($AE$2:$AP$440,MATCH($AT387,$AS$2:$AS$440,0),COLUMNS($AT$2:AZ387)),"")</f>
        <v>11</v>
      </c>
      <c r="BB387">
        <f>IF(BA387&lt;&gt;"",INDEX($AE$2:$AP$440,MATCH($AT387,$AS$2:$AS$440,0),COLUMNS($AT$2:BA387)),"")</f>
        <v>61</v>
      </c>
      <c r="BC387">
        <f>IF(BB387&lt;&gt;"",INDEX($AE$2:$AP$440,MATCH($AT387,$AS$2:$AS$440,0),COLUMNS($AT$2:BB387)),"")</f>
        <v>47</v>
      </c>
      <c r="BD387">
        <f>IF(BC387&lt;&gt;"",INDEX($AE$2:$AP$440,MATCH($AT387,$AS$2:$AS$440,0),COLUMNS($AT$2:BC387)),"")</f>
        <v>14</v>
      </c>
      <c r="BE387">
        <f>IF(BD387&lt;&gt;"",INDEX($AE$2:$AP$440,MATCH($AT387,$AS$2:$AS$440,0),COLUMNS($AT$2:BD387)),"")</f>
        <v>59</v>
      </c>
      <c r="BF387">
        <f>IF(BE387&lt;&gt;"",INDEX($AE$2:$AP$440,MATCH($AT387,$AS$2:$AS$440,0),COLUMNS($AT$2:BE387)),"")</f>
        <v>6</v>
      </c>
    </row>
    <row r="388" spans="1:58" x14ac:dyDescent="0.25">
      <c r="A388" s="3">
        <v>2019</v>
      </c>
      <c r="B388" s="3">
        <v>7</v>
      </c>
      <c r="C388" s="4" t="s">
        <v>37</v>
      </c>
      <c r="D388" s="3">
        <v>38</v>
      </c>
      <c r="E388" s="3">
        <v>15</v>
      </c>
      <c r="F388" s="3">
        <v>14</v>
      </c>
      <c r="G388" s="3">
        <v>9</v>
      </c>
      <c r="H388" s="3">
        <v>51</v>
      </c>
      <c r="I388" s="3">
        <v>40</v>
      </c>
      <c r="J388" s="3">
        <v>11</v>
      </c>
      <c r="K388" s="3">
        <v>59</v>
      </c>
      <c r="L388" s="5">
        <f>IF(Table2[[#This Row],['#]]=1,"Champion", IF(Table2[[#This Row],['#]]&gt;=18,"Relegated",Table2[[#This Row],['#]]))</f>
        <v>7</v>
      </c>
      <c r="N388">
        <f>IF(COUNTIF($O$2:O388,O388)=1,N387+1,N387)</f>
        <v>43</v>
      </c>
      <c r="O388" s="4" t="str">
        <f>Table2[[#This Row],[Team]]</f>
        <v>Wolverhampton Wanderers</v>
      </c>
      <c r="P388" s="1" t="str">
        <f>IFERROR(VLOOKUP(ROWS($O$2:O388),$N$2:$O$441,2,0),"")</f>
        <v/>
      </c>
      <c r="Q388" s="1" t="str">
        <f>IF(P388&lt;&gt;"",SUMPRODUCT(--(Table2[Team]=P388)),"")</f>
        <v/>
      </c>
      <c r="R388" s="11" t="str">
        <f>IF(Q388&lt;&gt;"",Q388+ROWS($Q$2:Q388)/100,"")</f>
        <v/>
      </c>
      <c r="S388" t="str">
        <f>IF(R388&lt;&gt;"",LARGE($R$2:$R$441,ROWS($R$2:R388)),"")</f>
        <v/>
      </c>
      <c r="T388" s="1" t="str">
        <f>IF(R388&lt;&gt;"",INDEX($P$2:$Q$441,MATCH($S388,$R$2:$R$441,0),COLUMNS($S$2:S388)),"")</f>
        <v/>
      </c>
      <c r="U388" s="1" t="str">
        <f>IF(S388&lt;&gt;"",INDEX($P$2:$Q$441,MATCH($S388,$R$2:$R$441,0),COLUMNS($S$2:T388)),"")</f>
        <v/>
      </c>
      <c r="AE388" s="1">
        <f>Table2[[#This Row],[Year]]</f>
        <v>2019</v>
      </c>
      <c r="AF388" s="1">
        <f>Table2[[#This Row],['#]]</f>
        <v>7</v>
      </c>
      <c r="AG388" s="1" t="str">
        <f>Table2[[#This Row],[Team]]</f>
        <v>Wolverhampton Wanderers</v>
      </c>
      <c r="AH388" s="1">
        <f>Table2[[#This Row],[Pl]]</f>
        <v>38</v>
      </c>
      <c r="AI388" s="1">
        <f>Table2[[#This Row],[W]]</f>
        <v>15</v>
      </c>
      <c r="AJ388" s="1">
        <f>Table2[[#This Row],[D]]</f>
        <v>14</v>
      </c>
      <c r="AK388" s="1">
        <f>Table2[[#This Row],[L]]</f>
        <v>9</v>
      </c>
      <c r="AL388" s="1">
        <f>Table2[[#This Row],[F]]</f>
        <v>51</v>
      </c>
      <c r="AM388" s="1">
        <f>Table2[[#This Row],[A]]</f>
        <v>40</v>
      </c>
      <c r="AN388" s="1">
        <f>Table2[[#This Row],[GD]]</f>
        <v>11</v>
      </c>
      <c r="AO388" s="1">
        <f>Table2[[#This Row],[Pts]]</f>
        <v>59</v>
      </c>
      <c r="AP388" s="1">
        <f>Table2[[#This Row],[Column1]]</f>
        <v>7</v>
      </c>
      <c r="AR388" t="b">
        <f t="shared" si="10"/>
        <v>1</v>
      </c>
      <c r="AS388">
        <f>IF(AR388,ROWS($AR$2:AR388),"")</f>
        <v>387</v>
      </c>
      <c r="AT388">
        <f>IFERROR(SMALL($AS$2:$AS$440,ROWS($AS$2:AS388)),"")</f>
        <v>387</v>
      </c>
      <c r="AU388">
        <f>IF(AT388&lt;&gt;"",INDEX($AE$2:$AP$440,MATCH($AT388,$AS$2:$AS$440,0),COLUMNS($AT$2:AT388)),"")</f>
        <v>2019</v>
      </c>
      <c r="AV388">
        <f>IF(AU388&lt;&gt;"",INDEX($AE$2:$AP$440,MATCH($AT388,$AS$2:$AS$440,0),COLUMNS($AT$2:AU388)),"")</f>
        <v>7</v>
      </c>
      <c r="AW388" t="str">
        <f>IF(AV388&lt;&gt;"",INDEX($AE$2:$AP$440,MATCH($AT388,$AS$2:$AS$440,0),COLUMNS($AT$2:AV388)),"")</f>
        <v>Wolverhampton Wanderers</v>
      </c>
      <c r="AX388">
        <f>IF(AW388&lt;&gt;"",INDEX($AE$2:$AP$440,MATCH($AT388,$AS$2:$AS$440,0),COLUMNS($AT$2:AW388)),"")</f>
        <v>38</v>
      </c>
      <c r="AY388">
        <f>IF(AX388&lt;&gt;"",INDEX($AE$2:$AP$440,MATCH($AT388,$AS$2:$AS$440,0),COLUMNS($AT$2:AX388)),"")</f>
        <v>15</v>
      </c>
      <c r="AZ388">
        <f>IF(AY388&lt;&gt;"",INDEX($AE$2:$AP$440,MATCH($AT388,$AS$2:$AS$440,0),COLUMNS($AT$2:AY388)),"")</f>
        <v>14</v>
      </c>
      <c r="BA388">
        <f>IF(AZ388&lt;&gt;"",INDEX($AE$2:$AP$440,MATCH($AT388,$AS$2:$AS$440,0),COLUMNS($AT$2:AZ388)),"")</f>
        <v>9</v>
      </c>
      <c r="BB388">
        <f>IF(BA388&lt;&gt;"",INDEX($AE$2:$AP$440,MATCH($AT388,$AS$2:$AS$440,0),COLUMNS($AT$2:BA388)),"")</f>
        <v>51</v>
      </c>
      <c r="BC388">
        <f>IF(BB388&lt;&gt;"",INDEX($AE$2:$AP$440,MATCH($AT388,$AS$2:$AS$440,0),COLUMNS($AT$2:BB388)),"")</f>
        <v>40</v>
      </c>
      <c r="BD388">
        <f>IF(BC388&lt;&gt;"",INDEX($AE$2:$AP$440,MATCH($AT388,$AS$2:$AS$440,0),COLUMNS($AT$2:BC388)),"")</f>
        <v>11</v>
      </c>
      <c r="BE388">
        <f>IF(BD388&lt;&gt;"",INDEX($AE$2:$AP$440,MATCH($AT388,$AS$2:$AS$440,0),COLUMNS($AT$2:BD388)),"")</f>
        <v>59</v>
      </c>
      <c r="BF388">
        <f>IF(BE388&lt;&gt;"",INDEX($AE$2:$AP$440,MATCH($AT388,$AS$2:$AS$440,0),COLUMNS($AT$2:BE388)),"")</f>
        <v>7</v>
      </c>
    </row>
    <row r="389" spans="1:58" x14ac:dyDescent="0.25">
      <c r="A389" s="5">
        <v>2019</v>
      </c>
      <c r="B389" s="5">
        <v>8</v>
      </c>
      <c r="C389" s="6" t="s">
        <v>12</v>
      </c>
      <c r="D389" s="5">
        <v>38</v>
      </c>
      <c r="E389" s="5">
        <v>14</v>
      </c>
      <c r="F389" s="5">
        <v>14</v>
      </c>
      <c r="G389" s="5">
        <v>10</v>
      </c>
      <c r="H389" s="5">
        <v>56</v>
      </c>
      <c r="I389" s="5">
        <v>48</v>
      </c>
      <c r="J389" s="5">
        <v>8</v>
      </c>
      <c r="K389" s="5">
        <v>56</v>
      </c>
      <c r="L389" s="5">
        <f>IF(Table2[[#This Row],['#]]=1,"Champion", IF(Table2[[#This Row],['#]]&gt;=18,"Relegated",Table2[[#This Row],['#]]))</f>
        <v>8</v>
      </c>
      <c r="N389">
        <f>IF(COUNTIF($O$2:O389,O389)=1,N388+1,N388)</f>
        <v>43</v>
      </c>
      <c r="O389" s="4" t="str">
        <f>Table2[[#This Row],[Team]]</f>
        <v>Arsenal</v>
      </c>
      <c r="P389" s="1" t="str">
        <f>IFERROR(VLOOKUP(ROWS($O$2:O389),$N$2:$O$441,2,0),"")</f>
        <v/>
      </c>
      <c r="Q389" s="1" t="str">
        <f>IF(P389&lt;&gt;"",SUMPRODUCT(--(Table2[Team]=P389)),"")</f>
        <v/>
      </c>
      <c r="R389" s="11" t="str">
        <f>IF(Q389&lt;&gt;"",Q389+ROWS($Q$2:Q389)/100,"")</f>
        <v/>
      </c>
      <c r="S389" t="str">
        <f>IF(R389&lt;&gt;"",LARGE($R$2:$R$441,ROWS($R$2:R389)),"")</f>
        <v/>
      </c>
      <c r="T389" s="1" t="str">
        <f>IF(R389&lt;&gt;"",INDEX($P$2:$Q$441,MATCH($S389,$R$2:$R$441,0),COLUMNS($S$2:S389)),"")</f>
        <v/>
      </c>
      <c r="U389" s="1" t="str">
        <f>IF(S389&lt;&gt;"",INDEX($P$2:$Q$441,MATCH($S389,$R$2:$R$441,0),COLUMNS($S$2:T389)),"")</f>
        <v/>
      </c>
      <c r="AE389" s="1">
        <f>Table2[[#This Row],[Year]]</f>
        <v>2019</v>
      </c>
      <c r="AF389" s="1">
        <f>Table2[[#This Row],['#]]</f>
        <v>8</v>
      </c>
      <c r="AG389" s="1" t="str">
        <f>Table2[[#This Row],[Team]]</f>
        <v>Arsenal</v>
      </c>
      <c r="AH389" s="1">
        <f>Table2[[#This Row],[Pl]]</f>
        <v>38</v>
      </c>
      <c r="AI389" s="1">
        <f>Table2[[#This Row],[W]]</f>
        <v>14</v>
      </c>
      <c r="AJ389" s="1">
        <f>Table2[[#This Row],[D]]</f>
        <v>14</v>
      </c>
      <c r="AK389" s="1">
        <f>Table2[[#This Row],[L]]</f>
        <v>10</v>
      </c>
      <c r="AL389" s="1">
        <f>Table2[[#This Row],[F]]</f>
        <v>56</v>
      </c>
      <c r="AM389" s="1">
        <f>Table2[[#This Row],[A]]</f>
        <v>48</v>
      </c>
      <c r="AN389" s="1">
        <f>Table2[[#This Row],[GD]]</f>
        <v>8</v>
      </c>
      <c r="AO389" s="1">
        <f>Table2[[#This Row],[Pts]]</f>
        <v>56</v>
      </c>
      <c r="AP389" s="1">
        <f>Table2[[#This Row],[Column1]]</f>
        <v>8</v>
      </c>
      <c r="AR389" t="b">
        <f t="shared" si="10"/>
        <v>1</v>
      </c>
      <c r="AS389">
        <f>IF(AR389,ROWS($AR$2:AR389),"")</f>
        <v>388</v>
      </c>
      <c r="AT389">
        <f>IFERROR(SMALL($AS$2:$AS$440,ROWS($AS$2:AS389)),"")</f>
        <v>388</v>
      </c>
      <c r="AU389">
        <f>IF(AT389&lt;&gt;"",INDEX($AE$2:$AP$440,MATCH($AT389,$AS$2:$AS$440,0),COLUMNS($AT$2:AT389)),"")</f>
        <v>2019</v>
      </c>
      <c r="AV389">
        <f>IF(AU389&lt;&gt;"",INDEX($AE$2:$AP$440,MATCH($AT389,$AS$2:$AS$440,0),COLUMNS($AT$2:AU389)),"")</f>
        <v>8</v>
      </c>
      <c r="AW389" t="str">
        <f>IF(AV389&lt;&gt;"",INDEX($AE$2:$AP$440,MATCH($AT389,$AS$2:$AS$440,0),COLUMNS($AT$2:AV389)),"")</f>
        <v>Arsenal</v>
      </c>
      <c r="AX389">
        <f>IF(AW389&lt;&gt;"",INDEX($AE$2:$AP$440,MATCH($AT389,$AS$2:$AS$440,0),COLUMNS($AT$2:AW389)),"")</f>
        <v>38</v>
      </c>
      <c r="AY389">
        <f>IF(AX389&lt;&gt;"",INDEX($AE$2:$AP$440,MATCH($AT389,$AS$2:$AS$440,0),COLUMNS($AT$2:AX389)),"")</f>
        <v>14</v>
      </c>
      <c r="AZ389">
        <f>IF(AY389&lt;&gt;"",INDEX($AE$2:$AP$440,MATCH($AT389,$AS$2:$AS$440,0),COLUMNS($AT$2:AY389)),"")</f>
        <v>14</v>
      </c>
      <c r="BA389">
        <f>IF(AZ389&lt;&gt;"",INDEX($AE$2:$AP$440,MATCH($AT389,$AS$2:$AS$440,0),COLUMNS($AT$2:AZ389)),"")</f>
        <v>10</v>
      </c>
      <c r="BB389">
        <f>IF(BA389&lt;&gt;"",INDEX($AE$2:$AP$440,MATCH($AT389,$AS$2:$AS$440,0),COLUMNS($AT$2:BA389)),"")</f>
        <v>56</v>
      </c>
      <c r="BC389">
        <f>IF(BB389&lt;&gt;"",INDEX($AE$2:$AP$440,MATCH($AT389,$AS$2:$AS$440,0),COLUMNS($AT$2:BB389)),"")</f>
        <v>48</v>
      </c>
      <c r="BD389">
        <f>IF(BC389&lt;&gt;"",INDEX($AE$2:$AP$440,MATCH($AT389,$AS$2:$AS$440,0),COLUMNS($AT$2:BC389)),"")</f>
        <v>8</v>
      </c>
      <c r="BE389">
        <f>IF(BD389&lt;&gt;"",INDEX($AE$2:$AP$440,MATCH($AT389,$AS$2:$AS$440,0),COLUMNS($AT$2:BD389)),"")</f>
        <v>56</v>
      </c>
      <c r="BF389">
        <f>IF(BE389&lt;&gt;"",INDEX($AE$2:$AP$440,MATCH($AT389,$AS$2:$AS$440,0),COLUMNS($AT$2:BE389)),"")</f>
        <v>8</v>
      </c>
    </row>
    <row r="390" spans="1:58" x14ac:dyDescent="0.25">
      <c r="A390" s="3">
        <v>2019</v>
      </c>
      <c r="B390" s="3">
        <v>9</v>
      </c>
      <c r="C390" s="4" t="s">
        <v>42</v>
      </c>
      <c r="D390" s="3">
        <v>38</v>
      </c>
      <c r="E390" s="3">
        <v>14</v>
      </c>
      <c r="F390" s="3">
        <v>12</v>
      </c>
      <c r="G390" s="3">
        <v>12</v>
      </c>
      <c r="H390" s="3">
        <v>39</v>
      </c>
      <c r="I390" s="3">
        <v>39</v>
      </c>
      <c r="J390" s="3">
        <v>0</v>
      </c>
      <c r="K390" s="3">
        <v>54</v>
      </c>
      <c r="L390" s="5">
        <f>IF(Table2[[#This Row],['#]]=1,"Champion", IF(Table2[[#This Row],['#]]&gt;=18,"Relegated",Table2[[#This Row],['#]]))</f>
        <v>9</v>
      </c>
      <c r="N390">
        <f>IF(COUNTIF($O$2:O390,O390)=1,N389+1,N389)</f>
        <v>43</v>
      </c>
      <c r="O390" s="4" t="str">
        <f>Table2[[#This Row],[Team]]</f>
        <v>Sheffield United</v>
      </c>
      <c r="P390" s="1" t="str">
        <f>IFERROR(VLOOKUP(ROWS($O$2:O390),$N$2:$O$441,2,0),"")</f>
        <v/>
      </c>
      <c r="Q390" s="1" t="str">
        <f>IF(P390&lt;&gt;"",SUMPRODUCT(--(Table2[Team]=P390)),"")</f>
        <v/>
      </c>
      <c r="R390" s="11" t="str">
        <f>IF(Q390&lt;&gt;"",Q390+ROWS($Q$2:Q390)/100,"")</f>
        <v/>
      </c>
      <c r="S390" t="str">
        <f>IF(R390&lt;&gt;"",LARGE($R$2:$R$441,ROWS($R$2:R390)),"")</f>
        <v/>
      </c>
      <c r="T390" s="1" t="str">
        <f>IF(R390&lt;&gt;"",INDEX($P$2:$Q$441,MATCH($S390,$R$2:$R$441,0),COLUMNS($S$2:S390)),"")</f>
        <v/>
      </c>
      <c r="U390" s="1" t="str">
        <f>IF(S390&lt;&gt;"",INDEX($P$2:$Q$441,MATCH($S390,$R$2:$R$441,0),COLUMNS($S$2:T390)),"")</f>
        <v/>
      </c>
      <c r="AE390" s="1">
        <f>Table2[[#This Row],[Year]]</f>
        <v>2019</v>
      </c>
      <c r="AF390" s="1">
        <f>Table2[[#This Row],['#]]</f>
        <v>9</v>
      </c>
      <c r="AG390" s="1" t="str">
        <f>Table2[[#This Row],[Team]]</f>
        <v>Sheffield United</v>
      </c>
      <c r="AH390" s="1">
        <f>Table2[[#This Row],[Pl]]</f>
        <v>38</v>
      </c>
      <c r="AI390" s="1">
        <f>Table2[[#This Row],[W]]</f>
        <v>14</v>
      </c>
      <c r="AJ390" s="1">
        <f>Table2[[#This Row],[D]]</f>
        <v>12</v>
      </c>
      <c r="AK390" s="1">
        <f>Table2[[#This Row],[L]]</f>
        <v>12</v>
      </c>
      <c r="AL390" s="1">
        <f>Table2[[#This Row],[F]]</f>
        <v>39</v>
      </c>
      <c r="AM390" s="1">
        <f>Table2[[#This Row],[A]]</f>
        <v>39</v>
      </c>
      <c r="AN390" s="1">
        <f>Table2[[#This Row],[GD]]</f>
        <v>0</v>
      </c>
      <c r="AO390" s="1">
        <f>Table2[[#This Row],[Pts]]</f>
        <v>54</v>
      </c>
      <c r="AP390" s="1">
        <f>Table2[[#This Row],[Column1]]</f>
        <v>9</v>
      </c>
      <c r="AR390" t="b">
        <f t="shared" si="10"/>
        <v>1</v>
      </c>
      <c r="AS390">
        <f>IF(AR390,ROWS($AR$2:AR390),"")</f>
        <v>389</v>
      </c>
      <c r="AT390">
        <f>IFERROR(SMALL($AS$2:$AS$440,ROWS($AS$2:AS390)),"")</f>
        <v>389</v>
      </c>
      <c r="AU390">
        <f>IF(AT390&lt;&gt;"",INDEX($AE$2:$AP$440,MATCH($AT390,$AS$2:$AS$440,0),COLUMNS($AT$2:AT390)),"")</f>
        <v>2019</v>
      </c>
      <c r="AV390">
        <f>IF(AU390&lt;&gt;"",INDEX($AE$2:$AP$440,MATCH($AT390,$AS$2:$AS$440,0),COLUMNS($AT$2:AU390)),"")</f>
        <v>9</v>
      </c>
      <c r="AW390" t="str">
        <f>IF(AV390&lt;&gt;"",INDEX($AE$2:$AP$440,MATCH($AT390,$AS$2:$AS$440,0),COLUMNS($AT$2:AV390)),"")</f>
        <v>Sheffield United</v>
      </c>
      <c r="AX390">
        <f>IF(AW390&lt;&gt;"",INDEX($AE$2:$AP$440,MATCH($AT390,$AS$2:$AS$440,0),COLUMNS($AT$2:AW390)),"")</f>
        <v>38</v>
      </c>
      <c r="AY390">
        <f>IF(AX390&lt;&gt;"",INDEX($AE$2:$AP$440,MATCH($AT390,$AS$2:$AS$440,0),COLUMNS($AT$2:AX390)),"")</f>
        <v>14</v>
      </c>
      <c r="AZ390">
        <f>IF(AY390&lt;&gt;"",INDEX($AE$2:$AP$440,MATCH($AT390,$AS$2:$AS$440,0),COLUMNS($AT$2:AY390)),"")</f>
        <v>12</v>
      </c>
      <c r="BA390">
        <f>IF(AZ390&lt;&gt;"",INDEX($AE$2:$AP$440,MATCH($AT390,$AS$2:$AS$440,0),COLUMNS($AT$2:AZ390)),"")</f>
        <v>12</v>
      </c>
      <c r="BB390">
        <f>IF(BA390&lt;&gt;"",INDEX($AE$2:$AP$440,MATCH($AT390,$AS$2:$AS$440,0),COLUMNS($AT$2:BA390)),"")</f>
        <v>39</v>
      </c>
      <c r="BC390">
        <f>IF(BB390&lt;&gt;"",INDEX($AE$2:$AP$440,MATCH($AT390,$AS$2:$AS$440,0),COLUMNS($AT$2:BB390)),"")</f>
        <v>39</v>
      </c>
      <c r="BD390">
        <f>IF(BC390&lt;&gt;"",INDEX($AE$2:$AP$440,MATCH($AT390,$AS$2:$AS$440,0),COLUMNS($AT$2:BC390)),"")</f>
        <v>0</v>
      </c>
      <c r="BE390">
        <f>IF(BD390&lt;&gt;"",INDEX($AE$2:$AP$440,MATCH($AT390,$AS$2:$AS$440,0),COLUMNS($AT$2:BD390)),"")</f>
        <v>54</v>
      </c>
      <c r="BF390">
        <f>IF(BE390&lt;&gt;"",INDEX($AE$2:$AP$440,MATCH($AT390,$AS$2:$AS$440,0),COLUMNS($AT$2:BE390)),"")</f>
        <v>9</v>
      </c>
    </row>
    <row r="391" spans="1:58" x14ac:dyDescent="0.25">
      <c r="A391" s="5">
        <v>2019</v>
      </c>
      <c r="B391" s="5">
        <v>10</v>
      </c>
      <c r="C391" s="6" t="s">
        <v>46</v>
      </c>
      <c r="D391" s="5">
        <v>38</v>
      </c>
      <c r="E391" s="5">
        <v>15</v>
      </c>
      <c r="F391" s="5">
        <v>9</v>
      </c>
      <c r="G391" s="5">
        <v>14</v>
      </c>
      <c r="H391" s="5">
        <v>43</v>
      </c>
      <c r="I391" s="5">
        <v>50</v>
      </c>
      <c r="J391" s="5">
        <v>-7</v>
      </c>
      <c r="K391" s="5">
        <v>54</v>
      </c>
      <c r="L391" s="5">
        <f>IF(Table2[[#This Row],['#]]=1,"Champion", IF(Table2[[#This Row],['#]]&gt;=18,"Relegated",Table2[[#This Row],['#]]))</f>
        <v>10</v>
      </c>
      <c r="N391">
        <f>IF(COUNTIF($O$2:O391,O391)=1,N390+1,N390)</f>
        <v>43</v>
      </c>
      <c r="O391" s="4" t="str">
        <f>Table2[[#This Row],[Team]]</f>
        <v>Burnley</v>
      </c>
      <c r="P391" s="1" t="str">
        <f>IFERROR(VLOOKUP(ROWS($O$2:O391),$N$2:$O$441,2,0),"")</f>
        <v/>
      </c>
      <c r="Q391" s="1" t="str">
        <f>IF(P391&lt;&gt;"",SUMPRODUCT(--(Table2[Team]=P391)),"")</f>
        <v/>
      </c>
      <c r="R391" s="11" t="str">
        <f>IF(Q391&lt;&gt;"",Q391+ROWS($Q$2:Q391)/100,"")</f>
        <v/>
      </c>
      <c r="S391" t="str">
        <f>IF(R391&lt;&gt;"",LARGE($R$2:$R$441,ROWS($R$2:R391)),"")</f>
        <v/>
      </c>
      <c r="T391" s="1" t="str">
        <f>IF(R391&lt;&gt;"",INDEX($P$2:$Q$441,MATCH($S391,$R$2:$R$441,0),COLUMNS($S$2:S391)),"")</f>
        <v/>
      </c>
      <c r="U391" s="1" t="str">
        <f>IF(S391&lt;&gt;"",INDEX($P$2:$Q$441,MATCH($S391,$R$2:$R$441,0),COLUMNS($S$2:T391)),"")</f>
        <v/>
      </c>
      <c r="AE391" s="1">
        <f>Table2[[#This Row],[Year]]</f>
        <v>2019</v>
      </c>
      <c r="AF391" s="1">
        <f>Table2[[#This Row],['#]]</f>
        <v>10</v>
      </c>
      <c r="AG391" s="1" t="str">
        <f>Table2[[#This Row],[Team]]</f>
        <v>Burnley</v>
      </c>
      <c r="AH391" s="1">
        <f>Table2[[#This Row],[Pl]]</f>
        <v>38</v>
      </c>
      <c r="AI391" s="1">
        <f>Table2[[#This Row],[W]]</f>
        <v>15</v>
      </c>
      <c r="AJ391" s="1">
        <f>Table2[[#This Row],[D]]</f>
        <v>9</v>
      </c>
      <c r="AK391" s="1">
        <f>Table2[[#This Row],[L]]</f>
        <v>14</v>
      </c>
      <c r="AL391" s="1">
        <f>Table2[[#This Row],[F]]</f>
        <v>43</v>
      </c>
      <c r="AM391" s="1">
        <f>Table2[[#This Row],[A]]</f>
        <v>50</v>
      </c>
      <c r="AN391" s="1">
        <f>Table2[[#This Row],[GD]]</f>
        <v>-7</v>
      </c>
      <c r="AO391" s="1">
        <f>Table2[[#This Row],[Pts]]</f>
        <v>54</v>
      </c>
      <c r="AP391" s="1">
        <f>Table2[[#This Row],[Column1]]</f>
        <v>10</v>
      </c>
      <c r="AR391" t="b">
        <f t="shared" si="10"/>
        <v>1</v>
      </c>
      <c r="AS391">
        <f>IF(AR391,ROWS($AR$2:AR391),"")</f>
        <v>390</v>
      </c>
      <c r="AT391">
        <f>IFERROR(SMALL($AS$2:$AS$440,ROWS($AS$2:AS391)),"")</f>
        <v>390</v>
      </c>
      <c r="AU391">
        <f>IF(AT391&lt;&gt;"",INDEX($AE$2:$AP$440,MATCH($AT391,$AS$2:$AS$440,0),COLUMNS($AT$2:AT391)),"")</f>
        <v>2019</v>
      </c>
      <c r="AV391">
        <f>IF(AU391&lt;&gt;"",INDEX($AE$2:$AP$440,MATCH($AT391,$AS$2:$AS$440,0),COLUMNS($AT$2:AU391)),"")</f>
        <v>10</v>
      </c>
      <c r="AW391" t="str">
        <f>IF(AV391&lt;&gt;"",INDEX($AE$2:$AP$440,MATCH($AT391,$AS$2:$AS$440,0),COLUMNS($AT$2:AV391)),"")</f>
        <v>Burnley</v>
      </c>
      <c r="AX391">
        <f>IF(AW391&lt;&gt;"",INDEX($AE$2:$AP$440,MATCH($AT391,$AS$2:$AS$440,0),COLUMNS($AT$2:AW391)),"")</f>
        <v>38</v>
      </c>
      <c r="AY391">
        <f>IF(AX391&lt;&gt;"",INDEX($AE$2:$AP$440,MATCH($AT391,$AS$2:$AS$440,0),COLUMNS($AT$2:AX391)),"")</f>
        <v>15</v>
      </c>
      <c r="AZ391">
        <f>IF(AY391&lt;&gt;"",INDEX($AE$2:$AP$440,MATCH($AT391,$AS$2:$AS$440,0),COLUMNS($AT$2:AY391)),"")</f>
        <v>9</v>
      </c>
      <c r="BA391">
        <f>IF(AZ391&lt;&gt;"",INDEX($AE$2:$AP$440,MATCH($AT391,$AS$2:$AS$440,0),COLUMNS($AT$2:AZ391)),"")</f>
        <v>14</v>
      </c>
      <c r="BB391">
        <f>IF(BA391&lt;&gt;"",INDEX($AE$2:$AP$440,MATCH($AT391,$AS$2:$AS$440,0),COLUMNS($AT$2:BA391)),"")</f>
        <v>43</v>
      </c>
      <c r="BC391">
        <f>IF(BB391&lt;&gt;"",INDEX($AE$2:$AP$440,MATCH($AT391,$AS$2:$AS$440,0),COLUMNS($AT$2:BB391)),"")</f>
        <v>50</v>
      </c>
      <c r="BD391">
        <f>IF(BC391&lt;&gt;"",INDEX($AE$2:$AP$440,MATCH($AT391,$AS$2:$AS$440,0),COLUMNS($AT$2:BC391)),"")</f>
        <v>-7</v>
      </c>
      <c r="BE391">
        <f>IF(BD391&lt;&gt;"",INDEX($AE$2:$AP$440,MATCH($AT391,$AS$2:$AS$440,0),COLUMNS($AT$2:BD391)),"")</f>
        <v>54</v>
      </c>
      <c r="BF391">
        <f>IF(BE391&lt;&gt;"",INDEX($AE$2:$AP$440,MATCH($AT391,$AS$2:$AS$440,0),COLUMNS($AT$2:BE391)),"")</f>
        <v>10</v>
      </c>
    </row>
    <row r="392" spans="1:58" x14ac:dyDescent="0.25">
      <c r="A392" s="3">
        <v>2019</v>
      </c>
      <c r="B392" s="3">
        <v>11</v>
      </c>
      <c r="C392" s="4" t="s">
        <v>20</v>
      </c>
      <c r="D392" s="3">
        <v>38</v>
      </c>
      <c r="E392" s="3">
        <v>15</v>
      </c>
      <c r="F392" s="3">
        <v>7</v>
      </c>
      <c r="G392" s="3">
        <v>16</v>
      </c>
      <c r="H392" s="3">
        <v>51</v>
      </c>
      <c r="I392" s="3">
        <v>60</v>
      </c>
      <c r="J392" s="3">
        <v>-9</v>
      </c>
      <c r="K392" s="3">
        <v>52</v>
      </c>
      <c r="L392" s="5">
        <f>IF(Table2[[#This Row],['#]]=1,"Champion", IF(Table2[[#This Row],['#]]&gt;=18,"Relegated",Table2[[#This Row],['#]]))</f>
        <v>11</v>
      </c>
      <c r="N392">
        <f>IF(COUNTIF($O$2:O392,O392)=1,N391+1,N391)</f>
        <v>43</v>
      </c>
      <c r="O392" s="4" t="str">
        <f>Table2[[#This Row],[Team]]</f>
        <v>Southampton</v>
      </c>
      <c r="P392" s="1" t="str">
        <f>IFERROR(VLOOKUP(ROWS($O$2:O392),$N$2:$O$441,2,0),"")</f>
        <v/>
      </c>
      <c r="Q392" s="1" t="str">
        <f>IF(P392&lt;&gt;"",SUMPRODUCT(--(Table2[Team]=P392)),"")</f>
        <v/>
      </c>
      <c r="R392" s="11" t="str">
        <f>IF(Q392&lt;&gt;"",Q392+ROWS($Q$2:Q392)/100,"")</f>
        <v/>
      </c>
      <c r="S392" t="str">
        <f>IF(R392&lt;&gt;"",LARGE($R$2:$R$441,ROWS($R$2:R392)),"")</f>
        <v/>
      </c>
      <c r="T392" s="1" t="str">
        <f>IF(R392&lt;&gt;"",INDEX($P$2:$Q$441,MATCH($S392,$R$2:$R$441,0),COLUMNS($S$2:S392)),"")</f>
        <v/>
      </c>
      <c r="U392" s="1" t="str">
        <f>IF(S392&lt;&gt;"",INDEX($P$2:$Q$441,MATCH($S392,$R$2:$R$441,0),COLUMNS($S$2:T392)),"")</f>
        <v/>
      </c>
      <c r="AE392" s="1">
        <f>Table2[[#This Row],[Year]]</f>
        <v>2019</v>
      </c>
      <c r="AF392" s="1">
        <f>Table2[[#This Row],['#]]</f>
        <v>11</v>
      </c>
      <c r="AG392" s="1" t="str">
        <f>Table2[[#This Row],[Team]]</f>
        <v>Southampton</v>
      </c>
      <c r="AH392" s="1">
        <f>Table2[[#This Row],[Pl]]</f>
        <v>38</v>
      </c>
      <c r="AI392" s="1">
        <f>Table2[[#This Row],[W]]</f>
        <v>15</v>
      </c>
      <c r="AJ392" s="1">
        <f>Table2[[#This Row],[D]]</f>
        <v>7</v>
      </c>
      <c r="AK392" s="1">
        <f>Table2[[#This Row],[L]]</f>
        <v>16</v>
      </c>
      <c r="AL392" s="1">
        <f>Table2[[#This Row],[F]]</f>
        <v>51</v>
      </c>
      <c r="AM392" s="1">
        <f>Table2[[#This Row],[A]]</f>
        <v>60</v>
      </c>
      <c r="AN392" s="1">
        <f>Table2[[#This Row],[GD]]</f>
        <v>-9</v>
      </c>
      <c r="AO392" s="1">
        <f>Table2[[#This Row],[Pts]]</f>
        <v>52</v>
      </c>
      <c r="AP392" s="1">
        <f>Table2[[#This Row],[Column1]]</f>
        <v>11</v>
      </c>
      <c r="AR392" t="b">
        <f t="shared" si="10"/>
        <v>1</v>
      </c>
      <c r="AS392">
        <f>IF(AR392,ROWS($AR$2:AR392),"")</f>
        <v>391</v>
      </c>
      <c r="AT392">
        <f>IFERROR(SMALL($AS$2:$AS$440,ROWS($AS$2:AS392)),"")</f>
        <v>391</v>
      </c>
      <c r="AU392">
        <f>IF(AT392&lt;&gt;"",INDEX($AE$2:$AP$440,MATCH($AT392,$AS$2:$AS$440,0),COLUMNS($AT$2:AT392)),"")</f>
        <v>2019</v>
      </c>
      <c r="AV392">
        <f>IF(AU392&lt;&gt;"",INDEX($AE$2:$AP$440,MATCH($AT392,$AS$2:$AS$440,0),COLUMNS($AT$2:AU392)),"")</f>
        <v>11</v>
      </c>
      <c r="AW392" t="str">
        <f>IF(AV392&lt;&gt;"",INDEX($AE$2:$AP$440,MATCH($AT392,$AS$2:$AS$440,0),COLUMNS($AT$2:AV392)),"")</f>
        <v>Southampton</v>
      </c>
      <c r="AX392">
        <f>IF(AW392&lt;&gt;"",INDEX($AE$2:$AP$440,MATCH($AT392,$AS$2:$AS$440,0),COLUMNS($AT$2:AW392)),"")</f>
        <v>38</v>
      </c>
      <c r="AY392">
        <f>IF(AX392&lt;&gt;"",INDEX($AE$2:$AP$440,MATCH($AT392,$AS$2:$AS$440,0),COLUMNS($AT$2:AX392)),"")</f>
        <v>15</v>
      </c>
      <c r="AZ392">
        <f>IF(AY392&lt;&gt;"",INDEX($AE$2:$AP$440,MATCH($AT392,$AS$2:$AS$440,0),COLUMNS($AT$2:AY392)),"")</f>
        <v>7</v>
      </c>
      <c r="BA392">
        <f>IF(AZ392&lt;&gt;"",INDEX($AE$2:$AP$440,MATCH($AT392,$AS$2:$AS$440,0),COLUMNS($AT$2:AZ392)),"")</f>
        <v>16</v>
      </c>
      <c r="BB392">
        <f>IF(BA392&lt;&gt;"",INDEX($AE$2:$AP$440,MATCH($AT392,$AS$2:$AS$440,0),COLUMNS($AT$2:BA392)),"")</f>
        <v>51</v>
      </c>
      <c r="BC392">
        <f>IF(BB392&lt;&gt;"",INDEX($AE$2:$AP$440,MATCH($AT392,$AS$2:$AS$440,0),COLUMNS($AT$2:BB392)),"")</f>
        <v>60</v>
      </c>
      <c r="BD392">
        <f>IF(BC392&lt;&gt;"",INDEX($AE$2:$AP$440,MATCH($AT392,$AS$2:$AS$440,0),COLUMNS($AT$2:BC392)),"")</f>
        <v>-9</v>
      </c>
      <c r="BE392">
        <f>IF(BD392&lt;&gt;"",INDEX($AE$2:$AP$440,MATCH($AT392,$AS$2:$AS$440,0),COLUMNS($AT$2:BD392)),"")</f>
        <v>52</v>
      </c>
      <c r="BF392">
        <f>IF(BE392&lt;&gt;"",INDEX($AE$2:$AP$440,MATCH($AT392,$AS$2:$AS$440,0),COLUMNS($AT$2:BE392)),"")</f>
        <v>11</v>
      </c>
    </row>
    <row r="393" spans="1:58" x14ac:dyDescent="0.25">
      <c r="A393" s="5">
        <v>2019</v>
      </c>
      <c r="B393" s="5">
        <v>12</v>
      </c>
      <c r="C393" s="6" t="s">
        <v>26</v>
      </c>
      <c r="D393" s="5">
        <v>38</v>
      </c>
      <c r="E393" s="5">
        <v>13</v>
      </c>
      <c r="F393" s="5">
        <v>10</v>
      </c>
      <c r="G393" s="5">
        <v>15</v>
      </c>
      <c r="H393" s="5">
        <v>44</v>
      </c>
      <c r="I393" s="5">
        <v>56</v>
      </c>
      <c r="J393" s="5">
        <v>-12</v>
      </c>
      <c r="K393" s="5">
        <v>49</v>
      </c>
      <c r="L393" s="5">
        <f>IF(Table2[[#This Row],['#]]=1,"Champion", IF(Table2[[#This Row],['#]]&gt;=18,"Relegated",Table2[[#This Row],['#]]))</f>
        <v>12</v>
      </c>
      <c r="N393">
        <f>IF(COUNTIF($O$2:O393,O393)=1,N392+1,N392)</f>
        <v>43</v>
      </c>
      <c r="O393" s="4" t="str">
        <f>Table2[[#This Row],[Team]]</f>
        <v>Everton</v>
      </c>
      <c r="P393" s="1" t="str">
        <f>IFERROR(VLOOKUP(ROWS($O$2:O393),$N$2:$O$441,2,0),"")</f>
        <v/>
      </c>
      <c r="Q393" s="1" t="str">
        <f>IF(P393&lt;&gt;"",SUMPRODUCT(--(Table2[Team]=P393)),"")</f>
        <v/>
      </c>
      <c r="R393" s="11" t="str">
        <f>IF(Q393&lt;&gt;"",Q393+ROWS($Q$2:Q393)/100,"")</f>
        <v/>
      </c>
      <c r="S393" t="str">
        <f>IF(R393&lt;&gt;"",LARGE($R$2:$R$441,ROWS($R$2:R393)),"")</f>
        <v/>
      </c>
      <c r="T393" s="1" t="str">
        <f>IF(R393&lt;&gt;"",INDEX($P$2:$Q$441,MATCH($S393,$R$2:$R$441,0),COLUMNS($S$2:S393)),"")</f>
        <v/>
      </c>
      <c r="U393" s="1" t="str">
        <f>IF(S393&lt;&gt;"",INDEX($P$2:$Q$441,MATCH($S393,$R$2:$R$441,0),COLUMNS($S$2:T393)),"")</f>
        <v/>
      </c>
      <c r="AE393" s="1">
        <f>Table2[[#This Row],[Year]]</f>
        <v>2019</v>
      </c>
      <c r="AF393" s="1">
        <f>Table2[[#This Row],['#]]</f>
        <v>12</v>
      </c>
      <c r="AG393" s="1" t="str">
        <f>Table2[[#This Row],[Team]]</f>
        <v>Everton</v>
      </c>
      <c r="AH393" s="1">
        <f>Table2[[#This Row],[Pl]]</f>
        <v>38</v>
      </c>
      <c r="AI393" s="1">
        <f>Table2[[#This Row],[W]]</f>
        <v>13</v>
      </c>
      <c r="AJ393" s="1">
        <f>Table2[[#This Row],[D]]</f>
        <v>10</v>
      </c>
      <c r="AK393" s="1">
        <f>Table2[[#This Row],[L]]</f>
        <v>15</v>
      </c>
      <c r="AL393" s="1">
        <f>Table2[[#This Row],[F]]</f>
        <v>44</v>
      </c>
      <c r="AM393" s="1">
        <f>Table2[[#This Row],[A]]</f>
        <v>56</v>
      </c>
      <c r="AN393" s="1">
        <f>Table2[[#This Row],[GD]]</f>
        <v>-12</v>
      </c>
      <c r="AO393" s="1">
        <f>Table2[[#This Row],[Pts]]</f>
        <v>49</v>
      </c>
      <c r="AP393" s="1">
        <f>Table2[[#This Row],[Column1]]</f>
        <v>12</v>
      </c>
      <c r="AR393" t="b">
        <f t="shared" si="10"/>
        <v>1</v>
      </c>
      <c r="AS393">
        <f>IF(AR393,ROWS($AR$2:AR393),"")</f>
        <v>392</v>
      </c>
      <c r="AT393">
        <f>IFERROR(SMALL($AS$2:$AS$440,ROWS($AS$2:AS393)),"")</f>
        <v>392</v>
      </c>
      <c r="AU393">
        <f>IF(AT393&lt;&gt;"",INDEX($AE$2:$AP$440,MATCH($AT393,$AS$2:$AS$440,0),COLUMNS($AT$2:AT393)),"")</f>
        <v>2019</v>
      </c>
      <c r="AV393">
        <f>IF(AU393&lt;&gt;"",INDEX($AE$2:$AP$440,MATCH($AT393,$AS$2:$AS$440,0),COLUMNS($AT$2:AU393)),"")</f>
        <v>12</v>
      </c>
      <c r="AW393" t="str">
        <f>IF(AV393&lt;&gt;"",INDEX($AE$2:$AP$440,MATCH($AT393,$AS$2:$AS$440,0),COLUMNS($AT$2:AV393)),"")</f>
        <v>Everton</v>
      </c>
      <c r="AX393">
        <f>IF(AW393&lt;&gt;"",INDEX($AE$2:$AP$440,MATCH($AT393,$AS$2:$AS$440,0),COLUMNS($AT$2:AW393)),"")</f>
        <v>38</v>
      </c>
      <c r="AY393">
        <f>IF(AX393&lt;&gt;"",INDEX($AE$2:$AP$440,MATCH($AT393,$AS$2:$AS$440,0),COLUMNS($AT$2:AX393)),"")</f>
        <v>13</v>
      </c>
      <c r="AZ393">
        <f>IF(AY393&lt;&gt;"",INDEX($AE$2:$AP$440,MATCH($AT393,$AS$2:$AS$440,0),COLUMNS($AT$2:AY393)),"")</f>
        <v>10</v>
      </c>
      <c r="BA393">
        <f>IF(AZ393&lt;&gt;"",INDEX($AE$2:$AP$440,MATCH($AT393,$AS$2:$AS$440,0),COLUMNS($AT$2:AZ393)),"")</f>
        <v>15</v>
      </c>
      <c r="BB393">
        <f>IF(BA393&lt;&gt;"",INDEX($AE$2:$AP$440,MATCH($AT393,$AS$2:$AS$440,0),COLUMNS($AT$2:BA393)),"")</f>
        <v>44</v>
      </c>
      <c r="BC393">
        <f>IF(BB393&lt;&gt;"",INDEX($AE$2:$AP$440,MATCH($AT393,$AS$2:$AS$440,0),COLUMNS($AT$2:BB393)),"")</f>
        <v>56</v>
      </c>
      <c r="BD393">
        <f>IF(BC393&lt;&gt;"",INDEX($AE$2:$AP$440,MATCH($AT393,$AS$2:$AS$440,0),COLUMNS($AT$2:BC393)),"")</f>
        <v>-12</v>
      </c>
      <c r="BE393">
        <f>IF(BD393&lt;&gt;"",INDEX($AE$2:$AP$440,MATCH($AT393,$AS$2:$AS$440,0),COLUMNS($AT$2:BD393)),"")</f>
        <v>49</v>
      </c>
      <c r="BF393">
        <f>IF(BE393&lt;&gt;"",INDEX($AE$2:$AP$440,MATCH($AT393,$AS$2:$AS$440,0),COLUMNS($AT$2:BE393)),"")</f>
        <v>12</v>
      </c>
    </row>
    <row r="394" spans="1:58" x14ac:dyDescent="0.25">
      <c r="A394" s="3">
        <v>2019</v>
      </c>
      <c r="B394" s="3">
        <v>13</v>
      </c>
      <c r="C394" s="4" t="s">
        <v>21</v>
      </c>
      <c r="D394" s="3">
        <v>38</v>
      </c>
      <c r="E394" s="3">
        <v>11</v>
      </c>
      <c r="F394" s="3">
        <v>11</v>
      </c>
      <c r="G394" s="3">
        <v>16</v>
      </c>
      <c r="H394" s="3">
        <v>38</v>
      </c>
      <c r="I394" s="3">
        <v>58</v>
      </c>
      <c r="J394" s="3">
        <v>-20</v>
      </c>
      <c r="K394" s="3">
        <v>44</v>
      </c>
      <c r="L394" s="5">
        <f>IF(Table2[[#This Row],['#]]=1,"Champion", IF(Table2[[#This Row],['#]]&gt;=18,"Relegated",Table2[[#This Row],['#]]))</f>
        <v>13</v>
      </c>
      <c r="N394">
        <f>IF(COUNTIF($O$2:O394,O394)=1,N393+1,N393)</f>
        <v>43</v>
      </c>
      <c r="O394" s="4" t="str">
        <f>Table2[[#This Row],[Team]]</f>
        <v>Newcastle United</v>
      </c>
      <c r="P394" s="1" t="str">
        <f>IFERROR(VLOOKUP(ROWS($O$2:O394),$N$2:$O$441,2,0),"")</f>
        <v/>
      </c>
      <c r="Q394" s="1" t="str">
        <f>IF(P394&lt;&gt;"",SUMPRODUCT(--(Table2[Team]=P394)),"")</f>
        <v/>
      </c>
      <c r="R394" s="11" t="str">
        <f>IF(Q394&lt;&gt;"",Q394+ROWS($Q$2:Q394)/100,"")</f>
        <v/>
      </c>
      <c r="S394" t="str">
        <f>IF(R394&lt;&gt;"",LARGE($R$2:$R$441,ROWS($R$2:R394)),"")</f>
        <v/>
      </c>
      <c r="T394" s="1" t="str">
        <f>IF(R394&lt;&gt;"",INDEX($P$2:$Q$441,MATCH($S394,$R$2:$R$441,0),COLUMNS($S$2:S394)),"")</f>
        <v/>
      </c>
      <c r="U394" s="1" t="str">
        <f>IF(S394&lt;&gt;"",INDEX($P$2:$Q$441,MATCH($S394,$R$2:$R$441,0),COLUMNS($S$2:T394)),"")</f>
        <v/>
      </c>
      <c r="AE394" s="1">
        <f>Table2[[#This Row],[Year]]</f>
        <v>2019</v>
      </c>
      <c r="AF394" s="1">
        <f>Table2[[#This Row],['#]]</f>
        <v>13</v>
      </c>
      <c r="AG394" s="1" t="str">
        <f>Table2[[#This Row],[Team]]</f>
        <v>Newcastle United</v>
      </c>
      <c r="AH394" s="1">
        <f>Table2[[#This Row],[Pl]]</f>
        <v>38</v>
      </c>
      <c r="AI394" s="1">
        <f>Table2[[#This Row],[W]]</f>
        <v>11</v>
      </c>
      <c r="AJ394" s="1">
        <f>Table2[[#This Row],[D]]</f>
        <v>11</v>
      </c>
      <c r="AK394" s="1">
        <f>Table2[[#This Row],[L]]</f>
        <v>16</v>
      </c>
      <c r="AL394" s="1">
        <f>Table2[[#This Row],[F]]</f>
        <v>38</v>
      </c>
      <c r="AM394" s="1">
        <f>Table2[[#This Row],[A]]</f>
        <v>58</v>
      </c>
      <c r="AN394" s="1">
        <f>Table2[[#This Row],[GD]]</f>
        <v>-20</v>
      </c>
      <c r="AO394" s="1">
        <f>Table2[[#This Row],[Pts]]</f>
        <v>44</v>
      </c>
      <c r="AP394" s="1">
        <f>Table2[[#This Row],[Column1]]</f>
        <v>13</v>
      </c>
      <c r="AR394" t="b">
        <f t="shared" si="10"/>
        <v>1</v>
      </c>
      <c r="AS394">
        <f>IF(AR394,ROWS($AR$2:AR394),"")</f>
        <v>393</v>
      </c>
      <c r="AT394">
        <f>IFERROR(SMALL($AS$2:$AS$440,ROWS($AS$2:AS394)),"")</f>
        <v>393</v>
      </c>
      <c r="AU394">
        <f>IF(AT394&lt;&gt;"",INDEX($AE$2:$AP$440,MATCH($AT394,$AS$2:$AS$440,0),COLUMNS($AT$2:AT394)),"")</f>
        <v>2019</v>
      </c>
      <c r="AV394">
        <f>IF(AU394&lt;&gt;"",INDEX($AE$2:$AP$440,MATCH($AT394,$AS$2:$AS$440,0),COLUMNS($AT$2:AU394)),"")</f>
        <v>13</v>
      </c>
      <c r="AW394" t="str">
        <f>IF(AV394&lt;&gt;"",INDEX($AE$2:$AP$440,MATCH($AT394,$AS$2:$AS$440,0),COLUMNS($AT$2:AV394)),"")</f>
        <v>Newcastle United</v>
      </c>
      <c r="AX394">
        <f>IF(AW394&lt;&gt;"",INDEX($AE$2:$AP$440,MATCH($AT394,$AS$2:$AS$440,0),COLUMNS($AT$2:AW394)),"")</f>
        <v>38</v>
      </c>
      <c r="AY394">
        <f>IF(AX394&lt;&gt;"",INDEX($AE$2:$AP$440,MATCH($AT394,$AS$2:$AS$440,0),COLUMNS($AT$2:AX394)),"")</f>
        <v>11</v>
      </c>
      <c r="AZ394">
        <f>IF(AY394&lt;&gt;"",INDEX($AE$2:$AP$440,MATCH($AT394,$AS$2:$AS$440,0),COLUMNS($AT$2:AY394)),"")</f>
        <v>11</v>
      </c>
      <c r="BA394">
        <f>IF(AZ394&lt;&gt;"",INDEX($AE$2:$AP$440,MATCH($AT394,$AS$2:$AS$440,0),COLUMNS($AT$2:AZ394)),"")</f>
        <v>16</v>
      </c>
      <c r="BB394">
        <f>IF(BA394&lt;&gt;"",INDEX($AE$2:$AP$440,MATCH($AT394,$AS$2:$AS$440,0),COLUMNS($AT$2:BA394)),"")</f>
        <v>38</v>
      </c>
      <c r="BC394">
        <f>IF(BB394&lt;&gt;"",INDEX($AE$2:$AP$440,MATCH($AT394,$AS$2:$AS$440,0),COLUMNS($AT$2:BB394)),"")</f>
        <v>58</v>
      </c>
      <c r="BD394">
        <f>IF(BC394&lt;&gt;"",INDEX($AE$2:$AP$440,MATCH($AT394,$AS$2:$AS$440,0),COLUMNS($AT$2:BC394)),"")</f>
        <v>-20</v>
      </c>
      <c r="BE394">
        <f>IF(BD394&lt;&gt;"",INDEX($AE$2:$AP$440,MATCH($AT394,$AS$2:$AS$440,0),COLUMNS($AT$2:BD394)),"")</f>
        <v>44</v>
      </c>
      <c r="BF394">
        <f>IF(BE394&lt;&gt;"",INDEX($AE$2:$AP$440,MATCH($AT394,$AS$2:$AS$440,0),COLUMNS($AT$2:BE394)),"")</f>
        <v>13</v>
      </c>
    </row>
    <row r="395" spans="1:58" x14ac:dyDescent="0.25">
      <c r="A395" s="5">
        <v>2019</v>
      </c>
      <c r="B395" s="5">
        <v>14</v>
      </c>
      <c r="C395" s="6" t="s">
        <v>38</v>
      </c>
      <c r="D395" s="5">
        <v>38</v>
      </c>
      <c r="E395" s="5">
        <v>11</v>
      </c>
      <c r="F395" s="5">
        <v>10</v>
      </c>
      <c r="G395" s="5">
        <v>17</v>
      </c>
      <c r="H395" s="5">
        <v>31</v>
      </c>
      <c r="I395" s="5">
        <v>50</v>
      </c>
      <c r="J395" s="5">
        <v>-19</v>
      </c>
      <c r="K395" s="5">
        <v>43</v>
      </c>
      <c r="L395" s="5">
        <f>IF(Table2[[#This Row],['#]]=1,"Champion", IF(Table2[[#This Row],['#]]&gt;=18,"Relegated",Table2[[#This Row],['#]]))</f>
        <v>14</v>
      </c>
      <c r="N395">
        <f>IF(COUNTIF($O$2:O395,O395)=1,N394+1,N394)</f>
        <v>43</v>
      </c>
      <c r="O395" s="4" t="str">
        <f>Table2[[#This Row],[Team]]</f>
        <v>Crystal Palace</v>
      </c>
      <c r="P395" s="1" t="str">
        <f>IFERROR(VLOOKUP(ROWS($O$2:O395),$N$2:$O$441,2,0),"")</f>
        <v/>
      </c>
      <c r="Q395" s="1" t="str">
        <f>IF(P395&lt;&gt;"",SUMPRODUCT(--(Table2[Team]=P395)),"")</f>
        <v/>
      </c>
      <c r="R395" s="11" t="str">
        <f>IF(Q395&lt;&gt;"",Q395+ROWS($Q$2:Q395)/100,"")</f>
        <v/>
      </c>
      <c r="S395" t="str">
        <f>IF(R395&lt;&gt;"",LARGE($R$2:$R$441,ROWS($R$2:R395)),"")</f>
        <v/>
      </c>
      <c r="T395" s="1" t="str">
        <f>IF(R395&lt;&gt;"",INDEX($P$2:$Q$441,MATCH($S395,$R$2:$R$441,0),COLUMNS($S$2:S395)),"")</f>
        <v/>
      </c>
      <c r="U395" s="1" t="str">
        <f>IF(S395&lt;&gt;"",INDEX($P$2:$Q$441,MATCH($S395,$R$2:$R$441,0),COLUMNS($S$2:T395)),"")</f>
        <v/>
      </c>
      <c r="AE395" s="1">
        <f>Table2[[#This Row],[Year]]</f>
        <v>2019</v>
      </c>
      <c r="AF395" s="1">
        <f>Table2[[#This Row],['#]]</f>
        <v>14</v>
      </c>
      <c r="AG395" s="1" t="str">
        <f>Table2[[#This Row],[Team]]</f>
        <v>Crystal Palace</v>
      </c>
      <c r="AH395" s="1">
        <f>Table2[[#This Row],[Pl]]</f>
        <v>38</v>
      </c>
      <c r="AI395" s="1">
        <f>Table2[[#This Row],[W]]</f>
        <v>11</v>
      </c>
      <c r="AJ395" s="1">
        <f>Table2[[#This Row],[D]]</f>
        <v>10</v>
      </c>
      <c r="AK395" s="1">
        <f>Table2[[#This Row],[L]]</f>
        <v>17</v>
      </c>
      <c r="AL395" s="1">
        <f>Table2[[#This Row],[F]]</f>
        <v>31</v>
      </c>
      <c r="AM395" s="1">
        <f>Table2[[#This Row],[A]]</f>
        <v>50</v>
      </c>
      <c r="AN395" s="1">
        <f>Table2[[#This Row],[GD]]</f>
        <v>-19</v>
      </c>
      <c r="AO395" s="1">
        <f>Table2[[#This Row],[Pts]]</f>
        <v>43</v>
      </c>
      <c r="AP395" s="1">
        <f>Table2[[#This Row],[Column1]]</f>
        <v>14</v>
      </c>
      <c r="AR395" t="b">
        <f t="shared" si="10"/>
        <v>1</v>
      </c>
      <c r="AS395">
        <f>IF(AR395,ROWS($AR$2:AR395),"")</f>
        <v>394</v>
      </c>
      <c r="AT395">
        <f>IFERROR(SMALL($AS$2:$AS$440,ROWS($AS$2:AS395)),"")</f>
        <v>394</v>
      </c>
      <c r="AU395">
        <f>IF(AT395&lt;&gt;"",INDEX($AE$2:$AP$440,MATCH($AT395,$AS$2:$AS$440,0),COLUMNS($AT$2:AT395)),"")</f>
        <v>2019</v>
      </c>
      <c r="AV395">
        <f>IF(AU395&lt;&gt;"",INDEX($AE$2:$AP$440,MATCH($AT395,$AS$2:$AS$440,0),COLUMNS($AT$2:AU395)),"")</f>
        <v>14</v>
      </c>
      <c r="AW395" t="str">
        <f>IF(AV395&lt;&gt;"",INDEX($AE$2:$AP$440,MATCH($AT395,$AS$2:$AS$440,0),COLUMNS($AT$2:AV395)),"")</f>
        <v>Crystal Palace</v>
      </c>
      <c r="AX395">
        <f>IF(AW395&lt;&gt;"",INDEX($AE$2:$AP$440,MATCH($AT395,$AS$2:$AS$440,0),COLUMNS($AT$2:AW395)),"")</f>
        <v>38</v>
      </c>
      <c r="AY395">
        <f>IF(AX395&lt;&gt;"",INDEX($AE$2:$AP$440,MATCH($AT395,$AS$2:$AS$440,0),COLUMNS($AT$2:AX395)),"")</f>
        <v>11</v>
      </c>
      <c r="AZ395">
        <f>IF(AY395&lt;&gt;"",INDEX($AE$2:$AP$440,MATCH($AT395,$AS$2:$AS$440,0),COLUMNS($AT$2:AY395)),"")</f>
        <v>10</v>
      </c>
      <c r="BA395">
        <f>IF(AZ395&lt;&gt;"",INDEX($AE$2:$AP$440,MATCH($AT395,$AS$2:$AS$440,0),COLUMNS($AT$2:AZ395)),"")</f>
        <v>17</v>
      </c>
      <c r="BB395">
        <f>IF(BA395&lt;&gt;"",INDEX($AE$2:$AP$440,MATCH($AT395,$AS$2:$AS$440,0),COLUMNS($AT$2:BA395)),"")</f>
        <v>31</v>
      </c>
      <c r="BC395">
        <f>IF(BB395&lt;&gt;"",INDEX($AE$2:$AP$440,MATCH($AT395,$AS$2:$AS$440,0),COLUMNS($AT$2:BB395)),"")</f>
        <v>50</v>
      </c>
      <c r="BD395">
        <f>IF(BC395&lt;&gt;"",INDEX($AE$2:$AP$440,MATCH($AT395,$AS$2:$AS$440,0),COLUMNS($AT$2:BC395)),"")</f>
        <v>-19</v>
      </c>
      <c r="BE395">
        <f>IF(BD395&lt;&gt;"",INDEX($AE$2:$AP$440,MATCH($AT395,$AS$2:$AS$440,0),COLUMNS($AT$2:BD395)),"")</f>
        <v>43</v>
      </c>
      <c r="BF395">
        <f>IF(BE395&lt;&gt;"",INDEX($AE$2:$AP$440,MATCH($AT395,$AS$2:$AS$440,0),COLUMNS($AT$2:BE395)),"")</f>
        <v>14</v>
      </c>
    </row>
    <row r="396" spans="1:58" x14ac:dyDescent="0.25">
      <c r="A396" s="3">
        <v>2019</v>
      </c>
      <c r="B396" s="3">
        <v>15</v>
      </c>
      <c r="C396" s="4" t="s">
        <v>55</v>
      </c>
      <c r="D396" s="3">
        <v>38</v>
      </c>
      <c r="E396" s="3">
        <v>9</v>
      </c>
      <c r="F396" s="3">
        <v>14</v>
      </c>
      <c r="G396" s="3">
        <v>15</v>
      </c>
      <c r="H396" s="3">
        <v>39</v>
      </c>
      <c r="I396" s="3">
        <v>54</v>
      </c>
      <c r="J396" s="3">
        <v>-15</v>
      </c>
      <c r="K396" s="3">
        <v>41</v>
      </c>
      <c r="L396" s="5">
        <f>IF(Table2[[#This Row],['#]]=1,"Champion", IF(Table2[[#This Row],['#]]&gt;=18,"Relegated",Table2[[#This Row],['#]]))</f>
        <v>15</v>
      </c>
      <c r="N396">
        <f>IF(COUNTIF($O$2:O396,O396)=1,N395+1,N395)</f>
        <v>43</v>
      </c>
      <c r="O396" s="4" t="str">
        <f>Table2[[#This Row],[Team]]</f>
        <v>Brighton And Hove Albion</v>
      </c>
      <c r="P396" s="1" t="str">
        <f>IFERROR(VLOOKUP(ROWS($O$2:O396),$N$2:$O$441,2,0),"")</f>
        <v/>
      </c>
      <c r="Q396" s="1" t="str">
        <f>IF(P396&lt;&gt;"",SUMPRODUCT(--(Table2[Team]=P396)),"")</f>
        <v/>
      </c>
      <c r="R396" s="11" t="str">
        <f>IF(Q396&lt;&gt;"",Q396+ROWS($Q$2:Q396)/100,"")</f>
        <v/>
      </c>
      <c r="S396" t="str">
        <f>IF(R396&lt;&gt;"",LARGE($R$2:$R$441,ROWS($R$2:R396)),"")</f>
        <v/>
      </c>
      <c r="T396" s="1" t="str">
        <f>IF(R396&lt;&gt;"",INDEX($P$2:$Q$441,MATCH($S396,$R$2:$R$441,0),COLUMNS($S$2:S396)),"")</f>
        <v/>
      </c>
      <c r="U396" s="1" t="str">
        <f>IF(S396&lt;&gt;"",INDEX($P$2:$Q$441,MATCH($S396,$R$2:$R$441,0),COLUMNS($S$2:T396)),"")</f>
        <v/>
      </c>
      <c r="AE396" s="1">
        <f>Table2[[#This Row],[Year]]</f>
        <v>2019</v>
      </c>
      <c r="AF396" s="1">
        <f>Table2[[#This Row],['#]]</f>
        <v>15</v>
      </c>
      <c r="AG396" s="1" t="str">
        <f>Table2[[#This Row],[Team]]</f>
        <v>Brighton And Hove Albion</v>
      </c>
      <c r="AH396" s="1">
        <f>Table2[[#This Row],[Pl]]</f>
        <v>38</v>
      </c>
      <c r="AI396" s="1">
        <f>Table2[[#This Row],[W]]</f>
        <v>9</v>
      </c>
      <c r="AJ396" s="1">
        <f>Table2[[#This Row],[D]]</f>
        <v>14</v>
      </c>
      <c r="AK396" s="1">
        <f>Table2[[#This Row],[L]]</f>
        <v>15</v>
      </c>
      <c r="AL396" s="1">
        <f>Table2[[#This Row],[F]]</f>
        <v>39</v>
      </c>
      <c r="AM396" s="1">
        <f>Table2[[#This Row],[A]]</f>
        <v>54</v>
      </c>
      <c r="AN396" s="1">
        <f>Table2[[#This Row],[GD]]</f>
        <v>-15</v>
      </c>
      <c r="AO396" s="1">
        <f>Table2[[#This Row],[Pts]]</f>
        <v>41</v>
      </c>
      <c r="AP396" s="1">
        <f>Table2[[#This Row],[Column1]]</f>
        <v>15</v>
      </c>
      <c r="AR396" t="b">
        <f t="shared" si="10"/>
        <v>1</v>
      </c>
      <c r="AS396">
        <f>IF(AR396,ROWS($AR$2:AR396),"")</f>
        <v>395</v>
      </c>
      <c r="AT396">
        <f>IFERROR(SMALL($AS$2:$AS$440,ROWS($AS$2:AS396)),"")</f>
        <v>395</v>
      </c>
      <c r="AU396">
        <f>IF(AT396&lt;&gt;"",INDEX($AE$2:$AP$440,MATCH($AT396,$AS$2:$AS$440,0),COLUMNS($AT$2:AT396)),"")</f>
        <v>2019</v>
      </c>
      <c r="AV396">
        <f>IF(AU396&lt;&gt;"",INDEX($AE$2:$AP$440,MATCH($AT396,$AS$2:$AS$440,0),COLUMNS($AT$2:AU396)),"")</f>
        <v>15</v>
      </c>
      <c r="AW396" t="str">
        <f>IF(AV396&lt;&gt;"",INDEX($AE$2:$AP$440,MATCH($AT396,$AS$2:$AS$440,0),COLUMNS($AT$2:AV396)),"")</f>
        <v>Brighton And Hove Albion</v>
      </c>
      <c r="AX396">
        <f>IF(AW396&lt;&gt;"",INDEX($AE$2:$AP$440,MATCH($AT396,$AS$2:$AS$440,0),COLUMNS($AT$2:AW396)),"")</f>
        <v>38</v>
      </c>
      <c r="AY396">
        <f>IF(AX396&lt;&gt;"",INDEX($AE$2:$AP$440,MATCH($AT396,$AS$2:$AS$440,0),COLUMNS($AT$2:AX396)),"")</f>
        <v>9</v>
      </c>
      <c r="AZ396">
        <f>IF(AY396&lt;&gt;"",INDEX($AE$2:$AP$440,MATCH($AT396,$AS$2:$AS$440,0),COLUMNS($AT$2:AY396)),"")</f>
        <v>14</v>
      </c>
      <c r="BA396">
        <f>IF(AZ396&lt;&gt;"",INDEX($AE$2:$AP$440,MATCH($AT396,$AS$2:$AS$440,0),COLUMNS($AT$2:AZ396)),"")</f>
        <v>15</v>
      </c>
      <c r="BB396">
        <f>IF(BA396&lt;&gt;"",INDEX($AE$2:$AP$440,MATCH($AT396,$AS$2:$AS$440,0),COLUMNS($AT$2:BA396)),"")</f>
        <v>39</v>
      </c>
      <c r="BC396">
        <f>IF(BB396&lt;&gt;"",INDEX($AE$2:$AP$440,MATCH($AT396,$AS$2:$AS$440,0),COLUMNS($AT$2:BB396)),"")</f>
        <v>54</v>
      </c>
      <c r="BD396">
        <f>IF(BC396&lt;&gt;"",INDEX($AE$2:$AP$440,MATCH($AT396,$AS$2:$AS$440,0),COLUMNS($AT$2:BC396)),"")</f>
        <v>-15</v>
      </c>
      <c r="BE396">
        <f>IF(BD396&lt;&gt;"",INDEX($AE$2:$AP$440,MATCH($AT396,$AS$2:$AS$440,0),COLUMNS($AT$2:BD396)),"")</f>
        <v>41</v>
      </c>
      <c r="BF396">
        <f>IF(BE396&lt;&gt;"",INDEX($AE$2:$AP$440,MATCH($AT396,$AS$2:$AS$440,0),COLUMNS($AT$2:BE396)),"")</f>
        <v>15</v>
      </c>
    </row>
    <row r="397" spans="1:58" x14ac:dyDescent="0.25">
      <c r="A397" s="5">
        <v>2019</v>
      </c>
      <c r="B397" s="5">
        <v>16</v>
      </c>
      <c r="C397" s="6" t="s">
        <v>25</v>
      </c>
      <c r="D397" s="5">
        <v>38</v>
      </c>
      <c r="E397" s="5">
        <v>10</v>
      </c>
      <c r="F397" s="5">
        <v>9</v>
      </c>
      <c r="G397" s="5">
        <v>19</v>
      </c>
      <c r="H397" s="5">
        <v>49</v>
      </c>
      <c r="I397" s="5">
        <v>62</v>
      </c>
      <c r="J397" s="5">
        <v>-13</v>
      </c>
      <c r="K397" s="5">
        <v>39</v>
      </c>
      <c r="L397" s="5">
        <f>IF(Table2[[#This Row],['#]]=1,"Champion", IF(Table2[[#This Row],['#]]&gt;=18,"Relegated",Table2[[#This Row],['#]]))</f>
        <v>16</v>
      </c>
      <c r="N397">
        <f>IF(COUNTIF($O$2:O397,O397)=1,N396+1,N396)</f>
        <v>43</v>
      </c>
      <c r="O397" s="4" t="str">
        <f>Table2[[#This Row],[Team]]</f>
        <v>West Ham United</v>
      </c>
      <c r="P397" s="1" t="str">
        <f>IFERROR(VLOOKUP(ROWS($O$2:O397),$N$2:$O$441,2,0),"")</f>
        <v/>
      </c>
      <c r="Q397" s="1" t="str">
        <f>IF(P397&lt;&gt;"",SUMPRODUCT(--(Table2[Team]=P397)),"")</f>
        <v/>
      </c>
      <c r="R397" s="11" t="str">
        <f>IF(Q397&lt;&gt;"",Q397+ROWS($Q$2:Q397)/100,"")</f>
        <v/>
      </c>
      <c r="S397" t="str">
        <f>IF(R397&lt;&gt;"",LARGE($R$2:$R$441,ROWS($R$2:R397)),"")</f>
        <v/>
      </c>
      <c r="T397" s="1" t="str">
        <f>IF(R397&lt;&gt;"",INDEX($P$2:$Q$441,MATCH($S397,$R$2:$R$441,0),COLUMNS($S$2:S397)),"")</f>
        <v/>
      </c>
      <c r="U397" s="1" t="str">
        <f>IF(S397&lt;&gt;"",INDEX($P$2:$Q$441,MATCH($S397,$R$2:$R$441,0),COLUMNS($S$2:T397)),"")</f>
        <v/>
      </c>
      <c r="AE397" s="1">
        <f>Table2[[#This Row],[Year]]</f>
        <v>2019</v>
      </c>
      <c r="AF397" s="1">
        <f>Table2[[#This Row],['#]]</f>
        <v>16</v>
      </c>
      <c r="AG397" s="1" t="str">
        <f>Table2[[#This Row],[Team]]</f>
        <v>West Ham United</v>
      </c>
      <c r="AH397" s="1">
        <f>Table2[[#This Row],[Pl]]</f>
        <v>38</v>
      </c>
      <c r="AI397" s="1">
        <f>Table2[[#This Row],[W]]</f>
        <v>10</v>
      </c>
      <c r="AJ397" s="1">
        <f>Table2[[#This Row],[D]]</f>
        <v>9</v>
      </c>
      <c r="AK397" s="1">
        <f>Table2[[#This Row],[L]]</f>
        <v>19</v>
      </c>
      <c r="AL397" s="1">
        <f>Table2[[#This Row],[F]]</f>
        <v>49</v>
      </c>
      <c r="AM397" s="1">
        <f>Table2[[#This Row],[A]]</f>
        <v>62</v>
      </c>
      <c r="AN397" s="1">
        <f>Table2[[#This Row],[GD]]</f>
        <v>-13</v>
      </c>
      <c r="AO397" s="1">
        <f>Table2[[#This Row],[Pts]]</f>
        <v>39</v>
      </c>
      <c r="AP397" s="1">
        <f>Table2[[#This Row],[Column1]]</f>
        <v>16</v>
      </c>
      <c r="AR397" t="b">
        <f t="shared" si="10"/>
        <v>1</v>
      </c>
      <c r="AS397">
        <f>IF(AR397,ROWS($AR$2:AR397),"")</f>
        <v>396</v>
      </c>
      <c r="AT397">
        <f>IFERROR(SMALL($AS$2:$AS$440,ROWS($AS$2:AS397)),"")</f>
        <v>396</v>
      </c>
      <c r="AU397">
        <f>IF(AT397&lt;&gt;"",INDEX($AE$2:$AP$440,MATCH($AT397,$AS$2:$AS$440,0),COLUMNS($AT$2:AT397)),"")</f>
        <v>2019</v>
      </c>
      <c r="AV397">
        <f>IF(AU397&lt;&gt;"",INDEX($AE$2:$AP$440,MATCH($AT397,$AS$2:$AS$440,0),COLUMNS($AT$2:AU397)),"")</f>
        <v>16</v>
      </c>
      <c r="AW397" t="str">
        <f>IF(AV397&lt;&gt;"",INDEX($AE$2:$AP$440,MATCH($AT397,$AS$2:$AS$440,0),COLUMNS($AT$2:AV397)),"")</f>
        <v>West Ham United</v>
      </c>
      <c r="AX397">
        <f>IF(AW397&lt;&gt;"",INDEX($AE$2:$AP$440,MATCH($AT397,$AS$2:$AS$440,0),COLUMNS($AT$2:AW397)),"")</f>
        <v>38</v>
      </c>
      <c r="AY397">
        <f>IF(AX397&lt;&gt;"",INDEX($AE$2:$AP$440,MATCH($AT397,$AS$2:$AS$440,0),COLUMNS($AT$2:AX397)),"")</f>
        <v>10</v>
      </c>
      <c r="AZ397">
        <f>IF(AY397&lt;&gt;"",INDEX($AE$2:$AP$440,MATCH($AT397,$AS$2:$AS$440,0),COLUMNS($AT$2:AY397)),"")</f>
        <v>9</v>
      </c>
      <c r="BA397">
        <f>IF(AZ397&lt;&gt;"",INDEX($AE$2:$AP$440,MATCH($AT397,$AS$2:$AS$440,0),COLUMNS($AT$2:AZ397)),"")</f>
        <v>19</v>
      </c>
      <c r="BB397">
        <f>IF(BA397&lt;&gt;"",INDEX($AE$2:$AP$440,MATCH($AT397,$AS$2:$AS$440,0),COLUMNS($AT$2:BA397)),"")</f>
        <v>49</v>
      </c>
      <c r="BC397">
        <f>IF(BB397&lt;&gt;"",INDEX($AE$2:$AP$440,MATCH($AT397,$AS$2:$AS$440,0),COLUMNS($AT$2:BB397)),"")</f>
        <v>62</v>
      </c>
      <c r="BD397">
        <f>IF(BC397&lt;&gt;"",INDEX($AE$2:$AP$440,MATCH($AT397,$AS$2:$AS$440,0),COLUMNS($AT$2:BC397)),"")</f>
        <v>-13</v>
      </c>
      <c r="BE397">
        <f>IF(BD397&lt;&gt;"",INDEX($AE$2:$AP$440,MATCH($AT397,$AS$2:$AS$440,0),COLUMNS($AT$2:BD397)),"")</f>
        <v>39</v>
      </c>
      <c r="BF397">
        <f>IF(BE397&lt;&gt;"",INDEX($AE$2:$AP$440,MATCH($AT397,$AS$2:$AS$440,0),COLUMNS($AT$2:BE397)),"")</f>
        <v>16</v>
      </c>
    </row>
    <row r="398" spans="1:58" x14ac:dyDescent="0.25">
      <c r="A398" s="3">
        <v>2019</v>
      </c>
      <c r="B398" s="3">
        <v>17</v>
      </c>
      <c r="C398" s="4" t="s">
        <v>18</v>
      </c>
      <c r="D398" s="3">
        <v>38</v>
      </c>
      <c r="E398" s="3">
        <v>9</v>
      </c>
      <c r="F398" s="3">
        <v>8</v>
      </c>
      <c r="G398" s="3">
        <v>21</v>
      </c>
      <c r="H398" s="3">
        <v>41</v>
      </c>
      <c r="I398" s="3">
        <v>67</v>
      </c>
      <c r="J398" s="3">
        <v>-26</v>
      </c>
      <c r="K398" s="3">
        <v>35</v>
      </c>
      <c r="L398" s="5">
        <f>IF(Table2[[#This Row],['#]]=1,"Champion", IF(Table2[[#This Row],['#]]&gt;=18,"Relegated",Table2[[#This Row],['#]]))</f>
        <v>17</v>
      </c>
      <c r="N398">
        <f>IF(COUNTIF($O$2:O398,O398)=1,N397+1,N397)</f>
        <v>43</v>
      </c>
      <c r="O398" s="4" t="str">
        <f>Table2[[#This Row],[Team]]</f>
        <v>Aston Villa</v>
      </c>
      <c r="P398" s="1" t="str">
        <f>IFERROR(VLOOKUP(ROWS($O$2:O398),$N$2:$O$441,2,0),"")</f>
        <v/>
      </c>
      <c r="Q398" s="1" t="str">
        <f>IF(P398&lt;&gt;"",SUMPRODUCT(--(Table2[Team]=P398)),"")</f>
        <v/>
      </c>
      <c r="R398" s="11" t="str">
        <f>IF(Q398&lt;&gt;"",Q398+ROWS($Q$2:Q398)/100,"")</f>
        <v/>
      </c>
      <c r="S398" t="str">
        <f>IF(R398&lt;&gt;"",LARGE($R$2:$R$441,ROWS($R$2:R398)),"")</f>
        <v/>
      </c>
      <c r="T398" s="1" t="str">
        <f>IF(R398&lt;&gt;"",INDEX($P$2:$Q$441,MATCH($S398,$R$2:$R$441,0),COLUMNS($S$2:S398)),"")</f>
        <v/>
      </c>
      <c r="U398" s="1" t="str">
        <f>IF(S398&lt;&gt;"",INDEX($P$2:$Q$441,MATCH($S398,$R$2:$R$441,0),COLUMNS($S$2:T398)),"")</f>
        <v/>
      </c>
      <c r="AE398" s="1">
        <f>Table2[[#This Row],[Year]]</f>
        <v>2019</v>
      </c>
      <c r="AF398" s="1">
        <f>Table2[[#This Row],['#]]</f>
        <v>17</v>
      </c>
      <c r="AG398" s="1" t="str">
        <f>Table2[[#This Row],[Team]]</f>
        <v>Aston Villa</v>
      </c>
      <c r="AH398" s="1">
        <f>Table2[[#This Row],[Pl]]</f>
        <v>38</v>
      </c>
      <c r="AI398" s="1">
        <f>Table2[[#This Row],[W]]</f>
        <v>9</v>
      </c>
      <c r="AJ398" s="1">
        <f>Table2[[#This Row],[D]]</f>
        <v>8</v>
      </c>
      <c r="AK398" s="1">
        <f>Table2[[#This Row],[L]]</f>
        <v>21</v>
      </c>
      <c r="AL398" s="1">
        <f>Table2[[#This Row],[F]]</f>
        <v>41</v>
      </c>
      <c r="AM398" s="1">
        <f>Table2[[#This Row],[A]]</f>
        <v>67</v>
      </c>
      <c r="AN398" s="1">
        <f>Table2[[#This Row],[GD]]</f>
        <v>-26</v>
      </c>
      <c r="AO398" s="1">
        <f>Table2[[#This Row],[Pts]]</f>
        <v>35</v>
      </c>
      <c r="AP398" s="1">
        <f>Table2[[#This Row],[Column1]]</f>
        <v>17</v>
      </c>
      <c r="AR398" t="b">
        <f t="shared" si="10"/>
        <v>1</v>
      </c>
      <c r="AS398">
        <f>IF(AR398,ROWS($AR$2:AR398),"")</f>
        <v>397</v>
      </c>
      <c r="AT398">
        <f>IFERROR(SMALL($AS$2:$AS$440,ROWS($AS$2:AS398)),"")</f>
        <v>397</v>
      </c>
      <c r="AU398">
        <f>IF(AT398&lt;&gt;"",INDEX($AE$2:$AP$440,MATCH($AT398,$AS$2:$AS$440,0),COLUMNS($AT$2:AT398)),"")</f>
        <v>2019</v>
      </c>
      <c r="AV398">
        <f>IF(AU398&lt;&gt;"",INDEX($AE$2:$AP$440,MATCH($AT398,$AS$2:$AS$440,0),COLUMNS($AT$2:AU398)),"")</f>
        <v>17</v>
      </c>
      <c r="AW398" t="str">
        <f>IF(AV398&lt;&gt;"",INDEX($AE$2:$AP$440,MATCH($AT398,$AS$2:$AS$440,0),COLUMNS($AT$2:AV398)),"")</f>
        <v>Aston Villa</v>
      </c>
      <c r="AX398">
        <f>IF(AW398&lt;&gt;"",INDEX($AE$2:$AP$440,MATCH($AT398,$AS$2:$AS$440,0),COLUMNS($AT$2:AW398)),"")</f>
        <v>38</v>
      </c>
      <c r="AY398">
        <f>IF(AX398&lt;&gt;"",INDEX($AE$2:$AP$440,MATCH($AT398,$AS$2:$AS$440,0),COLUMNS($AT$2:AX398)),"")</f>
        <v>9</v>
      </c>
      <c r="AZ398">
        <f>IF(AY398&lt;&gt;"",INDEX($AE$2:$AP$440,MATCH($AT398,$AS$2:$AS$440,0),COLUMNS($AT$2:AY398)),"")</f>
        <v>8</v>
      </c>
      <c r="BA398">
        <f>IF(AZ398&lt;&gt;"",INDEX($AE$2:$AP$440,MATCH($AT398,$AS$2:$AS$440,0),COLUMNS($AT$2:AZ398)),"")</f>
        <v>21</v>
      </c>
      <c r="BB398">
        <f>IF(BA398&lt;&gt;"",INDEX($AE$2:$AP$440,MATCH($AT398,$AS$2:$AS$440,0),COLUMNS($AT$2:BA398)),"")</f>
        <v>41</v>
      </c>
      <c r="BC398">
        <f>IF(BB398&lt;&gt;"",INDEX($AE$2:$AP$440,MATCH($AT398,$AS$2:$AS$440,0),COLUMNS($AT$2:BB398)),"")</f>
        <v>67</v>
      </c>
      <c r="BD398">
        <f>IF(BC398&lt;&gt;"",INDEX($AE$2:$AP$440,MATCH($AT398,$AS$2:$AS$440,0),COLUMNS($AT$2:BC398)),"")</f>
        <v>-26</v>
      </c>
      <c r="BE398">
        <f>IF(BD398&lt;&gt;"",INDEX($AE$2:$AP$440,MATCH($AT398,$AS$2:$AS$440,0),COLUMNS($AT$2:BD398)),"")</f>
        <v>35</v>
      </c>
      <c r="BF398">
        <f>IF(BE398&lt;&gt;"",INDEX($AE$2:$AP$440,MATCH($AT398,$AS$2:$AS$440,0),COLUMNS($AT$2:BE398)),"")</f>
        <v>17</v>
      </c>
    </row>
    <row r="399" spans="1:58" x14ac:dyDescent="0.25">
      <c r="A399" s="5">
        <v>2019</v>
      </c>
      <c r="B399" s="5">
        <v>18</v>
      </c>
      <c r="C399" s="6" t="s">
        <v>51</v>
      </c>
      <c r="D399" s="5">
        <v>38</v>
      </c>
      <c r="E399" s="5">
        <v>9</v>
      </c>
      <c r="F399" s="5">
        <v>7</v>
      </c>
      <c r="G399" s="5">
        <v>22</v>
      </c>
      <c r="H399" s="5">
        <v>40</v>
      </c>
      <c r="I399" s="5">
        <v>65</v>
      </c>
      <c r="J399" s="5">
        <v>-25</v>
      </c>
      <c r="K399" s="5">
        <v>34</v>
      </c>
      <c r="L399" s="5" t="str">
        <f>IF(Table2[[#This Row],['#]]=1,"Champion", IF(Table2[[#This Row],['#]]&gt;=18,"Relegated",Table2[[#This Row],['#]]))</f>
        <v>Relegated</v>
      </c>
      <c r="N399">
        <f>IF(COUNTIF($O$2:O399,O399)=1,N398+1,N398)</f>
        <v>43</v>
      </c>
      <c r="O399" s="4" t="str">
        <f>Table2[[#This Row],[Team]]</f>
        <v>Bournemouth</v>
      </c>
      <c r="P399" s="1" t="str">
        <f>IFERROR(VLOOKUP(ROWS($O$2:O399),$N$2:$O$441,2,0),"")</f>
        <v/>
      </c>
      <c r="Q399" s="1" t="str">
        <f>IF(P399&lt;&gt;"",SUMPRODUCT(--(Table2[Team]=P399)),"")</f>
        <v/>
      </c>
      <c r="R399" s="11" t="str">
        <f>IF(Q399&lt;&gt;"",Q399+ROWS($Q$2:Q399)/100,"")</f>
        <v/>
      </c>
      <c r="S399" t="str">
        <f>IF(R399&lt;&gt;"",LARGE($R$2:$R$441,ROWS($R$2:R399)),"")</f>
        <v/>
      </c>
      <c r="T399" s="1" t="str">
        <f>IF(R399&lt;&gt;"",INDEX($P$2:$Q$441,MATCH($S399,$R$2:$R$441,0),COLUMNS($S$2:S399)),"")</f>
        <v/>
      </c>
      <c r="U399" s="1" t="str">
        <f>IF(S399&lt;&gt;"",INDEX($P$2:$Q$441,MATCH($S399,$R$2:$R$441,0),COLUMNS($S$2:T399)),"")</f>
        <v/>
      </c>
      <c r="AE399" s="1">
        <f>Table2[[#This Row],[Year]]</f>
        <v>2019</v>
      </c>
      <c r="AF399" s="1">
        <f>Table2[[#This Row],['#]]</f>
        <v>18</v>
      </c>
      <c r="AG399" s="1" t="str">
        <f>Table2[[#This Row],[Team]]</f>
        <v>Bournemouth</v>
      </c>
      <c r="AH399" s="1">
        <f>Table2[[#This Row],[Pl]]</f>
        <v>38</v>
      </c>
      <c r="AI399" s="1">
        <f>Table2[[#This Row],[W]]</f>
        <v>9</v>
      </c>
      <c r="AJ399" s="1">
        <f>Table2[[#This Row],[D]]</f>
        <v>7</v>
      </c>
      <c r="AK399" s="1">
        <f>Table2[[#This Row],[L]]</f>
        <v>22</v>
      </c>
      <c r="AL399" s="1">
        <f>Table2[[#This Row],[F]]</f>
        <v>40</v>
      </c>
      <c r="AM399" s="1">
        <f>Table2[[#This Row],[A]]</f>
        <v>65</v>
      </c>
      <c r="AN399" s="1">
        <f>Table2[[#This Row],[GD]]</f>
        <v>-25</v>
      </c>
      <c r="AO399" s="1">
        <f>Table2[[#This Row],[Pts]]</f>
        <v>34</v>
      </c>
      <c r="AP399" s="1" t="str">
        <f>Table2[[#This Row],[Column1]]</f>
        <v>Relegated</v>
      </c>
      <c r="AR399" t="b">
        <f t="shared" si="10"/>
        <v>1</v>
      </c>
      <c r="AS399">
        <f>IF(AR399,ROWS($AR$2:AR399),"")</f>
        <v>398</v>
      </c>
      <c r="AT399">
        <f>IFERROR(SMALL($AS$2:$AS$440,ROWS($AS$2:AS399)),"")</f>
        <v>398</v>
      </c>
      <c r="AU399">
        <f>IF(AT399&lt;&gt;"",INDEX($AE$2:$AP$440,MATCH($AT399,$AS$2:$AS$440,0),COLUMNS($AT$2:AT399)),"")</f>
        <v>2019</v>
      </c>
      <c r="AV399">
        <f>IF(AU399&lt;&gt;"",INDEX($AE$2:$AP$440,MATCH($AT399,$AS$2:$AS$440,0),COLUMNS($AT$2:AU399)),"")</f>
        <v>18</v>
      </c>
      <c r="AW399" t="str">
        <f>IF(AV399&lt;&gt;"",INDEX($AE$2:$AP$440,MATCH($AT399,$AS$2:$AS$440,0),COLUMNS($AT$2:AV399)),"")</f>
        <v>Bournemouth</v>
      </c>
      <c r="AX399">
        <f>IF(AW399&lt;&gt;"",INDEX($AE$2:$AP$440,MATCH($AT399,$AS$2:$AS$440,0),COLUMNS($AT$2:AW399)),"")</f>
        <v>38</v>
      </c>
      <c r="AY399">
        <f>IF(AX399&lt;&gt;"",INDEX($AE$2:$AP$440,MATCH($AT399,$AS$2:$AS$440,0),COLUMNS($AT$2:AX399)),"")</f>
        <v>9</v>
      </c>
      <c r="AZ399">
        <f>IF(AY399&lt;&gt;"",INDEX($AE$2:$AP$440,MATCH($AT399,$AS$2:$AS$440,0),COLUMNS($AT$2:AY399)),"")</f>
        <v>7</v>
      </c>
      <c r="BA399">
        <f>IF(AZ399&lt;&gt;"",INDEX($AE$2:$AP$440,MATCH($AT399,$AS$2:$AS$440,0),COLUMNS($AT$2:AZ399)),"")</f>
        <v>22</v>
      </c>
      <c r="BB399">
        <f>IF(BA399&lt;&gt;"",INDEX($AE$2:$AP$440,MATCH($AT399,$AS$2:$AS$440,0),COLUMNS($AT$2:BA399)),"")</f>
        <v>40</v>
      </c>
      <c r="BC399">
        <f>IF(BB399&lt;&gt;"",INDEX($AE$2:$AP$440,MATCH($AT399,$AS$2:$AS$440,0),COLUMNS($AT$2:BB399)),"")</f>
        <v>65</v>
      </c>
      <c r="BD399">
        <f>IF(BC399&lt;&gt;"",INDEX($AE$2:$AP$440,MATCH($AT399,$AS$2:$AS$440,0),COLUMNS($AT$2:BC399)),"")</f>
        <v>-25</v>
      </c>
      <c r="BE399">
        <f>IF(BD399&lt;&gt;"",INDEX($AE$2:$AP$440,MATCH($AT399,$AS$2:$AS$440,0),COLUMNS($AT$2:BD399)),"")</f>
        <v>34</v>
      </c>
      <c r="BF399" t="str">
        <f>IF(BE399&lt;&gt;"",INDEX($AE$2:$AP$440,MATCH($AT399,$AS$2:$AS$440,0),COLUMNS($AT$2:BE399)),"")</f>
        <v>Relegated</v>
      </c>
    </row>
    <row r="400" spans="1:58" x14ac:dyDescent="0.25">
      <c r="A400" s="3">
        <v>2019</v>
      </c>
      <c r="B400" s="3">
        <v>19</v>
      </c>
      <c r="C400" s="4" t="s">
        <v>43</v>
      </c>
      <c r="D400" s="3">
        <v>38</v>
      </c>
      <c r="E400" s="3">
        <v>8</v>
      </c>
      <c r="F400" s="3">
        <v>10</v>
      </c>
      <c r="G400" s="3">
        <v>20</v>
      </c>
      <c r="H400" s="3">
        <v>36</v>
      </c>
      <c r="I400" s="3">
        <v>64</v>
      </c>
      <c r="J400" s="3">
        <v>-28</v>
      </c>
      <c r="K400" s="3">
        <v>34</v>
      </c>
      <c r="L400" s="5" t="str">
        <f>IF(Table2[[#This Row],['#]]=1,"Champion", IF(Table2[[#This Row],['#]]&gt;=18,"Relegated",Table2[[#This Row],['#]]))</f>
        <v>Relegated</v>
      </c>
      <c r="N400">
        <f>IF(COUNTIF($O$2:O400,O400)=1,N399+1,N399)</f>
        <v>43</v>
      </c>
      <c r="O400" s="4" t="str">
        <f>Table2[[#This Row],[Team]]</f>
        <v>Watford</v>
      </c>
      <c r="P400" s="1" t="str">
        <f>IFERROR(VLOOKUP(ROWS($O$2:O400),$N$2:$O$441,2,0),"")</f>
        <v/>
      </c>
      <c r="Q400" s="1" t="str">
        <f>IF(P400&lt;&gt;"",SUMPRODUCT(--(Table2[Team]=P400)),"")</f>
        <v/>
      </c>
      <c r="R400" s="11" t="str">
        <f>IF(Q400&lt;&gt;"",Q400+ROWS($Q$2:Q400)/100,"")</f>
        <v/>
      </c>
      <c r="S400" t="str">
        <f>IF(R400&lt;&gt;"",LARGE($R$2:$R$441,ROWS($R$2:R400)),"")</f>
        <v/>
      </c>
      <c r="T400" s="1" t="str">
        <f>IF(R400&lt;&gt;"",INDEX($P$2:$Q$441,MATCH($S400,$R$2:$R$441,0),COLUMNS($S$2:S400)),"")</f>
        <v/>
      </c>
      <c r="U400" s="1" t="str">
        <f>IF(S400&lt;&gt;"",INDEX($P$2:$Q$441,MATCH($S400,$R$2:$R$441,0),COLUMNS($S$2:T400)),"")</f>
        <v/>
      </c>
      <c r="AE400" s="1">
        <f>Table2[[#This Row],[Year]]</f>
        <v>2019</v>
      </c>
      <c r="AF400" s="1">
        <f>Table2[[#This Row],['#]]</f>
        <v>19</v>
      </c>
      <c r="AG400" s="1" t="str">
        <f>Table2[[#This Row],[Team]]</f>
        <v>Watford</v>
      </c>
      <c r="AH400" s="1">
        <f>Table2[[#This Row],[Pl]]</f>
        <v>38</v>
      </c>
      <c r="AI400" s="1">
        <f>Table2[[#This Row],[W]]</f>
        <v>8</v>
      </c>
      <c r="AJ400" s="1">
        <f>Table2[[#This Row],[D]]</f>
        <v>10</v>
      </c>
      <c r="AK400" s="1">
        <f>Table2[[#This Row],[L]]</f>
        <v>20</v>
      </c>
      <c r="AL400" s="1">
        <f>Table2[[#This Row],[F]]</f>
        <v>36</v>
      </c>
      <c r="AM400" s="1">
        <f>Table2[[#This Row],[A]]</f>
        <v>64</v>
      </c>
      <c r="AN400" s="1">
        <f>Table2[[#This Row],[GD]]</f>
        <v>-28</v>
      </c>
      <c r="AO400" s="1">
        <f>Table2[[#This Row],[Pts]]</f>
        <v>34</v>
      </c>
      <c r="AP400" s="1" t="str">
        <f>Table2[[#This Row],[Column1]]</f>
        <v>Relegated</v>
      </c>
      <c r="AR400" t="b">
        <f t="shared" si="10"/>
        <v>1</v>
      </c>
      <c r="AS400">
        <f>IF(AR400,ROWS($AR$2:AR400),"")</f>
        <v>399</v>
      </c>
      <c r="AT400">
        <f>IFERROR(SMALL($AS$2:$AS$440,ROWS($AS$2:AS400)),"")</f>
        <v>399</v>
      </c>
      <c r="AU400">
        <f>IF(AT400&lt;&gt;"",INDEX($AE$2:$AP$440,MATCH($AT400,$AS$2:$AS$440,0),COLUMNS($AT$2:AT400)),"")</f>
        <v>2019</v>
      </c>
      <c r="AV400">
        <f>IF(AU400&lt;&gt;"",INDEX($AE$2:$AP$440,MATCH($AT400,$AS$2:$AS$440,0),COLUMNS($AT$2:AU400)),"")</f>
        <v>19</v>
      </c>
      <c r="AW400" t="str">
        <f>IF(AV400&lt;&gt;"",INDEX($AE$2:$AP$440,MATCH($AT400,$AS$2:$AS$440,0),COLUMNS($AT$2:AV400)),"")</f>
        <v>Watford</v>
      </c>
      <c r="AX400">
        <f>IF(AW400&lt;&gt;"",INDEX($AE$2:$AP$440,MATCH($AT400,$AS$2:$AS$440,0),COLUMNS($AT$2:AW400)),"")</f>
        <v>38</v>
      </c>
      <c r="AY400">
        <f>IF(AX400&lt;&gt;"",INDEX($AE$2:$AP$440,MATCH($AT400,$AS$2:$AS$440,0),COLUMNS($AT$2:AX400)),"")</f>
        <v>8</v>
      </c>
      <c r="AZ400">
        <f>IF(AY400&lt;&gt;"",INDEX($AE$2:$AP$440,MATCH($AT400,$AS$2:$AS$440,0),COLUMNS($AT$2:AY400)),"")</f>
        <v>10</v>
      </c>
      <c r="BA400">
        <f>IF(AZ400&lt;&gt;"",INDEX($AE$2:$AP$440,MATCH($AT400,$AS$2:$AS$440,0),COLUMNS($AT$2:AZ400)),"")</f>
        <v>20</v>
      </c>
      <c r="BB400">
        <f>IF(BA400&lt;&gt;"",INDEX($AE$2:$AP$440,MATCH($AT400,$AS$2:$AS$440,0),COLUMNS($AT$2:BA400)),"")</f>
        <v>36</v>
      </c>
      <c r="BC400">
        <f>IF(BB400&lt;&gt;"",INDEX($AE$2:$AP$440,MATCH($AT400,$AS$2:$AS$440,0),COLUMNS($AT$2:BB400)),"")</f>
        <v>64</v>
      </c>
      <c r="BD400">
        <f>IF(BC400&lt;&gt;"",INDEX($AE$2:$AP$440,MATCH($AT400,$AS$2:$AS$440,0),COLUMNS($AT$2:BC400)),"")</f>
        <v>-28</v>
      </c>
      <c r="BE400">
        <f>IF(BD400&lt;&gt;"",INDEX($AE$2:$AP$440,MATCH($AT400,$AS$2:$AS$440,0),COLUMNS($AT$2:BD400)),"")</f>
        <v>34</v>
      </c>
      <c r="BF400" t="str">
        <f>IF(BE400&lt;&gt;"",INDEX($AE$2:$AP$440,MATCH($AT400,$AS$2:$AS$440,0),COLUMNS($AT$2:BE400)),"")</f>
        <v>Relegated</v>
      </c>
    </row>
    <row r="401" spans="1:58" x14ac:dyDescent="0.25">
      <c r="A401" s="5">
        <v>2019</v>
      </c>
      <c r="B401" s="5">
        <v>20</v>
      </c>
      <c r="C401" s="6" t="s">
        <v>39</v>
      </c>
      <c r="D401" s="5">
        <v>38</v>
      </c>
      <c r="E401" s="5">
        <v>5</v>
      </c>
      <c r="F401" s="5">
        <v>6</v>
      </c>
      <c r="G401" s="5">
        <v>27</v>
      </c>
      <c r="H401" s="5">
        <v>26</v>
      </c>
      <c r="I401" s="5">
        <v>75</v>
      </c>
      <c r="J401" s="5">
        <v>-49</v>
      </c>
      <c r="K401" s="5">
        <v>21</v>
      </c>
      <c r="L401" s="5" t="str">
        <f>IF(Table2[[#This Row],['#]]=1,"Champion", IF(Table2[[#This Row],['#]]&gt;=18,"Relegated",Table2[[#This Row],['#]]))</f>
        <v>Relegated</v>
      </c>
      <c r="N401">
        <f>IF(COUNTIF($O$2:O401,O401)=1,N400+1,N400)</f>
        <v>43</v>
      </c>
      <c r="O401" s="4" t="str">
        <f>Table2[[#This Row],[Team]]</f>
        <v>Norwich City</v>
      </c>
      <c r="P401" s="1" t="str">
        <f>IFERROR(VLOOKUP(ROWS($O$2:O401),$N$2:$O$441,2,0),"")</f>
        <v/>
      </c>
      <c r="Q401" s="1" t="str">
        <f>IF(P401&lt;&gt;"",SUMPRODUCT(--(Table2[Team]=P401)),"")</f>
        <v/>
      </c>
      <c r="R401" s="11" t="str">
        <f>IF(Q401&lt;&gt;"",Q401+ROWS($Q$2:Q401)/100,"")</f>
        <v/>
      </c>
      <c r="S401" t="str">
        <f>IF(R401&lt;&gt;"",LARGE($R$2:$R$441,ROWS($R$2:R401)),"")</f>
        <v/>
      </c>
      <c r="T401" s="1" t="str">
        <f>IF(R401&lt;&gt;"",INDEX($P$2:$Q$441,MATCH($S401,$R$2:$R$441,0),COLUMNS($S$2:S401)),"")</f>
        <v/>
      </c>
      <c r="U401" s="1" t="str">
        <f>IF(S401&lt;&gt;"",INDEX($P$2:$Q$441,MATCH($S401,$R$2:$R$441,0),COLUMNS($S$2:T401)),"")</f>
        <v/>
      </c>
      <c r="AE401" s="1">
        <f>Table2[[#This Row],[Year]]</f>
        <v>2019</v>
      </c>
      <c r="AF401" s="1">
        <f>Table2[[#This Row],['#]]</f>
        <v>20</v>
      </c>
      <c r="AG401" s="1" t="str">
        <f>Table2[[#This Row],[Team]]</f>
        <v>Norwich City</v>
      </c>
      <c r="AH401" s="1">
        <f>Table2[[#This Row],[Pl]]</f>
        <v>38</v>
      </c>
      <c r="AI401" s="1">
        <f>Table2[[#This Row],[W]]</f>
        <v>5</v>
      </c>
      <c r="AJ401" s="1">
        <f>Table2[[#This Row],[D]]</f>
        <v>6</v>
      </c>
      <c r="AK401" s="1">
        <f>Table2[[#This Row],[L]]</f>
        <v>27</v>
      </c>
      <c r="AL401" s="1">
        <f>Table2[[#This Row],[F]]</f>
        <v>26</v>
      </c>
      <c r="AM401" s="1">
        <f>Table2[[#This Row],[A]]</f>
        <v>75</v>
      </c>
      <c r="AN401" s="1">
        <f>Table2[[#This Row],[GD]]</f>
        <v>-49</v>
      </c>
      <c r="AO401" s="1">
        <f>Table2[[#This Row],[Pts]]</f>
        <v>21</v>
      </c>
      <c r="AP401" s="1" t="str">
        <f>Table2[[#This Row],[Column1]]</f>
        <v>Relegated</v>
      </c>
      <c r="AR401" t="b">
        <f t="shared" si="10"/>
        <v>1</v>
      </c>
      <c r="AS401">
        <f>IF(AR401,ROWS($AR$2:AR401),"")</f>
        <v>400</v>
      </c>
      <c r="AT401">
        <f>IFERROR(SMALL($AS$2:$AS$440,ROWS($AS$2:AS401)),"")</f>
        <v>400</v>
      </c>
      <c r="AU401">
        <f>IF(AT401&lt;&gt;"",INDEX($AE$2:$AP$440,MATCH($AT401,$AS$2:$AS$440,0),COLUMNS($AT$2:AT401)),"")</f>
        <v>2019</v>
      </c>
      <c r="AV401">
        <f>IF(AU401&lt;&gt;"",INDEX($AE$2:$AP$440,MATCH($AT401,$AS$2:$AS$440,0),COLUMNS($AT$2:AU401)),"")</f>
        <v>20</v>
      </c>
      <c r="AW401" t="str">
        <f>IF(AV401&lt;&gt;"",INDEX($AE$2:$AP$440,MATCH($AT401,$AS$2:$AS$440,0),COLUMNS($AT$2:AV401)),"")</f>
        <v>Norwich City</v>
      </c>
      <c r="AX401">
        <f>IF(AW401&lt;&gt;"",INDEX($AE$2:$AP$440,MATCH($AT401,$AS$2:$AS$440,0),COLUMNS($AT$2:AW401)),"")</f>
        <v>38</v>
      </c>
      <c r="AY401">
        <f>IF(AX401&lt;&gt;"",INDEX($AE$2:$AP$440,MATCH($AT401,$AS$2:$AS$440,0),COLUMNS($AT$2:AX401)),"")</f>
        <v>5</v>
      </c>
      <c r="AZ401">
        <f>IF(AY401&lt;&gt;"",INDEX($AE$2:$AP$440,MATCH($AT401,$AS$2:$AS$440,0),COLUMNS($AT$2:AY401)),"")</f>
        <v>6</v>
      </c>
      <c r="BA401">
        <f>IF(AZ401&lt;&gt;"",INDEX($AE$2:$AP$440,MATCH($AT401,$AS$2:$AS$440,0),COLUMNS($AT$2:AZ401)),"")</f>
        <v>27</v>
      </c>
      <c r="BB401">
        <f>IF(BA401&lt;&gt;"",INDEX($AE$2:$AP$440,MATCH($AT401,$AS$2:$AS$440,0),COLUMNS($AT$2:BA401)),"")</f>
        <v>26</v>
      </c>
      <c r="BC401">
        <f>IF(BB401&lt;&gt;"",INDEX($AE$2:$AP$440,MATCH($AT401,$AS$2:$AS$440,0),COLUMNS($AT$2:BB401)),"")</f>
        <v>75</v>
      </c>
      <c r="BD401">
        <f>IF(BC401&lt;&gt;"",INDEX($AE$2:$AP$440,MATCH($AT401,$AS$2:$AS$440,0),COLUMNS($AT$2:BC401)),"")</f>
        <v>-49</v>
      </c>
      <c r="BE401">
        <f>IF(BD401&lt;&gt;"",INDEX($AE$2:$AP$440,MATCH($AT401,$AS$2:$AS$440,0),COLUMNS($AT$2:BD401)),"")</f>
        <v>21</v>
      </c>
      <c r="BF401" t="str">
        <f>IF(BE401&lt;&gt;"",INDEX($AE$2:$AP$440,MATCH($AT401,$AS$2:$AS$440,0),COLUMNS($AT$2:BE401)),"")</f>
        <v>Relegated</v>
      </c>
    </row>
    <row r="402" spans="1:58" x14ac:dyDescent="0.25">
      <c r="A402" s="3">
        <v>2020</v>
      </c>
      <c r="B402" s="3">
        <v>1</v>
      </c>
      <c r="C402" s="4" t="s">
        <v>28</v>
      </c>
      <c r="D402" s="3">
        <v>38</v>
      </c>
      <c r="E402" s="3">
        <v>27</v>
      </c>
      <c r="F402" s="3">
        <v>5</v>
      </c>
      <c r="G402" s="3">
        <v>6</v>
      </c>
      <c r="H402" s="3">
        <v>83</v>
      </c>
      <c r="I402" s="3">
        <v>32</v>
      </c>
      <c r="J402" s="3">
        <v>51</v>
      </c>
      <c r="K402" s="3">
        <v>86</v>
      </c>
      <c r="L402" s="5" t="str">
        <f>IF(Table2[[#This Row],['#]]=1,"Champion", IF(Table2[[#This Row],['#]]&gt;=18,"Relegated",Table2[[#This Row],['#]]))</f>
        <v>Champion</v>
      </c>
      <c r="N402">
        <f>IF(COUNTIF($O$2:O402,O402)=1,N401+1,N401)</f>
        <v>43</v>
      </c>
      <c r="O402" s="4" t="str">
        <f>Table2[[#This Row],[Team]]</f>
        <v>Manchester City</v>
      </c>
      <c r="P402" s="1" t="str">
        <f>IFERROR(VLOOKUP(ROWS($O$2:O402),$N$2:$O$441,2,0),"")</f>
        <v/>
      </c>
      <c r="Q402" s="1" t="str">
        <f>IF(P402&lt;&gt;"",SUMPRODUCT(--(Table2[Team]=P402)),"")</f>
        <v/>
      </c>
      <c r="R402" s="11" t="str">
        <f>IF(Q402&lt;&gt;"",Q402+ROWS($Q$2:Q402)/100,"")</f>
        <v/>
      </c>
      <c r="S402" t="str">
        <f>IF(R402&lt;&gt;"",LARGE($R$2:$R$441,ROWS($R$2:R402)),"")</f>
        <v/>
      </c>
      <c r="T402" s="1" t="str">
        <f>IF(R402&lt;&gt;"",INDEX($P$2:$Q$441,MATCH($S402,$R$2:$R$441,0),COLUMNS($S$2:S402)),"")</f>
        <v/>
      </c>
      <c r="U402" s="1" t="str">
        <f>IF(S402&lt;&gt;"",INDEX($P$2:$Q$441,MATCH($S402,$R$2:$R$441,0),COLUMNS($S$2:T402)),"")</f>
        <v/>
      </c>
      <c r="AE402" s="1">
        <f>Table2[[#This Row],[Year]]</f>
        <v>2020</v>
      </c>
      <c r="AF402" s="1">
        <f>Table2[[#This Row],['#]]</f>
        <v>1</v>
      </c>
      <c r="AG402" s="1" t="str">
        <f>Table2[[#This Row],[Team]]</f>
        <v>Manchester City</v>
      </c>
      <c r="AH402" s="1">
        <f>Table2[[#This Row],[Pl]]</f>
        <v>38</v>
      </c>
      <c r="AI402" s="1">
        <f>Table2[[#This Row],[W]]</f>
        <v>27</v>
      </c>
      <c r="AJ402" s="1">
        <f>Table2[[#This Row],[D]]</f>
        <v>5</v>
      </c>
      <c r="AK402" s="1">
        <f>Table2[[#This Row],[L]]</f>
        <v>6</v>
      </c>
      <c r="AL402" s="1">
        <f>Table2[[#This Row],[F]]</f>
        <v>83</v>
      </c>
      <c r="AM402" s="1">
        <f>Table2[[#This Row],[A]]</f>
        <v>32</v>
      </c>
      <c r="AN402" s="1">
        <f>Table2[[#This Row],[GD]]</f>
        <v>51</v>
      </c>
      <c r="AO402" s="1">
        <f>Table2[[#This Row],[Pts]]</f>
        <v>86</v>
      </c>
      <c r="AP402" s="1" t="str">
        <f>Table2[[#This Row],[Column1]]</f>
        <v>Champion</v>
      </c>
      <c r="AR402" t="b">
        <f t="shared" si="10"/>
        <v>1</v>
      </c>
      <c r="AS402">
        <f>IF(AR402,ROWS($AR$2:AR402),"")</f>
        <v>401</v>
      </c>
      <c r="AT402">
        <f>IFERROR(SMALL($AS$2:$AS$440,ROWS($AS$2:AS402)),"")</f>
        <v>401</v>
      </c>
      <c r="AU402">
        <f>IF(AT402&lt;&gt;"",INDEX($AE$2:$AP$440,MATCH($AT402,$AS$2:$AS$440,0),COLUMNS($AT$2:AT402)),"")</f>
        <v>2020</v>
      </c>
      <c r="AV402">
        <f>IF(AU402&lt;&gt;"",INDEX($AE$2:$AP$440,MATCH($AT402,$AS$2:$AS$440,0),COLUMNS($AT$2:AU402)),"")</f>
        <v>1</v>
      </c>
      <c r="AW402" t="str">
        <f>IF(AV402&lt;&gt;"",INDEX($AE$2:$AP$440,MATCH($AT402,$AS$2:$AS$440,0),COLUMNS($AT$2:AV402)),"")</f>
        <v>Manchester City</v>
      </c>
      <c r="AX402">
        <f>IF(AW402&lt;&gt;"",INDEX($AE$2:$AP$440,MATCH($AT402,$AS$2:$AS$440,0),COLUMNS($AT$2:AW402)),"")</f>
        <v>38</v>
      </c>
      <c r="AY402">
        <f>IF(AX402&lt;&gt;"",INDEX($AE$2:$AP$440,MATCH($AT402,$AS$2:$AS$440,0),COLUMNS($AT$2:AX402)),"")</f>
        <v>27</v>
      </c>
      <c r="AZ402">
        <f>IF(AY402&lt;&gt;"",INDEX($AE$2:$AP$440,MATCH($AT402,$AS$2:$AS$440,0),COLUMNS($AT$2:AY402)),"")</f>
        <v>5</v>
      </c>
      <c r="BA402">
        <f>IF(AZ402&lt;&gt;"",INDEX($AE$2:$AP$440,MATCH($AT402,$AS$2:$AS$440,0),COLUMNS($AT$2:AZ402)),"")</f>
        <v>6</v>
      </c>
      <c r="BB402">
        <f>IF(BA402&lt;&gt;"",INDEX($AE$2:$AP$440,MATCH($AT402,$AS$2:$AS$440,0),COLUMNS($AT$2:BA402)),"")</f>
        <v>83</v>
      </c>
      <c r="BC402">
        <f>IF(BB402&lt;&gt;"",INDEX($AE$2:$AP$440,MATCH($AT402,$AS$2:$AS$440,0),COLUMNS($AT$2:BB402)),"")</f>
        <v>32</v>
      </c>
      <c r="BD402">
        <f>IF(BC402&lt;&gt;"",INDEX($AE$2:$AP$440,MATCH($AT402,$AS$2:$AS$440,0),COLUMNS($AT$2:BC402)),"")</f>
        <v>51</v>
      </c>
      <c r="BE402">
        <f>IF(BD402&lt;&gt;"",INDEX($AE$2:$AP$440,MATCH($AT402,$AS$2:$AS$440,0),COLUMNS($AT$2:BD402)),"")</f>
        <v>86</v>
      </c>
      <c r="BF402" t="str">
        <f>IF(BE402&lt;&gt;"",INDEX($AE$2:$AP$440,MATCH($AT402,$AS$2:$AS$440,0),COLUMNS($AT$2:BE402)),"")</f>
        <v>Champion</v>
      </c>
    </row>
    <row r="403" spans="1:58" x14ac:dyDescent="0.25">
      <c r="A403" s="5">
        <v>2020</v>
      </c>
      <c r="B403" s="5">
        <v>2</v>
      </c>
      <c r="C403" s="6" t="s">
        <v>11</v>
      </c>
      <c r="D403" s="5">
        <v>38</v>
      </c>
      <c r="E403" s="5">
        <v>21</v>
      </c>
      <c r="F403" s="5">
        <v>11</v>
      </c>
      <c r="G403" s="5">
        <v>6</v>
      </c>
      <c r="H403" s="5">
        <v>73</v>
      </c>
      <c r="I403" s="5">
        <v>44</v>
      </c>
      <c r="J403" s="5">
        <v>29</v>
      </c>
      <c r="K403" s="5">
        <v>74</v>
      </c>
      <c r="L403" s="5">
        <f>IF(Table2[[#This Row],['#]]=1,"Champion", IF(Table2[[#This Row],['#]]&gt;=18,"Relegated",Table2[[#This Row],['#]]))</f>
        <v>2</v>
      </c>
      <c r="N403">
        <f>IF(COUNTIF($O$2:O403,O403)=1,N402+1,N402)</f>
        <v>43</v>
      </c>
      <c r="O403" s="4" t="str">
        <f>Table2[[#This Row],[Team]]</f>
        <v>Manchester United</v>
      </c>
      <c r="P403" s="1" t="str">
        <f>IFERROR(VLOOKUP(ROWS($O$2:O403),$N$2:$O$441,2,0),"")</f>
        <v/>
      </c>
      <c r="Q403" s="1" t="str">
        <f>IF(P403&lt;&gt;"",SUMPRODUCT(--(Table2[Team]=P403)),"")</f>
        <v/>
      </c>
      <c r="R403" s="11" t="str">
        <f>IF(Q403&lt;&gt;"",Q403+ROWS($Q$2:Q403)/100,"")</f>
        <v/>
      </c>
      <c r="S403" t="str">
        <f>IF(R403&lt;&gt;"",LARGE($R$2:$R$441,ROWS($R$2:R403)),"")</f>
        <v/>
      </c>
      <c r="T403" s="1" t="str">
        <f>IF(R403&lt;&gt;"",INDEX($P$2:$Q$441,MATCH($S403,$R$2:$R$441,0),COLUMNS($S$2:S403)),"")</f>
        <v/>
      </c>
      <c r="U403" s="1" t="str">
        <f>IF(S403&lt;&gt;"",INDEX($P$2:$Q$441,MATCH($S403,$R$2:$R$441,0),COLUMNS($S$2:T403)),"")</f>
        <v/>
      </c>
      <c r="AE403" s="1">
        <f>Table2[[#This Row],[Year]]</f>
        <v>2020</v>
      </c>
      <c r="AF403" s="1">
        <f>Table2[[#This Row],['#]]</f>
        <v>2</v>
      </c>
      <c r="AG403" s="1" t="str">
        <f>Table2[[#This Row],[Team]]</f>
        <v>Manchester United</v>
      </c>
      <c r="AH403" s="1">
        <f>Table2[[#This Row],[Pl]]</f>
        <v>38</v>
      </c>
      <c r="AI403" s="1">
        <f>Table2[[#This Row],[W]]</f>
        <v>21</v>
      </c>
      <c r="AJ403" s="1">
        <f>Table2[[#This Row],[D]]</f>
        <v>11</v>
      </c>
      <c r="AK403" s="1">
        <f>Table2[[#This Row],[L]]</f>
        <v>6</v>
      </c>
      <c r="AL403" s="1">
        <f>Table2[[#This Row],[F]]</f>
        <v>73</v>
      </c>
      <c r="AM403" s="1">
        <f>Table2[[#This Row],[A]]</f>
        <v>44</v>
      </c>
      <c r="AN403" s="1">
        <f>Table2[[#This Row],[GD]]</f>
        <v>29</v>
      </c>
      <c r="AO403" s="1">
        <f>Table2[[#This Row],[Pts]]</f>
        <v>74</v>
      </c>
      <c r="AP403" s="1">
        <f>Table2[[#This Row],[Column1]]</f>
        <v>2</v>
      </c>
      <c r="AR403" t="b">
        <f t="shared" si="10"/>
        <v>1</v>
      </c>
      <c r="AS403">
        <f>IF(AR403,ROWS($AR$2:AR403),"")</f>
        <v>402</v>
      </c>
      <c r="AT403">
        <f>IFERROR(SMALL($AS$2:$AS$440,ROWS($AS$2:AS403)),"")</f>
        <v>402</v>
      </c>
      <c r="AU403">
        <f>IF(AT403&lt;&gt;"",INDEX($AE$2:$AP$440,MATCH($AT403,$AS$2:$AS$440,0),COLUMNS($AT$2:AT403)),"")</f>
        <v>2020</v>
      </c>
      <c r="AV403">
        <f>IF(AU403&lt;&gt;"",INDEX($AE$2:$AP$440,MATCH($AT403,$AS$2:$AS$440,0),COLUMNS($AT$2:AU403)),"")</f>
        <v>2</v>
      </c>
      <c r="AW403" t="str">
        <f>IF(AV403&lt;&gt;"",INDEX($AE$2:$AP$440,MATCH($AT403,$AS$2:$AS$440,0),COLUMNS($AT$2:AV403)),"")</f>
        <v>Manchester United</v>
      </c>
      <c r="AX403">
        <f>IF(AW403&lt;&gt;"",INDEX($AE$2:$AP$440,MATCH($AT403,$AS$2:$AS$440,0),COLUMNS($AT$2:AW403)),"")</f>
        <v>38</v>
      </c>
      <c r="AY403">
        <f>IF(AX403&lt;&gt;"",INDEX($AE$2:$AP$440,MATCH($AT403,$AS$2:$AS$440,0),COLUMNS($AT$2:AX403)),"")</f>
        <v>21</v>
      </c>
      <c r="AZ403">
        <f>IF(AY403&lt;&gt;"",INDEX($AE$2:$AP$440,MATCH($AT403,$AS$2:$AS$440,0),COLUMNS($AT$2:AY403)),"")</f>
        <v>11</v>
      </c>
      <c r="BA403">
        <f>IF(AZ403&lt;&gt;"",INDEX($AE$2:$AP$440,MATCH($AT403,$AS$2:$AS$440,0),COLUMNS($AT$2:AZ403)),"")</f>
        <v>6</v>
      </c>
      <c r="BB403">
        <f>IF(BA403&lt;&gt;"",INDEX($AE$2:$AP$440,MATCH($AT403,$AS$2:$AS$440,0),COLUMNS($AT$2:BA403)),"")</f>
        <v>73</v>
      </c>
      <c r="BC403">
        <f>IF(BB403&lt;&gt;"",INDEX($AE$2:$AP$440,MATCH($AT403,$AS$2:$AS$440,0),COLUMNS($AT$2:BB403)),"")</f>
        <v>44</v>
      </c>
      <c r="BD403">
        <f>IF(BC403&lt;&gt;"",INDEX($AE$2:$AP$440,MATCH($AT403,$AS$2:$AS$440,0),COLUMNS($AT$2:BC403)),"")</f>
        <v>29</v>
      </c>
      <c r="BE403">
        <f>IF(BD403&lt;&gt;"",INDEX($AE$2:$AP$440,MATCH($AT403,$AS$2:$AS$440,0),COLUMNS($AT$2:BD403)),"")</f>
        <v>74</v>
      </c>
      <c r="BF403">
        <f>IF(BE403&lt;&gt;"",INDEX($AE$2:$AP$440,MATCH($AT403,$AS$2:$AS$440,0),COLUMNS($AT$2:BE403)),"")</f>
        <v>2</v>
      </c>
    </row>
    <row r="404" spans="1:58" x14ac:dyDescent="0.25">
      <c r="A404" s="3">
        <v>2020</v>
      </c>
      <c r="B404" s="3">
        <v>3</v>
      </c>
      <c r="C404" s="4" t="s">
        <v>13</v>
      </c>
      <c r="D404" s="3">
        <v>38</v>
      </c>
      <c r="E404" s="3">
        <v>20</v>
      </c>
      <c r="F404" s="3">
        <v>9</v>
      </c>
      <c r="G404" s="3">
        <v>9</v>
      </c>
      <c r="H404" s="3">
        <v>68</v>
      </c>
      <c r="I404" s="3">
        <v>42</v>
      </c>
      <c r="J404" s="3">
        <v>26</v>
      </c>
      <c r="K404" s="3">
        <v>69</v>
      </c>
      <c r="L404" s="5">
        <f>IF(Table2[[#This Row],['#]]=1,"Champion", IF(Table2[[#This Row],['#]]&gt;=18,"Relegated",Table2[[#This Row],['#]]))</f>
        <v>3</v>
      </c>
      <c r="N404">
        <f>IF(COUNTIF($O$2:O404,O404)=1,N403+1,N403)</f>
        <v>43</v>
      </c>
      <c r="O404" s="4" t="str">
        <f>Table2[[#This Row],[Team]]</f>
        <v>Liverpool</v>
      </c>
      <c r="P404" s="1" t="str">
        <f>IFERROR(VLOOKUP(ROWS($O$2:O404),$N$2:$O$441,2,0),"")</f>
        <v/>
      </c>
      <c r="Q404" s="1" t="str">
        <f>IF(P404&lt;&gt;"",SUMPRODUCT(--(Table2[Team]=P404)),"")</f>
        <v/>
      </c>
      <c r="R404" s="11" t="str">
        <f>IF(Q404&lt;&gt;"",Q404+ROWS($Q$2:Q404)/100,"")</f>
        <v/>
      </c>
      <c r="S404" t="str">
        <f>IF(R404&lt;&gt;"",LARGE($R$2:$R$441,ROWS($R$2:R404)),"")</f>
        <v/>
      </c>
      <c r="T404" s="1" t="str">
        <f>IF(R404&lt;&gt;"",INDEX($P$2:$Q$441,MATCH($S404,$R$2:$R$441,0),COLUMNS($S$2:S404)),"")</f>
        <v/>
      </c>
      <c r="U404" s="1" t="str">
        <f>IF(S404&lt;&gt;"",INDEX($P$2:$Q$441,MATCH($S404,$R$2:$R$441,0),COLUMNS($S$2:T404)),"")</f>
        <v/>
      </c>
      <c r="AE404" s="1">
        <f>Table2[[#This Row],[Year]]</f>
        <v>2020</v>
      </c>
      <c r="AF404" s="1">
        <f>Table2[[#This Row],['#]]</f>
        <v>3</v>
      </c>
      <c r="AG404" s="1" t="str">
        <f>Table2[[#This Row],[Team]]</f>
        <v>Liverpool</v>
      </c>
      <c r="AH404" s="1">
        <f>Table2[[#This Row],[Pl]]</f>
        <v>38</v>
      </c>
      <c r="AI404" s="1">
        <f>Table2[[#This Row],[W]]</f>
        <v>20</v>
      </c>
      <c r="AJ404" s="1">
        <f>Table2[[#This Row],[D]]</f>
        <v>9</v>
      </c>
      <c r="AK404" s="1">
        <f>Table2[[#This Row],[L]]</f>
        <v>9</v>
      </c>
      <c r="AL404" s="1">
        <f>Table2[[#This Row],[F]]</f>
        <v>68</v>
      </c>
      <c r="AM404" s="1">
        <f>Table2[[#This Row],[A]]</f>
        <v>42</v>
      </c>
      <c r="AN404" s="1">
        <f>Table2[[#This Row],[GD]]</f>
        <v>26</v>
      </c>
      <c r="AO404" s="1">
        <f>Table2[[#This Row],[Pts]]</f>
        <v>69</v>
      </c>
      <c r="AP404" s="1">
        <f>Table2[[#This Row],[Column1]]</f>
        <v>3</v>
      </c>
      <c r="AR404" t="b">
        <f t="shared" si="10"/>
        <v>1</v>
      </c>
      <c r="AS404">
        <f>IF(AR404,ROWS($AR$2:AR404),"")</f>
        <v>403</v>
      </c>
      <c r="AT404">
        <f>IFERROR(SMALL($AS$2:$AS$440,ROWS($AS$2:AS404)),"")</f>
        <v>403</v>
      </c>
      <c r="AU404">
        <f>IF(AT404&lt;&gt;"",INDEX($AE$2:$AP$440,MATCH($AT404,$AS$2:$AS$440,0),COLUMNS($AT$2:AT404)),"")</f>
        <v>2020</v>
      </c>
      <c r="AV404">
        <f>IF(AU404&lt;&gt;"",INDEX($AE$2:$AP$440,MATCH($AT404,$AS$2:$AS$440,0),COLUMNS($AT$2:AU404)),"")</f>
        <v>3</v>
      </c>
      <c r="AW404" t="str">
        <f>IF(AV404&lt;&gt;"",INDEX($AE$2:$AP$440,MATCH($AT404,$AS$2:$AS$440,0),COLUMNS($AT$2:AV404)),"")</f>
        <v>Liverpool</v>
      </c>
      <c r="AX404">
        <f>IF(AW404&lt;&gt;"",INDEX($AE$2:$AP$440,MATCH($AT404,$AS$2:$AS$440,0),COLUMNS($AT$2:AW404)),"")</f>
        <v>38</v>
      </c>
      <c r="AY404">
        <f>IF(AX404&lt;&gt;"",INDEX($AE$2:$AP$440,MATCH($AT404,$AS$2:$AS$440,0),COLUMNS($AT$2:AX404)),"")</f>
        <v>20</v>
      </c>
      <c r="AZ404">
        <f>IF(AY404&lt;&gt;"",INDEX($AE$2:$AP$440,MATCH($AT404,$AS$2:$AS$440,0),COLUMNS($AT$2:AY404)),"")</f>
        <v>9</v>
      </c>
      <c r="BA404">
        <f>IF(AZ404&lt;&gt;"",INDEX($AE$2:$AP$440,MATCH($AT404,$AS$2:$AS$440,0),COLUMNS($AT$2:AZ404)),"")</f>
        <v>9</v>
      </c>
      <c r="BB404">
        <f>IF(BA404&lt;&gt;"",INDEX($AE$2:$AP$440,MATCH($AT404,$AS$2:$AS$440,0),COLUMNS($AT$2:BA404)),"")</f>
        <v>68</v>
      </c>
      <c r="BC404">
        <f>IF(BB404&lt;&gt;"",INDEX($AE$2:$AP$440,MATCH($AT404,$AS$2:$AS$440,0),COLUMNS($AT$2:BB404)),"")</f>
        <v>42</v>
      </c>
      <c r="BD404">
        <f>IF(BC404&lt;&gt;"",INDEX($AE$2:$AP$440,MATCH($AT404,$AS$2:$AS$440,0),COLUMNS($AT$2:BC404)),"")</f>
        <v>26</v>
      </c>
      <c r="BE404">
        <f>IF(BD404&lt;&gt;"",INDEX($AE$2:$AP$440,MATCH($AT404,$AS$2:$AS$440,0),COLUMNS($AT$2:BD404)),"")</f>
        <v>69</v>
      </c>
      <c r="BF404">
        <f>IF(BE404&lt;&gt;"",INDEX($AE$2:$AP$440,MATCH($AT404,$AS$2:$AS$440,0),COLUMNS($AT$2:BE404)),"")</f>
        <v>3</v>
      </c>
    </row>
    <row r="405" spans="1:58" x14ac:dyDescent="0.25">
      <c r="A405" s="5">
        <v>2020</v>
      </c>
      <c r="B405" s="5">
        <v>4</v>
      </c>
      <c r="C405" s="6" t="s">
        <v>16</v>
      </c>
      <c r="D405" s="5">
        <v>38</v>
      </c>
      <c r="E405" s="5">
        <v>19</v>
      </c>
      <c r="F405" s="5">
        <v>10</v>
      </c>
      <c r="G405" s="5">
        <v>9</v>
      </c>
      <c r="H405" s="5">
        <v>58</v>
      </c>
      <c r="I405" s="5">
        <v>36</v>
      </c>
      <c r="J405" s="5">
        <v>22</v>
      </c>
      <c r="K405" s="5">
        <v>67</v>
      </c>
      <c r="L405" s="5">
        <f>IF(Table2[[#This Row],['#]]=1,"Champion", IF(Table2[[#This Row],['#]]&gt;=18,"Relegated",Table2[[#This Row],['#]]))</f>
        <v>4</v>
      </c>
      <c r="N405">
        <f>IF(COUNTIF($O$2:O405,O405)=1,N404+1,N404)</f>
        <v>43</v>
      </c>
      <c r="O405" s="4" t="str">
        <f>Table2[[#This Row],[Team]]</f>
        <v>Chelsea</v>
      </c>
      <c r="P405" s="1" t="str">
        <f>IFERROR(VLOOKUP(ROWS($O$2:O405),$N$2:$O$441,2,0),"")</f>
        <v/>
      </c>
      <c r="Q405" s="1" t="str">
        <f>IF(P405&lt;&gt;"",SUMPRODUCT(--(Table2[Team]=P405)),"")</f>
        <v/>
      </c>
      <c r="R405" s="11" t="str">
        <f>IF(Q405&lt;&gt;"",Q405+ROWS($Q$2:Q405)/100,"")</f>
        <v/>
      </c>
      <c r="S405" t="str">
        <f>IF(R405&lt;&gt;"",LARGE($R$2:$R$441,ROWS($R$2:R405)),"")</f>
        <v/>
      </c>
      <c r="T405" s="1" t="str">
        <f>IF(R405&lt;&gt;"",INDEX($P$2:$Q$441,MATCH($S405,$R$2:$R$441,0),COLUMNS($S$2:S405)),"")</f>
        <v/>
      </c>
      <c r="U405" s="1" t="str">
        <f>IF(S405&lt;&gt;"",INDEX($P$2:$Q$441,MATCH($S405,$R$2:$R$441,0),COLUMNS($S$2:T405)),"")</f>
        <v/>
      </c>
      <c r="AE405" s="1">
        <f>Table2[[#This Row],[Year]]</f>
        <v>2020</v>
      </c>
      <c r="AF405" s="1">
        <f>Table2[[#This Row],['#]]</f>
        <v>4</v>
      </c>
      <c r="AG405" s="1" t="str">
        <f>Table2[[#This Row],[Team]]</f>
        <v>Chelsea</v>
      </c>
      <c r="AH405" s="1">
        <f>Table2[[#This Row],[Pl]]</f>
        <v>38</v>
      </c>
      <c r="AI405" s="1">
        <f>Table2[[#This Row],[W]]</f>
        <v>19</v>
      </c>
      <c r="AJ405" s="1">
        <f>Table2[[#This Row],[D]]</f>
        <v>10</v>
      </c>
      <c r="AK405" s="1">
        <f>Table2[[#This Row],[L]]</f>
        <v>9</v>
      </c>
      <c r="AL405" s="1">
        <f>Table2[[#This Row],[F]]</f>
        <v>58</v>
      </c>
      <c r="AM405" s="1">
        <f>Table2[[#This Row],[A]]</f>
        <v>36</v>
      </c>
      <c r="AN405" s="1">
        <f>Table2[[#This Row],[GD]]</f>
        <v>22</v>
      </c>
      <c r="AO405" s="1">
        <f>Table2[[#This Row],[Pts]]</f>
        <v>67</v>
      </c>
      <c r="AP405" s="1">
        <f>Table2[[#This Row],[Column1]]</f>
        <v>4</v>
      </c>
      <c r="AR405" t="b">
        <f t="shared" si="10"/>
        <v>1</v>
      </c>
      <c r="AS405">
        <f>IF(AR405,ROWS($AR$2:AR405),"")</f>
        <v>404</v>
      </c>
      <c r="AT405">
        <f>IFERROR(SMALL($AS$2:$AS$440,ROWS($AS$2:AS405)),"")</f>
        <v>404</v>
      </c>
      <c r="AU405">
        <f>IF(AT405&lt;&gt;"",INDEX($AE$2:$AP$440,MATCH($AT405,$AS$2:$AS$440,0),COLUMNS($AT$2:AT405)),"")</f>
        <v>2020</v>
      </c>
      <c r="AV405">
        <f>IF(AU405&lt;&gt;"",INDEX($AE$2:$AP$440,MATCH($AT405,$AS$2:$AS$440,0),COLUMNS($AT$2:AU405)),"")</f>
        <v>4</v>
      </c>
      <c r="AW405" t="str">
        <f>IF(AV405&lt;&gt;"",INDEX($AE$2:$AP$440,MATCH($AT405,$AS$2:$AS$440,0),COLUMNS($AT$2:AV405)),"")</f>
        <v>Chelsea</v>
      </c>
      <c r="AX405">
        <f>IF(AW405&lt;&gt;"",INDEX($AE$2:$AP$440,MATCH($AT405,$AS$2:$AS$440,0),COLUMNS($AT$2:AW405)),"")</f>
        <v>38</v>
      </c>
      <c r="AY405">
        <f>IF(AX405&lt;&gt;"",INDEX($AE$2:$AP$440,MATCH($AT405,$AS$2:$AS$440,0),COLUMNS($AT$2:AX405)),"")</f>
        <v>19</v>
      </c>
      <c r="AZ405">
        <f>IF(AY405&lt;&gt;"",INDEX($AE$2:$AP$440,MATCH($AT405,$AS$2:$AS$440,0),COLUMNS($AT$2:AY405)),"")</f>
        <v>10</v>
      </c>
      <c r="BA405">
        <f>IF(AZ405&lt;&gt;"",INDEX($AE$2:$AP$440,MATCH($AT405,$AS$2:$AS$440,0),COLUMNS($AT$2:AZ405)),"")</f>
        <v>9</v>
      </c>
      <c r="BB405">
        <f>IF(BA405&lt;&gt;"",INDEX($AE$2:$AP$440,MATCH($AT405,$AS$2:$AS$440,0),COLUMNS($AT$2:BA405)),"")</f>
        <v>58</v>
      </c>
      <c r="BC405">
        <f>IF(BB405&lt;&gt;"",INDEX($AE$2:$AP$440,MATCH($AT405,$AS$2:$AS$440,0),COLUMNS($AT$2:BB405)),"")</f>
        <v>36</v>
      </c>
      <c r="BD405">
        <f>IF(BC405&lt;&gt;"",INDEX($AE$2:$AP$440,MATCH($AT405,$AS$2:$AS$440,0),COLUMNS($AT$2:BC405)),"")</f>
        <v>22</v>
      </c>
      <c r="BE405">
        <f>IF(BD405&lt;&gt;"",INDEX($AE$2:$AP$440,MATCH($AT405,$AS$2:$AS$440,0),COLUMNS($AT$2:BD405)),"")</f>
        <v>67</v>
      </c>
      <c r="BF405">
        <f>IF(BE405&lt;&gt;"",INDEX($AE$2:$AP$440,MATCH($AT405,$AS$2:$AS$440,0),COLUMNS($AT$2:BE405)),"")</f>
        <v>4</v>
      </c>
    </row>
    <row r="406" spans="1:58" x14ac:dyDescent="0.25">
      <c r="A406" s="3">
        <v>2020</v>
      </c>
      <c r="B406" s="3">
        <v>5</v>
      </c>
      <c r="C406" s="4" t="s">
        <v>23</v>
      </c>
      <c r="D406" s="3">
        <v>38</v>
      </c>
      <c r="E406" s="3">
        <v>20</v>
      </c>
      <c r="F406" s="3">
        <v>6</v>
      </c>
      <c r="G406" s="3">
        <v>12</v>
      </c>
      <c r="H406" s="3">
        <v>68</v>
      </c>
      <c r="I406" s="3">
        <v>50</v>
      </c>
      <c r="J406" s="3">
        <v>18</v>
      </c>
      <c r="K406" s="3">
        <v>66</v>
      </c>
      <c r="L406" s="5">
        <f>IF(Table2[[#This Row],['#]]=1,"Champion", IF(Table2[[#This Row],['#]]&gt;=18,"Relegated",Table2[[#This Row],['#]]))</f>
        <v>5</v>
      </c>
      <c r="N406">
        <f>IF(COUNTIF($O$2:O406,O406)=1,N405+1,N405)</f>
        <v>43</v>
      </c>
      <c r="O406" s="4" t="str">
        <f>Table2[[#This Row],[Team]]</f>
        <v>Leicester City</v>
      </c>
      <c r="P406" s="1" t="str">
        <f>IFERROR(VLOOKUP(ROWS($O$2:O406),$N$2:$O$441,2,0),"")</f>
        <v/>
      </c>
      <c r="Q406" s="1" t="str">
        <f>IF(P406&lt;&gt;"",SUMPRODUCT(--(Table2[Team]=P406)),"")</f>
        <v/>
      </c>
      <c r="R406" s="11" t="str">
        <f>IF(Q406&lt;&gt;"",Q406+ROWS($Q$2:Q406)/100,"")</f>
        <v/>
      </c>
      <c r="S406" t="str">
        <f>IF(R406&lt;&gt;"",LARGE($R$2:$R$441,ROWS($R$2:R406)),"")</f>
        <v/>
      </c>
      <c r="T406" s="1" t="str">
        <f>IF(R406&lt;&gt;"",INDEX($P$2:$Q$441,MATCH($S406,$R$2:$R$441,0),COLUMNS($S$2:S406)),"")</f>
        <v/>
      </c>
      <c r="U406" s="1" t="str">
        <f>IF(S406&lt;&gt;"",INDEX($P$2:$Q$441,MATCH($S406,$R$2:$R$441,0),COLUMNS($S$2:T406)),"")</f>
        <v/>
      </c>
      <c r="AE406" s="1">
        <f>Table2[[#This Row],[Year]]</f>
        <v>2020</v>
      </c>
      <c r="AF406" s="1">
        <f>Table2[[#This Row],['#]]</f>
        <v>5</v>
      </c>
      <c r="AG406" s="1" t="str">
        <f>Table2[[#This Row],[Team]]</f>
        <v>Leicester City</v>
      </c>
      <c r="AH406" s="1">
        <f>Table2[[#This Row],[Pl]]</f>
        <v>38</v>
      </c>
      <c r="AI406" s="1">
        <f>Table2[[#This Row],[W]]</f>
        <v>20</v>
      </c>
      <c r="AJ406" s="1">
        <f>Table2[[#This Row],[D]]</f>
        <v>6</v>
      </c>
      <c r="AK406" s="1">
        <f>Table2[[#This Row],[L]]</f>
        <v>12</v>
      </c>
      <c r="AL406" s="1">
        <f>Table2[[#This Row],[F]]</f>
        <v>68</v>
      </c>
      <c r="AM406" s="1">
        <f>Table2[[#This Row],[A]]</f>
        <v>50</v>
      </c>
      <c r="AN406" s="1">
        <f>Table2[[#This Row],[GD]]</f>
        <v>18</v>
      </c>
      <c r="AO406" s="1">
        <f>Table2[[#This Row],[Pts]]</f>
        <v>66</v>
      </c>
      <c r="AP406" s="1">
        <f>Table2[[#This Row],[Column1]]</f>
        <v>5</v>
      </c>
      <c r="AR406" t="b">
        <f t="shared" si="10"/>
        <v>1</v>
      </c>
      <c r="AS406">
        <f>IF(AR406,ROWS($AR$2:AR406),"")</f>
        <v>405</v>
      </c>
      <c r="AT406">
        <f>IFERROR(SMALL($AS$2:$AS$440,ROWS($AS$2:AS406)),"")</f>
        <v>405</v>
      </c>
      <c r="AU406">
        <f>IF(AT406&lt;&gt;"",INDEX($AE$2:$AP$440,MATCH($AT406,$AS$2:$AS$440,0),COLUMNS($AT$2:AT406)),"")</f>
        <v>2020</v>
      </c>
      <c r="AV406">
        <f>IF(AU406&lt;&gt;"",INDEX($AE$2:$AP$440,MATCH($AT406,$AS$2:$AS$440,0),COLUMNS($AT$2:AU406)),"")</f>
        <v>5</v>
      </c>
      <c r="AW406" t="str">
        <f>IF(AV406&lt;&gt;"",INDEX($AE$2:$AP$440,MATCH($AT406,$AS$2:$AS$440,0),COLUMNS($AT$2:AV406)),"")</f>
        <v>Leicester City</v>
      </c>
      <c r="AX406">
        <f>IF(AW406&lt;&gt;"",INDEX($AE$2:$AP$440,MATCH($AT406,$AS$2:$AS$440,0),COLUMNS($AT$2:AW406)),"")</f>
        <v>38</v>
      </c>
      <c r="AY406">
        <f>IF(AX406&lt;&gt;"",INDEX($AE$2:$AP$440,MATCH($AT406,$AS$2:$AS$440,0),COLUMNS($AT$2:AX406)),"")</f>
        <v>20</v>
      </c>
      <c r="AZ406">
        <f>IF(AY406&lt;&gt;"",INDEX($AE$2:$AP$440,MATCH($AT406,$AS$2:$AS$440,0),COLUMNS($AT$2:AY406)),"")</f>
        <v>6</v>
      </c>
      <c r="BA406">
        <f>IF(AZ406&lt;&gt;"",INDEX($AE$2:$AP$440,MATCH($AT406,$AS$2:$AS$440,0),COLUMNS($AT$2:AZ406)),"")</f>
        <v>12</v>
      </c>
      <c r="BB406">
        <f>IF(BA406&lt;&gt;"",INDEX($AE$2:$AP$440,MATCH($AT406,$AS$2:$AS$440,0),COLUMNS($AT$2:BA406)),"")</f>
        <v>68</v>
      </c>
      <c r="BC406">
        <f>IF(BB406&lt;&gt;"",INDEX($AE$2:$AP$440,MATCH($AT406,$AS$2:$AS$440,0),COLUMNS($AT$2:BB406)),"")</f>
        <v>50</v>
      </c>
      <c r="BD406">
        <f>IF(BC406&lt;&gt;"",INDEX($AE$2:$AP$440,MATCH($AT406,$AS$2:$AS$440,0),COLUMNS($AT$2:BC406)),"")</f>
        <v>18</v>
      </c>
      <c r="BE406">
        <f>IF(BD406&lt;&gt;"",INDEX($AE$2:$AP$440,MATCH($AT406,$AS$2:$AS$440,0),COLUMNS($AT$2:BD406)),"")</f>
        <v>66</v>
      </c>
      <c r="BF406">
        <f>IF(BE406&lt;&gt;"",INDEX($AE$2:$AP$440,MATCH($AT406,$AS$2:$AS$440,0),COLUMNS($AT$2:BE406)),"")</f>
        <v>5</v>
      </c>
    </row>
    <row r="407" spans="1:58" x14ac:dyDescent="0.25">
      <c r="A407" s="5">
        <v>2020</v>
      </c>
      <c r="B407" s="5">
        <v>6</v>
      </c>
      <c r="C407" s="6" t="s">
        <v>25</v>
      </c>
      <c r="D407" s="5">
        <v>38</v>
      </c>
      <c r="E407" s="5">
        <v>19</v>
      </c>
      <c r="F407" s="5">
        <v>8</v>
      </c>
      <c r="G407" s="5">
        <v>11</v>
      </c>
      <c r="H407" s="5">
        <v>62</v>
      </c>
      <c r="I407" s="5">
        <v>47</v>
      </c>
      <c r="J407" s="5">
        <v>15</v>
      </c>
      <c r="K407" s="5">
        <v>65</v>
      </c>
      <c r="L407" s="5">
        <f>IF(Table2[[#This Row],['#]]=1,"Champion", IF(Table2[[#This Row],['#]]&gt;=18,"Relegated",Table2[[#This Row],['#]]))</f>
        <v>6</v>
      </c>
      <c r="N407">
        <f>IF(COUNTIF($O$2:O407,O407)=1,N406+1,N406)</f>
        <v>43</v>
      </c>
      <c r="O407" s="4" t="str">
        <f>Table2[[#This Row],[Team]]</f>
        <v>West Ham United</v>
      </c>
      <c r="P407" s="1" t="str">
        <f>IFERROR(VLOOKUP(ROWS($O$2:O407),$N$2:$O$441,2,0),"")</f>
        <v/>
      </c>
      <c r="Q407" s="1" t="str">
        <f>IF(P407&lt;&gt;"",SUMPRODUCT(--(Table2[Team]=P407)),"")</f>
        <v/>
      </c>
      <c r="R407" s="11" t="str">
        <f>IF(Q407&lt;&gt;"",Q407+ROWS($Q$2:Q407)/100,"")</f>
        <v/>
      </c>
      <c r="S407" t="str">
        <f>IF(R407&lt;&gt;"",LARGE($R$2:$R$441,ROWS($R$2:R407)),"")</f>
        <v/>
      </c>
      <c r="T407" s="1" t="str">
        <f>IF(R407&lt;&gt;"",INDEX($P$2:$Q$441,MATCH($S407,$R$2:$R$441,0),COLUMNS($S$2:S407)),"")</f>
        <v/>
      </c>
      <c r="U407" s="1" t="str">
        <f>IF(S407&lt;&gt;"",INDEX($P$2:$Q$441,MATCH($S407,$R$2:$R$441,0),COLUMNS($S$2:T407)),"")</f>
        <v/>
      </c>
      <c r="AE407" s="1">
        <f>Table2[[#This Row],[Year]]</f>
        <v>2020</v>
      </c>
      <c r="AF407" s="1">
        <f>Table2[[#This Row],['#]]</f>
        <v>6</v>
      </c>
      <c r="AG407" s="1" t="str">
        <f>Table2[[#This Row],[Team]]</f>
        <v>West Ham United</v>
      </c>
      <c r="AH407" s="1">
        <f>Table2[[#This Row],[Pl]]</f>
        <v>38</v>
      </c>
      <c r="AI407" s="1">
        <f>Table2[[#This Row],[W]]</f>
        <v>19</v>
      </c>
      <c r="AJ407" s="1">
        <f>Table2[[#This Row],[D]]</f>
        <v>8</v>
      </c>
      <c r="AK407" s="1">
        <f>Table2[[#This Row],[L]]</f>
        <v>11</v>
      </c>
      <c r="AL407" s="1">
        <f>Table2[[#This Row],[F]]</f>
        <v>62</v>
      </c>
      <c r="AM407" s="1">
        <f>Table2[[#This Row],[A]]</f>
        <v>47</v>
      </c>
      <c r="AN407" s="1">
        <f>Table2[[#This Row],[GD]]</f>
        <v>15</v>
      </c>
      <c r="AO407" s="1">
        <f>Table2[[#This Row],[Pts]]</f>
        <v>65</v>
      </c>
      <c r="AP407" s="1">
        <f>Table2[[#This Row],[Column1]]</f>
        <v>6</v>
      </c>
      <c r="AR407" t="b">
        <f t="shared" si="10"/>
        <v>1</v>
      </c>
      <c r="AS407">
        <f>IF(AR407,ROWS($AR$2:AR407),"")</f>
        <v>406</v>
      </c>
      <c r="AT407">
        <f>IFERROR(SMALL($AS$2:$AS$440,ROWS($AS$2:AS407)),"")</f>
        <v>406</v>
      </c>
      <c r="AU407">
        <f>IF(AT407&lt;&gt;"",INDEX($AE$2:$AP$440,MATCH($AT407,$AS$2:$AS$440,0),COLUMNS($AT$2:AT407)),"")</f>
        <v>2020</v>
      </c>
      <c r="AV407">
        <f>IF(AU407&lt;&gt;"",INDEX($AE$2:$AP$440,MATCH($AT407,$AS$2:$AS$440,0),COLUMNS($AT$2:AU407)),"")</f>
        <v>6</v>
      </c>
      <c r="AW407" t="str">
        <f>IF(AV407&lt;&gt;"",INDEX($AE$2:$AP$440,MATCH($AT407,$AS$2:$AS$440,0),COLUMNS($AT$2:AV407)),"")</f>
        <v>West Ham United</v>
      </c>
      <c r="AX407">
        <f>IF(AW407&lt;&gt;"",INDEX($AE$2:$AP$440,MATCH($AT407,$AS$2:$AS$440,0),COLUMNS($AT$2:AW407)),"")</f>
        <v>38</v>
      </c>
      <c r="AY407">
        <f>IF(AX407&lt;&gt;"",INDEX($AE$2:$AP$440,MATCH($AT407,$AS$2:$AS$440,0),COLUMNS($AT$2:AX407)),"")</f>
        <v>19</v>
      </c>
      <c r="AZ407">
        <f>IF(AY407&lt;&gt;"",INDEX($AE$2:$AP$440,MATCH($AT407,$AS$2:$AS$440,0),COLUMNS($AT$2:AY407)),"")</f>
        <v>8</v>
      </c>
      <c r="BA407">
        <f>IF(AZ407&lt;&gt;"",INDEX($AE$2:$AP$440,MATCH($AT407,$AS$2:$AS$440,0),COLUMNS($AT$2:AZ407)),"")</f>
        <v>11</v>
      </c>
      <c r="BB407">
        <f>IF(BA407&lt;&gt;"",INDEX($AE$2:$AP$440,MATCH($AT407,$AS$2:$AS$440,0),COLUMNS($AT$2:BA407)),"")</f>
        <v>62</v>
      </c>
      <c r="BC407">
        <f>IF(BB407&lt;&gt;"",INDEX($AE$2:$AP$440,MATCH($AT407,$AS$2:$AS$440,0),COLUMNS($AT$2:BB407)),"")</f>
        <v>47</v>
      </c>
      <c r="BD407">
        <f>IF(BC407&lt;&gt;"",INDEX($AE$2:$AP$440,MATCH($AT407,$AS$2:$AS$440,0),COLUMNS($AT$2:BC407)),"")</f>
        <v>15</v>
      </c>
      <c r="BE407">
        <f>IF(BD407&lt;&gt;"",INDEX($AE$2:$AP$440,MATCH($AT407,$AS$2:$AS$440,0),COLUMNS($AT$2:BD407)),"")</f>
        <v>65</v>
      </c>
      <c r="BF407">
        <f>IF(BE407&lt;&gt;"",INDEX($AE$2:$AP$440,MATCH($AT407,$AS$2:$AS$440,0),COLUMNS($AT$2:BE407)),"")</f>
        <v>6</v>
      </c>
    </row>
    <row r="408" spans="1:58" x14ac:dyDescent="0.25">
      <c r="A408" s="3">
        <v>2020</v>
      </c>
      <c r="B408" s="3">
        <v>7</v>
      </c>
      <c r="C408" s="4" t="s">
        <v>22</v>
      </c>
      <c r="D408" s="3">
        <v>38</v>
      </c>
      <c r="E408" s="3">
        <v>18</v>
      </c>
      <c r="F408" s="3">
        <v>8</v>
      </c>
      <c r="G408" s="3">
        <v>12</v>
      </c>
      <c r="H408" s="3">
        <v>68</v>
      </c>
      <c r="I408" s="3">
        <v>45</v>
      </c>
      <c r="J408" s="3">
        <v>23</v>
      </c>
      <c r="K408" s="3">
        <v>62</v>
      </c>
      <c r="L408" s="5">
        <f>IF(Table2[[#This Row],['#]]=1,"Champion", IF(Table2[[#This Row],['#]]&gt;=18,"Relegated",Table2[[#This Row],['#]]))</f>
        <v>7</v>
      </c>
      <c r="N408">
        <f>IF(COUNTIF($O$2:O408,O408)=1,N407+1,N407)</f>
        <v>43</v>
      </c>
      <c r="O408" s="4" t="str">
        <f>Table2[[#This Row],[Team]]</f>
        <v>Tottenham Hotspur</v>
      </c>
      <c r="P408" s="1" t="str">
        <f>IFERROR(VLOOKUP(ROWS($O$2:O408),$N$2:$O$441,2,0),"")</f>
        <v/>
      </c>
      <c r="Q408" s="1" t="str">
        <f>IF(P408&lt;&gt;"",SUMPRODUCT(--(Table2[Team]=P408)),"")</f>
        <v/>
      </c>
      <c r="R408" s="11" t="str">
        <f>IF(Q408&lt;&gt;"",Q408+ROWS($Q$2:Q408)/100,"")</f>
        <v/>
      </c>
      <c r="S408" t="str">
        <f>IF(R408&lt;&gt;"",LARGE($R$2:$R$441,ROWS($R$2:R408)),"")</f>
        <v/>
      </c>
      <c r="T408" s="1" t="str">
        <f>IF(R408&lt;&gt;"",INDEX($P$2:$Q$441,MATCH($S408,$R$2:$R$441,0),COLUMNS($S$2:S408)),"")</f>
        <v/>
      </c>
      <c r="U408" s="1" t="str">
        <f>IF(S408&lt;&gt;"",INDEX($P$2:$Q$441,MATCH($S408,$R$2:$R$441,0),COLUMNS($S$2:T408)),"")</f>
        <v/>
      </c>
      <c r="AE408" s="1">
        <f>Table2[[#This Row],[Year]]</f>
        <v>2020</v>
      </c>
      <c r="AF408" s="1">
        <f>Table2[[#This Row],['#]]</f>
        <v>7</v>
      </c>
      <c r="AG408" s="1" t="str">
        <f>Table2[[#This Row],[Team]]</f>
        <v>Tottenham Hotspur</v>
      </c>
      <c r="AH408" s="1">
        <f>Table2[[#This Row],[Pl]]</f>
        <v>38</v>
      </c>
      <c r="AI408" s="1">
        <f>Table2[[#This Row],[W]]</f>
        <v>18</v>
      </c>
      <c r="AJ408" s="1">
        <f>Table2[[#This Row],[D]]</f>
        <v>8</v>
      </c>
      <c r="AK408" s="1">
        <f>Table2[[#This Row],[L]]</f>
        <v>12</v>
      </c>
      <c r="AL408" s="1">
        <f>Table2[[#This Row],[F]]</f>
        <v>68</v>
      </c>
      <c r="AM408" s="1">
        <f>Table2[[#This Row],[A]]</f>
        <v>45</v>
      </c>
      <c r="AN408" s="1">
        <f>Table2[[#This Row],[GD]]</f>
        <v>23</v>
      </c>
      <c r="AO408" s="1">
        <f>Table2[[#This Row],[Pts]]</f>
        <v>62</v>
      </c>
      <c r="AP408" s="1">
        <f>Table2[[#This Row],[Column1]]</f>
        <v>7</v>
      </c>
      <c r="AR408" t="b">
        <f t="shared" si="10"/>
        <v>1</v>
      </c>
      <c r="AS408">
        <f>IF(AR408,ROWS($AR$2:AR408),"")</f>
        <v>407</v>
      </c>
      <c r="AT408">
        <f>IFERROR(SMALL($AS$2:$AS$440,ROWS($AS$2:AS408)),"")</f>
        <v>407</v>
      </c>
      <c r="AU408">
        <f>IF(AT408&lt;&gt;"",INDEX($AE$2:$AP$440,MATCH($AT408,$AS$2:$AS$440,0),COLUMNS($AT$2:AT408)),"")</f>
        <v>2020</v>
      </c>
      <c r="AV408">
        <f>IF(AU408&lt;&gt;"",INDEX($AE$2:$AP$440,MATCH($AT408,$AS$2:$AS$440,0),COLUMNS($AT$2:AU408)),"")</f>
        <v>7</v>
      </c>
      <c r="AW408" t="str">
        <f>IF(AV408&lt;&gt;"",INDEX($AE$2:$AP$440,MATCH($AT408,$AS$2:$AS$440,0),COLUMNS($AT$2:AV408)),"")</f>
        <v>Tottenham Hotspur</v>
      </c>
      <c r="AX408">
        <f>IF(AW408&lt;&gt;"",INDEX($AE$2:$AP$440,MATCH($AT408,$AS$2:$AS$440,0),COLUMNS($AT$2:AW408)),"")</f>
        <v>38</v>
      </c>
      <c r="AY408">
        <f>IF(AX408&lt;&gt;"",INDEX($AE$2:$AP$440,MATCH($AT408,$AS$2:$AS$440,0),COLUMNS($AT$2:AX408)),"")</f>
        <v>18</v>
      </c>
      <c r="AZ408">
        <f>IF(AY408&lt;&gt;"",INDEX($AE$2:$AP$440,MATCH($AT408,$AS$2:$AS$440,0),COLUMNS($AT$2:AY408)),"")</f>
        <v>8</v>
      </c>
      <c r="BA408">
        <f>IF(AZ408&lt;&gt;"",INDEX($AE$2:$AP$440,MATCH($AT408,$AS$2:$AS$440,0),COLUMNS($AT$2:AZ408)),"")</f>
        <v>12</v>
      </c>
      <c r="BB408">
        <f>IF(BA408&lt;&gt;"",INDEX($AE$2:$AP$440,MATCH($AT408,$AS$2:$AS$440,0),COLUMNS($AT$2:BA408)),"")</f>
        <v>68</v>
      </c>
      <c r="BC408">
        <f>IF(BB408&lt;&gt;"",INDEX($AE$2:$AP$440,MATCH($AT408,$AS$2:$AS$440,0),COLUMNS($AT$2:BB408)),"")</f>
        <v>45</v>
      </c>
      <c r="BD408">
        <f>IF(BC408&lt;&gt;"",INDEX($AE$2:$AP$440,MATCH($AT408,$AS$2:$AS$440,0),COLUMNS($AT$2:BC408)),"")</f>
        <v>23</v>
      </c>
      <c r="BE408">
        <f>IF(BD408&lt;&gt;"",INDEX($AE$2:$AP$440,MATCH($AT408,$AS$2:$AS$440,0),COLUMNS($AT$2:BD408)),"")</f>
        <v>62</v>
      </c>
      <c r="BF408">
        <f>IF(BE408&lt;&gt;"",INDEX($AE$2:$AP$440,MATCH($AT408,$AS$2:$AS$440,0),COLUMNS($AT$2:BE408)),"")</f>
        <v>7</v>
      </c>
    </row>
    <row r="409" spans="1:58" x14ac:dyDescent="0.25">
      <c r="A409" s="5">
        <v>2020</v>
      </c>
      <c r="B409" s="5">
        <v>8</v>
      </c>
      <c r="C409" s="6" t="s">
        <v>12</v>
      </c>
      <c r="D409" s="5">
        <v>38</v>
      </c>
      <c r="E409" s="5">
        <v>18</v>
      </c>
      <c r="F409" s="5">
        <v>7</v>
      </c>
      <c r="G409" s="5">
        <v>13</v>
      </c>
      <c r="H409" s="5">
        <v>55</v>
      </c>
      <c r="I409" s="5">
        <v>39</v>
      </c>
      <c r="J409" s="5">
        <v>16</v>
      </c>
      <c r="K409" s="5">
        <v>61</v>
      </c>
      <c r="L409" s="5">
        <f>IF(Table2[[#This Row],['#]]=1,"Champion", IF(Table2[[#This Row],['#]]&gt;=18,"Relegated",Table2[[#This Row],['#]]))</f>
        <v>8</v>
      </c>
      <c r="N409">
        <f>IF(COUNTIF($O$2:O409,O409)=1,N408+1,N408)</f>
        <v>43</v>
      </c>
      <c r="O409" s="4" t="str">
        <f>Table2[[#This Row],[Team]]</f>
        <v>Arsenal</v>
      </c>
      <c r="P409" s="1" t="str">
        <f>IFERROR(VLOOKUP(ROWS($O$2:O409),$N$2:$O$441,2,0),"")</f>
        <v/>
      </c>
      <c r="Q409" s="1" t="str">
        <f>IF(P409&lt;&gt;"",SUMPRODUCT(--(Table2[Team]=P409)),"")</f>
        <v/>
      </c>
      <c r="R409" s="11" t="str">
        <f>IF(Q409&lt;&gt;"",Q409+ROWS($Q$2:Q409)/100,"")</f>
        <v/>
      </c>
      <c r="S409" t="str">
        <f>IF(R409&lt;&gt;"",LARGE($R$2:$R$441,ROWS($R$2:R409)),"")</f>
        <v/>
      </c>
      <c r="T409" s="1" t="str">
        <f>IF(R409&lt;&gt;"",INDEX($P$2:$Q$441,MATCH($S409,$R$2:$R$441,0),COLUMNS($S$2:S409)),"")</f>
        <v/>
      </c>
      <c r="U409" s="1" t="str">
        <f>IF(S409&lt;&gt;"",INDEX($P$2:$Q$441,MATCH($S409,$R$2:$R$441,0),COLUMNS($S$2:T409)),"")</f>
        <v/>
      </c>
      <c r="AE409" s="1">
        <f>Table2[[#This Row],[Year]]</f>
        <v>2020</v>
      </c>
      <c r="AF409" s="1">
        <f>Table2[[#This Row],['#]]</f>
        <v>8</v>
      </c>
      <c r="AG409" s="1" t="str">
        <f>Table2[[#This Row],[Team]]</f>
        <v>Arsenal</v>
      </c>
      <c r="AH409" s="1">
        <f>Table2[[#This Row],[Pl]]</f>
        <v>38</v>
      </c>
      <c r="AI409" s="1">
        <f>Table2[[#This Row],[W]]</f>
        <v>18</v>
      </c>
      <c r="AJ409" s="1">
        <f>Table2[[#This Row],[D]]</f>
        <v>7</v>
      </c>
      <c r="AK409" s="1">
        <f>Table2[[#This Row],[L]]</f>
        <v>13</v>
      </c>
      <c r="AL409" s="1">
        <f>Table2[[#This Row],[F]]</f>
        <v>55</v>
      </c>
      <c r="AM409" s="1">
        <f>Table2[[#This Row],[A]]</f>
        <v>39</v>
      </c>
      <c r="AN409" s="1">
        <f>Table2[[#This Row],[GD]]</f>
        <v>16</v>
      </c>
      <c r="AO409" s="1">
        <f>Table2[[#This Row],[Pts]]</f>
        <v>61</v>
      </c>
      <c r="AP409" s="1">
        <f>Table2[[#This Row],[Column1]]</f>
        <v>8</v>
      </c>
      <c r="AR409" t="b">
        <f t="shared" si="10"/>
        <v>1</v>
      </c>
      <c r="AS409">
        <f>IF(AR409,ROWS($AR$2:AR409),"")</f>
        <v>408</v>
      </c>
      <c r="AT409">
        <f>IFERROR(SMALL($AS$2:$AS$440,ROWS($AS$2:AS409)),"")</f>
        <v>408</v>
      </c>
      <c r="AU409">
        <f>IF(AT409&lt;&gt;"",INDEX($AE$2:$AP$440,MATCH($AT409,$AS$2:$AS$440,0),COLUMNS($AT$2:AT409)),"")</f>
        <v>2020</v>
      </c>
      <c r="AV409">
        <f>IF(AU409&lt;&gt;"",INDEX($AE$2:$AP$440,MATCH($AT409,$AS$2:$AS$440,0),COLUMNS($AT$2:AU409)),"")</f>
        <v>8</v>
      </c>
      <c r="AW409" t="str">
        <f>IF(AV409&lt;&gt;"",INDEX($AE$2:$AP$440,MATCH($AT409,$AS$2:$AS$440,0),COLUMNS($AT$2:AV409)),"")</f>
        <v>Arsenal</v>
      </c>
      <c r="AX409">
        <f>IF(AW409&lt;&gt;"",INDEX($AE$2:$AP$440,MATCH($AT409,$AS$2:$AS$440,0),COLUMNS($AT$2:AW409)),"")</f>
        <v>38</v>
      </c>
      <c r="AY409">
        <f>IF(AX409&lt;&gt;"",INDEX($AE$2:$AP$440,MATCH($AT409,$AS$2:$AS$440,0),COLUMNS($AT$2:AX409)),"")</f>
        <v>18</v>
      </c>
      <c r="AZ409">
        <f>IF(AY409&lt;&gt;"",INDEX($AE$2:$AP$440,MATCH($AT409,$AS$2:$AS$440,0),COLUMNS($AT$2:AY409)),"")</f>
        <v>7</v>
      </c>
      <c r="BA409">
        <f>IF(AZ409&lt;&gt;"",INDEX($AE$2:$AP$440,MATCH($AT409,$AS$2:$AS$440,0),COLUMNS($AT$2:AZ409)),"")</f>
        <v>13</v>
      </c>
      <c r="BB409">
        <f>IF(BA409&lt;&gt;"",INDEX($AE$2:$AP$440,MATCH($AT409,$AS$2:$AS$440,0),COLUMNS($AT$2:BA409)),"")</f>
        <v>55</v>
      </c>
      <c r="BC409">
        <f>IF(BB409&lt;&gt;"",INDEX($AE$2:$AP$440,MATCH($AT409,$AS$2:$AS$440,0),COLUMNS($AT$2:BB409)),"")</f>
        <v>39</v>
      </c>
      <c r="BD409">
        <f>IF(BC409&lt;&gt;"",INDEX($AE$2:$AP$440,MATCH($AT409,$AS$2:$AS$440,0),COLUMNS($AT$2:BC409)),"")</f>
        <v>16</v>
      </c>
      <c r="BE409">
        <f>IF(BD409&lt;&gt;"",INDEX($AE$2:$AP$440,MATCH($AT409,$AS$2:$AS$440,0),COLUMNS($AT$2:BD409)),"")</f>
        <v>61</v>
      </c>
      <c r="BF409">
        <f>IF(BE409&lt;&gt;"",INDEX($AE$2:$AP$440,MATCH($AT409,$AS$2:$AS$440,0),COLUMNS($AT$2:BE409)),"")</f>
        <v>8</v>
      </c>
    </row>
    <row r="410" spans="1:58" x14ac:dyDescent="0.25">
      <c r="A410" s="3">
        <v>2020</v>
      </c>
      <c r="B410" s="3">
        <v>9</v>
      </c>
      <c r="C410" s="4" t="s">
        <v>14</v>
      </c>
      <c r="D410" s="3">
        <v>38</v>
      </c>
      <c r="E410" s="3">
        <v>18</v>
      </c>
      <c r="F410" s="3">
        <v>5</v>
      </c>
      <c r="G410" s="3">
        <v>15</v>
      </c>
      <c r="H410" s="3">
        <v>62</v>
      </c>
      <c r="I410" s="3">
        <v>54</v>
      </c>
      <c r="J410" s="3">
        <v>8</v>
      </c>
      <c r="K410" s="3">
        <v>59</v>
      </c>
      <c r="L410" s="5">
        <f>IF(Table2[[#This Row],['#]]=1,"Champion", IF(Table2[[#This Row],['#]]&gt;=18,"Relegated",Table2[[#This Row],['#]]))</f>
        <v>9</v>
      </c>
      <c r="N410">
        <f>IF(COUNTIF($O$2:O410,O410)=1,N409+1,N409)</f>
        <v>43</v>
      </c>
      <c r="O410" s="4" t="str">
        <f>Table2[[#This Row],[Team]]</f>
        <v>Leeds United</v>
      </c>
      <c r="P410" s="1" t="str">
        <f>IFERROR(VLOOKUP(ROWS($O$2:O410),$N$2:$O$441,2,0),"")</f>
        <v/>
      </c>
      <c r="Q410" s="1" t="str">
        <f>IF(P410&lt;&gt;"",SUMPRODUCT(--(Table2[Team]=P410)),"")</f>
        <v/>
      </c>
      <c r="R410" s="11" t="str">
        <f>IF(Q410&lt;&gt;"",Q410+ROWS($Q$2:Q410)/100,"")</f>
        <v/>
      </c>
      <c r="S410" t="str">
        <f>IF(R410&lt;&gt;"",LARGE($R$2:$R$441,ROWS($R$2:R410)),"")</f>
        <v/>
      </c>
      <c r="T410" s="1" t="str">
        <f>IF(R410&lt;&gt;"",INDEX($P$2:$Q$441,MATCH($S410,$R$2:$R$441,0),COLUMNS($S$2:S410)),"")</f>
        <v/>
      </c>
      <c r="U410" s="1" t="str">
        <f>IF(S410&lt;&gt;"",INDEX($P$2:$Q$441,MATCH($S410,$R$2:$R$441,0),COLUMNS($S$2:T410)),"")</f>
        <v/>
      </c>
      <c r="AE410" s="1">
        <f>Table2[[#This Row],[Year]]</f>
        <v>2020</v>
      </c>
      <c r="AF410" s="1">
        <f>Table2[[#This Row],['#]]</f>
        <v>9</v>
      </c>
      <c r="AG410" s="1" t="str">
        <f>Table2[[#This Row],[Team]]</f>
        <v>Leeds United</v>
      </c>
      <c r="AH410" s="1">
        <f>Table2[[#This Row],[Pl]]</f>
        <v>38</v>
      </c>
      <c r="AI410" s="1">
        <f>Table2[[#This Row],[W]]</f>
        <v>18</v>
      </c>
      <c r="AJ410" s="1">
        <f>Table2[[#This Row],[D]]</f>
        <v>5</v>
      </c>
      <c r="AK410" s="1">
        <f>Table2[[#This Row],[L]]</f>
        <v>15</v>
      </c>
      <c r="AL410" s="1">
        <f>Table2[[#This Row],[F]]</f>
        <v>62</v>
      </c>
      <c r="AM410" s="1">
        <f>Table2[[#This Row],[A]]</f>
        <v>54</v>
      </c>
      <c r="AN410" s="1">
        <f>Table2[[#This Row],[GD]]</f>
        <v>8</v>
      </c>
      <c r="AO410" s="1">
        <f>Table2[[#This Row],[Pts]]</f>
        <v>59</v>
      </c>
      <c r="AP410" s="1">
        <f>Table2[[#This Row],[Column1]]</f>
        <v>9</v>
      </c>
      <c r="AR410" t="b">
        <f t="shared" si="10"/>
        <v>1</v>
      </c>
      <c r="AS410">
        <f>IF(AR410,ROWS($AR$2:AR410),"")</f>
        <v>409</v>
      </c>
      <c r="AT410">
        <f>IFERROR(SMALL($AS$2:$AS$440,ROWS($AS$2:AS410)),"")</f>
        <v>409</v>
      </c>
      <c r="AU410">
        <f>IF(AT410&lt;&gt;"",INDEX($AE$2:$AP$440,MATCH($AT410,$AS$2:$AS$440,0),COLUMNS($AT$2:AT410)),"")</f>
        <v>2020</v>
      </c>
      <c r="AV410">
        <f>IF(AU410&lt;&gt;"",INDEX($AE$2:$AP$440,MATCH($AT410,$AS$2:$AS$440,0),COLUMNS($AT$2:AU410)),"")</f>
        <v>9</v>
      </c>
      <c r="AW410" t="str">
        <f>IF(AV410&lt;&gt;"",INDEX($AE$2:$AP$440,MATCH($AT410,$AS$2:$AS$440,0),COLUMNS($AT$2:AV410)),"")</f>
        <v>Leeds United</v>
      </c>
      <c r="AX410">
        <f>IF(AW410&lt;&gt;"",INDEX($AE$2:$AP$440,MATCH($AT410,$AS$2:$AS$440,0),COLUMNS($AT$2:AW410)),"")</f>
        <v>38</v>
      </c>
      <c r="AY410">
        <f>IF(AX410&lt;&gt;"",INDEX($AE$2:$AP$440,MATCH($AT410,$AS$2:$AS$440,0),COLUMNS($AT$2:AX410)),"")</f>
        <v>18</v>
      </c>
      <c r="AZ410">
        <f>IF(AY410&lt;&gt;"",INDEX($AE$2:$AP$440,MATCH($AT410,$AS$2:$AS$440,0),COLUMNS($AT$2:AY410)),"")</f>
        <v>5</v>
      </c>
      <c r="BA410">
        <f>IF(AZ410&lt;&gt;"",INDEX($AE$2:$AP$440,MATCH($AT410,$AS$2:$AS$440,0),COLUMNS($AT$2:AZ410)),"")</f>
        <v>15</v>
      </c>
      <c r="BB410">
        <f>IF(BA410&lt;&gt;"",INDEX($AE$2:$AP$440,MATCH($AT410,$AS$2:$AS$440,0),COLUMNS($AT$2:BA410)),"")</f>
        <v>62</v>
      </c>
      <c r="BC410">
        <f>IF(BB410&lt;&gt;"",INDEX($AE$2:$AP$440,MATCH($AT410,$AS$2:$AS$440,0),COLUMNS($AT$2:BB410)),"")</f>
        <v>54</v>
      </c>
      <c r="BD410">
        <f>IF(BC410&lt;&gt;"",INDEX($AE$2:$AP$440,MATCH($AT410,$AS$2:$AS$440,0),COLUMNS($AT$2:BC410)),"")</f>
        <v>8</v>
      </c>
      <c r="BE410">
        <f>IF(BD410&lt;&gt;"",INDEX($AE$2:$AP$440,MATCH($AT410,$AS$2:$AS$440,0),COLUMNS($AT$2:BD410)),"")</f>
        <v>59</v>
      </c>
      <c r="BF410">
        <f>IF(BE410&lt;&gt;"",INDEX($AE$2:$AP$440,MATCH($AT410,$AS$2:$AS$440,0),COLUMNS($AT$2:BE410)),"")</f>
        <v>9</v>
      </c>
    </row>
    <row r="411" spans="1:58" x14ac:dyDescent="0.25">
      <c r="A411" s="5">
        <v>2020</v>
      </c>
      <c r="B411" s="5">
        <v>10</v>
      </c>
      <c r="C411" s="6" t="s">
        <v>26</v>
      </c>
      <c r="D411" s="5">
        <v>38</v>
      </c>
      <c r="E411" s="5">
        <v>17</v>
      </c>
      <c r="F411" s="5">
        <v>8</v>
      </c>
      <c r="G411" s="5">
        <v>13</v>
      </c>
      <c r="H411" s="5">
        <v>47</v>
      </c>
      <c r="I411" s="5">
        <v>48</v>
      </c>
      <c r="J411" s="5">
        <v>-1</v>
      </c>
      <c r="K411" s="5">
        <v>59</v>
      </c>
      <c r="L411" s="5">
        <f>IF(Table2[[#This Row],['#]]=1,"Champion", IF(Table2[[#This Row],['#]]&gt;=18,"Relegated",Table2[[#This Row],['#]]))</f>
        <v>10</v>
      </c>
      <c r="N411">
        <f>IF(COUNTIF($O$2:O411,O411)=1,N410+1,N410)</f>
        <v>43</v>
      </c>
      <c r="O411" s="4" t="str">
        <f>Table2[[#This Row],[Team]]</f>
        <v>Everton</v>
      </c>
      <c r="P411" s="1" t="str">
        <f>IFERROR(VLOOKUP(ROWS($O$2:O411),$N$2:$O$441,2,0),"")</f>
        <v/>
      </c>
      <c r="Q411" s="1" t="str">
        <f>IF(P411&lt;&gt;"",SUMPRODUCT(--(Table2[Team]=P411)),"")</f>
        <v/>
      </c>
      <c r="R411" s="11" t="str">
        <f>IF(Q411&lt;&gt;"",Q411+ROWS($Q$2:Q411)/100,"")</f>
        <v/>
      </c>
      <c r="S411" t="str">
        <f>IF(R411&lt;&gt;"",LARGE($R$2:$R$441,ROWS($R$2:R411)),"")</f>
        <v/>
      </c>
      <c r="T411" s="1" t="str">
        <f>IF(R411&lt;&gt;"",INDEX($P$2:$Q$441,MATCH($S411,$R$2:$R$441,0),COLUMNS($S$2:S411)),"")</f>
        <v/>
      </c>
      <c r="U411" s="1" t="str">
        <f>IF(S411&lt;&gt;"",INDEX($P$2:$Q$441,MATCH($S411,$R$2:$R$441,0),COLUMNS($S$2:T411)),"")</f>
        <v/>
      </c>
      <c r="AE411" s="1">
        <f>Table2[[#This Row],[Year]]</f>
        <v>2020</v>
      </c>
      <c r="AF411" s="1">
        <f>Table2[[#This Row],['#]]</f>
        <v>10</v>
      </c>
      <c r="AG411" s="1" t="str">
        <f>Table2[[#This Row],[Team]]</f>
        <v>Everton</v>
      </c>
      <c r="AH411" s="1">
        <f>Table2[[#This Row],[Pl]]</f>
        <v>38</v>
      </c>
      <c r="AI411" s="1">
        <f>Table2[[#This Row],[W]]</f>
        <v>17</v>
      </c>
      <c r="AJ411" s="1">
        <f>Table2[[#This Row],[D]]</f>
        <v>8</v>
      </c>
      <c r="AK411" s="1">
        <f>Table2[[#This Row],[L]]</f>
        <v>13</v>
      </c>
      <c r="AL411" s="1">
        <f>Table2[[#This Row],[F]]</f>
        <v>47</v>
      </c>
      <c r="AM411" s="1">
        <f>Table2[[#This Row],[A]]</f>
        <v>48</v>
      </c>
      <c r="AN411" s="1">
        <f>Table2[[#This Row],[GD]]</f>
        <v>-1</v>
      </c>
      <c r="AO411" s="1">
        <f>Table2[[#This Row],[Pts]]</f>
        <v>59</v>
      </c>
      <c r="AP411" s="1">
        <f>Table2[[#This Row],[Column1]]</f>
        <v>10</v>
      </c>
      <c r="AR411" t="b">
        <f t="shared" si="10"/>
        <v>1</v>
      </c>
      <c r="AS411">
        <f>IF(AR411,ROWS($AR$2:AR411),"")</f>
        <v>410</v>
      </c>
      <c r="AT411">
        <f>IFERROR(SMALL($AS$2:$AS$440,ROWS($AS$2:AS411)),"")</f>
        <v>410</v>
      </c>
      <c r="AU411">
        <f>IF(AT411&lt;&gt;"",INDEX($AE$2:$AP$440,MATCH($AT411,$AS$2:$AS$440,0),COLUMNS($AT$2:AT411)),"")</f>
        <v>2020</v>
      </c>
      <c r="AV411">
        <f>IF(AU411&lt;&gt;"",INDEX($AE$2:$AP$440,MATCH($AT411,$AS$2:$AS$440,0),COLUMNS($AT$2:AU411)),"")</f>
        <v>10</v>
      </c>
      <c r="AW411" t="str">
        <f>IF(AV411&lt;&gt;"",INDEX($AE$2:$AP$440,MATCH($AT411,$AS$2:$AS$440,0),COLUMNS($AT$2:AV411)),"")</f>
        <v>Everton</v>
      </c>
      <c r="AX411">
        <f>IF(AW411&lt;&gt;"",INDEX($AE$2:$AP$440,MATCH($AT411,$AS$2:$AS$440,0),COLUMNS($AT$2:AW411)),"")</f>
        <v>38</v>
      </c>
      <c r="AY411">
        <f>IF(AX411&lt;&gt;"",INDEX($AE$2:$AP$440,MATCH($AT411,$AS$2:$AS$440,0),COLUMNS($AT$2:AX411)),"")</f>
        <v>17</v>
      </c>
      <c r="AZ411">
        <f>IF(AY411&lt;&gt;"",INDEX($AE$2:$AP$440,MATCH($AT411,$AS$2:$AS$440,0),COLUMNS($AT$2:AY411)),"")</f>
        <v>8</v>
      </c>
      <c r="BA411">
        <f>IF(AZ411&lt;&gt;"",INDEX($AE$2:$AP$440,MATCH($AT411,$AS$2:$AS$440,0),COLUMNS($AT$2:AZ411)),"")</f>
        <v>13</v>
      </c>
      <c r="BB411">
        <f>IF(BA411&lt;&gt;"",INDEX($AE$2:$AP$440,MATCH($AT411,$AS$2:$AS$440,0),COLUMNS($AT$2:BA411)),"")</f>
        <v>47</v>
      </c>
      <c r="BC411">
        <f>IF(BB411&lt;&gt;"",INDEX($AE$2:$AP$440,MATCH($AT411,$AS$2:$AS$440,0),COLUMNS($AT$2:BB411)),"")</f>
        <v>48</v>
      </c>
      <c r="BD411">
        <f>IF(BC411&lt;&gt;"",INDEX($AE$2:$AP$440,MATCH($AT411,$AS$2:$AS$440,0),COLUMNS($AT$2:BC411)),"")</f>
        <v>-1</v>
      </c>
      <c r="BE411">
        <f>IF(BD411&lt;&gt;"",INDEX($AE$2:$AP$440,MATCH($AT411,$AS$2:$AS$440,0),COLUMNS($AT$2:BD411)),"")</f>
        <v>59</v>
      </c>
      <c r="BF411">
        <f>IF(BE411&lt;&gt;"",INDEX($AE$2:$AP$440,MATCH($AT411,$AS$2:$AS$440,0),COLUMNS($AT$2:BE411)),"")</f>
        <v>10</v>
      </c>
    </row>
    <row r="412" spans="1:58" x14ac:dyDescent="0.25">
      <c r="A412" s="3">
        <v>2020</v>
      </c>
      <c r="B412" s="3">
        <v>11</v>
      </c>
      <c r="C412" s="4" t="s">
        <v>18</v>
      </c>
      <c r="D412" s="3">
        <v>38</v>
      </c>
      <c r="E412" s="3">
        <v>16</v>
      </c>
      <c r="F412" s="3">
        <v>7</v>
      </c>
      <c r="G412" s="3">
        <v>15</v>
      </c>
      <c r="H412" s="3">
        <v>55</v>
      </c>
      <c r="I412" s="3">
        <v>46</v>
      </c>
      <c r="J412" s="3">
        <v>9</v>
      </c>
      <c r="K412" s="3">
        <v>55</v>
      </c>
      <c r="L412" s="5">
        <f>IF(Table2[[#This Row],['#]]=1,"Champion", IF(Table2[[#This Row],['#]]&gt;=18,"Relegated",Table2[[#This Row],['#]]))</f>
        <v>11</v>
      </c>
      <c r="N412">
        <f>IF(COUNTIF($O$2:O412,O412)=1,N411+1,N411)</f>
        <v>43</v>
      </c>
      <c r="O412" s="4" t="str">
        <f>Table2[[#This Row],[Team]]</f>
        <v>Aston Villa</v>
      </c>
      <c r="P412" s="1" t="str">
        <f>IFERROR(VLOOKUP(ROWS($O$2:O412),$N$2:$O$441,2,0),"")</f>
        <v/>
      </c>
      <c r="Q412" s="1" t="str">
        <f>IF(P412&lt;&gt;"",SUMPRODUCT(--(Table2[Team]=P412)),"")</f>
        <v/>
      </c>
      <c r="R412" s="11" t="str">
        <f>IF(Q412&lt;&gt;"",Q412+ROWS($Q$2:Q412)/100,"")</f>
        <v/>
      </c>
      <c r="S412" t="str">
        <f>IF(R412&lt;&gt;"",LARGE($R$2:$R$441,ROWS($R$2:R412)),"")</f>
        <v/>
      </c>
      <c r="T412" s="1" t="str">
        <f>IF(R412&lt;&gt;"",INDEX($P$2:$Q$441,MATCH($S412,$R$2:$R$441,0),COLUMNS($S$2:S412)),"")</f>
        <v/>
      </c>
      <c r="U412" s="1" t="str">
        <f>IF(S412&lt;&gt;"",INDEX($P$2:$Q$441,MATCH($S412,$R$2:$R$441,0),COLUMNS($S$2:T412)),"")</f>
        <v/>
      </c>
      <c r="AE412" s="1">
        <f>Table2[[#This Row],[Year]]</f>
        <v>2020</v>
      </c>
      <c r="AF412" s="1">
        <f>Table2[[#This Row],['#]]</f>
        <v>11</v>
      </c>
      <c r="AG412" s="1" t="str">
        <f>Table2[[#This Row],[Team]]</f>
        <v>Aston Villa</v>
      </c>
      <c r="AH412" s="1">
        <f>Table2[[#This Row],[Pl]]</f>
        <v>38</v>
      </c>
      <c r="AI412" s="1">
        <f>Table2[[#This Row],[W]]</f>
        <v>16</v>
      </c>
      <c r="AJ412" s="1">
        <f>Table2[[#This Row],[D]]</f>
        <v>7</v>
      </c>
      <c r="AK412" s="1">
        <f>Table2[[#This Row],[L]]</f>
        <v>15</v>
      </c>
      <c r="AL412" s="1">
        <f>Table2[[#This Row],[F]]</f>
        <v>55</v>
      </c>
      <c r="AM412" s="1">
        <f>Table2[[#This Row],[A]]</f>
        <v>46</v>
      </c>
      <c r="AN412" s="1">
        <f>Table2[[#This Row],[GD]]</f>
        <v>9</v>
      </c>
      <c r="AO412" s="1">
        <f>Table2[[#This Row],[Pts]]</f>
        <v>55</v>
      </c>
      <c r="AP412" s="1">
        <f>Table2[[#This Row],[Column1]]</f>
        <v>11</v>
      </c>
      <c r="AR412" t="b">
        <f t="shared" si="10"/>
        <v>1</v>
      </c>
      <c r="AS412">
        <f>IF(AR412,ROWS($AR$2:AR412),"")</f>
        <v>411</v>
      </c>
      <c r="AT412">
        <f>IFERROR(SMALL($AS$2:$AS$440,ROWS($AS$2:AS412)),"")</f>
        <v>411</v>
      </c>
      <c r="AU412">
        <f>IF(AT412&lt;&gt;"",INDEX($AE$2:$AP$440,MATCH($AT412,$AS$2:$AS$440,0),COLUMNS($AT$2:AT412)),"")</f>
        <v>2020</v>
      </c>
      <c r="AV412">
        <f>IF(AU412&lt;&gt;"",INDEX($AE$2:$AP$440,MATCH($AT412,$AS$2:$AS$440,0),COLUMNS($AT$2:AU412)),"")</f>
        <v>11</v>
      </c>
      <c r="AW412" t="str">
        <f>IF(AV412&lt;&gt;"",INDEX($AE$2:$AP$440,MATCH($AT412,$AS$2:$AS$440,0),COLUMNS($AT$2:AV412)),"")</f>
        <v>Aston Villa</v>
      </c>
      <c r="AX412">
        <f>IF(AW412&lt;&gt;"",INDEX($AE$2:$AP$440,MATCH($AT412,$AS$2:$AS$440,0),COLUMNS($AT$2:AW412)),"")</f>
        <v>38</v>
      </c>
      <c r="AY412">
        <f>IF(AX412&lt;&gt;"",INDEX($AE$2:$AP$440,MATCH($AT412,$AS$2:$AS$440,0),COLUMNS($AT$2:AX412)),"")</f>
        <v>16</v>
      </c>
      <c r="AZ412">
        <f>IF(AY412&lt;&gt;"",INDEX($AE$2:$AP$440,MATCH($AT412,$AS$2:$AS$440,0),COLUMNS($AT$2:AY412)),"")</f>
        <v>7</v>
      </c>
      <c r="BA412">
        <f>IF(AZ412&lt;&gt;"",INDEX($AE$2:$AP$440,MATCH($AT412,$AS$2:$AS$440,0),COLUMNS($AT$2:AZ412)),"")</f>
        <v>15</v>
      </c>
      <c r="BB412">
        <f>IF(BA412&lt;&gt;"",INDEX($AE$2:$AP$440,MATCH($AT412,$AS$2:$AS$440,0),COLUMNS($AT$2:BA412)),"")</f>
        <v>55</v>
      </c>
      <c r="BC412">
        <f>IF(BB412&lt;&gt;"",INDEX($AE$2:$AP$440,MATCH($AT412,$AS$2:$AS$440,0),COLUMNS($AT$2:BB412)),"")</f>
        <v>46</v>
      </c>
      <c r="BD412">
        <f>IF(BC412&lt;&gt;"",INDEX($AE$2:$AP$440,MATCH($AT412,$AS$2:$AS$440,0),COLUMNS($AT$2:BC412)),"")</f>
        <v>9</v>
      </c>
      <c r="BE412">
        <f>IF(BD412&lt;&gt;"",INDEX($AE$2:$AP$440,MATCH($AT412,$AS$2:$AS$440,0),COLUMNS($AT$2:BD412)),"")</f>
        <v>55</v>
      </c>
      <c r="BF412">
        <f>IF(BE412&lt;&gt;"",INDEX($AE$2:$AP$440,MATCH($AT412,$AS$2:$AS$440,0),COLUMNS($AT$2:BE412)),"")</f>
        <v>11</v>
      </c>
    </row>
    <row r="413" spans="1:58" x14ac:dyDescent="0.25">
      <c r="A413" s="5">
        <v>2020</v>
      </c>
      <c r="B413" s="5">
        <v>12</v>
      </c>
      <c r="C413" s="6" t="s">
        <v>21</v>
      </c>
      <c r="D413" s="5">
        <v>38</v>
      </c>
      <c r="E413" s="5">
        <v>12</v>
      </c>
      <c r="F413" s="5">
        <v>9</v>
      </c>
      <c r="G413" s="5">
        <v>17</v>
      </c>
      <c r="H413" s="5">
        <v>46</v>
      </c>
      <c r="I413" s="5">
        <v>62</v>
      </c>
      <c r="J413" s="5">
        <v>-16</v>
      </c>
      <c r="K413" s="5">
        <v>45</v>
      </c>
      <c r="L413" s="5">
        <f>IF(Table2[[#This Row],['#]]=1,"Champion", IF(Table2[[#This Row],['#]]&gt;=18,"Relegated",Table2[[#This Row],['#]]))</f>
        <v>12</v>
      </c>
      <c r="N413">
        <f>IF(COUNTIF($O$2:O413,O413)=1,N412+1,N412)</f>
        <v>43</v>
      </c>
      <c r="O413" s="4" t="str">
        <f>Table2[[#This Row],[Team]]</f>
        <v>Newcastle United</v>
      </c>
      <c r="P413" s="1" t="str">
        <f>IFERROR(VLOOKUP(ROWS($O$2:O413),$N$2:$O$441,2,0),"")</f>
        <v/>
      </c>
      <c r="Q413" s="1" t="str">
        <f>IF(P413&lt;&gt;"",SUMPRODUCT(--(Table2[Team]=P413)),"")</f>
        <v/>
      </c>
      <c r="R413" s="11" t="str">
        <f>IF(Q413&lt;&gt;"",Q413+ROWS($Q$2:Q413)/100,"")</f>
        <v/>
      </c>
      <c r="S413" t="str">
        <f>IF(R413&lt;&gt;"",LARGE($R$2:$R$441,ROWS($R$2:R413)),"")</f>
        <v/>
      </c>
      <c r="T413" s="1" t="str">
        <f>IF(R413&lt;&gt;"",INDEX($P$2:$Q$441,MATCH($S413,$R$2:$R$441,0),COLUMNS($S$2:S413)),"")</f>
        <v/>
      </c>
      <c r="U413" s="1" t="str">
        <f>IF(S413&lt;&gt;"",INDEX($P$2:$Q$441,MATCH($S413,$R$2:$R$441,0),COLUMNS($S$2:T413)),"")</f>
        <v/>
      </c>
      <c r="AE413" s="1">
        <f>Table2[[#This Row],[Year]]</f>
        <v>2020</v>
      </c>
      <c r="AF413" s="1">
        <f>Table2[[#This Row],['#]]</f>
        <v>12</v>
      </c>
      <c r="AG413" s="1" t="str">
        <f>Table2[[#This Row],[Team]]</f>
        <v>Newcastle United</v>
      </c>
      <c r="AH413" s="1">
        <f>Table2[[#This Row],[Pl]]</f>
        <v>38</v>
      </c>
      <c r="AI413" s="1">
        <f>Table2[[#This Row],[W]]</f>
        <v>12</v>
      </c>
      <c r="AJ413" s="1">
        <f>Table2[[#This Row],[D]]</f>
        <v>9</v>
      </c>
      <c r="AK413" s="1">
        <f>Table2[[#This Row],[L]]</f>
        <v>17</v>
      </c>
      <c r="AL413" s="1">
        <f>Table2[[#This Row],[F]]</f>
        <v>46</v>
      </c>
      <c r="AM413" s="1">
        <f>Table2[[#This Row],[A]]</f>
        <v>62</v>
      </c>
      <c r="AN413" s="1">
        <f>Table2[[#This Row],[GD]]</f>
        <v>-16</v>
      </c>
      <c r="AO413" s="1">
        <f>Table2[[#This Row],[Pts]]</f>
        <v>45</v>
      </c>
      <c r="AP413" s="1">
        <f>Table2[[#This Row],[Column1]]</f>
        <v>12</v>
      </c>
      <c r="AR413" t="b">
        <f t="shared" si="10"/>
        <v>1</v>
      </c>
      <c r="AS413">
        <f>IF(AR413,ROWS($AR$2:AR413),"")</f>
        <v>412</v>
      </c>
      <c r="AT413">
        <f>IFERROR(SMALL($AS$2:$AS$440,ROWS($AS$2:AS413)),"")</f>
        <v>412</v>
      </c>
      <c r="AU413">
        <f>IF(AT413&lt;&gt;"",INDEX($AE$2:$AP$440,MATCH($AT413,$AS$2:$AS$440,0),COLUMNS($AT$2:AT413)),"")</f>
        <v>2020</v>
      </c>
      <c r="AV413">
        <f>IF(AU413&lt;&gt;"",INDEX($AE$2:$AP$440,MATCH($AT413,$AS$2:$AS$440,0),COLUMNS($AT$2:AU413)),"")</f>
        <v>12</v>
      </c>
      <c r="AW413" t="str">
        <f>IF(AV413&lt;&gt;"",INDEX($AE$2:$AP$440,MATCH($AT413,$AS$2:$AS$440,0),COLUMNS($AT$2:AV413)),"")</f>
        <v>Newcastle United</v>
      </c>
      <c r="AX413">
        <f>IF(AW413&lt;&gt;"",INDEX($AE$2:$AP$440,MATCH($AT413,$AS$2:$AS$440,0),COLUMNS($AT$2:AW413)),"")</f>
        <v>38</v>
      </c>
      <c r="AY413">
        <f>IF(AX413&lt;&gt;"",INDEX($AE$2:$AP$440,MATCH($AT413,$AS$2:$AS$440,0),COLUMNS($AT$2:AX413)),"")</f>
        <v>12</v>
      </c>
      <c r="AZ413">
        <f>IF(AY413&lt;&gt;"",INDEX($AE$2:$AP$440,MATCH($AT413,$AS$2:$AS$440,0),COLUMNS($AT$2:AY413)),"")</f>
        <v>9</v>
      </c>
      <c r="BA413">
        <f>IF(AZ413&lt;&gt;"",INDEX($AE$2:$AP$440,MATCH($AT413,$AS$2:$AS$440,0),COLUMNS($AT$2:AZ413)),"")</f>
        <v>17</v>
      </c>
      <c r="BB413">
        <f>IF(BA413&lt;&gt;"",INDEX($AE$2:$AP$440,MATCH($AT413,$AS$2:$AS$440,0),COLUMNS($AT$2:BA413)),"")</f>
        <v>46</v>
      </c>
      <c r="BC413">
        <f>IF(BB413&lt;&gt;"",INDEX($AE$2:$AP$440,MATCH($AT413,$AS$2:$AS$440,0),COLUMNS($AT$2:BB413)),"")</f>
        <v>62</v>
      </c>
      <c r="BD413">
        <f>IF(BC413&lt;&gt;"",INDEX($AE$2:$AP$440,MATCH($AT413,$AS$2:$AS$440,0),COLUMNS($AT$2:BC413)),"")</f>
        <v>-16</v>
      </c>
      <c r="BE413">
        <f>IF(BD413&lt;&gt;"",INDEX($AE$2:$AP$440,MATCH($AT413,$AS$2:$AS$440,0),COLUMNS($AT$2:BD413)),"")</f>
        <v>45</v>
      </c>
      <c r="BF413">
        <f>IF(BE413&lt;&gt;"",INDEX($AE$2:$AP$440,MATCH($AT413,$AS$2:$AS$440,0),COLUMNS($AT$2:BE413)),"")</f>
        <v>12</v>
      </c>
    </row>
    <row r="414" spans="1:58" x14ac:dyDescent="0.25">
      <c r="A414" s="3">
        <v>2020</v>
      </c>
      <c r="B414" s="3">
        <v>13</v>
      </c>
      <c r="C414" s="4" t="s">
        <v>37</v>
      </c>
      <c r="D414" s="3">
        <v>38</v>
      </c>
      <c r="E414" s="3">
        <v>12</v>
      </c>
      <c r="F414" s="3">
        <v>9</v>
      </c>
      <c r="G414" s="3">
        <v>17</v>
      </c>
      <c r="H414" s="3">
        <v>36</v>
      </c>
      <c r="I414" s="3">
        <v>52</v>
      </c>
      <c r="J414" s="3">
        <v>-16</v>
      </c>
      <c r="K414" s="3">
        <v>45</v>
      </c>
      <c r="L414" s="5">
        <f>IF(Table2[[#This Row],['#]]=1,"Champion", IF(Table2[[#This Row],['#]]&gt;=18,"Relegated",Table2[[#This Row],['#]]))</f>
        <v>13</v>
      </c>
      <c r="N414">
        <f>IF(COUNTIF($O$2:O414,O414)=1,N413+1,N413)</f>
        <v>43</v>
      </c>
      <c r="O414" s="4" t="str">
        <f>Table2[[#This Row],[Team]]</f>
        <v>Wolverhampton Wanderers</v>
      </c>
      <c r="P414" s="1" t="str">
        <f>IFERROR(VLOOKUP(ROWS($O$2:O414),$N$2:$O$441,2,0),"")</f>
        <v/>
      </c>
      <c r="Q414" s="1" t="str">
        <f>IF(P414&lt;&gt;"",SUMPRODUCT(--(Table2[Team]=P414)),"")</f>
        <v/>
      </c>
      <c r="R414" s="11" t="str">
        <f>IF(Q414&lt;&gt;"",Q414+ROWS($Q$2:Q414)/100,"")</f>
        <v/>
      </c>
      <c r="S414" t="str">
        <f>IF(R414&lt;&gt;"",LARGE($R$2:$R$441,ROWS($R$2:R414)),"")</f>
        <v/>
      </c>
      <c r="T414" s="1" t="str">
        <f>IF(R414&lt;&gt;"",INDEX($P$2:$Q$441,MATCH($S414,$R$2:$R$441,0),COLUMNS($S$2:S414)),"")</f>
        <v/>
      </c>
      <c r="U414" s="1" t="str">
        <f>IF(S414&lt;&gt;"",INDEX($P$2:$Q$441,MATCH($S414,$R$2:$R$441,0),COLUMNS($S$2:T414)),"")</f>
        <v/>
      </c>
      <c r="AE414" s="1">
        <f>Table2[[#This Row],[Year]]</f>
        <v>2020</v>
      </c>
      <c r="AF414" s="1">
        <f>Table2[[#This Row],['#]]</f>
        <v>13</v>
      </c>
      <c r="AG414" s="1" t="str">
        <f>Table2[[#This Row],[Team]]</f>
        <v>Wolverhampton Wanderers</v>
      </c>
      <c r="AH414" s="1">
        <f>Table2[[#This Row],[Pl]]</f>
        <v>38</v>
      </c>
      <c r="AI414" s="1">
        <f>Table2[[#This Row],[W]]</f>
        <v>12</v>
      </c>
      <c r="AJ414" s="1">
        <f>Table2[[#This Row],[D]]</f>
        <v>9</v>
      </c>
      <c r="AK414" s="1">
        <f>Table2[[#This Row],[L]]</f>
        <v>17</v>
      </c>
      <c r="AL414" s="1">
        <f>Table2[[#This Row],[F]]</f>
        <v>36</v>
      </c>
      <c r="AM414" s="1">
        <f>Table2[[#This Row],[A]]</f>
        <v>52</v>
      </c>
      <c r="AN414" s="1">
        <f>Table2[[#This Row],[GD]]</f>
        <v>-16</v>
      </c>
      <c r="AO414" s="1">
        <f>Table2[[#This Row],[Pts]]</f>
        <v>45</v>
      </c>
      <c r="AP414" s="1">
        <f>Table2[[#This Row],[Column1]]</f>
        <v>13</v>
      </c>
      <c r="AR414" t="b">
        <f t="shared" si="10"/>
        <v>1</v>
      </c>
      <c r="AS414">
        <f>IF(AR414,ROWS($AR$2:AR414),"")</f>
        <v>413</v>
      </c>
      <c r="AT414">
        <f>IFERROR(SMALL($AS$2:$AS$440,ROWS($AS$2:AS414)),"")</f>
        <v>413</v>
      </c>
      <c r="AU414">
        <f>IF(AT414&lt;&gt;"",INDEX($AE$2:$AP$440,MATCH($AT414,$AS$2:$AS$440,0),COLUMNS($AT$2:AT414)),"")</f>
        <v>2020</v>
      </c>
      <c r="AV414">
        <f>IF(AU414&lt;&gt;"",INDEX($AE$2:$AP$440,MATCH($AT414,$AS$2:$AS$440,0),COLUMNS($AT$2:AU414)),"")</f>
        <v>13</v>
      </c>
      <c r="AW414" t="str">
        <f>IF(AV414&lt;&gt;"",INDEX($AE$2:$AP$440,MATCH($AT414,$AS$2:$AS$440,0),COLUMNS($AT$2:AV414)),"")</f>
        <v>Wolverhampton Wanderers</v>
      </c>
      <c r="AX414">
        <f>IF(AW414&lt;&gt;"",INDEX($AE$2:$AP$440,MATCH($AT414,$AS$2:$AS$440,0),COLUMNS($AT$2:AW414)),"")</f>
        <v>38</v>
      </c>
      <c r="AY414">
        <f>IF(AX414&lt;&gt;"",INDEX($AE$2:$AP$440,MATCH($AT414,$AS$2:$AS$440,0),COLUMNS($AT$2:AX414)),"")</f>
        <v>12</v>
      </c>
      <c r="AZ414">
        <f>IF(AY414&lt;&gt;"",INDEX($AE$2:$AP$440,MATCH($AT414,$AS$2:$AS$440,0),COLUMNS($AT$2:AY414)),"")</f>
        <v>9</v>
      </c>
      <c r="BA414">
        <f>IF(AZ414&lt;&gt;"",INDEX($AE$2:$AP$440,MATCH($AT414,$AS$2:$AS$440,0),COLUMNS($AT$2:AZ414)),"")</f>
        <v>17</v>
      </c>
      <c r="BB414">
        <f>IF(BA414&lt;&gt;"",INDEX($AE$2:$AP$440,MATCH($AT414,$AS$2:$AS$440,0),COLUMNS($AT$2:BA414)),"")</f>
        <v>36</v>
      </c>
      <c r="BC414">
        <f>IF(BB414&lt;&gt;"",INDEX($AE$2:$AP$440,MATCH($AT414,$AS$2:$AS$440,0),COLUMNS($AT$2:BB414)),"")</f>
        <v>52</v>
      </c>
      <c r="BD414">
        <f>IF(BC414&lt;&gt;"",INDEX($AE$2:$AP$440,MATCH($AT414,$AS$2:$AS$440,0),COLUMNS($AT$2:BC414)),"")</f>
        <v>-16</v>
      </c>
      <c r="BE414">
        <f>IF(BD414&lt;&gt;"",INDEX($AE$2:$AP$440,MATCH($AT414,$AS$2:$AS$440,0),COLUMNS($AT$2:BD414)),"")</f>
        <v>45</v>
      </c>
      <c r="BF414">
        <f>IF(BE414&lt;&gt;"",INDEX($AE$2:$AP$440,MATCH($AT414,$AS$2:$AS$440,0),COLUMNS($AT$2:BE414)),"")</f>
        <v>13</v>
      </c>
    </row>
    <row r="415" spans="1:58" x14ac:dyDescent="0.25">
      <c r="A415" s="5">
        <v>2020</v>
      </c>
      <c r="B415" s="5">
        <v>14</v>
      </c>
      <c r="C415" s="6" t="s">
        <v>38</v>
      </c>
      <c r="D415" s="5">
        <v>38</v>
      </c>
      <c r="E415" s="5">
        <v>12</v>
      </c>
      <c r="F415" s="5">
        <v>8</v>
      </c>
      <c r="G415" s="5">
        <v>18</v>
      </c>
      <c r="H415" s="5">
        <v>41</v>
      </c>
      <c r="I415" s="5">
        <v>66</v>
      </c>
      <c r="J415" s="5">
        <v>-25</v>
      </c>
      <c r="K415" s="5">
        <v>44</v>
      </c>
      <c r="L415" s="5">
        <f>IF(Table2[[#This Row],['#]]=1,"Champion", IF(Table2[[#This Row],['#]]&gt;=18,"Relegated",Table2[[#This Row],['#]]))</f>
        <v>14</v>
      </c>
      <c r="N415">
        <f>IF(COUNTIF($O$2:O415,O415)=1,N414+1,N414)</f>
        <v>43</v>
      </c>
      <c r="O415" s="4" t="str">
        <f>Table2[[#This Row],[Team]]</f>
        <v>Crystal Palace</v>
      </c>
      <c r="P415" s="1" t="str">
        <f>IFERROR(VLOOKUP(ROWS($O$2:O415),$N$2:$O$441,2,0),"")</f>
        <v/>
      </c>
      <c r="Q415" s="1" t="str">
        <f>IF(P415&lt;&gt;"",SUMPRODUCT(--(Table2[Team]=P415)),"")</f>
        <v/>
      </c>
      <c r="R415" s="11" t="str">
        <f>IF(Q415&lt;&gt;"",Q415+ROWS($Q$2:Q415)/100,"")</f>
        <v/>
      </c>
      <c r="S415" t="str">
        <f>IF(R415&lt;&gt;"",LARGE($R$2:$R$441,ROWS($R$2:R415)),"")</f>
        <v/>
      </c>
      <c r="T415" s="1" t="str">
        <f>IF(R415&lt;&gt;"",INDEX($P$2:$Q$441,MATCH($S415,$R$2:$R$441,0),COLUMNS($S$2:S415)),"")</f>
        <v/>
      </c>
      <c r="U415" s="1" t="str">
        <f>IF(S415&lt;&gt;"",INDEX($P$2:$Q$441,MATCH($S415,$R$2:$R$441,0),COLUMNS($S$2:T415)),"")</f>
        <v/>
      </c>
      <c r="AE415" s="1">
        <f>Table2[[#This Row],[Year]]</f>
        <v>2020</v>
      </c>
      <c r="AF415" s="1">
        <f>Table2[[#This Row],['#]]</f>
        <v>14</v>
      </c>
      <c r="AG415" s="1" t="str">
        <f>Table2[[#This Row],[Team]]</f>
        <v>Crystal Palace</v>
      </c>
      <c r="AH415" s="1">
        <f>Table2[[#This Row],[Pl]]</f>
        <v>38</v>
      </c>
      <c r="AI415" s="1">
        <f>Table2[[#This Row],[W]]</f>
        <v>12</v>
      </c>
      <c r="AJ415" s="1">
        <f>Table2[[#This Row],[D]]</f>
        <v>8</v>
      </c>
      <c r="AK415" s="1">
        <f>Table2[[#This Row],[L]]</f>
        <v>18</v>
      </c>
      <c r="AL415" s="1">
        <f>Table2[[#This Row],[F]]</f>
        <v>41</v>
      </c>
      <c r="AM415" s="1">
        <f>Table2[[#This Row],[A]]</f>
        <v>66</v>
      </c>
      <c r="AN415" s="1">
        <f>Table2[[#This Row],[GD]]</f>
        <v>-25</v>
      </c>
      <c r="AO415" s="1">
        <f>Table2[[#This Row],[Pts]]</f>
        <v>44</v>
      </c>
      <c r="AP415" s="1">
        <f>Table2[[#This Row],[Column1]]</f>
        <v>14</v>
      </c>
      <c r="AR415" t="b">
        <f t="shared" si="10"/>
        <v>1</v>
      </c>
      <c r="AS415">
        <f>IF(AR415,ROWS($AR$2:AR415),"")</f>
        <v>414</v>
      </c>
      <c r="AT415">
        <f>IFERROR(SMALL($AS$2:$AS$440,ROWS($AS$2:AS415)),"")</f>
        <v>414</v>
      </c>
      <c r="AU415">
        <f>IF(AT415&lt;&gt;"",INDEX($AE$2:$AP$440,MATCH($AT415,$AS$2:$AS$440,0),COLUMNS($AT$2:AT415)),"")</f>
        <v>2020</v>
      </c>
      <c r="AV415">
        <f>IF(AU415&lt;&gt;"",INDEX($AE$2:$AP$440,MATCH($AT415,$AS$2:$AS$440,0),COLUMNS($AT$2:AU415)),"")</f>
        <v>14</v>
      </c>
      <c r="AW415" t="str">
        <f>IF(AV415&lt;&gt;"",INDEX($AE$2:$AP$440,MATCH($AT415,$AS$2:$AS$440,0),COLUMNS($AT$2:AV415)),"")</f>
        <v>Crystal Palace</v>
      </c>
      <c r="AX415">
        <f>IF(AW415&lt;&gt;"",INDEX($AE$2:$AP$440,MATCH($AT415,$AS$2:$AS$440,0),COLUMNS($AT$2:AW415)),"")</f>
        <v>38</v>
      </c>
      <c r="AY415">
        <f>IF(AX415&lt;&gt;"",INDEX($AE$2:$AP$440,MATCH($AT415,$AS$2:$AS$440,0),COLUMNS($AT$2:AX415)),"")</f>
        <v>12</v>
      </c>
      <c r="AZ415">
        <f>IF(AY415&lt;&gt;"",INDEX($AE$2:$AP$440,MATCH($AT415,$AS$2:$AS$440,0),COLUMNS($AT$2:AY415)),"")</f>
        <v>8</v>
      </c>
      <c r="BA415">
        <f>IF(AZ415&lt;&gt;"",INDEX($AE$2:$AP$440,MATCH($AT415,$AS$2:$AS$440,0),COLUMNS($AT$2:AZ415)),"")</f>
        <v>18</v>
      </c>
      <c r="BB415">
        <f>IF(BA415&lt;&gt;"",INDEX($AE$2:$AP$440,MATCH($AT415,$AS$2:$AS$440,0),COLUMNS($AT$2:BA415)),"")</f>
        <v>41</v>
      </c>
      <c r="BC415">
        <f>IF(BB415&lt;&gt;"",INDEX($AE$2:$AP$440,MATCH($AT415,$AS$2:$AS$440,0),COLUMNS($AT$2:BB415)),"")</f>
        <v>66</v>
      </c>
      <c r="BD415">
        <f>IF(BC415&lt;&gt;"",INDEX($AE$2:$AP$440,MATCH($AT415,$AS$2:$AS$440,0),COLUMNS($AT$2:BC415)),"")</f>
        <v>-25</v>
      </c>
      <c r="BE415">
        <f>IF(BD415&lt;&gt;"",INDEX($AE$2:$AP$440,MATCH($AT415,$AS$2:$AS$440,0),COLUMNS($AT$2:BD415)),"")</f>
        <v>44</v>
      </c>
      <c r="BF415">
        <f>IF(BE415&lt;&gt;"",INDEX($AE$2:$AP$440,MATCH($AT415,$AS$2:$AS$440,0),COLUMNS($AT$2:BE415)),"")</f>
        <v>14</v>
      </c>
    </row>
    <row r="416" spans="1:58" x14ac:dyDescent="0.25">
      <c r="A416" s="3">
        <v>2020</v>
      </c>
      <c r="B416" s="3">
        <v>15</v>
      </c>
      <c r="C416" s="4" t="s">
        <v>20</v>
      </c>
      <c r="D416" s="3">
        <v>38</v>
      </c>
      <c r="E416" s="3">
        <v>12</v>
      </c>
      <c r="F416" s="3">
        <v>7</v>
      </c>
      <c r="G416" s="3">
        <v>19</v>
      </c>
      <c r="H416" s="3">
        <v>47</v>
      </c>
      <c r="I416" s="3">
        <v>68</v>
      </c>
      <c r="J416" s="3">
        <v>-21</v>
      </c>
      <c r="K416" s="3">
        <v>43</v>
      </c>
      <c r="L416" s="5">
        <f>IF(Table2[[#This Row],['#]]=1,"Champion", IF(Table2[[#This Row],['#]]&gt;=18,"Relegated",Table2[[#This Row],['#]]))</f>
        <v>15</v>
      </c>
      <c r="N416">
        <f>IF(COUNTIF($O$2:O416,O416)=1,N415+1,N415)</f>
        <v>43</v>
      </c>
      <c r="O416" s="4" t="str">
        <f>Table2[[#This Row],[Team]]</f>
        <v>Southampton</v>
      </c>
      <c r="P416" s="1" t="str">
        <f>IFERROR(VLOOKUP(ROWS($O$2:O416),$N$2:$O$441,2,0),"")</f>
        <v/>
      </c>
      <c r="Q416" s="1" t="str">
        <f>IF(P416&lt;&gt;"",SUMPRODUCT(--(Table2[Team]=P416)),"")</f>
        <v/>
      </c>
      <c r="R416" s="11" t="str">
        <f>IF(Q416&lt;&gt;"",Q416+ROWS($Q$2:Q416)/100,"")</f>
        <v/>
      </c>
      <c r="S416" t="str">
        <f>IF(R416&lt;&gt;"",LARGE($R$2:$R$441,ROWS($R$2:R416)),"")</f>
        <v/>
      </c>
      <c r="T416" s="1" t="str">
        <f>IF(R416&lt;&gt;"",INDEX($P$2:$Q$441,MATCH($S416,$R$2:$R$441,0),COLUMNS($S$2:S416)),"")</f>
        <v/>
      </c>
      <c r="U416" s="1" t="str">
        <f>IF(S416&lt;&gt;"",INDEX($P$2:$Q$441,MATCH($S416,$R$2:$R$441,0),COLUMNS($S$2:T416)),"")</f>
        <v/>
      </c>
      <c r="AE416" s="1">
        <f>Table2[[#This Row],[Year]]</f>
        <v>2020</v>
      </c>
      <c r="AF416" s="1">
        <f>Table2[[#This Row],['#]]</f>
        <v>15</v>
      </c>
      <c r="AG416" s="1" t="str">
        <f>Table2[[#This Row],[Team]]</f>
        <v>Southampton</v>
      </c>
      <c r="AH416" s="1">
        <f>Table2[[#This Row],[Pl]]</f>
        <v>38</v>
      </c>
      <c r="AI416" s="1">
        <f>Table2[[#This Row],[W]]</f>
        <v>12</v>
      </c>
      <c r="AJ416" s="1">
        <f>Table2[[#This Row],[D]]</f>
        <v>7</v>
      </c>
      <c r="AK416" s="1">
        <f>Table2[[#This Row],[L]]</f>
        <v>19</v>
      </c>
      <c r="AL416" s="1">
        <f>Table2[[#This Row],[F]]</f>
        <v>47</v>
      </c>
      <c r="AM416" s="1">
        <f>Table2[[#This Row],[A]]</f>
        <v>68</v>
      </c>
      <c r="AN416" s="1">
        <f>Table2[[#This Row],[GD]]</f>
        <v>-21</v>
      </c>
      <c r="AO416" s="1">
        <f>Table2[[#This Row],[Pts]]</f>
        <v>43</v>
      </c>
      <c r="AP416" s="1">
        <f>Table2[[#This Row],[Column1]]</f>
        <v>15</v>
      </c>
      <c r="AR416" t="b">
        <f t="shared" si="10"/>
        <v>1</v>
      </c>
      <c r="AS416">
        <f>IF(AR416,ROWS($AR$2:AR416),"")</f>
        <v>415</v>
      </c>
      <c r="AT416">
        <f>IFERROR(SMALL($AS$2:$AS$440,ROWS($AS$2:AS416)),"")</f>
        <v>415</v>
      </c>
      <c r="AU416">
        <f>IF(AT416&lt;&gt;"",INDEX($AE$2:$AP$440,MATCH($AT416,$AS$2:$AS$440,0),COLUMNS($AT$2:AT416)),"")</f>
        <v>2020</v>
      </c>
      <c r="AV416">
        <f>IF(AU416&lt;&gt;"",INDEX($AE$2:$AP$440,MATCH($AT416,$AS$2:$AS$440,0),COLUMNS($AT$2:AU416)),"")</f>
        <v>15</v>
      </c>
      <c r="AW416" t="str">
        <f>IF(AV416&lt;&gt;"",INDEX($AE$2:$AP$440,MATCH($AT416,$AS$2:$AS$440,0),COLUMNS($AT$2:AV416)),"")</f>
        <v>Southampton</v>
      </c>
      <c r="AX416">
        <f>IF(AW416&lt;&gt;"",INDEX($AE$2:$AP$440,MATCH($AT416,$AS$2:$AS$440,0),COLUMNS($AT$2:AW416)),"")</f>
        <v>38</v>
      </c>
      <c r="AY416">
        <f>IF(AX416&lt;&gt;"",INDEX($AE$2:$AP$440,MATCH($AT416,$AS$2:$AS$440,0),COLUMNS($AT$2:AX416)),"")</f>
        <v>12</v>
      </c>
      <c r="AZ416">
        <f>IF(AY416&lt;&gt;"",INDEX($AE$2:$AP$440,MATCH($AT416,$AS$2:$AS$440,0),COLUMNS($AT$2:AY416)),"")</f>
        <v>7</v>
      </c>
      <c r="BA416">
        <f>IF(AZ416&lt;&gt;"",INDEX($AE$2:$AP$440,MATCH($AT416,$AS$2:$AS$440,0),COLUMNS($AT$2:AZ416)),"")</f>
        <v>19</v>
      </c>
      <c r="BB416">
        <f>IF(BA416&lt;&gt;"",INDEX($AE$2:$AP$440,MATCH($AT416,$AS$2:$AS$440,0),COLUMNS($AT$2:BA416)),"")</f>
        <v>47</v>
      </c>
      <c r="BC416">
        <f>IF(BB416&lt;&gt;"",INDEX($AE$2:$AP$440,MATCH($AT416,$AS$2:$AS$440,0),COLUMNS($AT$2:BB416)),"")</f>
        <v>68</v>
      </c>
      <c r="BD416">
        <f>IF(BC416&lt;&gt;"",INDEX($AE$2:$AP$440,MATCH($AT416,$AS$2:$AS$440,0),COLUMNS($AT$2:BC416)),"")</f>
        <v>-21</v>
      </c>
      <c r="BE416">
        <f>IF(BD416&lt;&gt;"",INDEX($AE$2:$AP$440,MATCH($AT416,$AS$2:$AS$440,0),COLUMNS($AT$2:BD416)),"")</f>
        <v>43</v>
      </c>
      <c r="BF416">
        <f>IF(BE416&lt;&gt;"",INDEX($AE$2:$AP$440,MATCH($AT416,$AS$2:$AS$440,0),COLUMNS($AT$2:BE416)),"")</f>
        <v>15</v>
      </c>
    </row>
    <row r="417" spans="1:58" x14ac:dyDescent="0.25">
      <c r="A417" s="5">
        <v>2020</v>
      </c>
      <c r="B417" s="5">
        <v>16</v>
      </c>
      <c r="C417" s="6" t="s">
        <v>55</v>
      </c>
      <c r="D417" s="5">
        <v>38</v>
      </c>
      <c r="E417" s="5">
        <v>9</v>
      </c>
      <c r="F417" s="5">
        <v>14</v>
      </c>
      <c r="G417" s="5">
        <v>15</v>
      </c>
      <c r="H417" s="5">
        <v>40</v>
      </c>
      <c r="I417" s="5">
        <v>46</v>
      </c>
      <c r="J417" s="5">
        <v>-6</v>
      </c>
      <c r="K417" s="5">
        <v>41</v>
      </c>
      <c r="L417" s="5">
        <f>IF(Table2[[#This Row],['#]]=1,"Champion", IF(Table2[[#This Row],['#]]&gt;=18,"Relegated",Table2[[#This Row],['#]]))</f>
        <v>16</v>
      </c>
      <c r="N417">
        <f>IF(COUNTIF($O$2:O417,O417)=1,N416+1,N416)</f>
        <v>43</v>
      </c>
      <c r="O417" s="4" t="str">
        <f>Table2[[#This Row],[Team]]</f>
        <v>Brighton And Hove Albion</v>
      </c>
      <c r="P417" s="1" t="str">
        <f>IFERROR(VLOOKUP(ROWS($O$2:O417),$N$2:$O$441,2,0),"")</f>
        <v/>
      </c>
      <c r="Q417" s="1" t="str">
        <f>IF(P417&lt;&gt;"",SUMPRODUCT(--(Table2[Team]=P417)),"")</f>
        <v/>
      </c>
      <c r="R417" s="11" t="str">
        <f>IF(Q417&lt;&gt;"",Q417+ROWS($Q$2:Q417)/100,"")</f>
        <v/>
      </c>
      <c r="S417" t="str">
        <f>IF(R417&lt;&gt;"",LARGE($R$2:$R$441,ROWS($R$2:R417)),"")</f>
        <v/>
      </c>
      <c r="T417" s="1" t="str">
        <f>IF(R417&lt;&gt;"",INDEX($P$2:$Q$441,MATCH($S417,$R$2:$R$441,0),COLUMNS($S$2:S417)),"")</f>
        <v/>
      </c>
      <c r="U417" s="1" t="str">
        <f>IF(S417&lt;&gt;"",INDEX($P$2:$Q$441,MATCH($S417,$R$2:$R$441,0),COLUMNS($S$2:T417)),"")</f>
        <v/>
      </c>
      <c r="AE417" s="1">
        <f>Table2[[#This Row],[Year]]</f>
        <v>2020</v>
      </c>
      <c r="AF417" s="1">
        <f>Table2[[#This Row],['#]]</f>
        <v>16</v>
      </c>
      <c r="AG417" s="1" t="str">
        <f>Table2[[#This Row],[Team]]</f>
        <v>Brighton And Hove Albion</v>
      </c>
      <c r="AH417" s="1">
        <f>Table2[[#This Row],[Pl]]</f>
        <v>38</v>
      </c>
      <c r="AI417" s="1">
        <f>Table2[[#This Row],[W]]</f>
        <v>9</v>
      </c>
      <c r="AJ417" s="1">
        <f>Table2[[#This Row],[D]]</f>
        <v>14</v>
      </c>
      <c r="AK417" s="1">
        <f>Table2[[#This Row],[L]]</f>
        <v>15</v>
      </c>
      <c r="AL417" s="1">
        <f>Table2[[#This Row],[F]]</f>
        <v>40</v>
      </c>
      <c r="AM417" s="1">
        <f>Table2[[#This Row],[A]]</f>
        <v>46</v>
      </c>
      <c r="AN417" s="1">
        <f>Table2[[#This Row],[GD]]</f>
        <v>-6</v>
      </c>
      <c r="AO417" s="1">
        <f>Table2[[#This Row],[Pts]]</f>
        <v>41</v>
      </c>
      <c r="AP417" s="1">
        <f>Table2[[#This Row],[Column1]]</f>
        <v>16</v>
      </c>
      <c r="AR417" t="b">
        <f t="shared" si="10"/>
        <v>1</v>
      </c>
      <c r="AS417">
        <f>IF(AR417,ROWS($AR$2:AR417),"")</f>
        <v>416</v>
      </c>
      <c r="AT417">
        <f>IFERROR(SMALL($AS$2:$AS$440,ROWS($AS$2:AS417)),"")</f>
        <v>416</v>
      </c>
      <c r="AU417">
        <f>IF(AT417&lt;&gt;"",INDEX($AE$2:$AP$440,MATCH($AT417,$AS$2:$AS$440,0),COLUMNS($AT$2:AT417)),"")</f>
        <v>2020</v>
      </c>
      <c r="AV417">
        <f>IF(AU417&lt;&gt;"",INDEX($AE$2:$AP$440,MATCH($AT417,$AS$2:$AS$440,0),COLUMNS($AT$2:AU417)),"")</f>
        <v>16</v>
      </c>
      <c r="AW417" t="str">
        <f>IF(AV417&lt;&gt;"",INDEX($AE$2:$AP$440,MATCH($AT417,$AS$2:$AS$440,0),COLUMNS($AT$2:AV417)),"")</f>
        <v>Brighton And Hove Albion</v>
      </c>
      <c r="AX417">
        <f>IF(AW417&lt;&gt;"",INDEX($AE$2:$AP$440,MATCH($AT417,$AS$2:$AS$440,0),COLUMNS($AT$2:AW417)),"")</f>
        <v>38</v>
      </c>
      <c r="AY417">
        <f>IF(AX417&lt;&gt;"",INDEX($AE$2:$AP$440,MATCH($AT417,$AS$2:$AS$440,0),COLUMNS($AT$2:AX417)),"")</f>
        <v>9</v>
      </c>
      <c r="AZ417">
        <f>IF(AY417&lt;&gt;"",INDEX($AE$2:$AP$440,MATCH($AT417,$AS$2:$AS$440,0),COLUMNS($AT$2:AY417)),"")</f>
        <v>14</v>
      </c>
      <c r="BA417">
        <f>IF(AZ417&lt;&gt;"",INDEX($AE$2:$AP$440,MATCH($AT417,$AS$2:$AS$440,0),COLUMNS($AT$2:AZ417)),"")</f>
        <v>15</v>
      </c>
      <c r="BB417">
        <f>IF(BA417&lt;&gt;"",INDEX($AE$2:$AP$440,MATCH($AT417,$AS$2:$AS$440,0),COLUMNS($AT$2:BA417)),"")</f>
        <v>40</v>
      </c>
      <c r="BC417">
        <f>IF(BB417&lt;&gt;"",INDEX($AE$2:$AP$440,MATCH($AT417,$AS$2:$AS$440,0),COLUMNS($AT$2:BB417)),"")</f>
        <v>46</v>
      </c>
      <c r="BD417">
        <f>IF(BC417&lt;&gt;"",INDEX($AE$2:$AP$440,MATCH($AT417,$AS$2:$AS$440,0),COLUMNS($AT$2:BC417)),"")</f>
        <v>-6</v>
      </c>
      <c r="BE417">
        <f>IF(BD417&lt;&gt;"",INDEX($AE$2:$AP$440,MATCH($AT417,$AS$2:$AS$440,0),COLUMNS($AT$2:BD417)),"")</f>
        <v>41</v>
      </c>
      <c r="BF417">
        <f>IF(BE417&lt;&gt;"",INDEX($AE$2:$AP$440,MATCH($AT417,$AS$2:$AS$440,0),COLUMNS($AT$2:BE417)),"")</f>
        <v>16</v>
      </c>
    </row>
    <row r="418" spans="1:58" x14ac:dyDescent="0.25">
      <c r="A418" s="3">
        <v>2020</v>
      </c>
      <c r="B418" s="3">
        <v>17</v>
      </c>
      <c r="C418" s="4" t="s">
        <v>46</v>
      </c>
      <c r="D418" s="3">
        <v>38</v>
      </c>
      <c r="E418" s="3">
        <v>10</v>
      </c>
      <c r="F418" s="3">
        <v>9</v>
      </c>
      <c r="G418" s="3">
        <v>19</v>
      </c>
      <c r="H418" s="3">
        <v>33</v>
      </c>
      <c r="I418" s="3">
        <v>55</v>
      </c>
      <c r="J418" s="3">
        <v>-22</v>
      </c>
      <c r="K418" s="3">
        <v>39</v>
      </c>
      <c r="L418" s="5">
        <f>IF(Table2[[#This Row],['#]]=1,"Champion", IF(Table2[[#This Row],['#]]&gt;=18,"Relegated",Table2[[#This Row],['#]]))</f>
        <v>17</v>
      </c>
      <c r="N418">
        <f>IF(COUNTIF($O$2:O418,O418)=1,N417+1,N417)</f>
        <v>43</v>
      </c>
      <c r="O418" s="4" t="str">
        <f>Table2[[#This Row],[Team]]</f>
        <v>Burnley</v>
      </c>
      <c r="P418" s="1" t="str">
        <f>IFERROR(VLOOKUP(ROWS($O$2:O418),$N$2:$O$441,2,0),"")</f>
        <v/>
      </c>
      <c r="Q418" s="1" t="str">
        <f>IF(P418&lt;&gt;"",SUMPRODUCT(--(Table2[Team]=P418)),"")</f>
        <v/>
      </c>
      <c r="R418" s="11" t="str">
        <f>IF(Q418&lt;&gt;"",Q418+ROWS($Q$2:Q418)/100,"")</f>
        <v/>
      </c>
      <c r="S418" t="str">
        <f>IF(R418&lt;&gt;"",LARGE($R$2:$R$441,ROWS($R$2:R418)),"")</f>
        <v/>
      </c>
      <c r="T418" s="1" t="str">
        <f>IF(R418&lt;&gt;"",INDEX($P$2:$Q$441,MATCH($S418,$R$2:$R$441,0),COLUMNS($S$2:S418)),"")</f>
        <v/>
      </c>
      <c r="U418" s="1" t="str">
        <f>IF(S418&lt;&gt;"",INDEX($P$2:$Q$441,MATCH($S418,$R$2:$R$441,0),COLUMNS($S$2:T418)),"")</f>
        <v/>
      </c>
      <c r="AE418" s="1">
        <f>Table2[[#This Row],[Year]]</f>
        <v>2020</v>
      </c>
      <c r="AF418" s="1">
        <f>Table2[[#This Row],['#]]</f>
        <v>17</v>
      </c>
      <c r="AG418" s="1" t="str">
        <f>Table2[[#This Row],[Team]]</f>
        <v>Burnley</v>
      </c>
      <c r="AH418" s="1">
        <f>Table2[[#This Row],[Pl]]</f>
        <v>38</v>
      </c>
      <c r="AI418" s="1">
        <f>Table2[[#This Row],[W]]</f>
        <v>10</v>
      </c>
      <c r="AJ418" s="1">
        <f>Table2[[#This Row],[D]]</f>
        <v>9</v>
      </c>
      <c r="AK418" s="1">
        <f>Table2[[#This Row],[L]]</f>
        <v>19</v>
      </c>
      <c r="AL418" s="1">
        <f>Table2[[#This Row],[F]]</f>
        <v>33</v>
      </c>
      <c r="AM418" s="1">
        <f>Table2[[#This Row],[A]]</f>
        <v>55</v>
      </c>
      <c r="AN418" s="1">
        <f>Table2[[#This Row],[GD]]</f>
        <v>-22</v>
      </c>
      <c r="AO418" s="1">
        <f>Table2[[#This Row],[Pts]]</f>
        <v>39</v>
      </c>
      <c r="AP418" s="1">
        <f>Table2[[#This Row],[Column1]]</f>
        <v>17</v>
      </c>
      <c r="AR418" t="b">
        <f t="shared" si="10"/>
        <v>1</v>
      </c>
      <c r="AS418">
        <f>IF(AR418,ROWS($AR$2:AR418),"")</f>
        <v>417</v>
      </c>
      <c r="AT418">
        <f>IFERROR(SMALL($AS$2:$AS$440,ROWS($AS$2:AS418)),"")</f>
        <v>417</v>
      </c>
      <c r="AU418">
        <f>IF(AT418&lt;&gt;"",INDEX($AE$2:$AP$440,MATCH($AT418,$AS$2:$AS$440,0),COLUMNS($AT$2:AT418)),"")</f>
        <v>2020</v>
      </c>
      <c r="AV418">
        <f>IF(AU418&lt;&gt;"",INDEX($AE$2:$AP$440,MATCH($AT418,$AS$2:$AS$440,0),COLUMNS($AT$2:AU418)),"")</f>
        <v>17</v>
      </c>
      <c r="AW418" t="str">
        <f>IF(AV418&lt;&gt;"",INDEX($AE$2:$AP$440,MATCH($AT418,$AS$2:$AS$440,0),COLUMNS($AT$2:AV418)),"")</f>
        <v>Burnley</v>
      </c>
      <c r="AX418">
        <f>IF(AW418&lt;&gt;"",INDEX($AE$2:$AP$440,MATCH($AT418,$AS$2:$AS$440,0),COLUMNS($AT$2:AW418)),"")</f>
        <v>38</v>
      </c>
      <c r="AY418">
        <f>IF(AX418&lt;&gt;"",INDEX($AE$2:$AP$440,MATCH($AT418,$AS$2:$AS$440,0),COLUMNS($AT$2:AX418)),"")</f>
        <v>10</v>
      </c>
      <c r="AZ418">
        <f>IF(AY418&lt;&gt;"",INDEX($AE$2:$AP$440,MATCH($AT418,$AS$2:$AS$440,0),COLUMNS($AT$2:AY418)),"")</f>
        <v>9</v>
      </c>
      <c r="BA418">
        <f>IF(AZ418&lt;&gt;"",INDEX($AE$2:$AP$440,MATCH($AT418,$AS$2:$AS$440,0),COLUMNS($AT$2:AZ418)),"")</f>
        <v>19</v>
      </c>
      <c r="BB418">
        <f>IF(BA418&lt;&gt;"",INDEX($AE$2:$AP$440,MATCH($AT418,$AS$2:$AS$440,0),COLUMNS($AT$2:BA418)),"")</f>
        <v>33</v>
      </c>
      <c r="BC418">
        <f>IF(BB418&lt;&gt;"",INDEX($AE$2:$AP$440,MATCH($AT418,$AS$2:$AS$440,0),COLUMNS($AT$2:BB418)),"")</f>
        <v>55</v>
      </c>
      <c r="BD418">
        <f>IF(BC418&lt;&gt;"",INDEX($AE$2:$AP$440,MATCH($AT418,$AS$2:$AS$440,0),COLUMNS($AT$2:BC418)),"")</f>
        <v>-22</v>
      </c>
      <c r="BE418">
        <f>IF(BD418&lt;&gt;"",INDEX($AE$2:$AP$440,MATCH($AT418,$AS$2:$AS$440,0),COLUMNS($AT$2:BD418)),"")</f>
        <v>39</v>
      </c>
      <c r="BF418">
        <f>IF(BE418&lt;&gt;"",INDEX($AE$2:$AP$440,MATCH($AT418,$AS$2:$AS$440,0),COLUMNS($AT$2:BE418)),"")</f>
        <v>17</v>
      </c>
    </row>
    <row r="419" spans="1:58" x14ac:dyDescent="0.25">
      <c r="A419" s="5">
        <v>2020</v>
      </c>
      <c r="B419" s="5">
        <v>18</v>
      </c>
      <c r="C419" s="6" t="s">
        <v>32</v>
      </c>
      <c r="D419" s="5">
        <v>38</v>
      </c>
      <c r="E419" s="5">
        <v>5</v>
      </c>
      <c r="F419" s="5">
        <v>13</v>
      </c>
      <c r="G419" s="5">
        <v>20</v>
      </c>
      <c r="H419" s="5">
        <v>27</v>
      </c>
      <c r="I419" s="5">
        <v>53</v>
      </c>
      <c r="J419" s="5">
        <v>-26</v>
      </c>
      <c r="K419" s="5">
        <v>28</v>
      </c>
      <c r="L419" s="5" t="str">
        <f>IF(Table2[[#This Row],['#]]=1,"Champion", IF(Table2[[#This Row],['#]]&gt;=18,"Relegated",Table2[[#This Row],['#]]))</f>
        <v>Relegated</v>
      </c>
      <c r="N419">
        <f>IF(COUNTIF($O$2:O419,O419)=1,N418+1,N418)</f>
        <v>43</v>
      </c>
      <c r="O419" s="4" t="str">
        <f>Table2[[#This Row],[Team]]</f>
        <v>Fulham</v>
      </c>
      <c r="P419" s="1" t="str">
        <f>IFERROR(VLOOKUP(ROWS($O$2:O419),$N$2:$O$441,2,0),"")</f>
        <v/>
      </c>
      <c r="Q419" s="1" t="str">
        <f>IF(P419&lt;&gt;"",SUMPRODUCT(--(Table2[Team]=P419)),"")</f>
        <v/>
      </c>
      <c r="R419" s="11" t="str">
        <f>IF(Q419&lt;&gt;"",Q419+ROWS($Q$2:Q419)/100,"")</f>
        <v/>
      </c>
      <c r="S419" t="str">
        <f>IF(R419&lt;&gt;"",LARGE($R$2:$R$441,ROWS($R$2:R419)),"")</f>
        <v/>
      </c>
      <c r="T419" s="1" t="str">
        <f>IF(R419&lt;&gt;"",INDEX($P$2:$Q$441,MATCH($S419,$R$2:$R$441,0),COLUMNS($S$2:S419)),"")</f>
        <v/>
      </c>
      <c r="U419" s="1" t="str">
        <f>IF(S419&lt;&gt;"",INDEX($P$2:$Q$441,MATCH($S419,$R$2:$R$441,0),COLUMNS($S$2:T419)),"")</f>
        <v/>
      </c>
      <c r="AE419" s="1">
        <f>Table2[[#This Row],[Year]]</f>
        <v>2020</v>
      </c>
      <c r="AF419" s="1">
        <f>Table2[[#This Row],['#]]</f>
        <v>18</v>
      </c>
      <c r="AG419" s="1" t="str">
        <f>Table2[[#This Row],[Team]]</f>
        <v>Fulham</v>
      </c>
      <c r="AH419" s="1">
        <f>Table2[[#This Row],[Pl]]</f>
        <v>38</v>
      </c>
      <c r="AI419" s="1">
        <f>Table2[[#This Row],[W]]</f>
        <v>5</v>
      </c>
      <c r="AJ419" s="1">
        <f>Table2[[#This Row],[D]]</f>
        <v>13</v>
      </c>
      <c r="AK419" s="1">
        <f>Table2[[#This Row],[L]]</f>
        <v>20</v>
      </c>
      <c r="AL419" s="1">
        <f>Table2[[#This Row],[F]]</f>
        <v>27</v>
      </c>
      <c r="AM419" s="1">
        <f>Table2[[#This Row],[A]]</f>
        <v>53</v>
      </c>
      <c r="AN419" s="1">
        <f>Table2[[#This Row],[GD]]</f>
        <v>-26</v>
      </c>
      <c r="AO419" s="1">
        <f>Table2[[#This Row],[Pts]]</f>
        <v>28</v>
      </c>
      <c r="AP419" s="1" t="str">
        <f>Table2[[#This Row],[Column1]]</f>
        <v>Relegated</v>
      </c>
      <c r="AR419" t="b">
        <f t="shared" si="10"/>
        <v>1</v>
      </c>
      <c r="AS419">
        <f>IF(AR419,ROWS($AR$2:AR419),"")</f>
        <v>418</v>
      </c>
      <c r="AT419">
        <f>IFERROR(SMALL($AS$2:$AS$440,ROWS($AS$2:AS419)),"")</f>
        <v>418</v>
      </c>
      <c r="AU419">
        <f>IF(AT419&lt;&gt;"",INDEX($AE$2:$AP$440,MATCH($AT419,$AS$2:$AS$440,0),COLUMNS($AT$2:AT419)),"")</f>
        <v>2020</v>
      </c>
      <c r="AV419">
        <f>IF(AU419&lt;&gt;"",INDEX($AE$2:$AP$440,MATCH($AT419,$AS$2:$AS$440,0),COLUMNS($AT$2:AU419)),"")</f>
        <v>18</v>
      </c>
      <c r="AW419" t="str">
        <f>IF(AV419&lt;&gt;"",INDEX($AE$2:$AP$440,MATCH($AT419,$AS$2:$AS$440,0),COLUMNS($AT$2:AV419)),"")</f>
        <v>Fulham</v>
      </c>
      <c r="AX419">
        <f>IF(AW419&lt;&gt;"",INDEX($AE$2:$AP$440,MATCH($AT419,$AS$2:$AS$440,0),COLUMNS($AT$2:AW419)),"")</f>
        <v>38</v>
      </c>
      <c r="AY419">
        <f>IF(AX419&lt;&gt;"",INDEX($AE$2:$AP$440,MATCH($AT419,$AS$2:$AS$440,0),COLUMNS($AT$2:AX419)),"")</f>
        <v>5</v>
      </c>
      <c r="AZ419">
        <f>IF(AY419&lt;&gt;"",INDEX($AE$2:$AP$440,MATCH($AT419,$AS$2:$AS$440,0),COLUMNS($AT$2:AY419)),"")</f>
        <v>13</v>
      </c>
      <c r="BA419">
        <f>IF(AZ419&lt;&gt;"",INDEX($AE$2:$AP$440,MATCH($AT419,$AS$2:$AS$440,0),COLUMNS($AT$2:AZ419)),"")</f>
        <v>20</v>
      </c>
      <c r="BB419">
        <f>IF(BA419&lt;&gt;"",INDEX($AE$2:$AP$440,MATCH($AT419,$AS$2:$AS$440,0),COLUMNS($AT$2:BA419)),"")</f>
        <v>27</v>
      </c>
      <c r="BC419">
        <f>IF(BB419&lt;&gt;"",INDEX($AE$2:$AP$440,MATCH($AT419,$AS$2:$AS$440,0),COLUMNS($AT$2:BB419)),"")</f>
        <v>53</v>
      </c>
      <c r="BD419">
        <f>IF(BC419&lt;&gt;"",INDEX($AE$2:$AP$440,MATCH($AT419,$AS$2:$AS$440,0),COLUMNS($AT$2:BC419)),"")</f>
        <v>-26</v>
      </c>
      <c r="BE419">
        <f>IF(BD419&lt;&gt;"",INDEX($AE$2:$AP$440,MATCH($AT419,$AS$2:$AS$440,0),COLUMNS($AT$2:BD419)),"")</f>
        <v>28</v>
      </c>
      <c r="BF419" t="str">
        <f>IF(BE419&lt;&gt;"",INDEX($AE$2:$AP$440,MATCH($AT419,$AS$2:$AS$440,0),COLUMNS($AT$2:BE419)),"")</f>
        <v>Relegated</v>
      </c>
    </row>
    <row r="420" spans="1:58" x14ac:dyDescent="0.25">
      <c r="A420" s="3">
        <v>2020</v>
      </c>
      <c r="B420" s="3">
        <v>19</v>
      </c>
      <c r="C420" s="4" t="s">
        <v>35</v>
      </c>
      <c r="D420" s="3">
        <v>38</v>
      </c>
      <c r="E420" s="3">
        <v>5</v>
      </c>
      <c r="F420" s="3">
        <v>11</v>
      </c>
      <c r="G420" s="3">
        <v>22</v>
      </c>
      <c r="H420" s="3">
        <v>35</v>
      </c>
      <c r="I420" s="3">
        <v>76</v>
      </c>
      <c r="J420" s="3">
        <v>-41</v>
      </c>
      <c r="K420" s="3">
        <v>26</v>
      </c>
      <c r="L420" s="5" t="str">
        <f>IF(Table2[[#This Row],['#]]=1,"Champion", IF(Table2[[#This Row],['#]]&gt;=18,"Relegated",Table2[[#This Row],['#]]))</f>
        <v>Relegated</v>
      </c>
      <c r="N420">
        <f>IF(COUNTIF($O$2:O420,O420)=1,N419+1,N419)</f>
        <v>43</v>
      </c>
      <c r="O420" s="4" t="str">
        <f>Table2[[#This Row],[Team]]</f>
        <v>West Bromwich Albion</v>
      </c>
      <c r="P420" s="1" t="str">
        <f>IFERROR(VLOOKUP(ROWS($O$2:O420),$N$2:$O$441,2,0),"")</f>
        <v/>
      </c>
      <c r="Q420" s="1" t="str">
        <f>IF(P420&lt;&gt;"",SUMPRODUCT(--(Table2[Team]=P420)),"")</f>
        <v/>
      </c>
      <c r="R420" s="11" t="str">
        <f>IF(Q420&lt;&gt;"",Q420+ROWS($Q$2:Q420)/100,"")</f>
        <v/>
      </c>
      <c r="S420" t="str">
        <f>IF(R420&lt;&gt;"",LARGE($R$2:$R$441,ROWS($R$2:R420)),"")</f>
        <v/>
      </c>
      <c r="T420" s="1" t="str">
        <f>IF(R420&lt;&gt;"",INDEX($P$2:$Q$441,MATCH($S420,$R$2:$R$441,0),COLUMNS($S$2:S420)),"")</f>
        <v/>
      </c>
      <c r="U420" s="1" t="str">
        <f>IF(S420&lt;&gt;"",INDEX($P$2:$Q$441,MATCH($S420,$R$2:$R$441,0),COLUMNS($S$2:T420)),"")</f>
        <v/>
      </c>
      <c r="AE420" s="1">
        <f>Table2[[#This Row],[Year]]</f>
        <v>2020</v>
      </c>
      <c r="AF420" s="1">
        <f>Table2[[#This Row],['#]]</f>
        <v>19</v>
      </c>
      <c r="AG420" s="1" t="str">
        <f>Table2[[#This Row],[Team]]</f>
        <v>West Bromwich Albion</v>
      </c>
      <c r="AH420" s="1">
        <f>Table2[[#This Row],[Pl]]</f>
        <v>38</v>
      </c>
      <c r="AI420" s="1">
        <f>Table2[[#This Row],[W]]</f>
        <v>5</v>
      </c>
      <c r="AJ420" s="1">
        <f>Table2[[#This Row],[D]]</f>
        <v>11</v>
      </c>
      <c r="AK420" s="1">
        <f>Table2[[#This Row],[L]]</f>
        <v>22</v>
      </c>
      <c r="AL420" s="1">
        <f>Table2[[#This Row],[F]]</f>
        <v>35</v>
      </c>
      <c r="AM420" s="1">
        <f>Table2[[#This Row],[A]]</f>
        <v>76</v>
      </c>
      <c r="AN420" s="1">
        <f>Table2[[#This Row],[GD]]</f>
        <v>-41</v>
      </c>
      <c r="AO420" s="1">
        <f>Table2[[#This Row],[Pts]]</f>
        <v>26</v>
      </c>
      <c r="AP420" s="1" t="str">
        <f>Table2[[#This Row],[Column1]]</f>
        <v>Relegated</v>
      </c>
      <c r="AR420" t="b">
        <f t="shared" si="10"/>
        <v>1</v>
      </c>
      <c r="AS420">
        <f>IF(AR420,ROWS($AR$2:AR420),"")</f>
        <v>419</v>
      </c>
      <c r="AT420">
        <f>IFERROR(SMALL($AS$2:$AS$440,ROWS($AS$2:AS420)),"")</f>
        <v>419</v>
      </c>
      <c r="AU420">
        <f>IF(AT420&lt;&gt;"",INDEX($AE$2:$AP$440,MATCH($AT420,$AS$2:$AS$440,0),COLUMNS($AT$2:AT420)),"")</f>
        <v>2020</v>
      </c>
      <c r="AV420">
        <f>IF(AU420&lt;&gt;"",INDEX($AE$2:$AP$440,MATCH($AT420,$AS$2:$AS$440,0),COLUMNS($AT$2:AU420)),"")</f>
        <v>19</v>
      </c>
      <c r="AW420" t="str">
        <f>IF(AV420&lt;&gt;"",INDEX($AE$2:$AP$440,MATCH($AT420,$AS$2:$AS$440,0),COLUMNS($AT$2:AV420)),"")</f>
        <v>West Bromwich Albion</v>
      </c>
      <c r="AX420">
        <f>IF(AW420&lt;&gt;"",INDEX($AE$2:$AP$440,MATCH($AT420,$AS$2:$AS$440,0),COLUMNS($AT$2:AW420)),"")</f>
        <v>38</v>
      </c>
      <c r="AY420">
        <f>IF(AX420&lt;&gt;"",INDEX($AE$2:$AP$440,MATCH($AT420,$AS$2:$AS$440,0),COLUMNS($AT$2:AX420)),"")</f>
        <v>5</v>
      </c>
      <c r="AZ420">
        <f>IF(AY420&lt;&gt;"",INDEX($AE$2:$AP$440,MATCH($AT420,$AS$2:$AS$440,0),COLUMNS($AT$2:AY420)),"")</f>
        <v>11</v>
      </c>
      <c r="BA420">
        <f>IF(AZ420&lt;&gt;"",INDEX($AE$2:$AP$440,MATCH($AT420,$AS$2:$AS$440,0),COLUMNS($AT$2:AZ420)),"")</f>
        <v>22</v>
      </c>
      <c r="BB420">
        <f>IF(BA420&lt;&gt;"",INDEX($AE$2:$AP$440,MATCH($AT420,$AS$2:$AS$440,0),COLUMNS($AT$2:BA420)),"")</f>
        <v>35</v>
      </c>
      <c r="BC420">
        <f>IF(BB420&lt;&gt;"",INDEX($AE$2:$AP$440,MATCH($AT420,$AS$2:$AS$440,0),COLUMNS($AT$2:BB420)),"")</f>
        <v>76</v>
      </c>
      <c r="BD420">
        <f>IF(BC420&lt;&gt;"",INDEX($AE$2:$AP$440,MATCH($AT420,$AS$2:$AS$440,0),COLUMNS($AT$2:BC420)),"")</f>
        <v>-41</v>
      </c>
      <c r="BE420">
        <f>IF(BD420&lt;&gt;"",INDEX($AE$2:$AP$440,MATCH($AT420,$AS$2:$AS$440,0),COLUMNS($AT$2:BD420)),"")</f>
        <v>26</v>
      </c>
      <c r="BF420" t="str">
        <f>IF(BE420&lt;&gt;"",INDEX($AE$2:$AP$440,MATCH($AT420,$AS$2:$AS$440,0),COLUMNS($AT$2:BE420)),"")</f>
        <v>Relegated</v>
      </c>
    </row>
    <row r="421" spans="1:58" x14ac:dyDescent="0.25">
      <c r="A421" s="5">
        <v>2020</v>
      </c>
      <c r="B421" s="5">
        <v>20</v>
      </c>
      <c r="C421" s="6" t="s">
        <v>42</v>
      </c>
      <c r="D421" s="5">
        <v>38</v>
      </c>
      <c r="E421" s="5">
        <v>7</v>
      </c>
      <c r="F421" s="5">
        <v>2</v>
      </c>
      <c r="G421" s="5">
        <v>29</v>
      </c>
      <c r="H421" s="5">
        <v>20</v>
      </c>
      <c r="I421" s="5">
        <v>63</v>
      </c>
      <c r="J421" s="5">
        <v>-43</v>
      </c>
      <c r="K421" s="5">
        <v>23</v>
      </c>
      <c r="L421" s="5" t="str">
        <f>IF(Table2[[#This Row],['#]]=1,"Champion", IF(Table2[[#This Row],['#]]&gt;=18,"Relegated",Table2[[#This Row],['#]]))</f>
        <v>Relegated</v>
      </c>
      <c r="N421">
        <f>IF(COUNTIF($O$2:O421,O421)=1,N420+1,N420)</f>
        <v>43</v>
      </c>
      <c r="O421" s="4" t="str">
        <f>Table2[[#This Row],[Team]]</f>
        <v>Sheffield United</v>
      </c>
      <c r="P421" s="1" t="str">
        <f>IFERROR(VLOOKUP(ROWS($O$2:O421),$N$2:$O$441,2,0),"")</f>
        <v/>
      </c>
      <c r="Q421" s="1" t="str">
        <f>IF(P421&lt;&gt;"",SUMPRODUCT(--(Table2[Team]=P421)),"")</f>
        <v/>
      </c>
      <c r="R421" s="11" t="str">
        <f>IF(Q421&lt;&gt;"",Q421+ROWS($Q$2:Q421)/100,"")</f>
        <v/>
      </c>
      <c r="S421" t="str">
        <f>IF(R421&lt;&gt;"",LARGE($R$2:$R$441,ROWS($R$2:R421)),"")</f>
        <v/>
      </c>
      <c r="T421" s="1" t="str">
        <f>IF(R421&lt;&gt;"",INDEX($P$2:$Q$441,MATCH($S421,$R$2:$R$441,0),COLUMNS($S$2:S421)),"")</f>
        <v/>
      </c>
      <c r="U421" s="1" t="str">
        <f>IF(S421&lt;&gt;"",INDEX($P$2:$Q$441,MATCH($S421,$R$2:$R$441,0),COLUMNS($S$2:T421)),"")</f>
        <v/>
      </c>
      <c r="AE421" s="1">
        <f>Table2[[#This Row],[Year]]</f>
        <v>2020</v>
      </c>
      <c r="AF421" s="1">
        <f>Table2[[#This Row],['#]]</f>
        <v>20</v>
      </c>
      <c r="AG421" s="1" t="str">
        <f>Table2[[#This Row],[Team]]</f>
        <v>Sheffield United</v>
      </c>
      <c r="AH421" s="1">
        <f>Table2[[#This Row],[Pl]]</f>
        <v>38</v>
      </c>
      <c r="AI421" s="1">
        <f>Table2[[#This Row],[W]]</f>
        <v>7</v>
      </c>
      <c r="AJ421" s="1">
        <f>Table2[[#This Row],[D]]</f>
        <v>2</v>
      </c>
      <c r="AK421" s="1">
        <f>Table2[[#This Row],[L]]</f>
        <v>29</v>
      </c>
      <c r="AL421" s="1">
        <f>Table2[[#This Row],[F]]</f>
        <v>20</v>
      </c>
      <c r="AM421" s="1">
        <f>Table2[[#This Row],[A]]</f>
        <v>63</v>
      </c>
      <c r="AN421" s="1">
        <f>Table2[[#This Row],[GD]]</f>
        <v>-43</v>
      </c>
      <c r="AO421" s="1">
        <f>Table2[[#This Row],[Pts]]</f>
        <v>23</v>
      </c>
      <c r="AP421" s="1" t="str">
        <f>Table2[[#This Row],[Column1]]</f>
        <v>Relegated</v>
      </c>
      <c r="AR421" t="b">
        <f t="shared" si="10"/>
        <v>1</v>
      </c>
      <c r="AS421">
        <f>IF(AR421,ROWS($AR$2:AR421),"")</f>
        <v>420</v>
      </c>
      <c r="AT421">
        <f>IFERROR(SMALL($AS$2:$AS$440,ROWS($AS$2:AS421)),"")</f>
        <v>420</v>
      </c>
      <c r="AU421">
        <f>IF(AT421&lt;&gt;"",INDEX($AE$2:$AP$440,MATCH($AT421,$AS$2:$AS$440,0),COLUMNS($AT$2:AT421)),"")</f>
        <v>2020</v>
      </c>
      <c r="AV421">
        <f>IF(AU421&lt;&gt;"",INDEX($AE$2:$AP$440,MATCH($AT421,$AS$2:$AS$440,0),COLUMNS($AT$2:AU421)),"")</f>
        <v>20</v>
      </c>
      <c r="AW421" t="str">
        <f>IF(AV421&lt;&gt;"",INDEX($AE$2:$AP$440,MATCH($AT421,$AS$2:$AS$440,0),COLUMNS($AT$2:AV421)),"")</f>
        <v>Sheffield United</v>
      </c>
      <c r="AX421">
        <f>IF(AW421&lt;&gt;"",INDEX($AE$2:$AP$440,MATCH($AT421,$AS$2:$AS$440,0),COLUMNS($AT$2:AW421)),"")</f>
        <v>38</v>
      </c>
      <c r="AY421">
        <f>IF(AX421&lt;&gt;"",INDEX($AE$2:$AP$440,MATCH($AT421,$AS$2:$AS$440,0),COLUMNS($AT$2:AX421)),"")</f>
        <v>7</v>
      </c>
      <c r="AZ421">
        <f>IF(AY421&lt;&gt;"",INDEX($AE$2:$AP$440,MATCH($AT421,$AS$2:$AS$440,0),COLUMNS($AT$2:AY421)),"")</f>
        <v>2</v>
      </c>
      <c r="BA421">
        <f>IF(AZ421&lt;&gt;"",INDEX($AE$2:$AP$440,MATCH($AT421,$AS$2:$AS$440,0),COLUMNS($AT$2:AZ421)),"")</f>
        <v>29</v>
      </c>
      <c r="BB421">
        <f>IF(BA421&lt;&gt;"",INDEX($AE$2:$AP$440,MATCH($AT421,$AS$2:$AS$440,0),COLUMNS($AT$2:BA421)),"")</f>
        <v>20</v>
      </c>
      <c r="BC421">
        <f>IF(BB421&lt;&gt;"",INDEX($AE$2:$AP$440,MATCH($AT421,$AS$2:$AS$440,0),COLUMNS($AT$2:BB421)),"")</f>
        <v>63</v>
      </c>
      <c r="BD421">
        <f>IF(BC421&lt;&gt;"",INDEX($AE$2:$AP$440,MATCH($AT421,$AS$2:$AS$440,0),COLUMNS($AT$2:BC421)),"")</f>
        <v>-43</v>
      </c>
      <c r="BE421">
        <f>IF(BD421&lt;&gt;"",INDEX($AE$2:$AP$440,MATCH($AT421,$AS$2:$AS$440,0),COLUMNS($AT$2:BD421)),"")</f>
        <v>23</v>
      </c>
      <c r="BF421" t="str">
        <f>IF(BE421&lt;&gt;"",INDEX($AE$2:$AP$440,MATCH($AT421,$AS$2:$AS$440,0),COLUMNS($AT$2:BE421)),"")</f>
        <v>Relegated</v>
      </c>
    </row>
    <row r="422" spans="1:58" x14ac:dyDescent="0.25">
      <c r="A422" s="3">
        <v>2021</v>
      </c>
      <c r="B422" s="3">
        <v>1</v>
      </c>
      <c r="C422" s="4" t="s">
        <v>28</v>
      </c>
      <c r="D422" s="3">
        <v>38</v>
      </c>
      <c r="E422" s="3">
        <v>29</v>
      </c>
      <c r="F422" s="3">
        <v>6</v>
      </c>
      <c r="G422" s="3">
        <v>3</v>
      </c>
      <c r="H422" s="3">
        <v>99</v>
      </c>
      <c r="I422" s="3">
        <v>26</v>
      </c>
      <c r="J422" s="3">
        <v>73</v>
      </c>
      <c r="K422" s="3">
        <v>93</v>
      </c>
      <c r="L422" s="5" t="str">
        <f>IF(Table2[[#This Row],['#]]=1,"Champion", IF(Table2[[#This Row],['#]]&gt;=18,"Relegated",Table2[[#This Row],['#]]))</f>
        <v>Champion</v>
      </c>
      <c r="N422">
        <f>IF(COUNTIF($O$2:O422,O422)=1,N421+1,N421)</f>
        <v>43</v>
      </c>
      <c r="O422" s="4" t="str">
        <f>Table2[[#This Row],[Team]]</f>
        <v>Manchester City</v>
      </c>
      <c r="P422" s="1" t="str">
        <f>IFERROR(VLOOKUP(ROWS($O$2:O422),$N$2:$O$441,2,0),"")</f>
        <v/>
      </c>
      <c r="Q422" s="1" t="str">
        <f>IF(P422&lt;&gt;"",SUMPRODUCT(--(Table2[Team]=P422)),"")</f>
        <v/>
      </c>
      <c r="R422" s="11" t="str">
        <f>IF(Q422&lt;&gt;"",Q422+ROWS($Q$2:Q422)/100,"")</f>
        <v/>
      </c>
      <c r="S422" t="str">
        <f>IF(R422&lt;&gt;"",LARGE($R$2:$R$441,ROWS($R$2:R422)),"")</f>
        <v/>
      </c>
      <c r="T422" s="1" t="str">
        <f>IF(R422&lt;&gt;"",INDEX($P$2:$Q$441,MATCH($S422,$R$2:$R$441,0),COLUMNS($S$2:S422)),"")</f>
        <v/>
      </c>
      <c r="U422" s="1" t="str">
        <f>IF(S422&lt;&gt;"",INDEX($P$2:$Q$441,MATCH($S422,$R$2:$R$441,0),COLUMNS($S$2:T422)),"")</f>
        <v/>
      </c>
      <c r="AE422" s="1">
        <f>Table2[[#This Row],[Year]]</f>
        <v>2021</v>
      </c>
      <c r="AF422" s="1">
        <f>Table2[[#This Row],['#]]</f>
        <v>1</v>
      </c>
      <c r="AG422" s="1" t="str">
        <f>Table2[[#This Row],[Team]]</f>
        <v>Manchester City</v>
      </c>
      <c r="AH422" s="1">
        <f>Table2[[#This Row],[Pl]]</f>
        <v>38</v>
      </c>
      <c r="AI422" s="1">
        <f>Table2[[#This Row],[W]]</f>
        <v>29</v>
      </c>
      <c r="AJ422" s="1">
        <f>Table2[[#This Row],[D]]</f>
        <v>6</v>
      </c>
      <c r="AK422" s="1">
        <f>Table2[[#This Row],[L]]</f>
        <v>3</v>
      </c>
      <c r="AL422" s="1">
        <f>Table2[[#This Row],[F]]</f>
        <v>99</v>
      </c>
      <c r="AM422" s="1">
        <f>Table2[[#This Row],[A]]</f>
        <v>26</v>
      </c>
      <c r="AN422" s="1">
        <f>Table2[[#This Row],[GD]]</f>
        <v>73</v>
      </c>
      <c r="AO422" s="1">
        <f>Table2[[#This Row],[Pts]]</f>
        <v>93</v>
      </c>
      <c r="AP422" s="1" t="str">
        <f>Table2[[#This Row],[Column1]]</f>
        <v>Champion</v>
      </c>
      <c r="AR422" t="b">
        <f t="shared" si="10"/>
        <v>1</v>
      </c>
      <c r="AS422">
        <f>IF(AR422,ROWS($AR$2:AR422),"")</f>
        <v>421</v>
      </c>
      <c r="AT422">
        <f>IFERROR(SMALL($AS$2:$AS$440,ROWS($AS$2:AS422)),"")</f>
        <v>421</v>
      </c>
      <c r="AU422">
        <f>IF(AT422&lt;&gt;"",INDEX($AE$2:$AP$440,MATCH($AT422,$AS$2:$AS$440,0),COLUMNS($AT$2:AT422)),"")</f>
        <v>2021</v>
      </c>
      <c r="AV422">
        <f>IF(AU422&lt;&gt;"",INDEX($AE$2:$AP$440,MATCH($AT422,$AS$2:$AS$440,0),COLUMNS($AT$2:AU422)),"")</f>
        <v>1</v>
      </c>
      <c r="AW422" t="str">
        <f>IF(AV422&lt;&gt;"",INDEX($AE$2:$AP$440,MATCH($AT422,$AS$2:$AS$440,0),COLUMNS($AT$2:AV422)),"")</f>
        <v>Manchester City</v>
      </c>
      <c r="AX422">
        <f>IF(AW422&lt;&gt;"",INDEX($AE$2:$AP$440,MATCH($AT422,$AS$2:$AS$440,0),COLUMNS($AT$2:AW422)),"")</f>
        <v>38</v>
      </c>
      <c r="AY422">
        <f>IF(AX422&lt;&gt;"",INDEX($AE$2:$AP$440,MATCH($AT422,$AS$2:$AS$440,0),COLUMNS($AT$2:AX422)),"")</f>
        <v>29</v>
      </c>
      <c r="AZ422">
        <f>IF(AY422&lt;&gt;"",INDEX($AE$2:$AP$440,MATCH($AT422,$AS$2:$AS$440,0),COLUMNS($AT$2:AY422)),"")</f>
        <v>6</v>
      </c>
      <c r="BA422">
        <f>IF(AZ422&lt;&gt;"",INDEX($AE$2:$AP$440,MATCH($AT422,$AS$2:$AS$440,0),COLUMNS($AT$2:AZ422)),"")</f>
        <v>3</v>
      </c>
      <c r="BB422">
        <f>IF(BA422&lt;&gt;"",INDEX($AE$2:$AP$440,MATCH($AT422,$AS$2:$AS$440,0),COLUMNS($AT$2:BA422)),"")</f>
        <v>99</v>
      </c>
      <c r="BC422">
        <f>IF(BB422&lt;&gt;"",INDEX($AE$2:$AP$440,MATCH($AT422,$AS$2:$AS$440,0),COLUMNS($AT$2:BB422)),"")</f>
        <v>26</v>
      </c>
      <c r="BD422">
        <f>IF(BC422&lt;&gt;"",INDEX($AE$2:$AP$440,MATCH($AT422,$AS$2:$AS$440,0),COLUMNS($AT$2:BC422)),"")</f>
        <v>73</v>
      </c>
      <c r="BE422">
        <f>IF(BD422&lt;&gt;"",INDEX($AE$2:$AP$440,MATCH($AT422,$AS$2:$AS$440,0),COLUMNS($AT$2:BD422)),"")</f>
        <v>93</v>
      </c>
      <c r="BF422" t="str">
        <f>IF(BE422&lt;&gt;"",INDEX($AE$2:$AP$440,MATCH($AT422,$AS$2:$AS$440,0),COLUMNS($AT$2:BE422)),"")</f>
        <v>Champion</v>
      </c>
    </row>
    <row r="423" spans="1:58" x14ac:dyDescent="0.25">
      <c r="A423" s="5">
        <v>2021</v>
      </c>
      <c r="B423" s="5">
        <v>2</v>
      </c>
      <c r="C423" s="4" t="s">
        <v>13</v>
      </c>
      <c r="D423" s="5">
        <v>38</v>
      </c>
      <c r="E423" s="5">
        <v>28</v>
      </c>
      <c r="F423" s="5">
        <v>8</v>
      </c>
      <c r="G423" s="5">
        <v>2</v>
      </c>
      <c r="H423" s="5">
        <v>94</v>
      </c>
      <c r="I423" s="5">
        <v>26</v>
      </c>
      <c r="J423" s="5">
        <v>68</v>
      </c>
      <c r="K423" s="5">
        <v>92</v>
      </c>
      <c r="L423" s="5">
        <f>IF(Table2[[#This Row],['#]]=1,"Champion", IF(Table2[[#This Row],['#]]&gt;=18,"Relegated",Table2[[#This Row],['#]]))</f>
        <v>2</v>
      </c>
      <c r="N423">
        <f>IF(COUNTIF($O$2:O423,O423)=1,N422+1,N422)</f>
        <v>43</v>
      </c>
      <c r="O423" s="4" t="str">
        <f>Table2[[#This Row],[Team]]</f>
        <v>Liverpool</v>
      </c>
      <c r="P423" s="1" t="str">
        <f>IFERROR(VLOOKUP(ROWS($O$2:O423),$N$2:$O$441,2,0),"")</f>
        <v/>
      </c>
      <c r="Q423" s="1" t="str">
        <f>IF(P423&lt;&gt;"",SUMPRODUCT(--(Table2[Team]=P423)),"")</f>
        <v/>
      </c>
      <c r="R423" s="11" t="str">
        <f>IF(Q423&lt;&gt;"",Q423+ROWS($Q$2:Q423)/100,"")</f>
        <v/>
      </c>
      <c r="S423" t="str">
        <f>IF(R423&lt;&gt;"",LARGE($R$2:$R$441,ROWS($R$2:R423)),"")</f>
        <v/>
      </c>
      <c r="T423" s="1" t="str">
        <f>IF(R423&lt;&gt;"",INDEX($P$2:$Q$441,MATCH($S423,$R$2:$R$441,0),COLUMNS($S$2:S423)),"")</f>
        <v/>
      </c>
      <c r="U423" s="1" t="str">
        <f>IF(S423&lt;&gt;"",INDEX($P$2:$Q$441,MATCH($S423,$R$2:$R$441,0),COLUMNS($S$2:T423)),"")</f>
        <v/>
      </c>
      <c r="AE423" s="1">
        <f>Table2[[#This Row],[Year]]</f>
        <v>2021</v>
      </c>
      <c r="AF423" s="1">
        <f>Table2[[#This Row],['#]]</f>
        <v>2</v>
      </c>
      <c r="AG423" s="1" t="str">
        <f>Table2[[#This Row],[Team]]</f>
        <v>Liverpool</v>
      </c>
      <c r="AH423" s="1">
        <f>Table2[[#This Row],[Pl]]</f>
        <v>38</v>
      </c>
      <c r="AI423" s="1">
        <f>Table2[[#This Row],[W]]</f>
        <v>28</v>
      </c>
      <c r="AJ423" s="1">
        <f>Table2[[#This Row],[D]]</f>
        <v>8</v>
      </c>
      <c r="AK423" s="1">
        <f>Table2[[#This Row],[L]]</f>
        <v>2</v>
      </c>
      <c r="AL423" s="1">
        <f>Table2[[#This Row],[F]]</f>
        <v>94</v>
      </c>
      <c r="AM423" s="1">
        <f>Table2[[#This Row],[A]]</f>
        <v>26</v>
      </c>
      <c r="AN423" s="1">
        <f>Table2[[#This Row],[GD]]</f>
        <v>68</v>
      </c>
      <c r="AO423" s="1">
        <f>Table2[[#This Row],[Pts]]</f>
        <v>92</v>
      </c>
      <c r="AP423" s="1">
        <f>Table2[[#This Row],[Column1]]</f>
        <v>2</v>
      </c>
      <c r="AR423" t="b">
        <f t="shared" si="10"/>
        <v>1</v>
      </c>
      <c r="AS423">
        <f>IF(AR423,ROWS($AR$2:AR423),"")</f>
        <v>422</v>
      </c>
      <c r="AT423">
        <f>IFERROR(SMALL($AS$2:$AS$440,ROWS($AS$2:AS423)),"")</f>
        <v>422</v>
      </c>
      <c r="AU423">
        <f>IF(AT423&lt;&gt;"",INDEX($AE$2:$AP$440,MATCH($AT423,$AS$2:$AS$440,0),COLUMNS($AT$2:AT423)),"")</f>
        <v>2021</v>
      </c>
      <c r="AV423">
        <f>IF(AU423&lt;&gt;"",INDEX($AE$2:$AP$440,MATCH($AT423,$AS$2:$AS$440,0),COLUMNS($AT$2:AU423)),"")</f>
        <v>2</v>
      </c>
      <c r="AW423" t="str">
        <f>IF(AV423&lt;&gt;"",INDEX($AE$2:$AP$440,MATCH($AT423,$AS$2:$AS$440,0),COLUMNS($AT$2:AV423)),"")</f>
        <v>Liverpool</v>
      </c>
      <c r="AX423">
        <f>IF(AW423&lt;&gt;"",INDEX($AE$2:$AP$440,MATCH($AT423,$AS$2:$AS$440,0),COLUMNS($AT$2:AW423)),"")</f>
        <v>38</v>
      </c>
      <c r="AY423">
        <f>IF(AX423&lt;&gt;"",INDEX($AE$2:$AP$440,MATCH($AT423,$AS$2:$AS$440,0),COLUMNS($AT$2:AX423)),"")</f>
        <v>28</v>
      </c>
      <c r="AZ423">
        <f>IF(AY423&lt;&gt;"",INDEX($AE$2:$AP$440,MATCH($AT423,$AS$2:$AS$440,0),COLUMNS($AT$2:AY423)),"")</f>
        <v>8</v>
      </c>
      <c r="BA423">
        <f>IF(AZ423&lt;&gt;"",INDEX($AE$2:$AP$440,MATCH($AT423,$AS$2:$AS$440,0),COLUMNS($AT$2:AZ423)),"")</f>
        <v>2</v>
      </c>
      <c r="BB423">
        <f>IF(BA423&lt;&gt;"",INDEX($AE$2:$AP$440,MATCH($AT423,$AS$2:$AS$440,0),COLUMNS($AT$2:BA423)),"")</f>
        <v>94</v>
      </c>
      <c r="BC423">
        <f>IF(BB423&lt;&gt;"",INDEX($AE$2:$AP$440,MATCH($AT423,$AS$2:$AS$440,0),COLUMNS($AT$2:BB423)),"")</f>
        <v>26</v>
      </c>
      <c r="BD423">
        <f>IF(BC423&lt;&gt;"",INDEX($AE$2:$AP$440,MATCH($AT423,$AS$2:$AS$440,0),COLUMNS($AT$2:BC423)),"")</f>
        <v>68</v>
      </c>
      <c r="BE423">
        <f>IF(BD423&lt;&gt;"",INDEX($AE$2:$AP$440,MATCH($AT423,$AS$2:$AS$440,0),COLUMNS($AT$2:BD423)),"")</f>
        <v>92</v>
      </c>
      <c r="BF423">
        <f>IF(BE423&lt;&gt;"",INDEX($AE$2:$AP$440,MATCH($AT423,$AS$2:$AS$440,0),COLUMNS($AT$2:BE423)),"")</f>
        <v>2</v>
      </c>
    </row>
    <row r="424" spans="1:58" x14ac:dyDescent="0.25">
      <c r="A424" s="3">
        <v>2021</v>
      </c>
      <c r="B424" s="3">
        <v>3</v>
      </c>
      <c r="C424" s="4" t="s">
        <v>16</v>
      </c>
      <c r="D424" s="3">
        <v>38</v>
      </c>
      <c r="E424" s="3">
        <v>21</v>
      </c>
      <c r="F424" s="3">
        <v>11</v>
      </c>
      <c r="G424" s="3">
        <v>6</v>
      </c>
      <c r="H424" s="3">
        <v>76</v>
      </c>
      <c r="I424" s="3">
        <v>33</v>
      </c>
      <c r="J424" s="3">
        <v>43</v>
      </c>
      <c r="K424" s="3">
        <v>74</v>
      </c>
      <c r="L424" s="5">
        <f>IF(Table2[[#This Row],['#]]=1,"Champion", IF(Table2[[#This Row],['#]]&gt;=18,"Relegated",Table2[[#This Row],['#]]))</f>
        <v>3</v>
      </c>
      <c r="N424">
        <f>IF(COUNTIF($O$2:O424,O424)=1,N423+1,N423)</f>
        <v>43</v>
      </c>
      <c r="O424" s="4" t="str">
        <f>Table2[[#This Row],[Team]]</f>
        <v>Chelsea</v>
      </c>
      <c r="P424" s="1" t="str">
        <f>IFERROR(VLOOKUP(ROWS($O$2:O424),$N$2:$O$441,2,0),"")</f>
        <v/>
      </c>
      <c r="Q424" s="1" t="str">
        <f>IF(P424&lt;&gt;"",SUMPRODUCT(--(Table2[Team]=P424)),"")</f>
        <v/>
      </c>
      <c r="R424" s="11" t="str">
        <f>IF(Q424&lt;&gt;"",Q424+ROWS($Q$2:Q424)/100,"")</f>
        <v/>
      </c>
      <c r="S424" t="str">
        <f>IF(R424&lt;&gt;"",LARGE($R$2:$R$441,ROWS($R$2:R424)),"")</f>
        <v/>
      </c>
      <c r="T424" s="1" t="str">
        <f>IF(R424&lt;&gt;"",INDEX($P$2:$Q$441,MATCH($S424,$R$2:$R$441,0),COLUMNS($S$2:S424)),"")</f>
        <v/>
      </c>
      <c r="U424" s="1" t="str">
        <f>IF(S424&lt;&gt;"",INDEX($P$2:$Q$441,MATCH($S424,$R$2:$R$441,0),COLUMNS($S$2:T424)),"")</f>
        <v/>
      </c>
      <c r="AE424" s="1">
        <f>Table2[[#This Row],[Year]]</f>
        <v>2021</v>
      </c>
      <c r="AF424" s="1">
        <f>Table2[[#This Row],['#]]</f>
        <v>3</v>
      </c>
      <c r="AG424" s="1" t="str">
        <f>Table2[[#This Row],[Team]]</f>
        <v>Chelsea</v>
      </c>
      <c r="AH424" s="1">
        <f>Table2[[#This Row],[Pl]]</f>
        <v>38</v>
      </c>
      <c r="AI424" s="1">
        <f>Table2[[#This Row],[W]]</f>
        <v>21</v>
      </c>
      <c r="AJ424" s="1">
        <f>Table2[[#This Row],[D]]</f>
        <v>11</v>
      </c>
      <c r="AK424" s="1">
        <f>Table2[[#This Row],[L]]</f>
        <v>6</v>
      </c>
      <c r="AL424" s="1">
        <f>Table2[[#This Row],[F]]</f>
        <v>76</v>
      </c>
      <c r="AM424" s="1">
        <f>Table2[[#This Row],[A]]</f>
        <v>33</v>
      </c>
      <c r="AN424" s="1">
        <f>Table2[[#This Row],[GD]]</f>
        <v>43</v>
      </c>
      <c r="AO424" s="1">
        <f>Table2[[#This Row],[Pts]]</f>
        <v>74</v>
      </c>
      <c r="AP424" s="1">
        <f>Table2[[#This Row],[Column1]]</f>
        <v>3</v>
      </c>
      <c r="AR424" t="b">
        <f t="shared" si="10"/>
        <v>1</v>
      </c>
      <c r="AS424">
        <f>IF(AR424,ROWS($AR$2:AR424),"")</f>
        <v>423</v>
      </c>
      <c r="AT424">
        <f>IFERROR(SMALL($AS$2:$AS$440,ROWS($AS$2:AS424)),"")</f>
        <v>423</v>
      </c>
      <c r="AU424">
        <f>IF(AT424&lt;&gt;"",INDEX($AE$2:$AP$440,MATCH($AT424,$AS$2:$AS$440,0),COLUMNS($AT$2:AT424)),"")</f>
        <v>2021</v>
      </c>
      <c r="AV424">
        <f>IF(AU424&lt;&gt;"",INDEX($AE$2:$AP$440,MATCH($AT424,$AS$2:$AS$440,0),COLUMNS($AT$2:AU424)),"")</f>
        <v>3</v>
      </c>
      <c r="AW424" t="str">
        <f>IF(AV424&lt;&gt;"",INDEX($AE$2:$AP$440,MATCH($AT424,$AS$2:$AS$440,0),COLUMNS($AT$2:AV424)),"")</f>
        <v>Chelsea</v>
      </c>
      <c r="AX424">
        <f>IF(AW424&lt;&gt;"",INDEX($AE$2:$AP$440,MATCH($AT424,$AS$2:$AS$440,0),COLUMNS($AT$2:AW424)),"")</f>
        <v>38</v>
      </c>
      <c r="AY424">
        <f>IF(AX424&lt;&gt;"",INDEX($AE$2:$AP$440,MATCH($AT424,$AS$2:$AS$440,0),COLUMNS($AT$2:AX424)),"")</f>
        <v>21</v>
      </c>
      <c r="AZ424">
        <f>IF(AY424&lt;&gt;"",INDEX($AE$2:$AP$440,MATCH($AT424,$AS$2:$AS$440,0),COLUMNS($AT$2:AY424)),"")</f>
        <v>11</v>
      </c>
      <c r="BA424">
        <f>IF(AZ424&lt;&gt;"",INDEX($AE$2:$AP$440,MATCH($AT424,$AS$2:$AS$440,0),COLUMNS($AT$2:AZ424)),"")</f>
        <v>6</v>
      </c>
      <c r="BB424">
        <f>IF(BA424&lt;&gt;"",INDEX($AE$2:$AP$440,MATCH($AT424,$AS$2:$AS$440,0),COLUMNS($AT$2:BA424)),"")</f>
        <v>76</v>
      </c>
      <c r="BC424">
        <f>IF(BB424&lt;&gt;"",INDEX($AE$2:$AP$440,MATCH($AT424,$AS$2:$AS$440,0),COLUMNS($AT$2:BB424)),"")</f>
        <v>33</v>
      </c>
      <c r="BD424">
        <f>IF(BC424&lt;&gt;"",INDEX($AE$2:$AP$440,MATCH($AT424,$AS$2:$AS$440,0),COLUMNS($AT$2:BC424)),"")</f>
        <v>43</v>
      </c>
      <c r="BE424">
        <f>IF(BD424&lt;&gt;"",INDEX($AE$2:$AP$440,MATCH($AT424,$AS$2:$AS$440,0),COLUMNS($AT$2:BD424)),"")</f>
        <v>74</v>
      </c>
      <c r="BF424">
        <f>IF(BE424&lt;&gt;"",INDEX($AE$2:$AP$440,MATCH($AT424,$AS$2:$AS$440,0),COLUMNS($AT$2:BE424)),"")</f>
        <v>3</v>
      </c>
    </row>
    <row r="425" spans="1:58" x14ac:dyDescent="0.25">
      <c r="A425" s="5">
        <v>2021</v>
      </c>
      <c r="B425" s="5">
        <v>4</v>
      </c>
      <c r="C425" s="6" t="s">
        <v>22</v>
      </c>
      <c r="D425" s="5">
        <v>38</v>
      </c>
      <c r="E425" s="5">
        <v>22</v>
      </c>
      <c r="F425" s="5">
        <v>5</v>
      </c>
      <c r="G425" s="5">
        <v>11</v>
      </c>
      <c r="H425" s="5">
        <v>69</v>
      </c>
      <c r="I425" s="5">
        <v>40</v>
      </c>
      <c r="J425" s="5">
        <v>29</v>
      </c>
      <c r="K425" s="5">
        <v>71</v>
      </c>
      <c r="L425" s="5">
        <f>IF(Table2[[#This Row],['#]]=1,"Champion", IF(Table2[[#This Row],['#]]&gt;=18,"Relegated",Table2[[#This Row],['#]]))</f>
        <v>4</v>
      </c>
      <c r="N425">
        <f>IF(COUNTIF($O$2:O425,O425)=1,N424+1,N424)</f>
        <v>43</v>
      </c>
      <c r="O425" s="4" t="str">
        <f>Table2[[#This Row],[Team]]</f>
        <v>Tottenham Hotspur</v>
      </c>
      <c r="P425" s="1" t="str">
        <f>IFERROR(VLOOKUP(ROWS($O$2:O425),$N$2:$O$441,2,0),"")</f>
        <v/>
      </c>
      <c r="Q425" s="1" t="str">
        <f>IF(P425&lt;&gt;"",SUMPRODUCT(--(Table2[Team]=P425)),"")</f>
        <v/>
      </c>
      <c r="R425" s="11" t="str">
        <f>IF(Q425&lt;&gt;"",Q425+ROWS($Q$2:Q425)/100,"")</f>
        <v/>
      </c>
      <c r="S425" t="str">
        <f>IF(R425&lt;&gt;"",LARGE($R$2:$R$441,ROWS($R$2:R425)),"")</f>
        <v/>
      </c>
      <c r="T425" s="1" t="str">
        <f>IF(R425&lt;&gt;"",INDEX($P$2:$Q$441,MATCH($S425,$R$2:$R$441,0),COLUMNS($S$2:S425)),"")</f>
        <v/>
      </c>
      <c r="U425" s="1" t="str">
        <f>IF(S425&lt;&gt;"",INDEX($P$2:$Q$441,MATCH($S425,$R$2:$R$441,0),COLUMNS($S$2:T425)),"")</f>
        <v/>
      </c>
      <c r="AE425" s="1">
        <f>Table2[[#This Row],[Year]]</f>
        <v>2021</v>
      </c>
      <c r="AF425" s="1">
        <f>Table2[[#This Row],['#]]</f>
        <v>4</v>
      </c>
      <c r="AG425" s="1" t="str">
        <f>Table2[[#This Row],[Team]]</f>
        <v>Tottenham Hotspur</v>
      </c>
      <c r="AH425" s="1">
        <f>Table2[[#This Row],[Pl]]</f>
        <v>38</v>
      </c>
      <c r="AI425" s="1">
        <f>Table2[[#This Row],[W]]</f>
        <v>22</v>
      </c>
      <c r="AJ425" s="1">
        <f>Table2[[#This Row],[D]]</f>
        <v>5</v>
      </c>
      <c r="AK425" s="1">
        <f>Table2[[#This Row],[L]]</f>
        <v>11</v>
      </c>
      <c r="AL425" s="1">
        <f>Table2[[#This Row],[F]]</f>
        <v>69</v>
      </c>
      <c r="AM425" s="1">
        <f>Table2[[#This Row],[A]]</f>
        <v>40</v>
      </c>
      <c r="AN425" s="1">
        <f>Table2[[#This Row],[GD]]</f>
        <v>29</v>
      </c>
      <c r="AO425" s="1">
        <f>Table2[[#This Row],[Pts]]</f>
        <v>71</v>
      </c>
      <c r="AP425" s="1">
        <f>Table2[[#This Row],[Column1]]</f>
        <v>4</v>
      </c>
      <c r="AR425" t="b">
        <f t="shared" si="10"/>
        <v>1</v>
      </c>
      <c r="AS425">
        <f>IF(AR425,ROWS($AR$2:AR425),"")</f>
        <v>424</v>
      </c>
      <c r="AT425">
        <f>IFERROR(SMALL($AS$2:$AS$440,ROWS($AS$2:AS425)),"")</f>
        <v>424</v>
      </c>
      <c r="AU425">
        <f>IF(AT425&lt;&gt;"",INDEX($AE$2:$AP$440,MATCH($AT425,$AS$2:$AS$440,0),COLUMNS($AT$2:AT425)),"")</f>
        <v>2021</v>
      </c>
      <c r="AV425">
        <f>IF(AU425&lt;&gt;"",INDEX($AE$2:$AP$440,MATCH($AT425,$AS$2:$AS$440,0),COLUMNS($AT$2:AU425)),"")</f>
        <v>4</v>
      </c>
      <c r="AW425" t="str">
        <f>IF(AV425&lt;&gt;"",INDEX($AE$2:$AP$440,MATCH($AT425,$AS$2:$AS$440,0),COLUMNS($AT$2:AV425)),"")</f>
        <v>Tottenham Hotspur</v>
      </c>
      <c r="AX425">
        <f>IF(AW425&lt;&gt;"",INDEX($AE$2:$AP$440,MATCH($AT425,$AS$2:$AS$440,0),COLUMNS($AT$2:AW425)),"")</f>
        <v>38</v>
      </c>
      <c r="AY425">
        <f>IF(AX425&lt;&gt;"",INDEX($AE$2:$AP$440,MATCH($AT425,$AS$2:$AS$440,0),COLUMNS($AT$2:AX425)),"")</f>
        <v>22</v>
      </c>
      <c r="AZ425">
        <f>IF(AY425&lt;&gt;"",INDEX($AE$2:$AP$440,MATCH($AT425,$AS$2:$AS$440,0),COLUMNS($AT$2:AY425)),"")</f>
        <v>5</v>
      </c>
      <c r="BA425">
        <f>IF(AZ425&lt;&gt;"",INDEX($AE$2:$AP$440,MATCH($AT425,$AS$2:$AS$440,0),COLUMNS($AT$2:AZ425)),"")</f>
        <v>11</v>
      </c>
      <c r="BB425">
        <f>IF(BA425&lt;&gt;"",INDEX($AE$2:$AP$440,MATCH($AT425,$AS$2:$AS$440,0),COLUMNS($AT$2:BA425)),"")</f>
        <v>69</v>
      </c>
      <c r="BC425">
        <f>IF(BB425&lt;&gt;"",INDEX($AE$2:$AP$440,MATCH($AT425,$AS$2:$AS$440,0),COLUMNS($AT$2:BB425)),"")</f>
        <v>40</v>
      </c>
      <c r="BD425">
        <f>IF(BC425&lt;&gt;"",INDEX($AE$2:$AP$440,MATCH($AT425,$AS$2:$AS$440,0),COLUMNS($AT$2:BC425)),"")</f>
        <v>29</v>
      </c>
      <c r="BE425">
        <f>IF(BD425&lt;&gt;"",INDEX($AE$2:$AP$440,MATCH($AT425,$AS$2:$AS$440,0),COLUMNS($AT$2:BD425)),"")</f>
        <v>71</v>
      </c>
      <c r="BF425">
        <f>IF(BE425&lt;&gt;"",INDEX($AE$2:$AP$440,MATCH($AT425,$AS$2:$AS$440,0),COLUMNS($AT$2:BE425)),"")</f>
        <v>4</v>
      </c>
    </row>
    <row r="426" spans="1:58" x14ac:dyDescent="0.25">
      <c r="A426" s="3">
        <v>2021</v>
      </c>
      <c r="B426" s="3">
        <v>5</v>
      </c>
      <c r="C426" s="6" t="s">
        <v>12</v>
      </c>
      <c r="D426" s="3">
        <v>38</v>
      </c>
      <c r="E426" s="3">
        <v>22</v>
      </c>
      <c r="F426" s="3">
        <v>3</v>
      </c>
      <c r="G426" s="3">
        <v>13</v>
      </c>
      <c r="H426" s="3">
        <v>61</v>
      </c>
      <c r="I426" s="3">
        <v>48</v>
      </c>
      <c r="J426" s="3">
        <v>13</v>
      </c>
      <c r="K426" s="3">
        <v>69</v>
      </c>
      <c r="L426" s="5">
        <f>IF(Table2[[#This Row],['#]]=1,"Champion", IF(Table2[[#This Row],['#]]&gt;=18,"Relegated",Table2[[#This Row],['#]]))</f>
        <v>5</v>
      </c>
      <c r="N426">
        <f>IF(COUNTIF($O$2:O426,O426)=1,N425+1,N425)</f>
        <v>43</v>
      </c>
      <c r="O426" s="4" t="str">
        <f>Table2[[#This Row],[Team]]</f>
        <v>Arsenal</v>
      </c>
      <c r="P426" s="1" t="str">
        <f>IFERROR(VLOOKUP(ROWS($O$2:O426),$N$2:$O$441,2,0),"")</f>
        <v/>
      </c>
      <c r="Q426" s="1" t="str">
        <f>IF(P426&lt;&gt;"",SUMPRODUCT(--(Table2[Team]=P426)),"")</f>
        <v/>
      </c>
      <c r="R426" s="11" t="str">
        <f>IF(Q426&lt;&gt;"",Q426+ROWS($Q$2:Q426)/100,"")</f>
        <v/>
      </c>
      <c r="S426" t="str">
        <f>IF(R426&lt;&gt;"",LARGE($R$2:$R$441,ROWS($R$2:R426)),"")</f>
        <v/>
      </c>
      <c r="T426" s="1" t="str">
        <f>IF(R426&lt;&gt;"",INDEX($P$2:$Q$441,MATCH($S426,$R$2:$R$441,0),COLUMNS($S$2:S426)),"")</f>
        <v/>
      </c>
      <c r="U426" s="1" t="str">
        <f>IF(S426&lt;&gt;"",INDEX($P$2:$Q$441,MATCH($S426,$R$2:$R$441,0),COLUMNS($S$2:T426)),"")</f>
        <v/>
      </c>
      <c r="AE426" s="1">
        <f>Table2[[#This Row],[Year]]</f>
        <v>2021</v>
      </c>
      <c r="AF426" s="1">
        <f>Table2[[#This Row],['#]]</f>
        <v>5</v>
      </c>
      <c r="AG426" s="1" t="str">
        <f>Table2[[#This Row],[Team]]</f>
        <v>Arsenal</v>
      </c>
      <c r="AH426" s="1">
        <f>Table2[[#This Row],[Pl]]</f>
        <v>38</v>
      </c>
      <c r="AI426" s="1">
        <f>Table2[[#This Row],[W]]</f>
        <v>22</v>
      </c>
      <c r="AJ426" s="1">
        <f>Table2[[#This Row],[D]]</f>
        <v>3</v>
      </c>
      <c r="AK426" s="1">
        <f>Table2[[#This Row],[L]]</f>
        <v>13</v>
      </c>
      <c r="AL426" s="1">
        <f>Table2[[#This Row],[F]]</f>
        <v>61</v>
      </c>
      <c r="AM426" s="1">
        <f>Table2[[#This Row],[A]]</f>
        <v>48</v>
      </c>
      <c r="AN426" s="1">
        <f>Table2[[#This Row],[GD]]</f>
        <v>13</v>
      </c>
      <c r="AO426" s="1">
        <f>Table2[[#This Row],[Pts]]</f>
        <v>69</v>
      </c>
      <c r="AP426" s="1">
        <f>Table2[[#This Row],[Column1]]</f>
        <v>5</v>
      </c>
      <c r="AR426" t="b">
        <f t="shared" si="10"/>
        <v>1</v>
      </c>
      <c r="AS426">
        <f>IF(AR426,ROWS($AR$2:AR426),"")</f>
        <v>425</v>
      </c>
      <c r="AT426">
        <f>IFERROR(SMALL($AS$2:$AS$440,ROWS($AS$2:AS426)),"")</f>
        <v>425</v>
      </c>
      <c r="AU426">
        <f>IF(AT426&lt;&gt;"",INDEX($AE$2:$AP$440,MATCH($AT426,$AS$2:$AS$440,0),COLUMNS($AT$2:AT426)),"")</f>
        <v>2021</v>
      </c>
      <c r="AV426">
        <f>IF(AU426&lt;&gt;"",INDEX($AE$2:$AP$440,MATCH($AT426,$AS$2:$AS$440,0),COLUMNS($AT$2:AU426)),"")</f>
        <v>5</v>
      </c>
      <c r="AW426" t="str">
        <f>IF(AV426&lt;&gt;"",INDEX($AE$2:$AP$440,MATCH($AT426,$AS$2:$AS$440,0),COLUMNS($AT$2:AV426)),"")</f>
        <v>Arsenal</v>
      </c>
      <c r="AX426">
        <f>IF(AW426&lt;&gt;"",INDEX($AE$2:$AP$440,MATCH($AT426,$AS$2:$AS$440,0),COLUMNS($AT$2:AW426)),"")</f>
        <v>38</v>
      </c>
      <c r="AY426">
        <f>IF(AX426&lt;&gt;"",INDEX($AE$2:$AP$440,MATCH($AT426,$AS$2:$AS$440,0),COLUMNS($AT$2:AX426)),"")</f>
        <v>22</v>
      </c>
      <c r="AZ426">
        <f>IF(AY426&lt;&gt;"",INDEX($AE$2:$AP$440,MATCH($AT426,$AS$2:$AS$440,0),COLUMNS($AT$2:AY426)),"")</f>
        <v>3</v>
      </c>
      <c r="BA426">
        <f>IF(AZ426&lt;&gt;"",INDEX($AE$2:$AP$440,MATCH($AT426,$AS$2:$AS$440,0),COLUMNS($AT$2:AZ426)),"")</f>
        <v>13</v>
      </c>
      <c r="BB426">
        <f>IF(BA426&lt;&gt;"",INDEX($AE$2:$AP$440,MATCH($AT426,$AS$2:$AS$440,0),COLUMNS($AT$2:BA426)),"")</f>
        <v>61</v>
      </c>
      <c r="BC426">
        <f>IF(BB426&lt;&gt;"",INDEX($AE$2:$AP$440,MATCH($AT426,$AS$2:$AS$440,0),COLUMNS($AT$2:BB426)),"")</f>
        <v>48</v>
      </c>
      <c r="BD426">
        <f>IF(BC426&lt;&gt;"",INDEX($AE$2:$AP$440,MATCH($AT426,$AS$2:$AS$440,0),COLUMNS($AT$2:BC426)),"")</f>
        <v>13</v>
      </c>
      <c r="BE426">
        <f>IF(BD426&lt;&gt;"",INDEX($AE$2:$AP$440,MATCH($AT426,$AS$2:$AS$440,0),COLUMNS($AT$2:BD426)),"")</f>
        <v>69</v>
      </c>
      <c r="BF426">
        <f>IF(BE426&lt;&gt;"",INDEX($AE$2:$AP$440,MATCH($AT426,$AS$2:$AS$440,0),COLUMNS($AT$2:BE426)),"")</f>
        <v>5</v>
      </c>
    </row>
    <row r="427" spans="1:58" x14ac:dyDescent="0.25">
      <c r="A427" s="5">
        <v>2021</v>
      </c>
      <c r="B427" s="5">
        <v>6</v>
      </c>
      <c r="C427" s="6" t="s">
        <v>11</v>
      </c>
      <c r="D427" s="5">
        <v>38</v>
      </c>
      <c r="E427" s="5">
        <v>16</v>
      </c>
      <c r="F427" s="5">
        <v>10</v>
      </c>
      <c r="G427" s="5">
        <v>12</v>
      </c>
      <c r="H427" s="5">
        <v>57</v>
      </c>
      <c r="I427" s="5">
        <v>57</v>
      </c>
      <c r="J427" s="5">
        <v>0</v>
      </c>
      <c r="K427" s="5">
        <v>58</v>
      </c>
      <c r="L427" s="5">
        <f>IF(Table2[[#This Row],['#]]=1,"Champion", IF(Table2[[#This Row],['#]]&gt;=18,"Relegated",Table2[[#This Row],['#]]))</f>
        <v>6</v>
      </c>
      <c r="N427">
        <f>IF(COUNTIF($O$2:O427,O427)=1,N426+1,N426)</f>
        <v>43</v>
      </c>
      <c r="O427" s="4" t="str">
        <f>Table2[[#This Row],[Team]]</f>
        <v>Manchester United</v>
      </c>
      <c r="P427" s="1" t="str">
        <f>IFERROR(VLOOKUP(ROWS($O$2:O427),$N$2:$O$441,2,0),"")</f>
        <v/>
      </c>
      <c r="Q427" s="1" t="str">
        <f>IF(P427&lt;&gt;"",SUMPRODUCT(--(Table2[Team]=P427)),"")</f>
        <v/>
      </c>
      <c r="R427" s="11" t="str">
        <f>IF(Q427&lt;&gt;"",Q427+ROWS($Q$2:Q427)/100,"")</f>
        <v/>
      </c>
      <c r="S427" t="str">
        <f>IF(R427&lt;&gt;"",LARGE($R$2:$R$441,ROWS($R$2:R427)),"")</f>
        <v/>
      </c>
      <c r="T427" s="1" t="str">
        <f>IF(R427&lt;&gt;"",INDEX($P$2:$Q$441,MATCH($S427,$R$2:$R$441,0),COLUMNS($S$2:S427)),"")</f>
        <v/>
      </c>
      <c r="U427" s="1" t="str">
        <f>IF(S427&lt;&gt;"",INDEX($P$2:$Q$441,MATCH($S427,$R$2:$R$441,0),COLUMNS($S$2:T427)),"")</f>
        <v/>
      </c>
      <c r="AE427" s="1">
        <f>Table2[[#This Row],[Year]]</f>
        <v>2021</v>
      </c>
      <c r="AF427" s="1">
        <f>Table2[[#This Row],['#]]</f>
        <v>6</v>
      </c>
      <c r="AG427" s="1" t="str">
        <f>Table2[[#This Row],[Team]]</f>
        <v>Manchester United</v>
      </c>
      <c r="AH427" s="1">
        <f>Table2[[#This Row],[Pl]]</f>
        <v>38</v>
      </c>
      <c r="AI427" s="1">
        <f>Table2[[#This Row],[W]]</f>
        <v>16</v>
      </c>
      <c r="AJ427" s="1">
        <f>Table2[[#This Row],[D]]</f>
        <v>10</v>
      </c>
      <c r="AK427" s="1">
        <f>Table2[[#This Row],[L]]</f>
        <v>12</v>
      </c>
      <c r="AL427" s="1">
        <f>Table2[[#This Row],[F]]</f>
        <v>57</v>
      </c>
      <c r="AM427" s="1">
        <f>Table2[[#This Row],[A]]</f>
        <v>57</v>
      </c>
      <c r="AN427" s="1">
        <f>Table2[[#This Row],[GD]]</f>
        <v>0</v>
      </c>
      <c r="AO427" s="1">
        <f>Table2[[#This Row],[Pts]]</f>
        <v>58</v>
      </c>
      <c r="AP427" s="1">
        <f>Table2[[#This Row],[Column1]]</f>
        <v>6</v>
      </c>
      <c r="AR427" t="b">
        <f t="shared" si="10"/>
        <v>1</v>
      </c>
      <c r="AS427">
        <f>IF(AR427,ROWS($AR$2:AR427),"")</f>
        <v>426</v>
      </c>
      <c r="AT427">
        <f>IFERROR(SMALL($AS$2:$AS$440,ROWS($AS$2:AS427)),"")</f>
        <v>426</v>
      </c>
      <c r="AU427">
        <f>IF(AT427&lt;&gt;"",INDEX($AE$2:$AP$440,MATCH($AT427,$AS$2:$AS$440,0),COLUMNS($AT$2:AT427)),"")</f>
        <v>2021</v>
      </c>
      <c r="AV427">
        <f>IF(AU427&lt;&gt;"",INDEX($AE$2:$AP$440,MATCH($AT427,$AS$2:$AS$440,0),COLUMNS($AT$2:AU427)),"")</f>
        <v>6</v>
      </c>
      <c r="AW427" t="str">
        <f>IF(AV427&lt;&gt;"",INDEX($AE$2:$AP$440,MATCH($AT427,$AS$2:$AS$440,0),COLUMNS($AT$2:AV427)),"")</f>
        <v>Manchester United</v>
      </c>
      <c r="AX427">
        <f>IF(AW427&lt;&gt;"",INDEX($AE$2:$AP$440,MATCH($AT427,$AS$2:$AS$440,0),COLUMNS($AT$2:AW427)),"")</f>
        <v>38</v>
      </c>
      <c r="AY427">
        <f>IF(AX427&lt;&gt;"",INDEX($AE$2:$AP$440,MATCH($AT427,$AS$2:$AS$440,0),COLUMNS($AT$2:AX427)),"")</f>
        <v>16</v>
      </c>
      <c r="AZ427">
        <f>IF(AY427&lt;&gt;"",INDEX($AE$2:$AP$440,MATCH($AT427,$AS$2:$AS$440,0),COLUMNS($AT$2:AY427)),"")</f>
        <v>10</v>
      </c>
      <c r="BA427">
        <f>IF(AZ427&lt;&gt;"",INDEX($AE$2:$AP$440,MATCH($AT427,$AS$2:$AS$440,0),COLUMNS($AT$2:AZ427)),"")</f>
        <v>12</v>
      </c>
      <c r="BB427">
        <f>IF(BA427&lt;&gt;"",INDEX($AE$2:$AP$440,MATCH($AT427,$AS$2:$AS$440,0),COLUMNS($AT$2:BA427)),"")</f>
        <v>57</v>
      </c>
      <c r="BC427">
        <f>IF(BB427&lt;&gt;"",INDEX($AE$2:$AP$440,MATCH($AT427,$AS$2:$AS$440,0),COLUMNS($AT$2:BB427)),"")</f>
        <v>57</v>
      </c>
      <c r="BD427">
        <f>IF(BC427&lt;&gt;"",INDEX($AE$2:$AP$440,MATCH($AT427,$AS$2:$AS$440,0),COLUMNS($AT$2:BC427)),"")</f>
        <v>0</v>
      </c>
      <c r="BE427">
        <f>IF(BD427&lt;&gt;"",INDEX($AE$2:$AP$440,MATCH($AT427,$AS$2:$AS$440,0),COLUMNS($AT$2:BD427)),"")</f>
        <v>58</v>
      </c>
      <c r="BF427">
        <f>IF(BE427&lt;&gt;"",INDEX($AE$2:$AP$440,MATCH($AT427,$AS$2:$AS$440,0),COLUMNS($AT$2:BE427)),"")</f>
        <v>6</v>
      </c>
    </row>
    <row r="428" spans="1:58" x14ac:dyDescent="0.25">
      <c r="A428" s="3">
        <v>2021</v>
      </c>
      <c r="B428" s="3">
        <v>7</v>
      </c>
      <c r="C428" s="4" t="s">
        <v>25</v>
      </c>
      <c r="D428" s="3">
        <v>38</v>
      </c>
      <c r="E428" s="3">
        <v>16</v>
      </c>
      <c r="F428" s="3">
        <v>8</v>
      </c>
      <c r="G428" s="3">
        <v>14</v>
      </c>
      <c r="H428" s="3">
        <v>60</v>
      </c>
      <c r="I428" s="3">
        <v>51</v>
      </c>
      <c r="J428" s="3">
        <v>9</v>
      </c>
      <c r="K428" s="3">
        <v>56</v>
      </c>
      <c r="L428" s="5">
        <f>IF(Table2[[#This Row],['#]]=1,"Champion", IF(Table2[[#This Row],['#]]&gt;=18,"Relegated",Table2[[#This Row],['#]]))</f>
        <v>7</v>
      </c>
      <c r="N428">
        <f>IF(COUNTIF($O$2:O428,O428)=1,N427+1,N427)</f>
        <v>43</v>
      </c>
      <c r="O428" s="4" t="str">
        <f>Table2[[#This Row],[Team]]</f>
        <v>West Ham United</v>
      </c>
      <c r="P428" s="1" t="str">
        <f>IFERROR(VLOOKUP(ROWS($O$2:O428),$N$2:$O$441,2,0),"")</f>
        <v/>
      </c>
      <c r="Q428" s="1" t="str">
        <f>IF(P428&lt;&gt;"",SUMPRODUCT(--(Table2[Team]=P428)),"")</f>
        <v/>
      </c>
      <c r="R428" s="11" t="str">
        <f>IF(Q428&lt;&gt;"",Q428+ROWS($Q$2:Q428)/100,"")</f>
        <v/>
      </c>
      <c r="S428" t="str">
        <f>IF(R428&lt;&gt;"",LARGE($R$2:$R$441,ROWS($R$2:R428)),"")</f>
        <v/>
      </c>
      <c r="T428" s="1" t="str">
        <f>IF(R428&lt;&gt;"",INDEX($P$2:$Q$441,MATCH($S428,$R$2:$R$441,0),COLUMNS($S$2:S428)),"")</f>
        <v/>
      </c>
      <c r="U428" s="1" t="str">
        <f>IF(S428&lt;&gt;"",INDEX($P$2:$Q$441,MATCH($S428,$R$2:$R$441,0),COLUMNS($S$2:T428)),"")</f>
        <v/>
      </c>
      <c r="AE428" s="1">
        <f>Table2[[#This Row],[Year]]</f>
        <v>2021</v>
      </c>
      <c r="AF428" s="1">
        <f>Table2[[#This Row],['#]]</f>
        <v>7</v>
      </c>
      <c r="AG428" s="1" t="str">
        <f>Table2[[#This Row],[Team]]</f>
        <v>West Ham United</v>
      </c>
      <c r="AH428" s="1">
        <f>Table2[[#This Row],[Pl]]</f>
        <v>38</v>
      </c>
      <c r="AI428" s="1">
        <f>Table2[[#This Row],[W]]</f>
        <v>16</v>
      </c>
      <c r="AJ428" s="1">
        <f>Table2[[#This Row],[D]]</f>
        <v>8</v>
      </c>
      <c r="AK428" s="1">
        <f>Table2[[#This Row],[L]]</f>
        <v>14</v>
      </c>
      <c r="AL428" s="1">
        <f>Table2[[#This Row],[F]]</f>
        <v>60</v>
      </c>
      <c r="AM428" s="1">
        <f>Table2[[#This Row],[A]]</f>
        <v>51</v>
      </c>
      <c r="AN428" s="1">
        <f>Table2[[#This Row],[GD]]</f>
        <v>9</v>
      </c>
      <c r="AO428" s="1">
        <f>Table2[[#This Row],[Pts]]</f>
        <v>56</v>
      </c>
      <c r="AP428" s="1">
        <f>Table2[[#This Row],[Column1]]</f>
        <v>7</v>
      </c>
      <c r="AR428" t="b">
        <f t="shared" si="10"/>
        <v>1</v>
      </c>
      <c r="AS428">
        <f>IF(AR428,ROWS($AR$2:AR428),"")</f>
        <v>427</v>
      </c>
      <c r="AT428">
        <f>IFERROR(SMALL($AS$2:$AS$440,ROWS($AS$2:AS428)),"")</f>
        <v>427</v>
      </c>
      <c r="AU428">
        <f>IF(AT428&lt;&gt;"",INDEX($AE$2:$AP$440,MATCH($AT428,$AS$2:$AS$440,0),COLUMNS($AT$2:AT428)),"")</f>
        <v>2021</v>
      </c>
      <c r="AV428">
        <f>IF(AU428&lt;&gt;"",INDEX($AE$2:$AP$440,MATCH($AT428,$AS$2:$AS$440,0),COLUMNS($AT$2:AU428)),"")</f>
        <v>7</v>
      </c>
      <c r="AW428" t="str">
        <f>IF(AV428&lt;&gt;"",INDEX($AE$2:$AP$440,MATCH($AT428,$AS$2:$AS$440,0),COLUMNS($AT$2:AV428)),"")</f>
        <v>West Ham United</v>
      </c>
      <c r="AX428">
        <f>IF(AW428&lt;&gt;"",INDEX($AE$2:$AP$440,MATCH($AT428,$AS$2:$AS$440,0),COLUMNS($AT$2:AW428)),"")</f>
        <v>38</v>
      </c>
      <c r="AY428">
        <f>IF(AX428&lt;&gt;"",INDEX($AE$2:$AP$440,MATCH($AT428,$AS$2:$AS$440,0),COLUMNS($AT$2:AX428)),"")</f>
        <v>16</v>
      </c>
      <c r="AZ428">
        <f>IF(AY428&lt;&gt;"",INDEX($AE$2:$AP$440,MATCH($AT428,$AS$2:$AS$440,0),COLUMNS($AT$2:AY428)),"")</f>
        <v>8</v>
      </c>
      <c r="BA428">
        <f>IF(AZ428&lt;&gt;"",INDEX($AE$2:$AP$440,MATCH($AT428,$AS$2:$AS$440,0),COLUMNS($AT$2:AZ428)),"")</f>
        <v>14</v>
      </c>
      <c r="BB428">
        <f>IF(BA428&lt;&gt;"",INDEX($AE$2:$AP$440,MATCH($AT428,$AS$2:$AS$440,0),COLUMNS($AT$2:BA428)),"")</f>
        <v>60</v>
      </c>
      <c r="BC428">
        <f>IF(BB428&lt;&gt;"",INDEX($AE$2:$AP$440,MATCH($AT428,$AS$2:$AS$440,0),COLUMNS($AT$2:BB428)),"")</f>
        <v>51</v>
      </c>
      <c r="BD428">
        <f>IF(BC428&lt;&gt;"",INDEX($AE$2:$AP$440,MATCH($AT428,$AS$2:$AS$440,0),COLUMNS($AT$2:BC428)),"")</f>
        <v>9</v>
      </c>
      <c r="BE428">
        <f>IF(BD428&lt;&gt;"",INDEX($AE$2:$AP$440,MATCH($AT428,$AS$2:$AS$440,0),COLUMNS($AT$2:BD428)),"")</f>
        <v>56</v>
      </c>
      <c r="BF428">
        <f>IF(BE428&lt;&gt;"",INDEX($AE$2:$AP$440,MATCH($AT428,$AS$2:$AS$440,0),COLUMNS($AT$2:BE428)),"")</f>
        <v>7</v>
      </c>
    </row>
    <row r="429" spans="1:58" x14ac:dyDescent="0.25">
      <c r="A429" s="5">
        <v>2021</v>
      </c>
      <c r="B429" s="5">
        <v>8</v>
      </c>
      <c r="C429" s="6" t="s">
        <v>23</v>
      </c>
      <c r="D429" s="5">
        <v>38</v>
      </c>
      <c r="E429" s="5">
        <v>14</v>
      </c>
      <c r="F429" s="5">
        <v>10</v>
      </c>
      <c r="G429" s="5">
        <v>14</v>
      </c>
      <c r="H429" s="5">
        <v>62</v>
      </c>
      <c r="I429" s="5">
        <v>59</v>
      </c>
      <c r="J429" s="5">
        <v>3</v>
      </c>
      <c r="K429" s="5">
        <v>52</v>
      </c>
      <c r="L429" s="5">
        <f>IF(Table2[[#This Row],['#]]=1,"Champion", IF(Table2[[#This Row],['#]]&gt;=18,"Relegated",Table2[[#This Row],['#]]))</f>
        <v>8</v>
      </c>
      <c r="N429">
        <f>IF(COUNTIF($O$2:O429,O429)=1,N428+1,N428)</f>
        <v>43</v>
      </c>
      <c r="O429" s="4" t="str">
        <f>Table2[[#This Row],[Team]]</f>
        <v>Leicester City</v>
      </c>
      <c r="P429" s="1" t="str">
        <f>IFERROR(VLOOKUP(ROWS($O$2:O429),$N$2:$O$441,2,0),"")</f>
        <v/>
      </c>
      <c r="Q429" s="1" t="str">
        <f>IF(P429&lt;&gt;"",SUMPRODUCT(--(Table2[Team]=P429)),"")</f>
        <v/>
      </c>
      <c r="R429" s="11" t="str">
        <f>IF(Q429&lt;&gt;"",Q429+ROWS($Q$2:Q429)/100,"")</f>
        <v/>
      </c>
      <c r="S429" t="str">
        <f>IF(R429&lt;&gt;"",LARGE($R$2:$R$441,ROWS($R$2:R429)),"")</f>
        <v/>
      </c>
      <c r="T429" s="1" t="str">
        <f>IF(R429&lt;&gt;"",INDEX($P$2:$Q$441,MATCH($S429,$R$2:$R$441,0),COLUMNS($S$2:S429)),"")</f>
        <v/>
      </c>
      <c r="U429" s="1" t="str">
        <f>IF(S429&lt;&gt;"",INDEX($P$2:$Q$441,MATCH($S429,$R$2:$R$441,0),COLUMNS($S$2:T429)),"")</f>
        <v/>
      </c>
      <c r="AE429" s="1">
        <f>Table2[[#This Row],[Year]]</f>
        <v>2021</v>
      </c>
      <c r="AF429" s="1">
        <f>Table2[[#This Row],['#]]</f>
        <v>8</v>
      </c>
      <c r="AG429" s="1" t="str">
        <f>Table2[[#This Row],[Team]]</f>
        <v>Leicester City</v>
      </c>
      <c r="AH429" s="1">
        <f>Table2[[#This Row],[Pl]]</f>
        <v>38</v>
      </c>
      <c r="AI429" s="1">
        <f>Table2[[#This Row],[W]]</f>
        <v>14</v>
      </c>
      <c r="AJ429" s="1">
        <f>Table2[[#This Row],[D]]</f>
        <v>10</v>
      </c>
      <c r="AK429" s="1">
        <f>Table2[[#This Row],[L]]</f>
        <v>14</v>
      </c>
      <c r="AL429" s="1">
        <f>Table2[[#This Row],[F]]</f>
        <v>62</v>
      </c>
      <c r="AM429" s="1">
        <f>Table2[[#This Row],[A]]</f>
        <v>59</v>
      </c>
      <c r="AN429" s="1">
        <f>Table2[[#This Row],[GD]]</f>
        <v>3</v>
      </c>
      <c r="AO429" s="1">
        <f>Table2[[#This Row],[Pts]]</f>
        <v>52</v>
      </c>
      <c r="AP429" s="1">
        <f>Table2[[#This Row],[Column1]]</f>
        <v>8</v>
      </c>
      <c r="AR429" t="b">
        <f t="shared" si="10"/>
        <v>1</v>
      </c>
      <c r="AS429">
        <f>IF(AR429,ROWS($AR$2:AR429),"")</f>
        <v>428</v>
      </c>
      <c r="AT429">
        <f>IFERROR(SMALL($AS$2:$AS$440,ROWS($AS$2:AS429)),"")</f>
        <v>428</v>
      </c>
      <c r="AU429">
        <f>IF(AT429&lt;&gt;"",INDEX($AE$2:$AP$440,MATCH($AT429,$AS$2:$AS$440,0),COLUMNS($AT$2:AT429)),"")</f>
        <v>2021</v>
      </c>
      <c r="AV429">
        <f>IF(AU429&lt;&gt;"",INDEX($AE$2:$AP$440,MATCH($AT429,$AS$2:$AS$440,0),COLUMNS($AT$2:AU429)),"")</f>
        <v>8</v>
      </c>
      <c r="AW429" t="str">
        <f>IF(AV429&lt;&gt;"",INDEX($AE$2:$AP$440,MATCH($AT429,$AS$2:$AS$440,0),COLUMNS($AT$2:AV429)),"")</f>
        <v>Leicester City</v>
      </c>
      <c r="AX429">
        <f>IF(AW429&lt;&gt;"",INDEX($AE$2:$AP$440,MATCH($AT429,$AS$2:$AS$440,0),COLUMNS($AT$2:AW429)),"")</f>
        <v>38</v>
      </c>
      <c r="AY429">
        <f>IF(AX429&lt;&gt;"",INDEX($AE$2:$AP$440,MATCH($AT429,$AS$2:$AS$440,0),COLUMNS($AT$2:AX429)),"")</f>
        <v>14</v>
      </c>
      <c r="AZ429">
        <f>IF(AY429&lt;&gt;"",INDEX($AE$2:$AP$440,MATCH($AT429,$AS$2:$AS$440,0),COLUMNS($AT$2:AY429)),"")</f>
        <v>10</v>
      </c>
      <c r="BA429">
        <f>IF(AZ429&lt;&gt;"",INDEX($AE$2:$AP$440,MATCH($AT429,$AS$2:$AS$440,0),COLUMNS($AT$2:AZ429)),"")</f>
        <v>14</v>
      </c>
      <c r="BB429">
        <f>IF(BA429&lt;&gt;"",INDEX($AE$2:$AP$440,MATCH($AT429,$AS$2:$AS$440,0),COLUMNS($AT$2:BA429)),"")</f>
        <v>62</v>
      </c>
      <c r="BC429">
        <f>IF(BB429&lt;&gt;"",INDEX($AE$2:$AP$440,MATCH($AT429,$AS$2:$AS$440,0),COLUMNS($AT$2:BB429)),"")</f>
        <v>59</v>
      </c>
      <c r="BD429">
        <f>IF(BC429&lt;&gt;"",INDEX($AE$2:$AP$440,MATCH($AT429,$AS$2:$AS$440,0),COLUMNS($AT$2:BC429)),"")</f>
        <v>3</v>
      </c>
      <c r="BE429">
        <f>IF(BD429&lt;&gt;"",INDEX($AE$2:$AP$440,MATCH($AT429,$AS$2:$AS$440,0),COLUMNS($AT$2:BD429)),"")</f>
        <v>52</v>
      </c>
      <c r="BF429">
        <f>IF(BE429&lt;&gt;"",INDEX($AE$2:$AP$440,MATCH($AT429,$AS$2:$AS$440,0),COLUMNS($AT$2:BE429)),"")</f>
        <v>8</v>
      </c>
    </row>
    <row r="430" spans="1:58" x14ac:dyDescent="0.25">
      <c r="A430" s="3">
        <v>2021</v>
      </c>
      <c r="B430" s="3">
        <v>9</v>
      </c>
      <c r="C430" s="4" t="s">
        <v>55</v>
      </c>
      <c r="D430" s="3">
        <v>38</v>
      </c>
      <c r="E430" s="3">
        <v>12</v>
      </c>
      <c r="F430" s="3">
        <v>15</v>
      </c>
      <c r="G430" s="3">
        <v>11</v>
      </c>
      <c r="H430" s="3">
        <v>42</v>
      </c>
      <c r="I430" s="3">
        <v>44</v>
      </c>
      <c r="J430" s="3">
        <v>-2</v>
      </c>
      <c r="K430" s="3">
        <v>51</v>
      </c>
      <c r="L430" s="5">
        <f>IF(Table2[[#This Row],['#]]=1,"Champion", IF(Table2[[#This Row],['#]]&gt;=18,"Relegated",Table2[[#This Row],['#]]))</f>
        <v>9</v>
      </c>
      <c r="N430">
        <f>IF(COUNTIF($O$2:O430,O430)=1,N429+1,N429)</f>
        <v>43</v>
      </c>
      <c r="O430" s="4" t="str">
        <f>Table2[[#This Row],[Team]]</f>
        <v>Brighton And Hove Albion</v>
      </c>
      <c r="P430" s="1" t="str">
        <f>IFERROR(VLOOKUP(ROWS($O$2:O430),$N$2:$O$441,2,0),"")</f>
        <v/>
      </c>
      <c r="Q430" s="1" t="str">
        <f>IF(P430&lt;&gt;"",SUMPRODUCT(--(Table2[Team]=P430)),"")</f>
        <v/>
      </c>
      <c r="R430" s="11" t="str">
        <f>IF(Q430&lt;&gt;"",Q430+ROWS($Q$2:Q430)/100,"")</f>
        <v/>
      </c>
      <c r="S430" t="str">
        <f>IF(R430&lt;&gt;"",LARGE($R$2:$R$441,ROWS($R$2:R430)),"")</f>
        <v/>
      </c>
      <c r="T430" s="1" t="str">
        <f>IF(R430&lt;&gt;"",INDEX($P$2:$Q$441,MATCH($S430,$R$2:$R$441,0),COLUMNS($S$2:S430)),"")</f>
        <v/>
      </c>
      <c r="U430" s="1" t="str">
        <f>IF(S430&lt;&gt;"",INDEX($P$2:$Q$441,MATCH($S430,$R$2:$R$441,0),COLUMNS($S$2:T430)),"")</f>
        <v/>
      </c>
      <c r="AE430" s="1">
        <f>Table2[[#This Row],[Year]]</f>
        <v>2021</v>
      </c>
      <c r="AF430" s="1">
        <f>Table2[[#This Row],['#]]</f>
        <v>9</v>
      </c>
      <c r="AG430" s="1" t="str">
        <f>Table2[[#This Row],[Team]]</f>
        <v>Brighton And Hove Albion</v>
      </c>
      <c r="AH430" s="1">
        <f>Table2[[#This Row],[Pl]]</f>
        <v>38</v>
      </c>
      <c r="AI430" s="1">
        <f>Table2[[#This Row],[W]]</f>
        <v>12</v>
      </c>
      <c r="AJ430" s="1">
        <f>Table2[[#This Row],[D]]</f>
        <v>15</v>
      </c>
      <c r="AK430" s="1">
        <f>Table2[[#This Row],[L]]</f>
        <v>11</v>
      </c>
      <c r="AL430" s="1">
        <f>Table2[[#This Row],[F]]</f>
        <v>42</v>
      </c>
      <c r="AM430" s="1">
        <f>Table2[[#This Row],[A]]</f>
        <v>44</v>
      </c>
      <c r="AN430" s="1">
        <f>Table2[[#This Row],[GD]]</f>
        <v>-2</v>
      </c>
      <c r="AO430" s="1">
        <f>Table2[[#This Row],[Pts]]</f>
        <v>51</v>
      </c>
      <c r="AP430" s="1">
        <f>Table2[[#This Row],[Column1]]</f>
        <v>9</v>
      </c>
      <c r="AR430" t="b">
        <f t="shared" si="10"/>
        <v>1</v>
      </c>
      <c r="AS430">
        <f>IF(AR430,ROWS($AR$2:AR430),"")</f>
        <v>429</v>
      </c>
      <c r="AT430">
        <f>IFERROR(SMALL($AS$2:$AS$440,ROWS($AS$2:AS430)),"")</f>
        <v>429</v>
      </c>
      <c r="AU430">
        <f>IF(AT430&lt;&gt;"",INDEX($AE$2:$AP$440,MATCH($AT430,$AS$2:$AS$440,0),COLUMNS($AT$2:AT430)),"")</f>
        <v>2021</v>
      </c>
      <c r="AV430">
        <f>IF(AU430&lt;&gt;"",INDEX($AE$2:$AP$440,MATCH($AT430,$AS$2:$AS$440,0),COLUMNS($AT$2:AU430)),"")</f>
        <v>9</v>
      </c>
      <c r="AW430" t="str">
        <f>IF(AV430&lt;&gt;"",INDEX($AE$2:$AP$440,MATCH($AT430,$AS$2:$AS$440,0),COLUMNS($AT$2:AV430)),"")</f>
        <v>Brighton And Hove Albion</v>
      </c>
      <c r="AX430">
        <f>IF(AW430&lt;&gt;"",INDEX($AE$2:$AP$440,MATCH($AT430,$AS$2:$AS$440,0),COLUMNS($AT$2:AW430)),"")</f>
        <v>38</v>
      </c>
      <c r="AY430">
        <f>IF(AX430&lt;&gt;"",INDEX($AE$2:$AP$440,MATCH($AT430,$AS$2:$AS$440,0),COLUMNS($AT$2:AX430)),"")</f>
        <v>12</v>
      </c>
      <c r="AZ430">
        <f>IF(AY430&lt;&gt;"",INDEX($AE$2:$AP$440,MATCH($AT430,$AS$2:$AS$440,0),COLUMNS($AT$2:AY430)),"")</f>
        <v>15</v>
      </c>
      <c r="BA430">
        <f>IF(AZ430&lt;&gt;"",INDEX($AE$2:$AP$440,MATCH($AT430,$AS$2:$AS$440,0),COLUMNS($AT$2:AZ430)),"")</f>
        <v>11</v>
      </c>
      <c r="BB430">
        <f>IF(BA430&lt;&gt;"",INDEX($AE$2:$AP$440,MATCH($AT430,$AS$2:$AS$440,0),COLUMNS($AT$2:BA430)),"")</f>
        <v>42</v>
      </c>
      <c r="BC430">
        <f>IF(BB430&lt;&gt;"",INDEX($AE$2:$AP$440,MATCH($AT430,$AS$2:$AS$440,0),COLUMNS($AT$2:BB430)),"")</f>
        <v>44</v>
      </c>
      <c r="BD430">
        <f>IF(BC430&lt;&gt;"",INDEX($AE$2:$AP$440,MATCH($AT430,$AS$2:$AS$440,0),COLUMNS($AT$2:BC430)),"")</f>
        <v>-2</v>
      </c>
      <c r="BE430">
        <f>IF(BD430&lt;&gt;"",INDEX($AE$2:$AP$440,MATCH($AT430,$AS$2:$AS$440,0),COLUMNS($AT$2:BD430)),"")</f>
        <v>51</v>
      </c>
      <c r="BF430">
        <f>IF(BE430&lt;&gt;"",INDEX($AE$2:$AP$440,MATCH($AT430,$AS$2:$AS$440,0),COLUMNS($AT$2:BE430)),"")</f>
        <v>9</v>
      </c>
    </row>
    <row r="431" spans="1:58" x14ac:dyDescent="0.25">
      <c r="A431" s="5">
        <v>2021</v>
      </c>
      <c r="B431" s="5">
        <v>10</v>
      </c>
      <c r="C431" s="6" t="s">
        <v>37</v>
      </c>
      <c r="D431" s="5">
        <v>38</v>
      </c>
      <c r="E431" s="5">
        <v>15</v>
      </c>
      <c r="F431" s="5">
        <v>6</v>
      </c>
      <c r="G431" s="5">
        <v>17</v>
      </c>
      <c r="H431" s="5">
        <v>38</v>
      </c>
      <c r="I431" s="5">
        <v>43</v>
      </c>
      <c r="J431" s="5">
        <v>-5</v>
      </c>
      <c r="K431" s="5">
        <v>51</v>
      </c>
      <c r="L431" s="5">
        <f>IF(Table2[[#This Row],['#]]=1,"Champion", IF(Table2[[#This Row],['#]]&gt;=18,"Relegated",Table2[[#This Row],['#]]))</f>
        <v>10</v>
      </c>
      <c r="N431">
        <f>IF(COUNTIF($O$2:O431,O431)=1,N430+1,N430)</f>
        <v>43</v>
      </c>
      <c r="O431" s="4" t="str">
        <f>Table2[[#This Row],[Team]]</f>
        <v>Wolverhampton Wanderers</v>
      </c>
      <c r="P431" s="1" t="str">
        <f>IFERROR(VLOOKUP(ROWS($O$2:O431),$N$2:$O$441,2,0),"")</f>
        <v/>
      </c>
      <c r="Q431" s="1" t="str">
        <f>IF(P431&lt;&gt;"",SUMPRODUCT(--(Table2[Team]=P431)),"")</f>
        <v/>
      </c>
      <c r="R431" s="11" t="str">
        <f>IF(Q431&lt;&gt;"",Q431+ROWS($Q$2:Q431)/100,"")</f>
        <v/>
      </c>
      <c r="S431" t="str">
        <f>IF(R431&lt;&gt;"",LARGE($R$2:$R$441,ROWS($R$2:R431)),"")</f>
        <v/>
      </c>
      <c r="T431" s="1" t="str">
        <f>IF(R431&lt;&gt;"",INDEX($P$2:$Q$441,MATCH($S431,$R$2:$R$441,0),COLUMNS($S$2:S431)),"")</f>
        <v/>
      </c>
      <c r="U431" s="1" t="str">
        <f>IF(S431&lt;&gt;"",INDEX($P$2:$Q$441,MATCH($S431,$R$2:$R$441,0),COLUMNS($S$2:T431)),"")</f>
        <v/>
      </c>
      <c r="AE431" s="1">
        <f>Table2[[#This Row],[Year]]</f>
        <v>2021</v>
      </c>
      <c r="AF431" s="1">
        <f>Table2[[#This Row],['#]]</f>
        <v>10</v>
      </c>
      <c r="AG431" s="1" t="str">
        <f>Table2[[#This Row],[Team]]</f>
        <v>Wolverhampton Wanderers</v>
      </c>
      <c r="AH431" s="1">
        <f>Table2[[#This Row],[Pl]]</f>
        <v>38</v>
      </c>
      <c r="AI431" s="1">
        <f>Table2[[#This Row],[W]]</f>
        <v>15</v>
      </c>
      <c r="AJ431" s="1">
        <f>Table2[[#This Row],[D]]</f>
        <v>6</v>
      </c>
      <c r="AK431" s="1">
        <f>Table2[[#This Row],[L]]</f>
        <v>17</v>
      </c>
      <c r="AL431" s="1">
        <f>Table2[[#This Row],[F]]</f>
        <v>38</v>
      </c>
      <c r="AM431" s="1">
        <f>Table2[[#This Row],[A]]</f>
        <v>43</v>
      </c>
      <c r="AN431" s="1">
        <f>Table2[[#This Row],[GD]]</f>
        <v>-5</v>
      </c>
      <c r="AO431" s="1">
        <f>Table2[[#This Row],[Pts]]</f>
        <v>51</v>
      </c>
      <c r="AP431" s="1">
        <f>Table2[[#This Row],[Column1]]</f>
        <v>10</v>
      </c>
      <c r="AR431" t="b">
        <f t="shared" si="10"/>
        <v>1</v>
      </c>
      <c r="AS431">
        <f>IF(AR431,ROWS($AR$2:AR431),"")</f>
        <v>430</v>
      </c>
      <c r="AT431">
        <f>IFERROR(SMALL($AS$2:$AS$440,ROWS($AS$2:AS431)),"")</f>
        <v>430</v>
      </c>
      <c r="AU431">
        <f>IF(AT431&lt;&gt;"",INDEX($AE$2:$AP$440,MATCH($AT431,$AS$2:$AS$440,0),COLUMNS($AT$2:AT431)),"")</f>
        <v>2021</v>
      </c>
      <c r="AV431">
        <f>IF(AU431&lt;&gt;"",INDEX($AE$2:$AP$440,MATCH($AT431,$AS$2:$AS$440,0),COLUMNS($AT$2:AU431)),"")</f>
        <v>10</v>
      </c>
      <c r="AW431" t="str">
        <f>IF(AV431&lt;&gt;"",INDEX($AE$2:$AP$440,MATCH($AT431,$AS$2:$AS$440,0),COLUMNS($AT$2:AV431)),"")</f>
        <v>Wolverhampton Wanderers</v>
      </c>
      <c r="AX431">
        <f>IF(AW431&lt;&gt;"",INDEX($AE$2:$AP$440,MATCH($AT431,$AS$2:$AS$440,0),COLUMNS($AT$2:AW431)),"")</f>
        <v>38</v>
      </c>
      <c r="AY431">
        <f>IF(AX431&lt;&gt;"",INDEX($AE$2:$AP$440,MATCH($AT431,$AS$2:$AS$440,0),COLUMNS($AT$2:AX431)),"")</f>
        <v>15</v>
      </c>
      <c r="AZ431">
        <f>IF(AY431&lt;&gt;"",INDEX($AE$2:$AP$440,MATCH($AT431,$AS$2:$AS$440,0),COLUMNS($AT$2:AY431)),"")</f>
        <v>6</v>
      </c>
      <c r="BA431">
        <f>IF(AZ431&lt;&gt;"",INDEX($AE$2:$AP$440,MATCH($AT431,$AS$2:$AS$440,0),COLUMNS($AT$2:AZ431)),"")</f>
        <v>17</v>
      </c>
      <c r="BB431">
        <f>IF(BA431&lt;&gt;"",INDEX($AE$2:$AP$440,MATCH($AT431,$AS$2:$AS$440,0),COLUMNS($AT$2:BA431)),"")</f>
        <v>38</v>
      </c>
      <c r="BC431">
        <f>IF(BB431&lt;&gt;"",INDEX($AE$2:$AP$440,MATCH($AT431,$AS$2:$AS$440,0),COLUMNS($AT$2:BB431)),"")</f>
        <v>43</v>
      </c>
      <c r="BD431">
        <f>IF(BC431&lt;&gt;"",INDEX($AE$2:$AP$440,MATCH($AT431,$AS$2:$AS$440,0),COLUMNS($AT$2:BC431)),"")</f>
        <v>-5</v>
      </c>
      <c r="BE431">
        <f>IF(BD431&lt;&gt;"",INDEX($AE$2:$AP$440,MATCH($AT431,$AS$2:$AS$440,0),COLUMNS($AT$2:BD431)),"")</f>
        <v>51</v>
      </c>
      <c r="BF431">
        <f>IF(BE431&lt;&gt;"",INDEX($AE$2:$AP$440,MATCH($AT431,$AS$2:$AS$440,0),COLUMNS($AT$2:BE431)),"")</f>
        <v>10</v>
      </c>
    </row>
    <row r="432" spans="1:58" x14ac:dyDescent="0.25">
      <c r="A432" s="3">
        <v>2021</v>
      </c>
      <c r="B432" s="3">
        <v>11</v>
      </c>
      <c r="C432" s="4" t="s">
        <v>21</v>
      </c>
      <c r="D432" s="3">
        <v>38</v>
      </c>
      <c r="E432" s="3">
        <v>13</v>
      </c>
      <c r="F432" s="3">
        <v>10</v>
      </c>
      <c r="G432" s="3">
        <v>15</v>
      </c>
      <c r="H432" s="3">
        <v>44</v>
      </c>
      <c r="I432" s="3">
        <v>62</v>
      </c>
      <c r="J432" s="3">
        <v>-18</v>
      </c>
      <c r="K432" s="3">
        <v>49</v>
      </c>
      <c r="L432" s="5">
        <f>IF(Table2[[#This Row],['#]]=1,"Champion", IF(Table2[[#This Row],['#]]&gt;=18,"Relegated",Table2[[#This Row],['#]]))</f>
        <v>11</v>
      </c>
      <c r="N432">
        <f>IF(COUNTIF($O$2:O432,O432)=1,N431+1,N431)</f>
        <v>43</v>
      </c>
      <c r="O432" s="4" t="str">
        <f>Table2[[#This Row],[Team]]</f>
        <v>Newcastle United</v>
      </c>
      <c r="P432" s="1" t="str">
        <f>IFERROR(VLOOKUP(ROWS($O$2:O432),$N$2:$O$441,2,0),"")</f>
        <v/>
      </c>
      <c r="Q432" s="1" t="str">
        <f>IF(P432&lt;&gt;"",SUMPRODUCT(--(Table2[Team]=P432)),"")</f>
        <v/>
      </c>
      <c r="R432" s="11" t="str">
        <f>IF(Q432&lt;&gt;"",Q432+ROWS($Q$2:Q432)/100,"")</f>
        <v/>
      </c>
      <c r="S432" t="str">
        <f>IF(R432&lt;&gt;"",LARGE($R$2:$R$441,ROWS($R$2:R432)),"")</f>
        <v/>
      </c>
      <c r="T432" s="1" t="str">
        <f>IF(R432&lt;&gt;"",INDEX($P$2:$Q$441,MATCH($S432,$R$2:$R$441,0),COLUMNS($S$2:S432)),"")</f>
        <v/>
      </c>
      <c r="U432" s="1" t="str">
        <f>IF(S432&lt;&gt;"",INDEX($P$2:$Q$441,MATCH($S432,$R$2:$R$441,0),COLUMNS($S$2:T432)),"")</f>
        <v/>
      </c>
      <c r="AE432" s="1">
        <f>Table2[[#This Row],[Year]]</f>
        <v>2021</v>
      </c>
      <c r="AF432" s="1">
        <f>Table2[[#This Row],['#]]</f>
        <v>11</v>
      </c>
      <c r="AG432" s="1" t="str">
        <f>Table2[[#This Row],[Team]]</f>
        <v>Newcastle United</v>
      </c>
      <c r="AH432" s="1">
        <f>Table2[[#This Row],[Pl]]</f>
        <v>38</v>
      </c>
      <c r="AI432" s="1">
        <f>Table2[[#This Row],[W]]</f>
        <v>13</v>
      </c>
      <c r="AJ432" s="1">
        <f>Table2[[#This Row],[D]]</f>
        <v>10</v>
      </c>
      <c r="AK432" s="1">
        <f>Table2[[#This Row],[L]]</f>
        <v>15</v>
      </c>
      <c r="AL432" s="1">
        <f>Table2[[#This Row],[F]]</f>
        <v>44</v>
      </c>
      <c r="AM432" s="1">
        <f>Table2[[#This Row],[A]]</f>
        <v>62</v>
      </c>
      <c r="AN432" s="1">
        <f>Table2[[#This Row],[GD]]</f>
        <v>-18</v>
      </c>
      <c r="AO432" s="1">
        <f>Table2[[#This Row],[Pts]]</f>
        <v>49</v>
      </c>
      <c r="AP432" s="1">
        <f>Table2[[#This Row],[Column1]]</f>
        <v>11</v>
      </c>
      <c r="AR432" t="b">
        <f t="shared" si="10"/>
        <v>1</v>
      </c>
      <c r="AS432">
        <f>IF(AR432,ROWS($AR$2:AR432),"")</f>
        <v>431</v>
      </c>
      <c r="AT432">
        <f>IFERROR(SMALL($AS$2:$AS$440,ROWS($AS$2:AS432)),"")</f>
        <v>431</v>
      </c>
      <c r="AU432">
        <f>IF(AT432&lt;&gt;"",INDEX($AE$2:$AP$440,MATCH($AT432,$AS$2:$AS$440,0),COLUMNS($AT$2:AT432)),"")</f>
        <v>2021</v>
      </c>
      <c r="AV432">
        <f>IF(AU432&lt;&gt;"",INDEX($AE$2:$AP$440,MATCH($AT432,$AS$2:$AS$440,0),COLUMNS($AT$2:AU432)),"")</f>
        <v>11</v>
      </c>
      <c r="AW432" t="str">
        <f>IF(AV432&lt;&gt;"",INDEX($AE$2:$AP$440,MATCH($AT432,$AS$2:$AS$440,0),COLUMNS($AT$2:AV432)),"")</f>
        <v>Newcastle United</v>
      </c>
      <c r="AX432">
        <f>IF(AW432&lt;&gt;"",INDEX($AE$2:$AP$440,MATCH($AT432,$AS$2:$AS$440,0),COLUMNS($AT$2:AW432)),"")</f>
        <v>38</v>
      </c>
      <c r="AY432">
        <f>IF(AX432&lt;&gt;"",INDEX($AE$2:$AP$440,MATCH($AT432,$AS$2:$AS$440,0),COLUMNS($AT$2:AX432)),"")</f>
        <v>13</v>
      </c>
      <c r="AZ432">
        <f>IF(AY432&lt;&gt;"",INDEX($AE$2:$AP$440,MATCH($AT432,$AS$2:$AS$440,0),COLUMNS($AT$2:AY432)),"")</f>
        <v>10</v>
      </c>
      <c r="BA432">
        <f>IF(AZ432&lt;&gt;"",INDEX($AE$2:$AP$440,MATCH($AT432,$AS$2:$AS$440,0),COLUMNS($AT$2:AZ432)),"")</f>
        <v>15</v>
      </c>
      <c r="BB432">
        <f>IF(BA432&lt;&gt;"",INDEX($AE$2:$AP$440,MATCH($AT432,$AS$2:$AS$440,0),COLUMNS($AT$2:BA432)),"")</f>
        <v>44</v>
      </c>
      <c r="BC432">
        <f>IF(BB432&lt;&gt;"",INDEX($AE$2:$AP$440,MATCH($AT432,$AS$2:$AS$440,0),COLUMNS($AT$2:BB432)),"")</f>
        <v>62</v>
      </c>
      <c r="BD432">
        <f>IF(BC432&lt;&gt;"",INDEX($AE$2:$AP$440,MATCH($AT432,$AS$2:$AS$440,0),COLUMNS($AT$2:BC432)),"")</f>
        <v>-18</v>
      </c>
      <c r="BE432">
        <f>IF(BD432&lt;&gt;"",INDEX($AE$2:$AP$440,MATCH($AT432,$AS$2:$AS$440,0),COLUMNS($AT$2:BD432)),"")</f>
        <v>49</v>
      </c>
      <c r="BF432">
        <f>IF(BE432&lt;&gt;"",INDEX($AE$2:$AP$440,MATCH($AT432,$AS$2:$AS$440,0),COLUMNS($AT$2:BE432)),"")</f>
        <v>11</v>
      </c>
    </row>
    <row r="433" spans="1:58" x14ac:dyDescent="0.25">
      <c r="A433" s="5">
        <v>2021</v>
      </c>
      <c r="B433" s="5">
        <v>12</v>
      </c>
      <c r="C433" s="6" t="s">
        <v>38</v>
      </c>
      <c r="D433" s="5">
        <v>38</v>
      </c>
      <c r="E433" s="5">
        <v>11</v>
      </c>
      <c r="F433" s="5">
        <v>15</v>
      </c>
      <c r="G433" s="5">
        <v>12</v>
      </c>
      <c r="H433" s="5">
        <v>50</v>
      </c>
      <c r="I433" s="5">
        <v>46</v>
      </c>
      <c r="J433" s="5">
        <v>4</v>
      </c>
      <c r="K433" s="5">
        <v>48</v>
      </c>
      <c r="L433" s="5">
        <f>IF(Table2[[#This Row],['#]]=1,"Champion", IF(Table2[[#This Row],['#]]&gt;=18,"Relegated",Table2[[#This Row],['#]]))</f>
        <v>12</v>
      </c>
      <c r="N433">
        <f>IF(COUNTIF($O$2:O433,O433)=1,N432+1,N432)</f>
        <v>43</v>
      </c>
      <c r="O433" s="4" t="str">
        <f>Table2[[#This Row],[Team]]</f>
        <v>Crystal Palace</v>
      </c>
      <c r="P433" s="1" t="str">
        <f>IFERROR(VLOOKUP(ROWS($O$2:O433),$N$2:$O$441,2,0),"")</f>
        <v/>
      </c>
      <c r="Q433" s="1" t="str">
        <f>IF(P433&lt;&gt;"",SUMPRODUCT(--(Table2[Team]=P433)),"")</f>
        <v/>
      </c>
      <c r="R433" s="11" t="str">
        <f>IF(Q433&lt;&gt;"",Q433+ROWS($Q$2:Q433)/100,"")</f>
        <v/>
      </c>
      <c r="S433" t="str">
        <f>IF(R433&lt;&gt;"",LARGE($R$2:$R$441,ROWS($R$2:R433)),"")</f>
        <v/>
      </c>
      <c r="T433" s="1" t="str">
        <f>IF(R433&lt;&gt;"",INDEX($P$2:$Q$441,MATCH($S433,$R$2:$R$441,0),COLUMNS($S$2:S433)),"")</f>
        <v/>
      </c>
      <c r="U433" s="1" t="str">
        <f>IF(S433&lt;&gt;"",INDEX($P$2:$Q$441,MATCH($S433,$R$2:$R$441,0),COLUMNS($S$2:T433)),"")</f>
        <v/>
      </c>
      <c r="AE433" s="1">
        <f>Table2[[#This Row],[Year]]</f>
        <v>2021</v>
      </c>
      <c r="AF433" s="1">
        <f>Table2[[#This Row],['#]]</f>
        <v>12</v>
      </c>
      <c r="AG433" s="1" t="str">
        <f>Table2[[#This Row],[Team]]</f>
        <v>Crystal Palace</v>
      </c>
      <c r="AH433" s="1">
        <f>Table2[[#This Row],[Pl]]</f>
        <v>38</v>
      </c>
      <c r="AI433" s="1">
        <f>Table2[[#This Row],[W]]</f>
        <v>11</v>
      </c>
      <c r="AJ433" s="1">
        <f>Table2[[#This Row],[D]]</f>
        <v>15</v>
      </c>
      <c r="AK433" s="1">
        <f>Table2[[#This Row],[L]]</f>
        <v>12</v>
      </c>
      <c r="AL433" s="1">
        <f>Table2[[#This Row],[F]]</f>
        <v>50</v>
      </c>
      <c r="AM433" s="1">
        <f>Table2[[#This Row],[A]]</f>
        <v>46</v>
      </c>
      <c r="AN433" s="1">
        <f>Table2[[#This Row],[GD]]</f>
        <v>4</v>
      </c>
      <c r="AO433" s="1">
        <f>Table2[[#This Row],[Pts]]</f>
        <v>48</v>
      </c>
      <c r="AP433" s="1">
        <f>Table2[[#This Row],[Column1]]</f>
        <v>12</v>
      </c>
      <c r="AR433" t="b">
        <f t="shared" si="10"/>
        <v>1</v>
      </c>
      <c r="AS433">
        <f>IF(AR433,ROWS($AR$2:AR433),"")</f>
        <v>432</v>
      </c>
      <c r="AT433">
        <f>IFERROR(SMALL($AS$2:$AS$440,ROWS($AS$2:AS433)),"")</f>
        <v>432</v>
      </c>
      <c r="AU433">
        <f>IF(AT433&lt;&gt;"",INDEX($AE$2:$AP$440,MATCH($AT433,$AS$2:$AS$440,0),COLUMNS($AT$2:AT433)),"")</f>
        <v>2021</v>
      </c>
      <c r="AV433">
        <f>IF(AU433&lt;&gt;"",INDEX($AE$2:$AP$440,MATCH($AT433,$AS$2:$AS$440,0),COLUMNS($AT$2:AU433)),"")</f>
        <v>12</v>
      </c>
      <c r="AW433" t="str">
        <f>IF(AV433&lt;&gt;"",INDEX($AE$2:$AP$440,MATCH($AT433,$AS$2:$AS$440,0),COLUMNS($AT$2:AV433)),"")</f>
        <v>Crystal Palace</v>
      </c>
      <c r="AX433">
        <f>IF(AW433&lt;&gt;"",INDEX($AE$2:$AP$440,MATCH($AT433,$AS$2:$AS$440,0),COLUMNS($AT$2:AW433)),"")</f>
        <v>38</v>
      </c>
      <c r="AY433">
        <f>IF(AX433&lt;&gt;"",INDEX($AE$2:$AP$440,MATCH($AT433,$AS$2:$AS$440,0),COLUMNS($AT$2:AX433)),"")</f>
        <v>11</v>
      </c>
      <c r="AZ433">
        <f>IF(AY433&lt;&gt;"",INDEX($AE$2:$AP$440,MATCH($AT433,$AS$2:$AS$440,0),COLUMNS($AT$2:AY433)),"")</f>
        <v>15</v>
      </c>
      <c r="BA433">
        <f>IF(AZ433&lt;&gt;"",INDEX($AE$2:$AP$440,MATCH($AT433,$AS$2:$AS$440,0),COLUMNS($AT$2:AZ433)),"")</f>
        <v>12</v>
      </c>
      <c r="BB433">
        <f>IF(BA433&lt;&gt;"",INDEX($AE$2:$AP$440,MATCH($AT433,$AS$2:$AS$440,0),COLUMNS($AT$2:BA433)),"")</f>
        <v>50</v>
      </c>
      <c r="BC433">
        <f>IF(BB433&lt;&gt;"",INDEX($AE$2:$AP$440,MATCH($AT433,$AS$2:$AS$440,0),COLUMNS($AT$2:BB433)),"")</f>
        <v>46</v>
      </c>
      <c r="BD433">
        <f>IF(BC433&lt;&gt;"",INDEX($AE$2:$AP$440,MATCH($AT433,$AS$2:$AS$440,0),COLUMNS($AT$2:BC433)),"")</f>
        <v>4</v>
      </c>
      <c r="BE433">
        <f>IF(BD433&lt;&gt;"",INDEX($AE$2:$AP$440,MATCH($AT433,$AS$2:$AS$440,0),COLUMNS($AT$2:BD433)),"")</f>
        <v>48</v>
      </c>
      <c r="BF433">
        <f>IF(BE433&lt;&gt;"",INDEX($AE$2:$AP$440,MATCH($AT433,$AS$2:$AS$440,0),COLUMNS($AT$2:BE433)),"")</f>
        <v>12</v>
      </c>
    </row>
    <row r="434" spans="1:58" x14ac:dyDescent="0.25">
      <c r="A434" s="3">
        <v>2021</v>
      </c>
      <c r="B434" s="3">
        <v>13</v>
      </c>
      <c r="C434" s="4" t="s">
        <v>53</v>
      </c>
      <c r="D434" s="3">
        <v>38</v>
      </c>
      <c r="E434" s="3">
        <v>13</v>
      </c>
      <c r="F434" s="3">
        <v>7</v>
      </c>
      <c r="G434" s="3">
        <v>18</v>
      </c>
      <c r="H434" s="3">
        <v>48</v>
      </c>
      <c r="I434" s="3">
        <v>56</v>
      </c>
      <c r="J434" s="3">
        <v>-8</v>
      </c>
      <c r="K434" s="3">
        <v>46</v>
      </c>
      <c r="L434" s="5">
        <f>IF(Table2[[#This Row],['#]]=1,"Champion", IF(Table2[[#This Row],['#]]&gt;=18,"Relegated",Table2[[#This Row],['#]]))</f>
        <v>13</v>
      </c>
      <c r="N434">
        <f>IF(COUNTIF($O$2:O434,O434)=1,N433+1,N433)</f>
        <v>44</v>
      </c>
      <c r="O434" s="4" t="str">
        <f>Table2[[#This Row],[Team]]</f>
        <v>Brentford</v>
      </c>
      <c r="P434" s="1" t="str">
        <f>IFERROR(VLOOKUP(ROWS($O$2:O434),$N$2:$O$441,2,0),"")</f>
        <v/>
      </c>
      <c r="Q434" s="1" t="str">
        <f>IF(P434&lt;&gt;"",SUMPRODUCT(--(Table2[Team]=P434)),"")</f>
        <v/>
      </c>
      <c r="R434" s="11" t="str">
        <f>IF(Q434&lt;&gt;"",Q434+ROWS($Q$2:Q434)/100,"")</f>
        <v/>
      </c>
      <c r="S434" t="str">
        <f>IF(R434&lt;&gt;"",LARGE($R$2:$R$441,ROWS($R$2:R434)),"")</f>
        <v/>
      </c>
      <c r="T434" s="1" t="str">
        <f>IF(R434&lt;&gt;"",INDEX($P$2:$Q$441,MATCH($S434,$R$2:$R$441,0),COLUMNS($S$2:S434)),"")</f>
        <v/>
      </c>
      <c r="U434" s="1" t="str">
        <f>IF(S434&lt;&gt;"",INDEX($P$2:$Q$441,MATCH($S434,$R$2:$R$441,0),COLUMNS($S$2:T434)),"")</f>
        <v/>
      </c>
      <c r="AE434" s="1">
        <f>Table2[[#This Row],[Year]]</f>
        <v>2021</v>
      </c>
      <c r="AF434" s="1">
        <f>Table2[[#This Row],['#]]</f>
        <v>13</v>
      </c>
      <c r="AG434" s="1" t="str">
        <f>Table2[[#This Row],[Team]]</f>
        <v>Brentford</v>
      </c>
      <c r="AH434" s="1">
        <f>Table2[[#This Row],[Pl]]</f>
        <v>38</v>
      </c>
      <c r="AI434" s="1">
        <f>Table2[[#This Row],[W]]</f>
        <v>13</v>
      </c>
      <c r="AJ434" s="1">
        <f>Table2[[#This Row],[D]]</f>
        <v>7</v>
      </c>
      <c r="AK434" s="1">
        <f>Table2[[#This Row],[L]]</f>
        <v>18</v>
      </c>
      <c r="AL434" s="1">
        <f>Table2[[#This Row],[F]]</f>
        <v>48</v>
      </c>
      <c r="AM434" s="1">
        <f>Table2[[#This Row],[A]]</f>
        <v>56</v>
      </c>
      <c r="AN434" s="1">
        <f>Table2[[#This Row],[GD]]</f>
        <v>-8</v>
      </c>
      <c r="AO434" s="1">
        <f>Table2[[#This Row],[Pts]]</f>
        <v>46</v>
      </c>
      <c r="AP434" s="1">
        <f>Table2[[#This Row],[Column1]]</f>
        <v>13</v>
      </c>
      <c r="AR434" t="b">
        <f t="shared" si="10"/>
        <v>1</v>
      </c>
      <c r="AS434">
        <f>IF(AR434,ROWS($AR$2:AR434),"")</f>
        <v>433</v>
      </c>
      <c r="AT434">
        <f>IFERROR(SMALL($AS$2:$AS$440,ROWS($AS$2:AS434)),"")</f>
        <v>433</v>
      </c>
      <c r="AU434">
        <f>IF(AT434&lt;&gt;"",INDEX($AE$2:$AP$440,MATCH($AT434,$AS$2:$AS$440,0),COLUMNS($AT$2:AT434)),"")</f>
        <v>2021</v>
      </c>
      <c r="AV434">
        <f>IF(AU434&lt;&gt;"",INDEX($AE$2:$AP$440,MATCH($AT434,$AS$2:$AS$440,0),COLUMNS($AT$2:AU434)),"")</f>
        <v>13</v>
      </c>
      <c r="AW434" t="str">
        <f>IF(AV434&lt;&gt;"",INDEX($AE$2:$AP$440,MATCH($AT434,$AS$2:$AS$440,0),COLUMNS($AT$2:AV434)),"")</f>
        <v>Brentford</v>
      </c>
      <c r="AX434">
        <f>IF(AW434&lt;&gt;"",INDEX($AE$2:$AP$440,MATCH($AT434,$AS$2:$AS$440,0),COLUMNS($AT$2:AW434)),"")</f>
        <v>38</v>
      </c>
      <c r="AY434">
        <f>IF(AX434&lt;&gt;"",INDEX($AE$2:$AP$440,MATCH($AT434,$AS$2:$AS$440,0),COLUMNS($AT$2:AX434)),"")</f>
        <v>13</v>
      </c>
      <c r="AZ434">
        <f>IF(AY434&lt;&gt;"",INDEX($AE$2:$AP$440,MATCH($AT434,$AS$2:$AS$440,0),COLUMNS($AT$2:AY434)),"")</f>
        <v>7</v>
      </c>
      <c r="BA434">
        <f>IF(AZ434&lt;&gt;"",INDEX($AE$2:$AP$440,MATCH($AT434,$AS$2:$AS$440,0),COLUMNS($AT$2:AZ434)),"")</f>
        <v>18</v>
      </c>
      <c r="BB434">
        <f>IF(BA434&lt;&gt;"",INDEX($AE$2:$AP$440,MATCH($AT434,$AS$2:$AS$440,0),COLUMNS($AT$2:BA434)),"")</f>
        <v>48</v>
      </c>
      <c r="BC434">
        <f>IF(BB434&lt;&gt;"",INDEX($AE$2:$AP$440,MATCH($AT434,$AS$2:$AS$440,0),COLUMNS($AT$2:BB434)),"")</f>
        <v>56</v>
      </c>
      <c r="BD434">
        <f>IF(BC434&lt;&gt;"",INDEX($AE$2:$AP$440,MATCH($AT434,$AS$2:$AS$440,0),COLUMNS($AT$2:BC434)),"")</f>
        <v>-8</v>
      </c>
      <c r="BE434">
        <f>IF(BD434&lt;&gt;"",INDEX($AE$2:$AP$440,MATCH($AT434,$AS$2:$AS$440,0),COLUMNS($AT$2:BD434)),"")</f>
        <v>46</v>
      </c>
      <c r="BF434">
        <f>IF(BE434&lt;&gt;"",INDEX($AE$2:$AP$440,MATCH($AT434,$AS$2:$AS$440,0),COLUMNS($AT$2:BE434)),"")</f>
        <v>13</v>
      </c>
    </row>
    <row r="435" spans="1:58" x14ac:dyDescent="0.25">
      <c r="A435" s="5">
        <v>2021</v>
      </c>
      <c r="B435" s="5">
        <v>14</v>
      </c>
      <c r="C435" s="6" t="s">
        <v>18</v>
      </c>
      <c r="D435" s="5">
        <v>38</v>
      </c>
      <c r="E435" s="5">
        <v>13</v>
      </c>
      <c r="F435" s="5">
        <v>6</v>
      </c>
      <c r="G435" s="5">
        <v>19</v>
      </c>
      <c r="H435" s="5">
        <v>52</v>
      </c>
      <c r="I435" s="5">
        <v>54</v>
      </c>
      <c r="J435" s="5">
        <v>-2</v>
      </c>
      <c r="K435" s="5">
        <v>45</v>
      </c>
      <c r="L435" s="5">
        <f>IF(Table2[[#This Row],['#]]=1,"Champion", IF(Table2[[#This Row],['#]]&gt;=18,"Relegated",Table2[[#This Row],['#]]))</f>
        <v>14</v>
      </c>
      <c r="N435">
        <f>IF(COUNTIF($O$2:O435,O435)=1,N434+1,N434)</f>
        <v>44</v>
      </c>
      <c r="O435" s="4" t="str">
        <f>Table2[[#This Row],[Team]]</f>
        <v>Aston Villa</v>
      </c>
      <c r="P435" s="1" t="str">
        <f>IFERROR(VLOOKUP(ROWS($O$2:O435),$N$2:$O$441,2,0),"")</f>
        <v/>
      </c>
      <c r="Q435" s="1" t="str">
        <f>IF(P435&lt;&gt;"",SUMPRODUCT(--(Table2[Team]=P435)),"")</f>
        <v/>
      </c>
      <c r="R435" s="11" t="str">
        <f>IF(Q435&lt;&gt;"",Q435+ROWS($Q$2:Q435)/100,"")</f>
        <v/>
      </c>
      <c r="S435" t="str">
        <f>IF(R435&lt;&gt;"",LARGE($R$2:$R$441,ROWS($R$2:R435)),"")</f>
        <v/>
      </c>
      <c r="T435" s="1" t="str">
        <f>IF(R435&lt;&gt;"",INDEX($P$2:$Q$441,MATCH($S435,$R$2:$R$441,0),COLUMNS($S$2:S435)),"")</f>
        <v/>
      </c>
      <c r="U435" s="1" t="str">
        <f>IF(S435&lt;&gt;"",INDEX($P$2:$Q$441,MATCH($S435,$R$2:$R$441,0),COLUMNS($S$2:T435)),"")</f>
        <v/>
      </c>
      <c r="AE435" s="1">
        <f>Table2[[#This Row],[Year]]</f>
        <v>2021</v>
      </c>
      <c r="AF435" s="1">
        <f>Table2[[#This Row],['#]]</f>
        <v>14</v>
      </c>
      <c r="AG435" s="1" t="str">
        <f>Table2[[#This Row],[Team]]</f>
        <v>Aston Villa</v>
      </c>
      <c r="AH435" s="1">
        <f>Table2[[#This Row],[Pl]]</f>
        <v>38</v>
      </c>
      <c r="AI435" s="1">
        <f>Table2[[#This Row],[W]]</f>
        <v>13</v>
      </c>
      <c r="AJ435" s="1">
        <f>Table2[[#This Row],[D]]</f>
        <v>6</v>
      </c>
      <c r="AK435" s="1">
        <f>Table2[[#This Row],[L]]</f>
        <v>19</v>
      </c>
      <c r="AL435" s="1">
        <f>Table2[[#This Row],[F]]</f>
        <v>52</v>
      </c>
      <c r="AM435" s="1">
        <f>Table2[[#This Row],[A]]</f>
        <v>54</v>
      </c>
      <c r="AN435" s="1">
        <f>Table2[[#This Row],[GD]]</f>
        <v>-2</v>
      </c>
      <c r="AO435" s="1">
        <f>Table2[[#This Row],[Pts]]</f>
        <v>45</v>
      </c>
      <c r="AP435" s="1">
        <f>Table2[[#This Row],[Column1]]</f>
        <v>14</v>
      </c>
      <c r="AR435" t="b">
        <f t="shared" si="10"/>
        <v>1</v>
      </c>
      <c r="AS435">
        <f>IF(AR435,ROWS($AR$2:AR435),"")</f>
        <v>434</v>
      </c>
      <c r="AT435">
        <f>IFERROR(SMALL($AS$2:$AS$440,ROWS($AS$2:AS435)),"")</f>
        <v>434</v>
      </c>
      <c r="AU435">
        <f>IF(AT435&lt;&gt;"",INDEX($AE$2:$AP$440,MATCH($AT435,$AS$2:$AS$440,0),COLUMNS($AT$2:AT435)),"")</f>
        <v>2021</v>
      </c>
      <c r="AV435">
        <f>IF(AU435&lt;&gt;"",INDEX($AE$2:$AP$440,MATCH($AT435,$AS$2:$AS$440,0),COLUMNS($AT$2:AU435)),"")</f>
        <v>14</v>
      </c>
      <c r="AW435" t="str">
        <f>IF(AV435&lt;&gt;"",INDEX($AE$2:$AP$440,MATCH($AT435,$AS$2:$AS$440,0),COLUMNS($AT$2:AV435)),"")</f>
        <v>Aston Villa</v>
      </c>
      <c r="AX435">
        <f>IF(AW435&lt;&gt;"",INDEX($AE$2:$AP$440,MATCH($AT435,$AS$2:$AS$440,0),COLUMNS($AT$2:AW435)),"")</f>
        <v>38</v>
      </c>
      <c r="AY435">
        <f>IF(AX435&lt;&gt;"",INDEX($AE$2:$AP$440,MATCH($AT435,$AS$2:$AS$440,0),COLUMNS($AT$2:AX435)),"")</f>
        <v>13</v>
      </c>
      <c r="AZ435">
        <f>IF(AY435&lt;&gt;"",INDEX($AE$2:$AP$440,MATCH($AT435,$AS$2:$AS$440,0),COLUMNS($AT$2:AY435)),"")</f>
        <v>6</v>
      </c>
      <c r="BA435">
        <f>IF(AZ435&lt;&gt;"",INDEX($AE$2:$AP$440,MATCH($AT435,$AS$2:$AS$440,0),COLUMNS($AT$2:AZ435)),"")</f>
        <v>19</v>
      </c>
      <c r="BB435">
        <f>IF(BA435&lt;&gt;"",INDEX($AE$2:$AP$440,MATCH($AT435,$AS$2:$AS$440,0),COLUMNS($AT$2:BA435)),"")</f>
        <v>52</v>
      </c>
      <c r="BC435">
        <f>IF(BB435&lt;&gt;"",INDEX($AE$2:$AP$440,MATCH($AT435,$AS$2:$AS$440,0),COLUMNS($AT$2:BB435)),"")</f>
        <v>54</v>
      </c>
      <c r="BD435">
        <f>IF(BC435&lt;&gt;"",INDEX($AE$2:$AP$440,MATCH($AT435,$AS$2:$AS$440,0),COLUMNS($AT$2:BC435)),"")</f>
        <v>-2</v>
      </c>
      <c r="BE435">
        <f>IF(BD435&lt;&gt;"",INDEX($AE$2:$AP$440,MATCH($AT435,$AS$2:$AS$440,0),COLUMNS($AT$2:BD435)),"")</f>
        <v>45</v>
      </c>
      <c r="BF435">
        <f>IF(BE435&lt;&gt;"",INDEX($AE$2:$AP$440,MATCH($AT435,$AS$2:$AS$440,0),COLUMNS($AT$2:BE435)),"")</f>
        <v>14</v>
      </c>
    </row>
    <row r="436" spans="1:58" x14ac:dyDescent="0.25">
      <c r="A436" s="3">
        <v>2021</v>
      </c>
      <c r="B436" s="3">
        <v>15</v>
      </c>
      <c r="C436" s="4" t="s">
        <v>20</v>
      </c>
      <c r="D436" s="3">
        <v>38</v>
      </c>
      <c r="E436" s="3">
        <v>9</v>
      </c>
      <c r="F436" s="3">
        <v>13</v>
      </c>
      <c r="G436" s="3">
        <v>16</v>
      </c>
      <c r="H436" s="3">
        <v>43</v>
      </c>
      <c r="I436" s="3">
        <v>67</v>
      </c>
      <c r="J436" s="3">
        <v>-24</v>
      </c>
      <c r="K436" s="3">
        <v>40</v>
      </c>
      <c r="L436" s="5">
        <f>IF(Table2[[#This Row],['#]]=1,"Champion", IF(Table2[[#This Row],['#]]&gt;=18,"Relegated",Table2[[#This Row],['#]]))</f>
        <v>15</v>
      </c>
      <c r="N436">
        <f>IF(COUNTIF($O$2:O436,O436)=1,N435+1,N435)</f>
        <v>44</v>
      </c>
      <c r="O436" s="4" t="str">
        <f>Table2[[#This Row],[Team]]</f>
        <v>Southampton</v>
      </c>
      <c r="P436" s="1" t="str">
        <f>IFERROR(VLOOKUP(ROWS($O$2:O436),$N$2:$O$441,2,0),"")</f>
        <v/>
      </c>
      <c r="Q436" s="1" t="str">
        <f>IF(P436&lt;&gt;"",SUMPRODUCT(--(Table2[Team]=P436)),"")</f>
        <v/>
      </c>
      <c r="R436" s="11" t="str">
        <f>IF(Q436&lt;&gt;"",Q436+ROWS($Q$2:Q436)/100,"")</f>
        <v/>
      </c>
      <c r="S436" t="str">
        <f>IF(R436&lt;&gt;"",LARGE($R$2:$R$441,ROWS($R$2:R436)),"")</f>
        <v/>
      </c>
      <c r="T436" s="1" t="str">
        <f>IF(R436&lt;&gt;"",INDEX($P$2:$Q$441,MATCH($S436,$R$2:$R$441,0),COLUMNS($S$2:S436)),"")</f>
        <v/>
      </c>
      <c r="U436" s="1" t="str">
        <f>IF(S436&lt;&gt;"",INDEX($P$2:$Q$441,MATCH($S436,$R$2:$R$441,0),COLUMNS($S$2:T436)),"")</f>
        <v/>
      </c>
      <c r="AE436" s="1">
        <f>Table2[[#This Row],[Year]]</f>
        <v>2021</v>
      </c>
      <c r="AF436" s="1">
        <f>Table2[[#This Row],['#]]</f>
        <v>15</v>
      </c>
      <c r="AG436" s="1" t="str">
        <f>Table2[[#This Row],[Team]]</f>
        <v>Southampton</v>
      </c>
      <c r="AH436" s="1">
        <f>Table2[[#This Row],[Pl]]</f>
        <v>38</v>
      </c>
      <c r="AI436" s="1">
        <f>Table2[[#This Row],[W]]</f>
        <v>9</v>
      </c>
      <c r="AJ436" s="1">
        <f>Table2[[#This Row],[D]]</f>
        <v>13</v>
      </c>
      <c r="AK436" s="1">
        <f>Table2[[#This Row],[L]]</f>
        <v>16</v>
      </c>
      <c r="AL436" s="1">
        <f>Table2[[#This Row],[F]]</f>
        <v>43</v>
      </c>
      <c r="AM436" s="1">
        <f>Table2[[#This Row],[A]]</f>
        <v>67</v>
      </c>
      <c r="AN436" s="1">
        <f>Table2[[#This Row],[GD]]</f>
        <v>-24</v>
      </c>
      <c r="AO436" s="1">
        <f>Table2[[#This Row],[Pts]]</f>
        <v>40</v>
      </c>
      <c r="AP436" s="1">
        <f>Table2[[#This Row],[Column1]]</f>
        <v>15</v>
      </c>
      <c r="AR436" t="b">
        <f t="shared" si="10"/>
        <v>1</v>
      </c>
      <c r="AS436">
        <f>IF(AR436,ROWS($AR$2:AR436),"")</f>
        <v>435</v>
      </c>
      <c r="AT436">
        <f>IFERROR(SMALL($AS$2:$AS$440,ROWS($AS$2:AS436)),"")</f>
        <v>435</v>
      </c>
      <c r="AU436">
        <f>IF(AT436&lt;&gt;"",INDEX($AE$2:$AP$440,MATCH($AT436,$AS$2:$AS$440,0),COLUMNS($AT$2:AT436)),"")</f>
        <v>2021</v>
      </c>
      <c r="AV436">
        <f>IF(AU436&lt;&gt;"",INDEX($AE$2:$AP$440,MATCH($AT436,$AS$2:$AS$440,0),COLUMNS($AT$2:AU436)),"")</f>
        <v>15</v>
      </c>
      <c r="AW436" t="str">
        <f>IF(AV436&lt;&gt;"",INDEX($AE$2:$AP$440,MATCH($AT436,$AS$2:$AS$440,0),COLUMNS($AT$2:AV436)),"")</f>
        <v>Southampton</v>
      </c>
      <c r="AX436">
        <f>IF(AW436&lt;&gt;"",INDEX($AE$2:$AP$440,MATCH($AT436,$AS$2:$AS$440,0),COLUMNS($AT$2:AW436)),"")</f>
        <v>38</v>
      </c>
      <c r="AY436">
        <f>IF(AX436&lt;&gt;"",INDEX($AE$2:$AP$440,MATCH($AT436,$AS$2:$AS$440,0),COLUMNS($AT$2:AX436)),"")</f>
        <v>9</v>
      </c>
      <c r="AZ436">
        <f>IF(AY436&lt;&gt;"",INDEX($AE$2:$AP$440,MATCH($AT436,$AS$2:$AS$440,0),COLUMNS($AT$2:AY436)),"")</f>
        <v>13</v>
      </c>
      <c r="BA436">
        <f>IF(AZ436&lt;&gt;"",INDEX($AE$2:$AP$440,MATCH($AT436,$AS$2:$AS$440,0),COLUMNS($AT$2:AZ436)),"")</f>
        <v>16</v>
      </c>
      <c r="BB436">
        <f>IF(BA436&lt;&gt;"",INDEX($AE$2:$AP$440,MATCH($AT436,$AS$2:$AS$440,0),COLUMNS($AT$2:BA436)),"")</f>
        <v>43</v>
      </c>
      <c r="BC436">
        <f>IF(BB436&lt;&gt;"",INDEX($AE$2:$AP$440,MATCH($AT436,$AS$2:$AS$440,0),COLUMNS($AT$2:BB436)),"")</f>
        <v>67</v>
      </c>
      <c r="BD436">
        <f>IF(BC436&lt;&gt;"",INDEX($AE$2:$AP$440,MATCH($AT436,$AS$2:$AS$440,0),COLUMNS($AT$2:BC436)),"")</f>
        <v>-24</v>
      </c>
      <c r="BE436">
        <f>IF(BD436&lt;&gt;"",INDEX($AE$2:$AP$440,MATCH($AT436,$AS$2:$AS$440,0),COLUMNS($AT$2:BD436)),"")</f>
        <v>40</v>
      </c>
      <c r="BF436">
        <f>IF(BE436&lt;&gt;"",INDEX($AE$2:$AP$440,MATCH($AT436,$AS$2:$AS$440,0),COLUMNS($AT$2:BE436)),"")</f>
        <v>15</v>
      </c>
    </row>
    <row r="437" spans="1:58" x14ac:dyDescent="0.25">
      <c r="A437" s="5">
        <v>2021</v>
      </c>
      <c r="B437" s="5">
        <v>16</v>
      </c>
      <c r="C437" s="6" t="s">
        <v>26</v>
      </c>
      <c r="D437" s="5">
        <v>38</v>
      </c>
      <c r="E437" s="5">
        <v>11</v>
      </c>
      <c r="F437" s="5">
        <v>6</v>
      </c>
      <c r="G437" s="5">
        <v>21</v>
      </c>
      <c r="H437" s="5">
        <v>43</v>
      </c>
      <c r="I437" s="5">
        <v>66</v>
      </c>
      <c r="J437" s="5">
        <v>-23</v>
      </c>
      <c r="K437" s="5">
        <v>39</v>
      </c>
      <c r="L437" s="5">
        <f>IF(Table2[[#This Row],['#]]=1,"Champion", IF(Table2[[#This Row],['#]]&gt;=18,"Relegated",Table2[[#This Row],['#]]))</f>
        <v>16</v>
      </c>
      <c r="N437">
        <f>IF(COUNTIF($O$2:O437,O437)=1,N436+1,N436)</f>
        <v>44</v>
      </c>
      <c r="O437" s="4" t="str">
        <f>Table2[[#This Row],[Team]]</f>
        <v>Everton</v>
      </c>
      <c r="P437" s="1" t="str">
        <f>IFERROR(VLOOKUP(ROWS($O$2:O437),$N$2:$O$441,2,0),"")</f>
        <v/>
      </c>
      <c r="Q437" s="1" t="str">
        <f>IF(P437&lt;&gt;"",SUMPRODUCT(--(Table2[Team]=P437)),"")</f>
        <v/>
      </c>
      <c r="R437" s="11" t="str">
        <f>IF(Q437&lt;&gt;"",Q437+ROWS($Q$2:Q437)/100,"")</f>
        <v/>
      </c>
      <c r="S437" t="str">
        <f>IF(R437&lt;&gt;"",LARGE($R$2:$R$441,ROWS($R$2:R437)),"")</f>
        <v/>
      </c>
      <c r="T437" s="1" t="str">
        <f>IF(R437&lt;&gt;"",INDEX($P$2:$Q$441,MATCH($S437,$R$2:$R$441,0),COLUMNS($S$2:S437)),"")</f>
        <v/>
      </c>
      <c r="U437" s="1" t="str">
        <f>IF(S437&lt;&gt;"",INDEX($P$2:$Q$441,MATCH($S437,$R$2:$R$441,0),COLUMNS($S$2:T437)),"")</f>
        <v/>
      </c>
      <c r="AE437" s="1">
        <f>Table2[[#This Row],[Year]]</f>
        <v>2021</v>
      </c>
      <c r="AF437" s="1">
        <f>Table2[[#This Row],['#]]</f>
        <v>16</v>
      </c>
      <c r="AG437" s="1" t="str">
        <f>Table2[[#This Row],[Team]]</f>
        <v>Everton</v>
      </c>
      <c r="AH437" s="1">
        <f>Table2[[#This Row],[Pl]]</f>
        <v>38</v>
      </c>
      <c r="AI437" s="1">
        <f>Table2[[#This Row],[W]]</f>
        <v>11</v>
      </c>
      <c r="AJ437" s="1">
        <f>Table2[[#This Row],[D]]</f>
        <v>6</v>
      </c>
      <c r="AK437" s="1">
        <f>Table2[[#This Row],[L]]</f>
        <v>21</v>
      </c>
      <c r="AL437" s="1">
        <f>Table2[[#This Row],[F]]</f>
        <v>43</v>
      </c>
      <c r="AM437" s="1">
        <f>Table2[[#This Row],[A]]</f>
        <v>66</v>
      </c>
      <c r="AN437" s="1">
        <f>Table2[[#This Row],[GD]]</f>
        <v>-23</v>
      </c>
      <c r="AO437" s="1">
        <f>Table2[[#This Row],[Pts]]</f>
        <v>39</v>
      </c>
      <c r="AP437" s="1">
        <f>Table2[[#This Row],[Column1]]</f>
        <v>16</v>
      </c>
      <c r="AR437" t="b">
        <f t="shared" si="10"/>
        <v>1</v>
      </c>
      <c r="AS437">
        <f>IF(AR437,ROWS($AR$2:AR437),"")</f>
        <v>436</v>
      </c>
      <c r="AT437">
        <f>IFERROR(SMALL($AS$2:$AS$440,ROWS($AS$2:AS437)),"")</f>
        <v>436</v>
      </c>
      <c r="AU437">
        <f>IF(AT437&lt;&gt;"",INDEX($AE$2:$AP$440,MATCH($AT437,$AS$2:$AS$440,0),COLUMNS($AT$2:AT437)),"")</f>
        <v>2021</v>
      </c>
      <c r="AV437">
        <f>IF(AU437&lt;&gt;"",INDEX($AE$2:$AP$440,MATCH($AT437,$AS$2:$AS$440,0),COLUMNS($AT$2:AU437)),"")</f>
        <v>16</v>
      </c>
      <c r="AW437" t="str">
        <f>IF(AV437&lt;&gt;"",INDEX($AE$2:$AP$440,MATCH($AT437,$AS$2:$AS$440,0),COLUMNS($AT$2:AV437)),"")</f>
        <v>Everton</v>
      </c>
      <c r="AX437">
        <f>IF(AW437&lt;&gt;"",INDEX($AE$2:$AP$440,MATCH($AT437,$AS$2:$AS$440,0),COLUMNS($AT$2:AW437)),"")</f>
        <v>38</v>
      </c>
      <c r="AY437">
        <f>IF(AX437&lt;&gt;"",INDEX($AE$2:$AP$440,MATCH($AT437,$AS$2:$AS$440,0),COLUMNS($AT$2:AX437)),"")</f>
        <v>11</v>
      </c>
      <c r="AZ437">
        <f>IF(AY437&lt;&gt;"",INDEX($AE$2:$AP$440,MATCH($AT437,$AS$2:$AS$440,0),COLUMNS($AT$2:AY437)),"")</f>
        <v>6</v>
      </c>
      <c r="BA437">
        <f>IF(AZ437&lt;&gt;"",INDEX($AE$2:$AP$440,MATCH($AT437,$AS$2:$AS$440,0),COLUMNS($AT$2:AZ437)),"")</f>
        <v>21</v>
      </c>
      <c r="BB437">
        <f>IF(BA437&lt;&gt;"",INDEX($AE$2:$AP$440,MATCH($AT437,$AS$2:$AS$440,0),COLUMNS($AT$2:BA437)),"")</f>
        <v>43</v>
      </c>
      <c r="BC437">
        <f>IF(BB437&lt;&gt;"",INDEX($AE$2:$AP$440,MATCH($AT437,$AS$2:$AS$440,0),COLUMNS($AT$2:BB437)),"")</f>
        <v>66</v>
      </c>
      <c r="BD437">
        <f>IF(BC437&lt;&gt;"",INDEX($AE$2:$AP$440,MATCH($AT437,$AS$2:$AS$440,0),COLUMNS($AT$2:BC437)),"")</f>
        <v>-23</v>
      </c>
      <c r="BE437">
        <f>IF(BD437&lt;&gt;"",INDEX($AE$2:$AP$440,MATCH($AT437,$AS$2:$AS$440,0),COLUMNS($AT$2:BD437)),"")</f>
        <v>39</v>
      </c>
      <c r="BF437">
        <f>IF(BE437&lt;&gt;"",INDEX($AE$2:$AP$440,MATCH($AT437,$AS$2:$AS$440,0),COLUMNS($AT$2:BE437)),"")</f>
        <v>16</v>
      </c>
    </row>
    <row r="438" spans="1:58" x14ac:dyDescent="0.25">
      <c r="A438" s="3">
        <v>2021</v>
      </c>
      <c r="B438" s="3">
        <v>17</v>
      </c>
      <c r="C438" s="4" t="s">
        <v>14</v>
      </c>
      <c r="D438" s="3">
        <v>38</v>
      </c>
      <c r="E438" s="3">
        <v>9</v>
      </c>
      <c r="F438" s="3">
        <v>11</v>
      </c>
      <c r="G438" s="3">
        <v>18</v>
      </c>
      <c r="H438" s="3">
        <v>42</v>
      </c>
      <c r="I438" s="3">
        <v>79</v>
      </c>
      <c r="J438" s="3">
        <v>-37</v>
      </c>
      <c r="K438" s="3">
        <v>38</v>
      </c>
      <c r="L438" s="5">
        <f>IF(Table2[[#This Row],['#]]=1,"Champion", IF(Table2[[#This Row],['#]]&gt;=18,"Relegated",Table2[[#This Row],['#]]))</f>
        <v>17</v>
      </c>
      <c r="N438">
        <f>IF(COUNTIF($O$2:O438,O438)=1,N437+1,N437)</f>
        <v>44</v>
      </c>
      <c r="O438" s="4" t="str">
        <f>Table2[[#This Row],[Team]]</f>
        <v>Leeds United</v>
      </c>
      <c r="P438" s="1" t="str">
        <f>IFERROR(VLOOKUP(ROWS($O$2:O438),$N$2:$O$441,2,0),"")</f>
        <v/>
      </c>
      <c r="Q438" s="1" t="str">
        <f>IF(P438&lt;&gt;"",SUMPRODUCT(--(Table2[Team]=P438)),"")</f>
        <v/>
      </c>
      <c r="R438" s="11" t="str">
        <f>IF(Q438&lt;&gt;"",Q438+ROWS($Q$2:Q438)/100,"")</f>
        <v/>
      </c>
      <c r="S438" t="str">
        <f>IF(R438&lt;&gt;"",LARGE($R$2:$R$441,ROWS($R$2:R438)),"")</f>
        <v/>
      </c>
      <c r="T438" s="1" t="str">
        <f>IF(R438&lt;&gt;"",INDEX($P$2:$Q$441,MATCH($S438,$R$2:$R$441,0),COLUMNS($S$2:S438)),"")</f>
        <v/>
      </c>
      <c r="U438" s="1" t="str">
        <f>IF(S438&lt;&gt;"",INDEX($P$2:$Q$441,MATCH($S438,$R$2:$R$441,0),COLUMNS($S$2:T438)),"")</f>
        <v/>
      </c>
      <c r="AE438" s="1">
        <f>Table2[[#This Row],[Year]]</f>
        <v>2021</v>
      </c>
      <c r="AF438" s="1">
        <f>Table2[[#This Row],['#]]</f>
        <v>17</v>
      </c>
      <c r="AG438" s="1" t="str">
        <f>Table2[[#This Row],[Team]]</f>
        <v>Leeds United</v>
      </c>
      <c r="AH438" s="1">
        <f>Table2[[#This Row],[Pl]]</f>
        <v>38</v>
      </c>
      <c r="AI438" s="1">
        <f>Table2[[#This Row],[W]]</f>
        <v>9</v>
      </c>
      <c r="AJ438" s="1">
        <f>Table2[[#This Row],[D]]</f>
        <v>11</v>
      </c>
      <c r="AK438" s="1">
        <f>Table2[[#This Row],[L]]</f>
        <v>18</v>
      </c>
      <c r="AL438" s="1">
        <f>Table2[[#This Row],[F]]</f>
        <v>42</v>
      </c>
      <c r="AM438" s="1">
        <f>Table2[[#This Row],[A]]</f>
        <v>79</v>
      </c>
      <c r="AN438" s="1">
        <f>Table2[[#This Row],[GD]]</f>
        <v>-37</v>
      </c>
      <c r="AO438" s="1">
        <f>Table2[[#This Row],[Pts]]</f>
        <v>38</v>
      </c>
      <c r="AP438" s="1">
        <f>Table2[[#This Row],[Column1]]</f>
        <v>17</v>
      </c>
      <c r="AR438" t="b">
        <f t="shared" si="10"/>
        <v>1</v>
      </c>
      <c r="AS438">
        <f>IF(AR438,ROWS($AR$2:AR438),"")</f>
        <v>437</v>
      </c>
      <c r="AT438">
        <f>IFERROR(SMALL($AS$2:$AS$440,ROWS($AS$2:AS438)),"")</f>
        <v>437</v>
      </c>
      <c r="AU438">
        <f>IF(AT438&lt;&gt;"",INDEX($AE$2:$AP$440,MATCH($AT438,$AS$2:$AS$440,0),COLUMNS($AT$2:AT438)),"")</f>
        <v>2021</v>
      </c>
      <c r="AV438">
        <f>IF(AU438&lt;&gt;"",INDEX($AE$2:$AP$440,MATCH($AT438,$AS$2:$AS$440,0),COLUMNS($AT$2:AU438)),"")</f>
        <v>17</v>
      </c>
      <c r="AW438" t="str">
        <f>IF(AV438&lt;&gt;"",INDEX($AE$2:$AP$440,MATCH($AT438,$AS$2:$AS$440,0),COLUMNS($AT$2:AV438)),"")</f>
        <v>Leeds United</v>
      </c>
      <c r="AX438">
        <f>IF(AW438&lt;&gt;"",INDEX($AE$2:$AP$440,MATCH($AT438,$AS$2:$AS$440,0),COLUMNS($AT$2:AW438)),"")</f>
        <v>38</v>
      </c>
      <c r="AY438">
        <f>IF(AX438&lt;&gt;"",INDEX($AE$2:$AP$440,MATCH($AT438,$AS$2:$AS$440,0),COLUMNS($AT$2:AX438)),"")</f>
        <v>9</v>
      </c>
      <c r="AZ438">
        <f>IF(AY438&lt;&gt;"",INDEX($AE$2:$AP$440,MATCH($AT438,$AS$2:$AS$440,0),COLUMNS($AT$2:AY438)),"")</f>
        <v>11</v>
      </c>
      <c r="BA438">
        <f>IF(AZ438&lt;&gt;"",INDEX($AE$2:$AP$440,MATCH($AT438,$AS$2:$AS$440,0),COLUMNS($AT$2:AZ438)),"")</f>
        <v>18</v>
      </c>
      <c r="BB438">
        <f>IF(BA438&lt;&gt;"",INDEX($AE$2:$AP$440,MATCH($AT438,$AS$2:$AS$440,0),COLUMNS($AT$2:BA438)),"")</f>
        <v>42</v>
      </c>
      <c r="BC438">
        <f>IF(BB438&lt;&gt;"",INDEX($AE$2:$AP$440,MATCH($AT438,$AS$2:$AS$440,0),COLUMNS($AT$2:BB438)),"")</f>
        <v>79</v>
      </c>
      <c r="BD438">
        <f>IF(BC438&lt;&gt;"",INDEX($AE$2:$AP$440,MATCH($AT438,$AS$2:$AS$440,0),COLUMNS($AT$2:BC438)),"")</f>
        <v>-37</v>
      </c>
      <c r="BE438">
        <f>IF(BD438&lt;&gt;"",INDEX($AE$2:$AP$440,MATCH($AT438,$AS$2:$AS$440,0),COLUMNS($AT$2:BD438)),"")</f>
        <v>38</v>
      </c>
      <c r="BF438">
        <f>IF(BE438&lt;&gt;"",INDEX($AE$2:$AP$440,MATCH($AT438,$AS$2:$AS$440,0),COLUMNS($AT$2:BE438)),"")</f>
        <v>17</v>
      </c>
    </row>
    <row r="439" spans="1:58" x14ac:dyDescent="0.25">
      <c r="A439" s="5">
        <v>2021</v>
      </c>
      <c r="B439" s="5">
        <v>18</v>
      </c>
      <c r="C439" s="6" t="s">
        <v>46</v>
      </c>
      <c r="D439" s="5">
        <v>38</v>
      </c>
      <c r="E439" s="5">
        <v>7</v>
      </c>
      <c r="F439" s="5">
        <v>14</v>
      </c>
      <c r="G439" s="5">
        <v>17</v>
      </c>
      <c r="H439" s="5">
        <v>34</v>
      </c>
      <c r="I439" s="5">
        <v>53</v>
      </c>
      <c r="J439" s="5">
        <v>-19</v>
      </c>
      <c r="K439" s="5">
        <v>35</v>
      </c>
      <c r="L439" s="5" t="str">
        <f>IF(Table2[[#This Row],['#]]=1,"Champion", IF(Table2[[#This Row],['#]]&gt;=18,"Relegated",Table2[[#This Row],['#]]))</f>
        <v>Relegated</v>
      </c>
      <c r="N439">
        <f>IF(COUNTIF($O$2:O439,O439)=1,N438+1,N438)</f>
        <v>44</v>
      </c>
      <c r="O439" s="4" t="str">
        <f>Table2[[#This Row],[Team]]</f>
        <v>Burnley</v>
      </c>
      <c r="P439" s="1" t="str">
        <f>IFERROR(VLOOKUP(ROWS($O$2:O439),$N$2:$O$441,2,0),"")</f>
        <v/>
      </c>
      <c r="Q439" s="1" t="str">
        <f>IF(P439&lt;&gt;"",SUMPRODUCT(--(Table2[Team]=P439)),"")</f>
        <v/>
      </c>
      <c r="R439" s="11" t="str">
        <f>IF(Q439&lt;&gt;"",Q439+ROWS($Q$2:Q439)/100,"")</f>
        <v/>
      </c>
      <c r="S439" t="str">
        <f>IF(R439&lt;&gt;"",LARGE($R$2:$R$441,ROWS($R$2:R439)),"")</f>
        <v/>
      </c>
      <c r="T439" s="1" t="str">
        <f>IF(R439&lt;&gt;"",INDEX($P$2:$Q$441,MATCH($S439,$R$2:$R$441,0),COLUMNS($S$2:S439)),"")</f>
        <v/>
      </c>
      <c r="U439" s="1" t="str">
        <f>IF(S439&lt;&gt;"",INDEX($P$2:$Q$441,MATCH($S439,$R$2:$R$441,0),COLUMNS($S$2:T439)),"")</f>
        <v/>
      </c>
      <c r="AE439" s="1">
        <f>Table2[[#This Row],[Year]]</f>
        <v>2021</v>
      </c>
      <c r="AF439" s="1">
        <f>Table2[[#This Row],['#]]</f>
        <v>18</v>
      </c>
      <c r="AG439" s="1" t="str">
        <f>Table2[[#This Row],[Team]]</f>
        <v>Burnley</v>
      </c>
      <c r="AH439" s="1">
        <f>Table2[[#This Row],[Pl]]</f>
        <v>38</v>
      </c>
      <c r="AI439" s="1">
        <f>Table2[[#This Row],[W]]</f>
        <v>7</v>
      </c>
      <c r="AJ439" s="1">
        <f>Table2[[#This Row],[D]]</f>
        <v>14</v>
      </c>
      <c r="AK439" s="1">
        <f>Table2[[#This Row],[L]]</f>
        <v>17</v>
      </c>
      <c r="AL439" s="1">
        <f>Table2[[#This Row],[F]]</f>
        <v>34</v>
      </c>
      <c r="AM439" s="1">
        <f>Table2[[#This Row],[A]]</f>
        <v>53</v>
      </c>
      <c r="AN439" s="1">
        <f>Table2[[#This Row],[GD]]</f>
        <v>-19</v>
      </c>
      <c r="AO439" s="1">
        <f>Table2[[#This Row],[Pts]]</f>
        <v>35</v>
      </c>
      <c r="AP439" s="1" t="str">
        <f>Table2[[#This Row],[Column1]]</f>
        <v>Relegated</v>
      </c>
      <c r="AR439" t="b">
        <f t="shared" si="10"/>
        <v>1</v>
      </c>
      <c r="AS439">
        <f>IF(AR439,ROWS($AR$2:AR439),"")</f>
        <v>438</v>
      </c>
      <c r="AT439">
        <f>IFERROR(SMALL($AS$2:$AS$440,ROWS($AS$2:AS439)),"")</f>
        <v>438</v>
      </c>
      <c r="AU439">
        <f>IF(AT439&lt;&gt;"",INDEX($AE$2:$AP$440,MATCH($AT439,$AS$2:$AS$440,0),COLUMNS($AT$2:AT439)),"")</f>
        <v>2021</v>
      </c>
      <c r="AV439">
        <f>IF(AU439&lt;&gt;"",INDEX($AE$2:$AP$440,MATCH($AT439,$AS$2:$AS$440,0),COLUMNS($AT$2:AU439)),"")</f>
        <v>18</v>
      </c>
      <c r="AW439" t="str">
        <f>IF(AV439&lt;&gt;"",INDEX($AE$2:$AP$440,MATCH($AT439,$AS$2:$AS$440,0),COLUMNS($AT$2:AV439)),"")</f>
        <v>Burnley</v>
      </c>
      <c r="AX439">
        <f>IF(AW439&lt;&gt;"",INDEX($AE$2:$AP$440,MATCH($AT439,$AS$2:$AS$440,0),COLUMNS($AT$2:AW439)),"")</f>
        <v>38</v>
      </c>
      <c r="AY439">
        <f>IF(AX439&lt;&gt;"",INDEX($AE$2:$AP$440,MATCH($AT439,$AS$2:$AS$440,0),COLUMNS($AT$2:AX439)),"")</f>
        <v>7</v>
      </c>
      <c r="AZ439">
        <f>IF(AY439&lt;&gt;"",INDEX($AE$2:$AP$440,MATCH($AT439,$AS$2:$AS$440,0),COLUMNS($AT$2:AY439)),"")</f>
        <v>14</v>
      </c>
      <c r="BA439">
        <f>IF(AZ439&lt;&gt;"",INDEX($AE$2:$AP$440,MATCH($AT439,$AS$2:$AS$440,0),COLUMNS($AT$2:AZ439)),"")</f>
        <v>17</v>
      </c>
      <c r="BB439">
        <f>IF(BA439&lt;&gt;"",INDEX($AE$2:$AP$440,MATCH($AT439,$AS$2:$AS$440,0),COLUMNS($AT$2:BA439)),"")</f>
        <v>34</v>
      </c>
      <c r="BC439">
        <f>IF(BB439&lt;&gt;"",INDEX($AE$2:$AP$440,MATCH($AT439,$AS$2:$AS$440,0),COLUMNS($AT$2:BB439)),"")</f>
        <v>53</v>
      </c>
      <c r="BD439">
        <f>IF(BC439&lt;&gt;"",INDEX($AE$2:$AP$440,MATCH($AT439,$AS$2:$AS$440,0),COLUMNS($AT$2:BC439)),"")</f>
        <v>-19</v>
      </c>
      <c r="BE439">
        <f>IF(BD439&lt;&gt;"",INDEX($AE$2:$AP$440,MATCH($AT439,$AS$2:$AS$440,0),COLUMNS($AT$2:BD439)),"")</f>
        <v>35</v>
      </c>
      <c r="BF439" t="str">
        <f>IF(BE439&lt;&gt;"",INDEX($AE$2:$AP$440,MATCH($AT439,$AS$2:$AS$440,0),COLUMNS($AT$2:BE439)),"")</f>
        <v>Relegated</v>
      </c>
    </row>
    <row r="440" spans="1:58" x14ac:dyDescent="0.25">
      <c r="A440" s="3">
        <v>2021</v>
      </c>
      <c r="B440" s="3">
        <v>19</v>
      </c>
      <c r="C440" s="4" t="s">
        <v>43</v>
      </c>
      <c r="D440" s="3">
        <v>38</v>
      </c>
      <c r="E440" s="3">
        <v>6</v>
      </c>
      <c r="F440" s="3">
        <v>5</v>
      </c>
      <c r="G440" s="3">
        <v>27</v>
      </c>
      <c r="H440" s="3">
        <v>34</v>
      </c>
      <c r="I440" s="3">
        <v>77</v>
      </c>
      <c r="J440" s="3">
        <v>-43</v>
      </c>
      <c r="K440" s="3">
        <v>23</v>
      </c>
      <c r="L440" s="5" t="str">
        <f>IF(Table2[[#This Row],['#]]=1,"Champion", IF(Table2[[#This Row],['#]]&gt;=18,"Relegated",Table2[[#This Row],['#]]))</f>
        <v>Relegated</v>
      </c>
      <c r="N440">
        <f>IF(COUNTIF($O$2:O440,O440)=1,N439+1,N439)</f>
        <v>44</v>
      </c>
      <c r="O440" s="4" t="str">
        <f>Table2[[#This Row],[Team]]</f>
        <v>Watford</v>
      </c>
      <c r="P440" s="1" t="str">
        <f>IFERROR(VLOOKUP(ROWS($O$2:O440),$N$2:$O$441,2,0),"")</f>
        <v/>
      </c>
      <c r="Q440" s="1" t="str">
        <f>IF(P440&lt;&gt;"",SUMPRODUCT(--(Table2[Team]=P440)),"")</f>
        <v/>
      </c>
      <c r="R440" s="11" t="str">
        <f>IF(Q440&lt;&gt;"",Q440+ROWS($Q$2:Q440)/100,"")</f>
        <v/>
      </c>
      <c r="S440" t="str">
        <f>IF(R440&lt;&gt;"",LARGE($R$2:$R$441,ROWS($R$2:R440)),"")</f>
        <v/>
      </c>
      <c r="T440" s="1" t="str">
        <f>IF(R440&lt;&gt;"",INDEX($P$2:$Q$441,MATCH($S440,$R$2:$R$441,0),COLUMNS($S$2:S440)),"")</f>
        <v/>
      </c>
      <c r="U440" s="1" t="str">
        <f>IF(S440&lt;&gt;"",INDEX($P$2:$Q$441,MATCH($S440,$R$2:$R$441,0),COLUMNS($S$2:T440)),"")</f>
        <v/>
      </c>
      <c r="AE440" s="1">
        <f>Table2[[#This Row],[Year]]</f>
        <v>2021</v>
      </c>
      <c r="AF440" s="1">
        <f>Table2[[#This Row],['#]]</f>
        <v>19</v>
      </c>
      <c r="AG440" s="1" t="str">
        <f>Table2[[#This Row],[Team]]</f>
        <v>Watford</v>
      </c>
      <c r="AH440" s="1">
        <f>Table2[[#This Row],[Pl]]</f>
        <v>38</v>
      </c>
      <c r="AI440" s="1">
        <f>Table2[[#This Row],[W]]</f>
        <v>6</v>
      </c>
      <c r="AJ440" s="1">
        <f>Table2[[#This Row],[D]]</f>
        <v>5</v>
      </c>
      <c r="AK440" s="1">
        <f>Table2[[#This Row],[L]]</f>
        <v>27</v>
      </c>
      <c r="AL440" s="1">
        <f>Table2[[#This Row],[F]]</f>
        <v>34</v>
      </c>
      <c r="AM440" s="1">
        <f>Table2[[#This Row],[A]]</f>
        <v>77</v>
      </c>
      <c r="AN440" s="1">
        <f>Table2[[#This Row],[GD]]</f>
        <v>-43</v>
      </c>
      <c r="AO440" s="1">
        <f>Table2[[#This Row],[Pts]]</f>
        <v>23</v>
      </c>
      <c r="AP440" s="1" t="str">
        <f>Table2[[#This Row],[Column1]]</f>
        <v>Relegated</v>
      </c>
      <c r="AR440" t="b">
        <f t="shared" si="10"/>
        <v>1</v>
      </c>
      <c r="AS440">
        <f>IF(AR440,ROWS($AR$2:AR440),"")</f>
        <v>439</v>
      </c>
      <c r="AT440">
        <f>IFERROR(SMALL($AS$2:$AS$440,ROWS($AS$2:AS440)),"")</f>
        <v>439</v>
      </c>
      <c r="AU440">
        <f>IF(AT440&lt;&gt;"",INDEX($AE$2:$AP$440,MATCH($AT440,$AS$2:$AS$440,0),COLUMNS($AT$2:AT440)),"")</f>
        <v>2021</v>
      </c>
      <c r="AV440">
        <f>IF(AU440&lt;&gt;"",INDEX($AE$2:$AP$440,MATCH($AT440,$AS$2:$AS$440,0),COLUMNS($AT$2:AU440)),"")</f>
        <v>19</v>
      </c>
      <c r="AW440" t="str">
        <f>IF(AV440&lt;&gt;"",INDEX($AE$2:$AP$440,MATCH($AT440,$AS$2:$AS$440,0),COLUMNS($AT$2:AV440)),"")</f>
        <v>Watford</v>
      </c>
      <c r="AX440">
        <f>IF(AW440&lt;&gt;"",INDEX($AE$2:$AP$440,MATCH($AT440,$AS$2:$AS$440,0),COLUMNS($AT$2:AW440)),"")</f>
        <v>38</v>
      </c>
      <c r="AY440">
        <f>IF(AX440&lt;&gt;"",INDEX($AE$2:$AP$440,MATCH($AT440,$AS$2:$AS$440,0),COLUMNS($AT$2:AX440)),"")</f>
        <v>6</v>
      </c>
      <c r="AZ440">
        <f>IF(AY440&lt;&gt;"",INDEX($AE$2:$AP$440,MATCH($AT440,$AS$2:$AS$440,0),COLUMNS($AT$2:AY440)),"")</f>
        <v>5</v>
      </c>
      <c r="BA440">
        <f>IF(AZ440&lt;&gt;"",INDEX($AE$2:$AP$440,MATCH($AT440,$AS$2:$AS$440,0),COLUMNS($AT$2:AZ440)),"")</f>
        <v>27</v>
      </c>
      <c r="BB440">
        <f>IF(BA440&lt;&gt;"",INDEX($AE$2:$AP$440,MATCH($AT440,$AS$2:$AS$440,0),COLUMNS($AT$2:BA440)),"")</f>
        <v>34</v>
      </c>
      <c r="BC440">
        <f>IF(BB440&lt;&gt;"",INDEX($AE$2:$AP$440,MATCH($AT440,$AS$2:$AS$440,0),COLUMNS($AT$2:BB440)),"")</f>
        <v>77</v>
      </c>
      <c r="BD440">
        <f>IF(BC440&lt;&gt;"",INDEX($AE$2:$AP$440,MATCH($AT440,$AS$2:$AS$440,0),COLUMNS($AT$2:BC440)),"")</f>
        <v>-43</v>
      </c>
      <c r="BE440">
        <f>IF(BD440&lt;&gt;"",INDEX($AE$2:$AP$440,MATCH($AT440,$AS$2:$AS$440,0),COLUMNS($AT$2:BD440)),"")</f>
        <v>23</v>
      </c>
      <c r="BF440" t="str">
        <f>IF(BE440&lt;&gt;"",INDEX($AE$2:$AP$440,MATCH($AT440,$AS$2:$AS$440,0),COLUMNS($AT$2:BE440)),"")</f>
        <v>Relegated</v>
      </c>
    </row>
    <row r="441" spans="1:58" x14ac:dyDescent="0.25">
      <c r="A441" s="8">
        <v>2021</v>
      </c>
      <c r="B441" s="8">
        <v>20</v>
      </c>
      <c r="C441" s="9" t="s">
        <v>39</v>
      </c>
      <c r="D441" s="8">
        <v>38</v>
      </c>
      <c r="E441" s="8">
        <v>5</v>
      </c>
      <c r="F441" s="8">
        <v>7</v>
      </c>
      <c r="G441" s="8">
        <v>26</v>
      </c>
      <c r="H441" s="8">
        <v>23</v>
      </c>
      <c r="I441" s="8">
        <v>84</v>
      </c>
      <c r="J441" s="8">
        <v>-61</v>
      </c>
      <c r="K441" s="8">
        <v>22</v>
      </c>
      <c r="L441" s="8" t="str">
        <f>IF(Table2[[#This Row],['#]]=1,"Champion", IF(Table2[[#This Row],['#]]&gt;=18,"Relegated",Table2[[#This Row],['#]]))</f>
        <v>Relegated</v>
      </c>
      <c r="N441">
        <f>IF(COUNTIF($O$2:O441,O441)=1,N440+1,N440)</f>
        <v>44</v>
      </c>
      <c r="O441" s="4" t="str">
        <f>Table2[[#This Row],[Team]]</f>
        <v>Norwich City</v>
      </c>
      <c r="P441" s="1" t="str">
        <f>IFERROR(VLOOKUP(ROWS($O$2:O441),$N$2:$O$441,2,0),"")</f>
        <v/>
      </c>
      <c r="Q441" s="1" t="str">
        <f>IF(P441&lt;&gt;"",SUMPRODUCT(--(Table2[Team]=P441)),"")</f>
        <v/>
      </c>
      <c r="R441" s="11" t="str">
        <f>IF(Q441&lt;&gt;"",Q441+ROWS($Q$2:Q441)/100,"")</f>
        <v/>
      </c>
      <c r="S441" t="str">
        <f>IF(R441&lt;&gt;"",LARGE($R$2:$R$441,ROWS($R$2:R441)),"")</f>
        <v/>
      </c>
      <c r="T441" s="1" t="str">
        <f>IF(R441&lt;&gt;"",INDEX($P$2:$Q$441,MATCH($S441,$R$2:$R$441,0),COLUMNS($S$2:S441)),"")</f>
        <v/>
      </c>
      <c r="U441" s="1" t="str">
        <f>IF(S441&lt;&gt;"",INDEX($P$2:$Q$441,MATCH($S441,$R$2:$R$441,0),COLUMNS($S$2:T441)),"")</f>
        <v/>
      </c>
    </row>
    <row r="442" spans="1:58" x14ac:dyDescent="0.25">
      <c r="A442" s="8"/>
      <c r="B442" s="8"/>
      <c r="C442" s="9"/>
      <c r="D442" s="19">
        <f>SUBTOTAL(9,Table2[Pl])</f>
        <v>16720</v>
      </c>
      <c r="E442" s="19">
        <f>SUBTOTAL(9,Table2[W])</f>
        <v>5993</v>
      </c>
      <c r="F442" s="19">
        <f>SUBTOTAL(9,Table2[D])</f>
        <v>3974</v>
      </c>
      <c r="G442" s="19">
        <f>SUBTOTAL(9,Table2[L])</f>
        <v>5993</v>
      </c>
      <c r="H442" s="19">
        <f>SUBTOTAL(9,Table2[F])</f>
        <v>21449</v>
      </c>
      <c r="I442" s="19">
        <f>SUBTOTAL(9,Table2[A])</f>
        <v>21449</v>
      </c>
      <c r="J442" s="19">
        <f>SUBTOTAL(9,Table2[GD])</f>
        <v>0</v>
      </c>
      <c r="K442" s="19">
        <f>SUBTOTAL(9,Table2[Pts])</f>
        <v>22986</v>
      </c>
      <c r="L442" s="9"/>
    </row>
    <row r="443" spans="1:58" x14ac:dyDescent="0.25">
      <c r="D443" s="20">
        <f>Table2[[#Totals],[Pl]]</f>
        <v>16720</v>
      </c>
      <c r="E443" s="20">
        <f>Table2[[#Totals],[W]]</f>
        <v>5993</v>
      </c>
      <c r="F443" s="20">
        <f>Table2[[#Totals],[D]]</f>
        <v>3974</v>
      </c>
      <c r="G443" s="20">
        <f>Table2[[#Totals],[L]]</f>
        <v>5993</v>
      </c>
      <c r="H443" s="20">
        <f>Table2[[#Totals],[F]]</f>
        <v>21449</v>
      </c>
      <c r="I443" s="20">
        <f>Table2[[#Totals],[A]]</f>
        <v>21449</v>
      </c>
      <c r="J443" s="20">
        <f>Table2[[#Totals],[GD]]</f>
        <v>0</v>
      </c>
      <c r="K443" s="20">
        <f>Table2[[#Totals],[Pts]]</f>
        <v>22986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C1BD7-7A39-4156-AB92-DC7A8C02C201}">
  <sheetPr codeName="Sheet2"/>
  <dimension ref="A1:P95"/>
  <sheetViews>
    <sheetView workbookViewId="0">
      <selection activeCell="N1" sqref="N1:P8"/>
    </sheetView>
  </sheetViews>
  <sheetFormatPr defaultRowHeight="15" x14ac:dyDescent="0.25"/>
  <cols>
    <col min="1" max="1" width="5" bestFit="1" customWidth="1"/>
    <col min="2" max="2" width="3" bestFit="1" customWidth="1"/>
    <col min="3" max="3" width="26.140625" bestFit="1" customWidth="1"/>
    <col min="4" max="9" width="3" bestFit="1" customWidth="1"/>
    <col min="10" max="11" width="3.7109375" bestFit="1" customWidth="1"/>
    <col min="12" max="12" width="10" bestFit="1" customWidth="1"/>
    <col min="14" max="14" width="12.5703125" bestFit="1" customWidth="1"/>
  </cols>
  <sheetData>
    <row r="1" spans="1:16" x14ac:dyDescent="0.25">
      <c r="A1" t="s">
        <v>0</v>
      </c>
      <c r="B1" t="s">
        <v>1</v>
      </c>
      <c r="C1" t="s">
        <v>2</v>
      </c>
      <c r="D1" t="s">
        <v>3</v>
      </c>
      <c r="E1" t="s">
        <v>4</v>
      </c>
      <c r="F1" t="s">
        <v>5</v>
      </c>
      <c r="G1" t="s">
        <v>6</v>
      </c>
      <c r="H1" t="s">
        <v>7</v>
      </c>
      <c r="I1" t="s">
        <v>8</v>
      </c>
      <c r="J1" t="s">
        <v>9</v>
      </c>
      <c r="K1" t="s">
        <v>10</v>
      </c>
      <c r="L1" t="s">
        <v>66</v>
      </c>
      <c r="N1" s="22"/>
      <c r="O1" s="31" t="s">
        <v>65</v>
      </c>
      <c r="P1" s="31" t="s">
        <v>82</v>
      </c>
    </row>
    <row r="2" spans="1:16" x14ac:dyDescent="0.25">
      <c r="A2">
        <v>2000</v>
      </c>
      <c r="B2">
        <v>18</v>
      </c>
      <c r="C2" t="s">
        <v>28</v>
      </c>
      <c r="D2">
        <v>38</v>
      </c>
      <c r="E2">
        <v>8</v>
      </c>
      <c r="F2">
        <v>10</v>
      </c>
      <c r="G2">
        <v>20</v>
      </c>
      <c r="H2">
        <v>41</v>
      </c>
      <c r="I2">
        <v>65</v>
      </c>
      <c r="J2">
        <v>-24</v>
      </c>
      <c r="K2">
        <v>34</v>
      </c>
      <c r="L2">
        <f>E2/D2</f>
        <v>0.21052631578947367</v>
      </c>
      <c r="N2" s="22" t="s">
        <v>86</v>
      </c>
      <c r="O2" s="22">
        <f>MIN(K2:K67)</f>
        <v>11</v>
      </c>
      <c r="P2" s="22">
        <f>MIN(K74:K95)</f>
        <v>80</v>
      </c>
    </row>
    <row r="3" spans="1:16" x14ac:dyDescent="0.25">
      <c r="A3">
        <v>2000</v>
      </c>
      <c r="B3">
        <v>19</v>
      </c>
      <c r="C3" t="s">
        <v>29</v>
      </c>
      <c r="D3">
        <v>38</v>
      </c>
      <c r="E3">
        <v>8</v>
      </c>
      <c r="F3">
        <v>10</v>
      </c>
      <c r="G3">
        <v>20</v>
      </c>
      <c r="H3">
        <v>36</v>
      </c>
      <c r="I3">
        <v>63</v>
      </c>
      <c r="J3">
        <v>-27</v>
      </c>
      <c r="K3">
        <v>34</v>
      </c>
      <c r="L3">
        <f t="shared" ref="L3:L66" si="0">E3/D3</f>
        <v>0.21052631578947367</v>
      </c>
      <c r="N3" s="22" t="s">
        <v>88</v>
      </c>
      <c r="O3" s="22">
        <f>_xlfn.QUARTILE.EXC(K2:K67,1)</f>
        <v>26</v>
      </c>
      <c r="P3" s="22">
        <f>_xlfn.QUARTILE.EXC(K74:K95,1)</f>
        <v>86</v>
      </c>
    </row>
    <row r="4" spans="1:16" x14ac:dyDescent="0.25">
      <c r="A4">
        <v>2000</v>
      </c>
      <c r="B4">
        <v>20</v>
      </c>
      <c r="C4" t="s">
        <v>30</v>
      </c>
      <c r="D4">
        <v>38</v>
      </c>
      <c r="E4">
        <v>5</v>
      </c>
      <c r="F4">
        <v>11</v>
      </c>
      <c r="G4">
        <v>22</v>
      </c>
      <c r="H4">
        <v>30</v>
      </c>
      <c r="I4">
        <v>70</v>
      </c>
      <c r="J4">
        <v>-40</v>
      </c>
      <c r="K4">
        <v>26</v>
      </c>
      <c r="L4">
        <f t="shared" si="0"/>
        <v>0.13157894736842105</v>
      </c>
      <c r="N4" s="22" t="s">
        <v>71</v>
      </c>
      <c r="O4" s="22">
        <f>_xlfn.QUARTILE.EXC(K2:K67,2)</f>
        <v>32</v>
      </c>
      <c r="P4" s="22">
        <f>_xlfn.QUARTILE.EXC(K74:K95,2)</f>
        <v>89</v>
      </c>
    </row>
    <row r="5" spans="1:16" x14ac:dyDescent="0.25">
      <c r="A5">
        <v>2001</v>
      </c>
      <c r="B5">
        <v>18</v>
      </c>
      <c r="C5" t="s">
        <v>15</v>
      </c>
      <c r="D5">
        <v>38</v>
      </c>
      <c r="E5">
        <v>9</v>
      </c>
      <c r="F5">
        <v>9</v>
      </c>
      <c r="G5">
        <v>20</v>
      </c>
      <c r="H5">
        <v>41</v>
      </c>
      <c r="I5">
        <v>64</v>
      </c>
      <c r="J5">
        <v>-23</v>
      </c>
      <c r="K5">
        <v>36</v>
      </c>
      <c r="L5">
        <f t="shared" si="0"/>
        <v>0.23684210526315788</v>
      </c>
      <c r="N5" s="22" t="s">
        <v>89</v>
      </c>
      <c r="O5" s="22">
        <f>_xlfn.QUARTILE.EXC(K2:K67,3)</f>
        <v>34</v>
      </c>
      <c r="P5" s="22">
        <f>_xlfn.QUARTILE.EXC(K74:K95,3)</f>
        <v>93</v>
      </c>
    </row>
    <row r="6" spans="1:16" x14ac:dyDescent="0.25">
      <c r="A6">
        <v>2001</v>
      </c>
      <c r="B6">
        <v>19</v>
      </c>
      <c r="C6" t="s">
        <v>27</v>
      </c>
      <c r="D6">
        <v>38</v>
      </c>
      <c r="E6">
        <v>8</v>
      </c>
      <c r="F6">
        <v>6</v>
      </c>
      <c r="G6">
        <v>24</v>
      </c>
      <c r="H6">
        <v>33</v>
      </c>
      <c r="I6">
        <v>63</v>
      </c>
      <c r="J6">
        <v>-30</v>
      </c>
      <c r="K6">
        <v>30</v>
      </c>
      <c r="L6">
        <f t="shared" si="0"/>
        <v>0.21052631578947367</v>
      </c>
      <c r="N6" s="22" t="s">
        <v>87</v>
      </c>
      <c r="O6" s="22">
        <f>MAX(K2:K67)</f>
        <v>42</v>
      </c>
      <c r="P6" s="22">
        <f>MAX(K74:K95)</f>
        <v>100</v>
      </c>
    </row>
    <row r="7" spans="1:16" x14ac:dyDescent="0.25">
      <c r="A7">
        <v>2001</v>
      </c>
      <c r="B7">
        <v>20</v>
      </c>
      <c r="C7" t="s">
        <v>23</v>
      </c>
      <c r="D7">
        <v>38</v>
      </c>
      <c r="E7">
        <v>5</v>
      </c>
      <c r="F7">
        <v>13</v>
      </c>
      <c r="G7">
        <v>20</v>
      </c>
      <c r="H7">
        <v>30</v>
      </c>
      <c r="I7">
        <v>64</v>
      </c>
      <c r="J7">
        <v>-34</v>
      </c>
      <c r="K7">
        <v>28</v>
      </c>
      <c r="L7">
        <f t="shared" si="0"/>
        <v>0.13157894736842105</v>
      </c>
      <c r="N7" s="22" t="s">
        <v>90</v>
      </c>
      <c r="O7" s="22">
        <f>O3-1.5*(O5-O3)</f>
        <v>14</v>
      </c>
      <c r="P7" s="22">
        <f>P3-1.5*(P5-P3)</f>
        <v>75.5</v>
      </c>
    </row>
    <row r="8" spans="1:16" x14ac:dyDescent="0.25">
      <c r="A8">
        <v>2002</v>
      </c>
      <c r="B8">
        <v>18</v>
      </c>
      <c r="C8" t="s">
        <v>25</v>
      </c>
      <c r="D8">
        <v>38</v>
      </c>
      <c r="E8">
        <v>10</v>
      </c>
      <c r="F8">
        <v>12</v>
      </c>
      <c r="G8">
        <v>16</v>
      </c>
      <c r="H8">
        <v>42</v>
      </c>
      <c r="I8">
        <v>59</v>
      </c>
      <c r="J8">
        <v>-17</v>
      </c>
      <c r="K8">
        <v>42</v>
      </c>
      <c r="L8">
        <f t="shared" si="0"/>
        <v>0.26315789473684209</v>
      </c>
      <c r="N8" s="22" t="s">
        <v>91</v>
      </c>
      <c r="O8" s="22">
        <f>O5+1.5*(O5-O3)</f>
        <v>46</v>
      </c>
      <c r="P8" s="22">
        <f>P5+1.5*(P5-P3)</f>
        <v>103.5</v>
      </c>
    </row>
    <row r="9" spans="1:16" x14ac:dyDescent="0.25">
      <c r="A9">
        <v>2002</v>
      </c>
      <c r="B9">
        <v>19</v>
      </c>
      <c r="C9" t="s">
        <v>35</v>
      </c>
      <c r="D9">
        <v>38</v>
      </c>
      <c r="E9">
        <v>6</v>
      </c>
      <c r="F9">
        <v>8</v>
      </c>
      <c r="G9">
        <v>24</v>
      </c>
      <c r="H9">
        <v>29</v>
      </c>
      <c r="I9">
        <v>65</v>
      </c>
      <c r="J9">
        <v>-36</v>
      </c>
      <c r="K9">
        <v>26</v>
      </c>
      <c r="L9">
        <f t="shared" si="0"/>
        <v>0.15789473684210525</v>
      </c>
    </row>
    <row r="10" spans="1:16" x14ac:dyDescent="0.25">
      <c r="A10">
        <v>2002</v>
      </c>
      <c r="B10">
        <v>20</v>
      </c>
      <c r="C10" t="s">
        <v>17</v>
      </c>
      <c r="D10">
        <v>38</v>
      </c>
      <c r="E10">
        <v>4</v>
      </c>
      <c r="F10">
        <v>7</v>
      </c>
      <c r="G10">
        <v>27</v>
      </c>
      <c r="H10">
        <v>21</v>
      </c>
      <c r="I10">
        <v>65</v>
      </c>
      <c r="J10">
        <v>-44</v>
      </c>
      <c r="K10">
        <v>19</v>
      </c>
      <c r="L10">
        <f t="shared" si="0"/>
        <v>0.10526315789473684</v>
      </c>
    </row>
    <row r="11" spans="1:16" x14ac:dyDescent="0.25">
      <c r="A11">
        <v>2003</v>
      </c>
      <c r="B11">
        <v>18</v>
      </c>
      <c r="C11" t="s">
        <v>23</v>
      </c>
      <c r="D11">
        <v>38</v>
      </c>
      <c r="E11">
        <v>6</v>
      </c>
      <c r="F11">
        <v>15</v>
      </c>
      <c r="G11">
        <v>17</v>
      </c>
      <c r="H11">
        <v>48</v>
      </c>
      <c r="I11">
        <v>65</v>
      </c>
      <c r="J11">
        <v>-17</v>
      </c>
      <c r="K11">
        <v>33</v>
      </c>
      <c r="L11">
        <f t="shared" si="0"/>
        <v>0.15789473684210525</v>
      </c>
    </row>
    <row r="12" spans="1:16" x14ac:dyDescent="0.25">
      <c r="A12">
        <v>2003</v>
      </c>
      <c r="B12">
        <v>19</v>
      </c>
      <c r="C12" t="s">
        <v>14</v>
      </c>
      <c r="D12">
        <v>38</v>
      </c>
      <c r="E12">
        <v>8</v>
      </c>
      <c r="F12">
        <v>9</v>
      </c>
      <c r="G12">
        <v>21</v>
      </c>
      <c r="H12">
        <v>40</v>
      </c>
      <c r="I12">
        <v>79</v>
      </c>
      <c r="J12">
        <v>-39</v>
      </c>
      <c r="K12">
        <v>33</v>
      </c>
      <c r="L12">
        <f t="shared" si="0"/>
        <v>0.21052631578947367</v>
      </c>
    </row>
    <row r="13" spans="1:16" x14ac:dyDescent="0.25">
      <c r="A13">
        <v>2003</v>
      </c>
      <c r="B13">
        <v>20</v>
      </c>
      <c r="C13" t="s">
        <v>37</v>
      </c>
      <c r="D13">
        <v>38</v>
      </c>
      <c r="E13">
        <v>7</v>
      </c>
      <c r="F13">
        <v>12</v>
      </c>
      <c r="G13">
        <v>19</v>
      </c>
      <c r="H13">
        <v>38</v>
      </c>
      <c r="I13">
        <v>77</v>
      </c>
      <c r="J13">
        <v>-39</v>
      </c>
      <c r="K13">
        <v>33</v>
      </c>
      <c r="L13">
        <f t="shared" si="0"/>
        <v>0.18421052631578946</v>
      </c>
    </row>
    <row r="14" spans="1:16" x14ac:dyDescent="0.25">
      <c r="A14">
        <v>2004</v>
      </c>
      <c r="B14">
        <v>18</v>
      </c>
      <c r="C14" t="s">
        <v>38</v>
      </c>
      <c r="D14">
        <v>38</v>
      </c>
      <c r="E14">
        <v>7</v>
      </c>
      <c r="F14">
        <v>12</v>
      </c>
      <c r="G14">
        <v>19</v>
      </c>
      <c r="H14">
        <v>41</v>
      </c>
      <c r="I14">
        <v>62</v>
      </c>
      <c r="J14">
        <v>-21</v>
      </c>
      <c r="K14">
        <v>33</v>
      </c>
      <c r="L14">
        <f t="shared" si="0"/>
        <v>0.18421052631578946</v>
      </c>
    </row>
    <row r="15" spans="1:16" x14ac:dyDescent="0.25">
      <c r="A15">
        <v>2004</v>
      </c>
      <c r="B15">
        <v>19</v>
      </c>
      <c r="C15" t="s">
        <v>39</v>
      </c>
      <c r="D15">
        <v>38</v>
      </c>
      <c r="E15">
        <v>7</v>
      </c>
      <c r="F15">
        <v>12</v>
      </c>
      <c r="G15">
        <v>19</v>
      </c>
      <c r="H15">
        <v>42</v>
      </c>
      <c r="I15">
        <v>77</v>
      </c>
      <c r="J15">
        <v>-35</v>
      </c>
      <c r="K15">
        <v>33</v>
      </c>
      <c r="L15">
        <f t="shared" si="0"/>
        <v>0.18421052631578946</v>
      </c>
    </row>
    <row r="16" spans="1:16" x14ac:dyDescent="0.25">
      <c r="A16">
        <v>2004</v>
      </c>
      <c r="B16">
        <v>20</v>
      </c>
      <c r="C16" t="s">
        <v>20</v>
      </c>
      <c r="D16">
        <v>38</v>
      </c>
      <c r="E16">
        <v>6</v>
      </c>
      <c r="F16">
        <v>14</v>
      </c>
      <c r="G16">
        <v>18</v>
      </c>
      <c r="H16">
        <v>45</v>
      </c>
      <c r="I16">
        <v>66</v>
      </c>
      <c r="J16">
        <v>-21</v>
      </c>
      <c r="K16">
        <v>32</v>
      </c>
      <c r="L16">
        <f t="shared" si="0"/>
        <v>0.15789473684210525</v>
      </c>
    </row>
    <row r="17" spans="1:12" x14ac:dyDescent="0.25">
      <c r="A17">
        <v>2005</v>
      </c>
      <c r="B17">
        <v>18</v>
      </c>
      <c r="C17" t="s">
        <v>34</v>
      </c>
      <c r="D17">
        <v>38</v>
      </c>
      <c r="E17">
        <v>8</v>
      </c>
      <c r="F17">
        <v>10</v>
      </c>
      <c r="G17">
        <v>20</v>
      </c>
      <c r="H17">
        <v>28</v>
      </c>
      <c r="I17">
        <v>50</v>
      </c>
      <c r="J17">
        <v>-22</v>
      </c>
      <c r="K17">
        <v>34</v>
      </c>
      <c r="L17">
        <f t="shared" si="0"/>
        <v>0.21052631578947367</v>
      </c>
    </row>
    <row r="18" spans="1:12" x14ac:dyDescent="0.25">
      <c r="A18">
        <v>2005</v>
      </c>
      <c r="B18">
        <v>19</v>
      </c>
      <c r="C18" t="s">
        <v>35</v>
      </c>
      <c r="D18">
        <v>38</v>
      </c>
      <c r="E18">
        <v>7</v>
      </c>
      <c r="F18">
        <v>9</v>
      </c>
      <c r="G18">
        <v>22</v>
      </c>
      <c r="H18">
        <v>31</v>
      </c>
      <c r="I18">
        <v>58</v>
      </c>
      <c r="J18">
        <v>-27</v>
      </c>
      <c r="K18">
        <v>30</v>
      </c>
      <c r="L18">
        <f t="shared" si="0"/>
        <v>0.18421052631578946</v>
      </c>
    </row>
    <row r="19" spans="1:12" x14ac:dyDescent="0.25">
      <c r="A19">
        <v>2005</v>
      </c>
      <c r="B19">
        <v>20</v>
      </c>
      <c r="C19" t="s">
        <v>17</v>
      </c>
      <c r="D19">
        <v>38</v>
      </c>
      <c r="E19">
        <v>3</v>
      </c>
      <c r="F19">
        <v>6</v>
      </c>
      <c r="G19">
        <v>29</v>
      </c>
      <c r="H19">
        <v>26</v>
      </c>
      <c r="I19">
        <v>69</v>
      </c>
      <c r="J19">
        <v>-43</v>
      </c>
      <c r="K19">
        <v>15</v>
      </c>
      <c r="L19">
        <f t="shared" si="0"/>
        <v>7.8947368421052627E-2</v>
      </c>
    </row>
    <row r="20" spans="1:12" x14ac:dyDescent="0.25">
      <c r="A20">
        <v>2006</v>
      </c>
      <c r="B20">
        <v>18</v>
      </c>
      <c r="C20" t="s">
        <v>42</v>
      </c>
      <c r="D20">
        <v>38</v>
      </c>
      <c r="E20">
        <v>0</v>
      </c>
      <c r="F20">
        <v>0</v>
      </c>
      <c r="G20">
        <v>0</v>
      </c>
      <c r="H20">
        <v>0</v>
      </c>
      <c r="I20">
        <v>0</v>
      </c>
      <c r="J20">
        <v>0</v>
      </c>
      <c r="K20">
        <v>38</v>
      </c>
      <c r="L20">
        <f t="shared" si="0"/>
        <v>0</v>
      </c>
    </row>
    <row r="21" spans="1:12" x14ac:dyDescent="0.25">
      <c r="A21">
        <v>2006</v>
      </c>
      <c r="B21">
        <v>19</v>
      </c>
      <c r="C21" t="s">
        <v>19</v>
      </c>
      <c r="D21">
        <v>38</v>
      </c>
      <c r="E21">
        <v>0</v>
      </c>
      <c r="F21">
        <v>0</v>
      </c>
      <c r="G21">
        <v>0</v>
      </c>
      <c r="H21">
        <v>0</v>
      </c>
      <c r="I21">
        <v>0</v>
      </c>
      <c r="J21">
        <v>0</v>
      </c>
      <c r="K21">
        <v>34</v>
      </c>
      <c r="L21">
        <f t="shared" si="0"/>
        <v>0</v>
      </c>
    </row>
    <row r="22" spans="1:12" x14ac:dyDescent="0.25">
      <c r="A22">
        <v>2006</v>
      </c>
      <c r="B22">
        <v>20</v>
      </c>
      <c r="C22" t="s">
        <v>43</v>
      </c>
      <c r="D22">
        <v>38</v>
      </c>
      <c r="E22">
        <v>0</v>
      </c>
      <c r="F22">
        <v>0</v>
      </c>
      <c r="G22">
        <v>0</v>
      </c>
      <c r="H22">
        <v>0</v>
      </c>
      <c r="I22">
        <v>0</v>
      </c>
      <c r="J22">
        <v>0</v>
      </c>
      <c r="K22">
        <v>28</v>
      </c>
      <c r="L22">
        <f t="shared" si="0"/>
        <v>0</v>
      </c>
    </row>
    <row r="23" spans="1:12" x14ac:dyDescent="0.25">
      <c r="A23">
        <v>2007</v>
      </c>
      <c r="B23">
        <v>18</v>
      </c>
      <c r="C23" t="s">
        <v>41</v>
      </c>
      <c r="D23">
        <v>38</v>
      </c>
      <c r="E23">
        <v>10</v>
      </c>
      <c r="F23">
        <v>6</v>
      </c>
      <c r="G23">
        <v>22</v>
      </c>
      <c r="H23">
        <v>41</v>
      </c>
      <c r="I23">
        <v>66</v>
      </c>
      <c r="J23">
        <v>-25</v>
      </c>
      <c r="K23">
        <v>36</v>
      </c>
      <c r="L23">
        <f t="shared" si="0"/>
        <v>0.26315789473684209</v>
      </c>
    </row>
    <row r="24" spans="1:12" x14ac:dyDescent="0.25">
      <c r="A24">
        <v>2007</v>
      </c>
      <c r="B24">
        <v>19</v>
      </c>
      <c r="C24" t="s">
        <v>34</v>
      </c>
      <c r="D24">
        <v>38</v>
      </c>
      <c r="E24">
        <v>8</v>
      </c>
      <c r="F24">
        <v>11</v>
      </c>
      <c r="G24">
        <v>19</v>
      </c>
      <c r="H24">
        <v>46</v>
      </c>
      <c r="I24">
        <v>62</v>
      </c>
      <c r="J24">
        <v>-16</v>
      </c>
      <c r="K24">
        <v>35</v>
      </c>
      <c r="L24">
        <f t="shared" si="0"/>
        <v>0.21052631578947367</v>
      </c>
    </row>
    <row r="25" spans="1:12" x14ac:dyDescent="0.25">
      <c r="A25">
        <v>2007</v>
      </c>
      <c r="B25">
        <v>20</v>
      </c>
      <c r="C25" t="s">
        <v>27</v>
      </c>
      <c r="D25">
        <v>38</v>
      </c>
      <c r="E25">
        <v>1</v>
      </c>
      <c r="F25">
        <v>8</v>
      </c>
      <c r="G25">
        <v>29</v>
      </c>
      <c r="H25">
        <v>20</v>
      </c>
      <c r="I25">
        <v>89</v>
      </c>
      <c r="J25">
        <v>-69</v>
      </c>
      <c r="K25">
        <v>11</v>
      </c>
      <c r="L25">
        <f t="shared" si="0"/>
        <v>2.6315789473684209E-2</v>
      </c>
    </row>
    <row r="26" spans="1:12" x14ac:dyDescent="0.25">
      <c r="A26">
        <v>2008</v>
      </c>
      <c r="B26">
        <v>18</v>
      </c>
      <c r="C26" t="s">
        <v>21</v>
      </c>
      <c r="D26">
        <v>38</v>
      </c>
      <c r="E26">
        <v>7</v>
      </c>
      <c r="F26">
        <v>13</v>
      </c>
      <c r="G26">
        <v>18</v>
      </c>
      <c r="H26">
        <v>40</v>
      </c>
      <c r="I26">
        <v>59</v>
      </c>
      <c r="J26">
        <v>-19</v>
      </c>
      <c r="K26">
        <v>34</v>
      </c>
      <c r="L26">
        <f t="shared" si="0"/>
        <v>0.18421052631578946</v>
      </c>
    </row>
    <row r="27" spans="1:12" x14ac:dyDescent="0.25">
      <c r="A27">
        <v>2008</v>
      </c>
      <c r="B27">
        <v>19</v>
      </c>
      <c r="C27" t="s">
        <v>24</v>
      </c>
      <c r="D27">
        <v>38</v>
      </c>
      <c r="E27">
        <v>7</v>
      </c>
      <c r="F27">
        <v>11</v>
      </c>
      <c r="G27">
        <v>20</v>
      </c>
      <c r="H27">
        <v>28</v>
      </c>
      <c r="I27">
        <v>57</v>
      </c>
      <c r="J27">
        <v>-29</v>
      </c>
      <c r="K27">
        <v>32</v>
      </c>
      <c r="L27">
        <f t="shared" si="0"/>
        <v>0.18421052631578946</v>
      </c>
    </row>
    <row r="28" spans="1:12" x14ac:dyDescent="0.25">
      <c r="A28">
        <v>2008</v>
      </c>
      <c r="B28">
        <v>20</v>
      </c>
      <c r="C28" t="s">
        <v>35</v>
      </c>
      <c r="D28">
        <v>38</v>
      </c>
      <c r="E28">
        <v>8</v>
      </c>
      <c r="F28">
        <v>8</v>
      </c>
      <c r="G28">
        <v>22</v>
      </c>
      <c r="H28">
        <v>36</v>
      </c>
      <c r="I28">
        <v>67</v>
      </c>
      <c r="J28">
        <v>-31</v>
      </c>
      <c r="K28">
        <v>32</v>
      </c>
      <c r="L28">
        <f t="shared" si="0"/>
        <v>0.21052631578947367</v>
      </c>
    </row>
    <row r="29" spans="1:12" x14ac:dyDescent="0.25">
      <c r="A29">
        <v>2009</v>
      </c>
      <c r="B29">
        <v>18</v>
      </c>
      <c r="C29" t="s">
        <v>46</v>
      </c>
      <c r="D29">
        <v>38</v>
      </c>
      <c r="E29">
        <v>8</v>
      </c>
      <c r="F29">
        <v>6</v>
      </c>
      <c r="G29">
        <v>24</v>
      </c>
      <c r="H29">
        <v>42</v>
      </c>
      <c r="I29">
        <v>82</v>
      </c>
      <c r="J29">
        <v>-40</v>
      </c>
      <c r="K29">
        <v>30</v>
      </c>
      <c r="L29">
        <f t="shared" si="0"/>
        <v>0.21052631578947367</v>
      </c>
    </row>
    <row r="30" spans="1:12" x14ac:dyDescent="0.25">
      <c r="A30">
        <v>2009</v>
      </c>
      <c r="B30">
        <v>19</v>
      </c>
      <c r="C30" t="s">
        <v>45</v>
      </c>
      <c r="D30">
        <v>38</v>
      </c>
      <c r="E30">
        <v>6</v>
      </c>
      <c r="F30">
        <v>12</v>
      </c>
      <c r="G30">
        <v>20</v>
      </c>
      <c r="H30">
        <v>34</v>
      </c>
      <c r="I30">
        <v>75</v>
      </c>
      <c r="J30">
        <v>-41</v>
      </c>
      <c r="K30">
        <v>30</v>
      </c>
      <c r="L30">
        <f t="shared" si="0"/>
        <v>0.15789473684210525</v>
      </c>
    </row>
    <row r="31" spans="1:12" x14ac:dyDescent="0.25">
      <c r="A31">
        <v>2009</v>
      </c>
      <c r="B31">
        <v>20</v>
      </c>
      <c r="C31" t="s">
        <v>36</v>
      </c>
      <c r="D31">
        <v>38</v>
      </c>
      <c r="E31">
        <v>7</v>
      </c>
      <c r="F31">
        <v>7</v>
      </c>
      <c r="G31">
        <v>24</v>
      </c>
      <c r="H31">
        <v>34</v>
      </c>
      <c r="I31">
        <v>66</v>
      </c>
      <c r="J31">
        <v>-32</v>
      </c>
      <c r="K31">
        <v>19</v>
      </c>
      <c r="L31">
        <f t="shared" si="0"/>
        <v>0.18421052631578946</v>
      </c>
    </row>
    <row r="32" spans="1:12" x14ac:dyDescent="0.25">
      <c r="A32">
        <v>2010</v>
      </c>
      <c r="B32">
        <v>18</v>
      </c>
      <c r="C32" t="s">
        <v>34</v>
      </c>
      <c r="D32">
        <v>38</v>
      </c>
      <c r="E32">
        <v>8</v>
      </c>
      <c r="F32">
        <v>15</v>
      </c>
      <c r="G32">
        <v>15</v>
      </c>
      <c r="H32">
        <v>37</v>
      </c>
      <c r="I32">
        <v>58</v>
      </c>
      <c r="J32">
        <v>-21</v>
      </c>
      <c r="K32">
        <v>39</v>
      </c>
      <c r="L32">
        <f t="shared" si="0"/>
        <v>0.21052631578947367</v>
      </c>
    </row>
    <row r="33" spans="1:12" x14ac:dyDescent="0.25">
      <c r="A33">
        <v>2010</v>
      </c>
      <c r="B33">
        <v>19</v>
      </c>
      <c r="C33" t="s">
        <v>47</v>
      </c>
      <c r="D33">
        <v>38</v>
      </c>
      <c r="E33">
        <v>10</v>
      </c>
      <c r="F33">
        <v>9</v>
      </c>
      <c r="G33">
        <v>19</v>
      </c>
      <c r="H33">
        <v>55</v>
      </c>
      <c r="I33">
        <v>78</v>
      </c>
      <c r="J33">
        <v>-23</v>
      </c>
      <c r="K33">
        <v>39</v>
      </c>
      <c r="L33">
        <f t="shared" si="0"/>
        <v>0.26315789473684209</v>
      </c>
    </row>
    <row r="34" spans="1:12" x14ac:dyDescent="0.25">
      <c r="A34">
        <v>2010</v>
      </c>
      <c r="B34">
        <v>20</v>
      </c>
      <c r="C34" t="s">
        <v>25</v>
      </c>
      <c r="D34">
        <v>38</v>
      </c>
      <c r="E34">
        <v>7</v>
      </c>
      <c r="F34">
        <v>12</v>
      </c>
      <c r="G34">
        <v>19</v>
      </c>
      <c r="H34">
        <v>43</v>
      </c>
      <c r="I34">
        <v>70</v>
      </c>
      <c r="J34">
        <v>-27</v>
      </c>
      <c r="K34">
        <v>33</v>
      </c>
      <c r="L34">
        <f t="shared" si="0"/>
        <v>0.18421052631578946</v>
      </c>
    </row>
    <row r="35" spans="1:12" x14ac:dyDescent="0.25">
      <c r="A35">
        <v>2011</v>
      </c>
      <c r="B35">
        <v>18</v>
      </c>
      <c r="C35" t="s">
        <v>33</v>
      </c>
      <c r="D35">
        <v>38</v>
      </c>
      <c r="E35">
        <v>10</v>
      </c>
      <c r="F35">
        <v>6</v>
      </c>
      <c r="G35">
        <v>22</v>
      </c>
      <c r="H35">
        <v>46</v>
      </c>
      <c r="I35">
        <v>77</v>
      </c>
      <c r="J35">
        <v>-31</v>
      </c>
      <c r="K35">
        <v>36</v>
      </c>
      <c r="L35">
        <f t="shared" si="0"/>
        <v>0.26315789473684209</v>
      </c>
    </row>
    <row r="36" spans="1:12" x14ac:dyDescent="0.25">
      <c r="A36">
        <v>2011</v>
      </c>
      <c r="B36">
        <v>19</v>
      </c>
      <c r="C36" t="s">
        <v>31</v>
      </c>
      <c r="D36">
        <v>38</v>
      </c>
      <c r="E36">
        <v>8</v>
      </c>
      <c r="F36">
        <v>7</v>
      </c>
      <c r="G36">
        <v>23</v>
      </c>
      <c r="H36">
        <v>48</v>
      </c>
      <c r="I36">
        <v>78</v>
      </c>
      <c r="J36">
        <v>-30</v>
      </c>
      <c r="K36">
        <v>31</v>
      </c>
      <c r="L36">
        <f t="shared" si="0"/>
        <v>0.21052631578947367</v>
      </c>
    </row>
    <row r="37" spans="1:12" x14ac:dyDescent="0.25">
      <c r="A37">
        <v>2011</v>
      </c>
      <c r="B37">
        <v>20</v>
      </c>
      <c r="C37" t="s">
        <v>37</v>
      </c>
      <c r="D37">
        <v>38</v>
      </c>
      <c r="E37">
        <v>5</v>
      </c>
      <c r="F37">
        <v>10</v>
      </c>
      <c r="G37">
        <v>23</v>
      </c>
      <c r="H37">
        <v>40</v>
      </c>
      <c r="I37">
        <v>82</v>
      </c>
      <c r="J37">
        <v>-42</v>
      </c>
      <c r="K37">
        <v>25</v>
      </c>
      <c r="L37">
        <f t="shared" si="0"/>
        <v>0.13157894736842105</v>
      </c>
    </row>
    <row r="38" spans="1:12" x14ac:dyDescent="0.25">
      <c r="A38">
        <v>2012</v>
      </c>
      <c r="B38">
        <v>18</v>
      </c>
      <c r="C38" t="s">
        <v>40</v>
      </c>
      <c r="D38">
        <v>38</v>
      </c>
      <c r="E38">
        <v>9</v>
      </c>
      <c r="F38">
        <v>9</v>
      </c>
      <c r="G38">
        <v>20</v>
      </c>
      <c r="H38">
        <v>47</v>
      </c>
      <c r="I38">
        <v>73</v>
      </c>
      <c r="J38">
        <v>-26</v>
      </c>
      <c r="K38">
        <v>36</v>
      </c>
      <c r="L38">
        <f t="shared" si="0"/>
        <v>0.23684210526315788</v>
      </c>
    </row>
    <row r="39" spans="1:12" x14ac:dyDescent="0.25">
      <c r="A39">
        <v>2012</v>
      </c>
      <c r="B39">
        <v>19</v>
      </c>
      <c r="C39" t="s">
        <v>41</v>
      </c>
      <c r="D39">
        <v>38</v>
      </c>
      <c r="E39">
        <v>6</v>
      </c>
      <c r="F39">
        <v>10</v>
      </c>
      <c r="G39">
        <v>22</v>
      </c>
      <c r="H39">
        <v>43</v>
      </c>
      <c r="I39">
        <v>73</v>
      </c>
      <c r="J39">
        <v>-30</v>
      </c>
      <c r="K39">
        <v>28</v>
      </c>
      <c r="L39">
        <f t="shared" si="0"/>
        <v>0.15789473684210525</v>
      </c>
    </row>
    <row r="40" spans="1:12" x14ac:dyDescent="0.25">
      <c r="A40">
        <v>2012</v>
      </c>
      <c r="B40">
        <v>20</v>
      </c>
      <c r="C40" t="s">
        <v>49</v>
      </c>
      <c r="D40">
        <v>38</v>
      </c>
      <c r="E40">
        <v>4</v>
      </c>
      <c r="F40">
        <v>13</v>
      </c>
      <c r="G40">
        <v>21</v>
      </c>
      <c r="H40">
        <v>30</v>
      </c>
      <c r="I40">
        <v>60</v>
      </c>
      <c r="J40">
        <v>-30</v>
      </c>
      <c r="K40">
        <v>25</v>
      </c>
      <c r="L40">
        <f t="shared" si="0"/>
        <v>0.10526315789473684</v>
      </c>
    </row>
    <row r="41" spans="1:12" x14ac:dyDescent="0.25">
      <c r="A41">
        <v>2013</v>
      </c>
      <c r="B41">
        <v>18</v>
      </c>
      <c r="C41" t="s">
        <v>39</v>
      </c>
      <c r="D41">
        <v>38</v>
      </c>
      <c r="E41">
        <v>8</v>
      </c>
      <c r="F41">
        <v>9</v>
      </c>
      <c r="G41">
        <v>21</v>
      </c>
      <c r="H41">
        <v>28</v>
      </c>
      <c r="I41">
        <v>62</v>
      </c>
      <c r="J41">
        <v>-34</v>
      </c>
      <c r="K41">
        <v>33</v>
      </c>
      <c r="L41">
        <f t="shared" si="0"/>
        <v>0.21052631578947367</v>
      </c>
    </row>
    <row r="42" spans="1:12" x14ac:dyDescent="0.25">
      <c r="A42">
        <v>2013</v>
      </c>
      <c r="B42">
        <v>19</v>
      </c>
      <c r="C42" t="s">
        <v>32</v>
      </c>
      <c r="D42">
        <v>38</v>
      </c>
      <c r="E42">
        <v>9</v>
      </c>
      <c r="F42">
        <v>5</v>
      </c>
      <c r="G42">
        <v>24</v>
      </c>
      <c r="H42">
        <v>40</v>
      </c>
      <c r="I42">
        <v>85</v>
      </c>
      <c r="J42">
        <v>-45</v>
      </c>
      <c r="K42">
        <v>32</v>
      </c>
      <c r="L42">
        <f t="shared" si="0"/>
        <v>0.23684210526315788</v>
      </c>
    </row>
    <row r="43" spans="1:12" x14ac:dyDescent="0.25">
      <c r="A43">
        <v>2013</v>
      </c>
      <c r="B43">
        <v>20</v>
      </c>
      <c r="C43" t="s">
        <v>50</v>
      </c>
      <c r="D43">
        <v>38</v>
      </c>
      <c r="E43">
        <v>7</v>
      </c>
      <c r="F43">
        <v>9</v>
      </c>
      <c r="G43">
        <v>22</v>
      </c>
      <c r="H43">
        <v>32</v>
      </c>
      <c r="I43">
        <v>74</v>
      </c>
      <c r="J43">
        <v>-42</v>
      </c>
      <c r="K43">
        <v>30</v>
      </c>
      <c r="L43">
        <f t="shared" si="0"/>
        <v>0.18421052631578946</v>
      </c>
    </row>
    <row r="44" spans="1:12" x14ac:dyDescent="0.25">
      <c r="A44">
        <v>2014</v>
      </c>
      <c r="B44">
        <v>18</v>
      </c>
      <c r="C44" t="s">
        <v>45</v>
      </c>
      <c r="D44">
        <v>38</v>
      </c>
      <c r="E44">
        <v>8</v>
      </c>
      <c r="F44">
        <v>11</v>
      </c>
      <c r="G44">
        <v>19</v>
      </c>
      <c r="H44">
        <v>33</v>
      </c>
      <c r="I44">
        <v>51</v>
      </c>
      <c r="J44">
        <v>-18</v>
      </c>
      <c r="K44">
        <v>35</v>
      </c>
      <c r="L44">
        <f t="shared" si="0"/>
        <v>0.21052631578947367</v>
      </c>
    </row>
    <row r="45" spans="1:12" x14ac:dyDescent="0.25">
      <c r="A45">
        <v>2014</v>
      </c>
      <c r="B45">
        <v>19</v>
      </c>
      <c r="C45" t="s">
        <v>46</v>
      </c>
      <c r="D45">
        <v>38</v>
      </c>
      <c r="E45">
        <v>7</v>
      </c>
      <c r="F45">
        <v>12</v>
      </c>
      <c r="G45">
        <v>19</v>
      </c>
      <c r="H45">
        <v>28</v>
      </c>
      <c r="I45">
        <v>53</v>
      </c>
      <c r="J45">
        <v>-25</v>
      </c>
      <c r="K45">
        <v>33</v>
      </c>
      <c r="L45">
        <f t="shared" si="0"/>
        <v>0.18421052631578946</v>
      </c>
    </row>
    <row r="46" spans="1:12" x14ac:dyDescent="0.25">
      <c r="A46">
        <v>2014</v>
      </c>
      <c r="B46">
        <v>20</v>
      </c>
      <c r="C46" t="s">
        <v>49</v>
      </c>
      <c r="D46">
        <v>38</v>
      </c>
      <c r="E46">
        <v>8</v>
      </c>
      <c r="F46">
        <v>6</v>
      </c>
      <c r="G46">
        <v>24</v>
      </c>
      <c r="H46">
        <v>42</v>
      </c>
      <c r="I46">
        <v>73</v>
      </c>
      <c r="J46">
        <v>-31</v>
      </c>
      <c r="K46">
        <v>30</v>
      </c>
      <c r="L46">
        <f t="shared" si="0"/>
        <v>0.21052631578947367</v>
      </c>
    </row>
    <row r="47" spans="1:12" x14ac:dyDescent="0.25">
      <c r="A47">
        <v>2015</v>
      </c>
      <c r="B47">
        <v>18</v>
      </c>
      <c r="C47" t="s">
        <v>21</v>
      </c>
      <c r="D47">
        <v>38</v>
      </c>
      <c r="E47">
        <v>9</v>
      </c>
      <c r="F47">
        <v>10</v>
      </c>
      <c r="G47">
        <v>19</v>
      </c>
      <c r="H47">
        <v>44</v>
      </c>
      <c r="I47">
        <v>65</v>
      </c>
      <c r="J47">
        <v>-21</v>
      </c>
      <c r="K47">
        <v>37</v>
      </c>
      <c r="L47">
        <f t="shared" si="0"/>
        <v>0.23684210526315788</v>
      </c>
    </row>
    <row r="48" spans="1:12" x14ac:dyDescent="0.25">
      <c r="A48">
        <v>2015</v>
      </c>
      <c r="B48">
        <v>19</v>
      </c>
      <c r="C48" t="s">
        <v>39</v>
      </c>
      <c r="D48">
        <v>38</v>
      </c>
      <c r="E48">
        <v>9</v>
      </c>
      <c r="F48">
        <v>7</v>
      </c>
      <c r="G48">
        <v>22</v>
      </c>
      <c r="H48">
        <v>39</v>
      </c>
      <c r="I48">
        <v>67</v>
      </c>
      <c r="J48">
        <v>-28</v>
      </c>
      <c r="K48">
        <v>34</v>
      </c>
      <c r="L48">
        <f t="shared" si="0"/>
        <v>0.23684210526315788</v>
      </c>
    </row>
    <row r="49" spans="1:12" x14ac:dyDescent="0.25">
      <c r="A49">
        <v>2015</v>
      </c>
      <c r="B49">
        <v>20</v>
      </c>
      <c r="C49" t="s">
        <v>18</v>
      </c>
      <c r="D49">
        <v>38</v>
      </c>
      <c r="E49">
        <v>3</v>
      </c>
      <c r="F49">
        <v>8</v>
      </c>
      <c r="G49">
        <v>27</v>
      </c>
      <c r="H49">
        <v>27</v>
      </c>
      <c r="I49">
        <v>76</v>
      </c>
      <c r="J49">
        <v>-49</v>
      </c>
      <c r="K49">
        <v>17</v>
      </c>
      <c r="L49">
        <f t="shared" si="0"/>
        <v>7.8947368421052627E-2</v>
      </c>
    </row>
    <row r="50" spans="1:12" x14ac:dyDescent="0.25">
      <c r="A50">
        <v>2016</v>
      </c>
      <c r="B50">
        <v>18</v>
      </c>
      <c r="C50" t="s">
        <v>45</v>
      </c>
      <c r="D50">
        <v>38</v>
      </c>
      <c r="E50">
        <v>9</v>
      </c>
      <c r="F50">
        <v>7</v>
      </c>
      <c r="G50">
        <v>22</v>
      </c>
      <c r="H50">
        <v>37</v>
      </c>
      <c r="I50">
        <v>80</v>
      </c>
      <c r="J50">
        <v>-43</v>
      </c>
      <c r="K50">
        <v>34</v>
      </c>
      <c r="L50">
        <f t="shared" si="0"/>
        <v>0.23684210526315788</v>
      </c>
    </row>
    <row r="51" spans="1:12" x14ac:dyDescent="0.25">
      <c r="A51">
        <v>2016</v>
      </c>
      <c r="B51">
        <v>19</v>
      </c>
      <c r="C51" t="s">
        <v>24</v>
      </c>
      <c r="D51">
        <v>38</v>
      </c>
      <c r="E51">
        <v>5</v>
      </c>
      <c r="F51">
        <v>13</v>
      </c>
      <c r="G51">
        <v>20</v>
      </c>
      <c r="H51">
        <v>27</v>
      </c>
      <c r="I51">
        <v>53</v>
      </c>
      <c r="J51">
        <v>-26</v>
      </c>
      <c r="K51">
        <v>28</v>
      </c>
      <c r="L51">
        <f t="shared" si="0"/>
        <v>0.13157894736842105</v>
      </c>
    </row>
    <row r="52" spans="1:12" x14ac:dyDescent="0.25">
      <c r="A52">
        <v>2016</v>
      </c>
      <c r="B52">
        <v>20</v>
      </c>
      <c r="C52" t="s">
        <v>17</v>
      </c>
      <c r="D52">
        <v>38</v>
      </c>
      <c r="E52">
        <v>6</v>
      </c>
      <c r="F52">
        <v>6</v>
      </c>
      <c r="G52">
        <v>26</v>
      </c>
      <c r="H52">
        <v>29</v>
      </c>
      <c r="I52">
        <v>69</v>
      </c>
      <c r="J52">
        <v>-40</v>
      </c>
      <c r="K52">
        <v>24</v>
      </c>
      <c r="L52">
        <f t="shared" si="0"/>
        <v>0.15789473684210525</v>
      </c>
    </row>
    <row r="53" spans="1:12" x14ac:dyDescent="0.25">
      <c r="A53">
        <v>2017</v>
      </c>
      <c r="B53">
        <v>18</v>
      </c>
      <c r="C53" t="s">
        <v>48</v>
      </c>
      <c r="D53">
        <v>38</v>
      </c>
      <c r="E53">
        <v>8</v>
      </c>
      <c r="F53">
        <v>9</v>
      </c>
      <c r="G53">
        <v>21</v>
      </c>
      <c r="H53">
        <v>28</v>
      </c>
      <c r="I53">
        <v>56</v>
      </c>
      <c r="J53">
        <v>-28</v>
      </c>
      <c r="K53">
        <v>33</v>
      </c>
      <c r="L53">
        <f t="shared" si="0"/>
        <v>0.21052631578947367</v>
      </c>
    </row>
    <row r="54" spans="1:12" x14ac:dyDescent="0.25">
      <c r="A54">
        <v>2017</v>
      </c>
      <c r="B54">
        <v>19</v>
      </c>
      <c r="C54" t="s">
        <v>44</v>
      </c>
      <c r="D54">
        <v>38</v>
      </c>
      <c r="E54">
        <v>7</v>
      </c>
      <c r="F54">
        <v>12</v>
      </c>
      <c r="G54">
        <v>19</v>
      </c>
      <c r="H54">
        <v>35</v>
      </c>
      <c r="I54">
        <v>68</v>
      </c>
      <c r="J54">
        <v>-33</v>
      </c>
      <c r="K54">
        <v>33</v>
      </c>
      <c r="L54">
        <f t="shared" si="0"/>
        <v>0.18421052631578946</v>
      </c>
    </row>
    <row r="55" spans="1:12" x14ac:dyDescent="0.25">
      <c r="A55">
        <v>2017</v>
      </c>
      <c r="B55">
        <v>20</v>
      </c>
      <c r="C55" t="s">
        <v>35</v>
      </c>
      <c r="D55">
        <v>38</v>
      </c>
      <c r="E55">
        <v>6</v>
      </c>
      <c r="F55">
        <v>13</v>
      </c>
      <c r="G55">
        <v>19</v>
      </c>
      <c r="H55">
        <v>31</v>
      </c>
      <c r="I55">
        <v>56</v>
      </c>
      <c r="J55">
        <v>-25</v>
      </c>
      <c r="K55">
        <v>31</v>
      </c>
      <c r="L55">
        <f t="shared" si="0"/>
        <v>0.15789473684210525</v>
      </c>
    </row>
    <row r="56" spans="1:12" x14ac:dyDescent="0.25">
      <c r="A56">
        <v>2018</v>
      </c>
      <c r="B56">
        <v>18</v>
      </c>
      <c r="C56" t="s">
        <v>50</v>
      </c>
      <c r="D56">
        <v>38</v>
      </c>
      <c r="E56">
        <v>10</v>
      </c>
      <c r="F56">
        <v>4</v>
      </c>
      <c r="G56">
        <v>24</v>
      </c>
      <c r="H56">
        <v>34</v>
      </c>
      <c r="I56">
        <v>69</v>
      </c>
      <c r="J56">
        <v>-35</v>
      </c>
      <c r="K56">
        <v>34</v>
      </c>
      <c r="L56">
        <f t="shared" si="0"/>
        <v>0.26315789473684209</v>
      </c>
    </row>
    <row r="57" spans="1:12" x14ac:dyDescent="0.25">
      <c r="A57">
        <v>2018</v>
      </c>
      <c r="B57">
        <v>19</v>
      </c>
      <c r="C57" t="s">
        <v>32</v>
      </c>
      <c r="D57">
        <v>38</v>
      </c>
      <c r="E57">
        <v>7</v>
      </c>
      <c r="F57">
        <v>5</v>
      </c>
      <c r="G57">
        <v>26</v>
      </c>
      <c r="H57">
        <v>34</v>
      </c>
      <c r="I57">
        <v>81</v>
      </c>
      <c r="J57">
        <v>-47</v>
      </c>
      <c r="K57">
        <v>26</v>
      </c>
      <c r="L57">
        <f t="shared" si="0"/>
        <v>0.18421052631578946</v>
      </c>
    </row>
    <row r="58" spans="1:12" x14ac:dyDescent="0.25">
      <c r="A58">
        <v>2018</v>
      </c>
      <c r="B58">
        <v>20</v>
      </c>
      <c r="C58" t="s">
        <v>52</v>
      </c>
      <c r="D58">
        <v>38</v>
      </c>
      <c r="E58">
        <v>3</v>
      </c>
      <c r="F58">
        <v>7</v>
      </c>
      <c r="G58">
        <v>28</v>
      </c>
      <c r="H58">
        <v>22</v>
      </c>
      <c r="I58">
        <v>76</v>
      </c>
      <c r="J58">
        <v>-54</v>
      </c>
      <c r="K58">
        <v>16</v>
      </c>
      <c r="L58">
        <f t="shared" si="0"/>
        <v>7.8947368421052627E-2</v>
      </c>
    </row>
    <row r="59" spans="1:12" x14ac:dyDescent="0.25">
      <c r="A59">
        <v>2019</v>
      </c>
      <c r="B59">
        <v>18</v>
      </c>
      <c r="C59" t="s">
        <v>51</v>
      </c>
      <c r="D59">
        <v>38</v>
      </c>
      <c r="E59">
        <v>9</v>
      </c>
      <c r="F59">
        <v>7</v>
      </c>
      <c r="G59">
        <v>22</v>
      </c>
      <c r="H59">
        <v>40</v>
      </c>
      <c r="I59">
        <v>65</v>
      </c>
      <c r="J59">
        <v>-25</v>
      </c>
      <c r="K59">
        <v>34</v>
      </c>
      <c r="L59">
        <f t="shared" si="0"/>
        <v>0.23684210526315788</v>
      </c>
    </row>
    <row r="60" spans="1:12" x14ac:dyDescent="0.25">
      <c r="A60">
        <v>2019</v>
      </c>
      <c r="B60">
        <v>19</v>
      </c>
      <c r="C60" t="s">
        <v>43</v>
      </c>
      <c r="D60">
        <v>38</v>
      </c>
      <c r="E60">
        <v>8</v>
      </c>
      <c r="F60">
        <v>10</v>
      </c>
      <c r="G60">
        <v>20</v>
      </c>
      <c r="H60">
        <v>36</v>
      </c>
      <c r="I60">
        <v>64</v>
      </c>
      <c r="J60">
        <v>-28</v>
      </c>
      <c r="K60">
        <v>34</v>
      </c>
      <c r="L60">
        <f t="shared" si="0"/>
        <v>0.21052631578947367</v>
      </c>
    </row>
    <row r="61" spans="1:12" x14ac:dyDescent="0.25">
      <c r="A61">
        <v>2019</v>
      </c>
      <c r="B61">
        <v>20</v>
      </c>
      <c r="C61" t="s">
        <v>39</v>
      </c>
      <c r="D61">
        <v>38</v>
      </c>
      <c r="E61">
        <v>5</v>
      </c>
      <c r="F61">
        <v>6</v>
      </c>
      <c r="G61">
        <v>27</v>
      </c>
      <c r="H61">
        <v>26</v>
      </c>
      <c r="I61">
        <v>75</v>
      </c>
      <c r="J61">
        <v>-49</v>
      </c>
      <c r="K61">
        <v>21</v>
      </c>
      <c r="L61">
        <f t="shared" si="0"/>
        <v>0.13157894736842105</v>
      </c>
    </row>
    <row r="62" spans="1:12" x14ac:dyDescent="0.25">
      <c r="A62">
        <v>2020</v>
      </c>
      <c r="B62">
        <v>18</v>
      </c>
      <c r="C62" t="s">
        <v>32</v>
      </c>
      <c r="D62">
        <v>38</v>
      </c>
      <c r="E62">
        <v>5</v>
      </c>
      <c r="F62">
        <v>13</v>
      </c>
      <c r="G62">
        <v>20</v>
      </c>
      <c r="H62">
        <v>27</v>
      </c>
      <c r="I62">
        <v>53</v>
      </c>
      <c r="J62">
        <v>-26</v>
      </c>
      <c r="K62">
        <v>28</v>
      </c>
      <c r="L62">
        <f t="shared" si="0"/>
        <v>0.13157894736842105</v>
      </c>
    </row>
    <row r="63" spans="1:12" x14ac:dyDescent="0.25">
      <c r="A63">
        <v>2020</v>
      </c>
      <c r="B63">
        <v>19</v>
      </c>
      <c r="C63" t="s">
        <v>35</v>
      </c>
      <c r="D63">
        <v>38</v>
      </c>
      <c r="E63">
        <v>5</v>
      </c>
      <c r="F63">
        <v>11</v>
      </c>
      <c r="G63">
        <v>22</v>
      </c>
      <c r="H63">
        <v>35</v>
      </c>
      <c r="I63">
        <v>76</v>
      </c>
      <c r="J63">
        <v>-41</v>
      </c>
      <c r="K63">
        <v>26</v>
      </c>
      <c r="L63">
        <f t="shared" si="0"/>
        <v>0.13157894736842105</v>
      </c>
    </row>
    <row r="64" spans="1:12" x14ac:dyDescent="0.25">
      <c r="A64">
        <v>2020</v>
      </c>
      <c r="B64">
        <v>20</v>
      </c>
      <c r="C64" t="s">
        <v>42</v>
      </c>
      <c r="D64">
        <v>38</v>
      </c>
      <c r="E64">
        <v>7</v>
      </c>
      <c r="F64">
        <v>2</v>
      </c>
      <c r="G64">
        <v>29</v>
      </c>
      <c r="H64">
        <v>20</v>
      </c>
      <c r="I64">
        <v>63</v>
      </c>
      <c r="J64">
        <v>-43</v>
      </c>
      <c r="K64">
        <v>23</v>
      </c>
      <c r="L64">
        <f t="shared" si="0"/>
        <v>0.18421052631578946</v>
      </c>
    </row>
    <row r="65" spans="1:12" x14ac:dyDescent="0.25">
      <c r="A65">
        <v>2021</v>
      </c>
      <c r="B65">
        <v>18</v>
      </c>
      <c r="C65" t="s">
        <v>46</v>
      </c>
      <c r="D65">
        <v>38</v>
      </c>
      <c r="E65">
        <v>7</v>
      </c>
      <c r="F65">
        <v>14</v>
      </c>
      <c r="G65">
        <v>17</v>
      </c>
      <c r="H65">
        <v>34</v>
      </c>
      <c r="I65">
        <v>53</v>
      </c>
      <c r="J65">
        <v>-19</v>
      </c>
      <c r="K65">
        <v>35</v>
      </c>
      <c r="L65">
        <f t="shared" si="0"/>
        <v>0.18421052631578946</v>
      </c>
    </row>
    <row r="66" spans="1:12" x14ac:dyDescent="0.25">
      <c r="A66">
        <v>2021</v>
      </c>
      <c r="B66">
        <v>19</v>
      </c>
      <c r="C66" t="s">
        <v>43</v>
      </c>
      <c r="D66">
        <v>38</v>
      </c>
      <c r="E66">
        <v>6</v>
      </c>
      <c r="F66">
        <v>5</v>
      </c>
      <c r="G66">
        <v>27</v>
      </c>
      <c r="H66">
        <v>34</v>
      </c>
      <c r="I66">
        <v>77</v>
      </c>
      <c r="J66">
        <v>-43</v>
      </c>
      <c r="K66">
        <v>23</v>
      </c>
      <c r="L66">
        <f t="shared" si="0"/>
        <v>0.15789473684210525</v>
      </c>
    </row>
    <row r="67" spans="1:12" x14ac:dyDescent="0.25">
      <c r="A67">
        <v>2021</v>
      </c>
      <c r="B67">
        <v>20</v>
      </c>
      <c r="C67" t="s">
        <v>39</v>
      </c>
      <c r="D67">
        <v>38</v>
      </c>
      <c r="E67">
        <v>5</v>
      </c>
      <c r="F67">
        <v>7</v>
      </c>
      <c r="G67">
        <v>26</v>
      </c>
      <c r="H67">
        <v>23</v>
      </c>
      <c r="I67">
        <v>84</v>
      </c>
      <c r="J67">
        <v>-61</v>
      </c>
      <c r="K67">
        <v>22</v>
      </c>
      <c r="L67">
        <f t="shared" ref="L67" si="1">E67/D67</f>
        <v>0.13157894736842105</v>
      </c>
    </row>
    <row r="73" spans="1:12" x14ac:dyDescent="0.25">
      <c r="A73" t="str">
        <f>prem_analysis!BH1</f>
        <v>Year</v>
      </c>
      <c r="B73" t="str">
        <f>prem_analysis!BI1</f>
        <v>#</v>
      </c>
      <c r="C73" t="str">
        <f>prem_analysis!BJ1</f>
        <v>Team</v>
      </c>
      <c r="D73" t="str">
        <f>prem_analysis!BK1</f>
        <v>Pl</v>
      </c>
      <c r="E73" t="str">
        <f>prem_analysis!BL1</f>
        <v>W</v>
      </c>
      <c r="F73" t="str">
        <f>prem_analysis!BM1</f>
        <v>D</v>
      </c>
      <c r="G73" t="str">
        <f>prem_analysis!BN1</f>
        <v>L</v>
      </c>
      <c r="H73" t="str">
        <f>prem_analysis!BO1</f>
        <v>F</v>
      </c>
      <c r="I73" t="str">
        <f>prem_analysis!BP1</f>
        <v>A</v>
      </c>
      <c r="J73" t="str">
        <f>prem_analysis!BQ1</f>
        <v>GD</v>
      </c>
      <c r="K73" t="str">
        <f>prem_analysis!BR1</f>
        <v>Pts</v>
      </c>
      <c r="L73" t="str">
        <f>prem_analysis!BS1</f>
        <v>Win_rate</v>
      </c>
    </row>
    <row r="74" spans="1:12" x14ac:dyDescent="0.25">
      <c r="A74">
        <f>prem_analysis!BH2</f>
        <v>2000</v>
      </c>
      <c r="B74">
        <f>prem_analysis!BI2</f>
        <v>1</v>
      </c>
      <c r="C74" t="str">
        <f>prem_analysis!BJ2</f>
        <v>Manchester United</v>
      </c>
      <c r="D74">
        <f>prem_analysis!BK2</f>
        <v>38</v>
      </c>
      <c r="E74">
        <f>prem_analysis!BL2</f>
        <v>24</v>
      </c>
      <c r="F74">
        <f>prem_analysis!BM2</f>
        <v>8</v>
      </c>
      <c r="G74">
        <f>prem_analysis!BN2</f>
        <v>6</v>
      </c>
      <c r="H74">
        <f>prem_analysis!BO2</f>
        <v>79</v>
      </c>
      <c r="I74">
        <f>prem_analysis!BP2</f>
        <v>31</v>
      </c>
      <c r="J74">
        <f>prem_analysis!BQ2</f>
        <v>48</v>
      </c>
      <c r="K74">
        <f>prem_analysis!BR2</f>
        <v>80</v>
      </c>
      <c r="L74">
        <f>prem_analysis!BS2</f>
        <v>0.63157894736842102</v>
      </c>
    </row>
    <row r="75" spans="1:12" x14ac:dyDescent="0.25">
      <c r="A75">
        <f>prem_analysis!BH3</f>
        <v>2001</v>
      </c>
      <c r="B75">
        <f>prem_analysis!BI3</f>
        <v>1</v>
      </c>
      <c r="C75" t="str">
        <f>prem_analysis!BJ3</f>
        <v>Arsenal</v>
      </c>
      <c r="D75">
        <f>prem_analysis!BK3</f>
        <v>38</v>
      </c>
      <c r="E75">
        <f>prem_analysis!BL3</f>
        <v>26</v>
      </c>
      <c r="F75">
        <f>prem_analysis!BM3</f>
        <v>9</v>
      </c>
      <c r="G75">
        <f>prem_analysis!BN3</f>
        <v>3</v>
      </c>
      <c r="H75">
        <f>prem_analysis!BO3</f>
        <v>79</v>
      </c>
      <c r="I75">
        <f>prem_analysis!BP3</f>
        <v>36</v>
      </c>
      <c r="J75">
        <f>prem_analysis!BQ3</f>
        <v>43</v>
      </c>
      <c r="K75">
        <f>prem_analysis!BR3</f>
        <v>87</v>
      </c>
      <c r="L75">
        <f>prem_analysis!BS3</f>
        <v>0.68421052631578949</v>
      </c>
    </row>
    <row r="76" spans="1:12" x14ac:dyDescent="0.25">
      <c r="A76">
        <f>prem_analysis!BH4</f>
        <v>2002</v>
      </c>
      <c r="B76">
        <f>prem_analysis!BI4</f>
        <v>1</v>
      </c>
      <c r="C76" t="str">
        <f>prem_analysis!BJ4</f>
        <v>Manchester United</v>
      </c>
      <c r="D76">
        <f>prem_analysis!BK4</f>
        <v>38</v>
      </c>
      <c r="E76">
        <f>prem_analysis!BL4</f>
        <v>25</v>
      </c>
      <c r="F76">
        <f>prem_analysis!BM4</f>
        <v>8</v>
      </c>
      <c r="G76">
        <f>prem_analysis!BN4</f>
        <v>5</v>
      </c>
      <c r="H76">
        <f>prem_analysis!BO4</f>
        <v>74</v>
      </c>
      <c r="I76">
        <f>prem_analysis!BP4</f>
        <v>34</v>
      </c>
      <c r="J76">
        <f>prem_analysis!BQ4</f>
        <v>40</v>
      </c>
      <c r="K76">
        <f>prem_analysis!BR4</f>
        <v>83</v>
      </c>
      <c r="L76">
        <f>prem_analysis!BS4</f>
        <v>0.65789473684210531</v>
      </c>
    </row>
    <row r="77" spans="1:12" x14ac:dyDescent="0.25">
      <c r="A77">
        <f>prem_analysis!BH5</f>
        <v>2003</v>
      </c>
      <c r="B77">
        <f>prem_analysis!BI5</f>
        <v>1</v>
      </c>
      <c r="C77" t="str">
        <f>prem_analysis!BJ5</f>
        <v>Arsenal</v>
      </c>
      <c r="D77">
        <f>prem_analysis!BK5</f>
        <v>38</v>
      </c>
      <c r="E77">
        <f>prem_analysis!BL5</f>
        <v>26</v>
      </c>
      <c r="F77">
        <f>prem_analysis!BM5</f>
        <v>12</v>
      </c>
      <c r="G77">
        <f>prem_analysis!BN5</f>
        <v>0</v>
      </c>
      <c r="H77">
        <f>prem_analysis!BO5</f>
        <v>73</v>
      </c>
      <c r="I77">
        <f>prem_analysis!BP5</f>
        <v>26</v>
      </c>
      <c r="J77">
        <f>prem_analysis!BQ5</f>
        <v>47</v>
      </c>
      <c r="K77">
        <f>prem_analysis!BR5</f>
        <v>90</v>
      </c>
      <c r="L77">
        <f>prem_analysis!BS5</f>
        <v>0.68421052631578949</v>
      </c>
    </row>
    <row r="78" spans="1:12" x14ac:dyDescent="0.25">
      <c r="A78">
        <f>prem_analysis!BH6</f>
        <v>2004</v>
      </c>
      <c r="B78">
        <f>prem_analysis!BI6</f>
        <v>1</v>
      </c>
      <c r="C78" t="str">
        <f>prem_analysis!BJ6</f>
        <v>Chelsea</v>
      </c>
      <c r="D78">
        <f>prem_analysis!BK6</f>
        <v>38</v>
      </c>
      <c r="E78">
        <f>prem_analysis!BL6</f>
        <v>29</v>
      </c>
      <c r="F78">
        <f>prem_analysis!BM6</f>
        <v>8</v>
      </c>
      <c r="G78">
        <f>prem_analysis!BN6</f>
        <v>1</v>
      </c>
      <c r="H78">
        <f>prem_analysis!BO6</f>
        <v>72</v>
      </c>
      <c r="I78">
        <f>prem_analysis!BP6</f>
        <v>15</v>
      </c>
      <c r="J78">
        <f>prem_analysis!BQ6</f>
        <v>57</v>
      </c>
      <c r="K78">
        <f>prem_analysis!BR6</f>
        <v>95</v>
      </c>
      <c r="L78">
        <f>prem_analysis!BS6</f>
        <v>0.76315789473684215</v>
      </c>
    </row>
    <row r="79" spans="1:12" x14ac:dyDescent="0.25">
      <c r="A79">
        <f>prem_analysis!BH7</f>
        <v>2005</v>
      </c>
      <c r="B79">
        <f>prem_analysis!BI7</f>
        <v>1</v>
      </c>
      <c r="C79" t="str">
        <f>prem_analysis!BJ7</f>
        <v>Chelsea</v>
      </c>
      <c r="D79">
        <f>prem_analysis!BK7</f>
        <v>38</v>
      </c>
      <c r="E79">
        <f>prem_analysis!BL7</f>
        <v>29</v>
      </c>
      <c r="F79">
        <f>prem_analysis!BM7</f>
        <v>4</v>
      </c>
      <c r="G79">
        <f>prem_analysis!BN7</f>
        <v>5</v>
      </c>
      <c r="H79">
        <f>prem_analysis!BO7</f>
        <v>72</v>
      </c>
      <c r="I79">
        <f>prem_analysis!BP7</f>
        <v>22</v>
      </c>
      <c r="J79">
        <f>prem_analysis!BQ7</f>
        <v>50</v>
      </c>
      <c r="K79">
        <f>prem_analysis!BR7</f>
        <v>91</v>
      </c>
      <c r="L79">
        <f>prem_analysis!BS7</f>
        <v>0.76315789473684215</v>
      </c>
    </row>
    <row r="80" spans="1:12" x14ac:dyDescent="0.25">
      <c r="A80">
        <f>prem_analysis!BH8</f>
        <v>2006</v>
      </c>
      <c r="B80">
        <f>prem_analysis!BI8</f>
        <v>1</v>
      </c>
      <c r="C80" t="str">
        <f>prem_analysis!BJ8</f>
        <v>Manchester United</v>
      </c>
      <c r="D80">
        <f>prem_analysis!BK8</f>
        <v>38</v>
      </c>
      <c r="E80">
        <f>prem_analysis!BL8</f>
        <v>0</v>
      </c>
      <c r="F80">
        <f>prem_analysis!BM8</f>
        <v>0</v>
      </c>
      <c r="G80">
        <f>prem_analysis!BN8</f>
        <v>0</v>
      </c>
      <c r="H80">
        <f>prem_analysis!BO8</f>
        <v>0</v>
      </c>
      <c r="I80">
        <f>prem_analysis!BP8</f>
        <v>0</v>
      </c>
      <c r="J80">
        <f>prem_analysis!BQ8</f>
        <v>0</v>
      </c>
      <c r="K80">
        <f>prem_analysis!BR8</f>
        <v>89</v>
      </c>
      <c r="L80">
        <f>prem_analysis!BS8</f>
        <v>0</v>
      </c>
    </row>
    <row r="81" spans="1:12" x14ac:dyDescent="0.25">
      <c r="A81">
        <f>prem_analysis!BH9</f>
        <v>2007</v>
      </c>
      <c r="B81">
        <f>prem_analysis!BI9</f>
        <v>1</v>
      </c>
      <c r="C81" t="str">
        <f>prem_analysis!BJ9</f>
        <v>Manchester United</v>
      </c>
      <c r="D81">
        <f>prem_analysis!BK9</f>
        <v>38</v>
      </c>
      <c r="E81">
        <f>prem_analysis!BL9</f>
        <v>27</v>
      </c>
      <c r="F81">
        <f>prem_analysis!BM9</f>
        <v>6</v>
      </c>
      <c r="G81">
        <f>prem_analysis!BN9</f>
        <v>5</v>
      </c>
      <c r="H81">
        <f>prem_analysis!BO9</f>
        <v>80</v>
      </c>
      <c r="I81">
        <f>prem_analysis!BP9</f>
        <v>22</v>
      </c>
      <c r="J81">
        <f>prem_analysis!BQ9</f>
        <v>58</v>
      </c>
      <c r="K81">
        <f>prem_analysis!BR9</f>
        <v>87</v>
      </c>
      <c r="L81">
        <f>prem_analysis!BS9</f>
        <v>0.71052631578947367</v>
      </c>
    </row>
    <row r="82" spans="1:12" x14ac:dyDescent="0.25">
      <c r="A82">
        <f>prem_analysis!BH10</f>
        <v>2008</v>
      </c>
      <c r="B82">
        <f>prem_analysis!BI10</f>
        <v>1</v>
      </c>
      <c r="C82" t="str">
        <f>prem_analysis!BJ10</f>
        <v>Manchester United</v>
      </c>
      <c r="D82">
        <f>prem_analysis!BK10</f>
        <v>38</v>
      </c>
      <c r="E82">
        <f>prem_analysis!BL10</f>
        <v>28</v>
      </c>
      <c r="F82">
        <f>prem_analysis!BM10</f>
        <v>6</v>
      </c>
      <c r="G82">
        <f>prem_analysis!BN10</f>
        <v>4</v>
      </c>
      <c r="H82">
        <f>prem_analysis!BO10</f>
        <v>68</v>
      </c>
      <c r="I82">
        <f>prem_analysis!BP10</f>
        <v>24</v>
      </c>
      <c r="J82">
        <f>prem_analysis!BQ10</f>
        <v>44</v>
      </c>
      <c r="K82">
        <f>prem_analysis!BR10</f>
        <v>90</v>
      </c>
      <c r="L82">
        <f>prem_analysis!BS10</f>
        <v>0.73684210526315785</v>
      </c>
    </row>
    <row r="83" spans="1:12" x14ac:dyDescent="0.25">
      <c r="A83">
        <f>prem_analysis!BH11</f>
        <v>2009</v>
      </c>
      <c r="B83">
        <f>prem_analysis!BI11</f>
        <v>1</v>
      </c>
      <c r="C83" t="str">
        <f>prem_analysis!BJ11</f>
        <v>Chelsea</v>
      </c>
      <c r="D83">
        <f>prem_analysis!BK11</f>
        <v>38</v>
      </c>
      <c r="E83">
        <f>prem_analysis!BL11</f>
        <v>27</v>
      </c>
      <c r="F83">
        <f>prem_analysis!BM11</f>
        <v>5</v>
      </c>
      <c r="G83">
        <f>prem_analysis!BN11</f>
        <v>6</v>
      </c>
      <c r="H83">
        <f>prem_analysis!BO11</f>
        <v>103</v>
      </c>
      <c r="I83">
        <f>prem_analysis!BP11</f>
        <v>32</v>
      </c>
      <c r="J83">
        <f>prem_analysis!BQ11</f>
        <v>71</v>
      </c>
      <c r="K83">
        <f>prem_analysis!BR11</f>
        <v>86</v>
      </c>
      <c r="L83">
        <f>prem_analysis!BS11</f>
        <v>0.71052631578947367</v>
      </c>
    </row>
    <row r="84" spans="1:12" x14ac:dyDescent="0.25">
      <c r="A84">
        <f>prem_analysis!BH12</f>
        <v>2010</v>
      </c>
      <c r="B84">
        <f>prem_analysis!BI12</f>
        <v>1</v>
      </c>
      <c r="C84" t="str">
        <f>prem_analysis!BJ12</f>
        <v>Manchester United</v>
      </c>
      <c r="D84">
        <f>prem_analysis!BK12</f>
        <v>38</v>
      </c>
      <c r="E84">
        <f>prem_analysis!BL12</f>
        <v>23</v>
      </c>
      <c r="F84">
        <f>prem_analysis!BM12</f>
        <v>11</v>
      </c>
      <c r="G84">
        <f>prem_analysis!BN12</f>
        <v>4</v>
      </c>
      <c r="H84">
        <f>prem_analysis!BO12</f>
        <v>78</v>
      </c>
      <c r="I84">
        <f>prem_analysis!BP12</f>
        <v>37</v>
      </c>
      <c r="J84">
        <f>prem_analysis!BQ12</f>
        <v>41</v>
      </c>
      <c r="K84">
        <f>prem_analysis!BR12</f>
        <v>80</v>
      </c>
      <c r="L84">
        <f>prem_analysis!BS12</f>
        <v>0.60526315789473684</v>
      </c>
    </row>
    <row r="85" spans="1:12" x14ac:dyDescent="0.25">
      <c r="A85">
        <f>prem_analysis!BH13</f>
        <v>2011</v>
      </c>
      <c r="B85">
        <f>prem_analysis!BI13</f>
        <v>1</v>
      </c>
      <c r="C85" t="str">
        <f>prem_analysis!BJ13</f>
        <v>Manchester City</v>
      </c>
      <c r="D85">
        <f>prem_analysis!BK13</f>
        <v>38</v>
      </c>
      <c r="E85">
        <f>prem_analysis!BL13</f>
        <v>28</v>
      </c>
      <c r="F85">
        <f>prem_analysis!BM13</f>
        <v>5</v>
      </c>
      <c r="G85">
        <f>prem_analysis!BN13</f>
        <v>5</v>
      </c>
      <c r="H85">
        <f>prem_analysis!BO13</f>
        <v>93</v>
      </c>
      <c r="I85">
        <f>prem_analysis!BP13</f>
        <v>29</v>
      </c>
      <c r="J85">
        <f>prem_analysis!BQ13</f>
        <v>64</v>
      </c>
      <c r="K85">
        <f>prem_analysis!BR13</f>
        <v>89</v>
      </c>
      <c r="L85">
        <f>prem_analysis!BS13</f>
        <v>0.73684210526315785</v>
      </c>
    </row>
    <row r="86" spans="1:12" x14ac:dyDescent="0.25">
      <c r="A86">
        <f>prem_analysis!BH14</f>
        <v>2012</v>
      </c>
      <c r="B86">
        <f>prem_analysis!BI14</f>
        <v>1</v>
      </c>
      <c r="C86" t="str">
        <f>prem_analysis!BJ14</f>
        <v>Manchester United</v>
      </c>
      <c r="D86">
        <f>prem_analysis!BK14</f>
        <v>38</v>
      </c>
      <c r="E86">
        <f>prem_analysis!BL14</f>
        <v>28</v>
      </c>
      <c r="F86">
        <f>prem_analysis!BM14</f>
        <v>5</v>
      </c>
      <c r="G86">
        <f>prem_analysis!BN14</f>
        <v>5</v>
      </c>
      <c r="H86">
        <f>prem_analysis!BO14</f>
        <v>86</v>
      </c>
      <c r="I86">
        <f>prem_analysis!BP14</f>
        <v>43</v>
      </c>
      <c r="J86">
        <f>prem_analysis!BQ14</f>
        <v>43</v>
      </c>
      <c r="K86">
        <f>prem_analysis!BR14</f>
        <v>89</v>
      </c>
      <c r="L86">
        <f>prem_analysis!BS14</f>
        <v>0.73684210526315785</v>
      </c>
    </row>
    <row r="87" spans="1:12" x14ac:dyDescent="0.25">
      <c r="A87">
        <f>prem_analysis!BH15</f>
        <v>2013</v>
      </c>
      <c r="B87">
        <f>prem_analysis!BI15</f>
        <v>1</v>
      </c>
      <c r="C87" t="str">
        <f>prem_analysis!BJ15</f>
        <v>Manchester City</v>
      </c>
      <c r="D87">
        <f>prem_analysis!BK15</f>
        <v>38</v>
      </c>
      <c r="E87">
        <f>prem_analysis!BL15</f>
        <v>27</v>
      </c>
      <c r="F87">
        <f>prem_analysis!BM15</f>
        <v>5</v>
      </c>
      <c r="G87">
        <f>prem_analysis!BN15</f>
        <v>6</v>
      </c>
      <c r="H87">
        <f>prem_analysis!BO15</f>
        <v>102</v>
      </c>
      <c r="I87">
        <f>prem_analysis!BP15</f>
        <v>37</v>
      </c>
      <c r="J87">
        <f>prem_analysis!BQ15</f>
        <v>65</v>
      </c>
      <c r="K87">
        <f>prem_analysis!BR15</f>
        <v>86</v>
      </c>
      <c r="L87">
        <f>prem_analysis!BS15</f>
        <v>0.71052631578947367</v>
      </c>
    </row>
    <row r="88" spans="1:12" x14ac:dyDescent="0.25">
      <c r="A88">
        <f>prem_analysis!BH16</f>
        <v>2014</v>
      </c>
      <c r="B88">
        <f>prem_analysis!BI16</f>
        <v>1</v>
      </c>
      <c r="C88" t="str">
        <f>prem_analysis!BJ16</f>
        <v>Chelsea</v>
      </c>
      <c r="D88">
        <f>prem_analysis!BK16</f>
        <v>38</v>
      </c>
      <c r="E88">
        <f>prem_analysis!BL16</f>
        <v>26</v>
      </c>
      <c r="F88">
        <f>prem_analysis!BM16</f>
        <v>9</v>
      </c>
      <c r="G88">
        <f>prem_analysis!BN16</f>
        <v>3</v>
      </c>
      <c r="H88">
        <f>prem_analysis!BO16</f>
        <v>73</v>
      </c>
      <c r="I88">
        <f>prem_analysis!BP16</f>
        <v>32</v>
      </c>
      <c r="J88">
        <f>prem_analysis!BQ16</f>
        <v>41</v>
      </c>
      <c r="K88">
        <f>prem_analysis!BR16</f>
        <v>87</v>
      </c>
      <c r="L88">
        <f>prem_analysis!BS16</f>
        <v>0.68421052631578949</v>
      </c>
    </row>
    <row r="89" spans="1:12" x14ac:dyDescent="0.25">
      <c r="A89">
        <f>prem_analysis!BH17</f>
        <v>2015</v>
      </c>
      <c r="B89">
        <f>prem_analysis!BI17</f>
        <v>1</v>
      </c>
      <c r="C89" t="str">
        <f>prem_analysis!BJ17</f>
        <v>Leicester City</v>
      </c>
      <c r="D89">
        <f>prem_analysis!BK17</f>
        <v>38</v>
      </c>
      <c r="E89">
        <f>prem_analysis!BL17</f>
        <v>23</v>
      </c>
      <c r="F89">
        <f>prem_analysis!BM17</f>
        <v>12</v>
      </c>
      <c r="G89">
        <f>prem_analysis!BN17</f>
        <v>3</v>
      </c>
      <c r="H89">
        <f>prem_analysis!BO17</f>
        <v>68</v>
      </c>
      <c r="I89">
        <f>prem_analysis!BP17</f>
        <v>36</v>
      </c>
      <c r="J89">
        <f>prem_analysis!BQ17</f>
        <v>32</v>
      </c>
      <c r="K89">
        <f>prem_analysis!BR17</f>
        <v>81</v>
      </c>
      <c r="L89">
        <f>prem_analysis!BS17</f>
        <v>0.60526315789473684</v>
      </c>
    </row>
    <row r="90" spans="1:12" x14ac:dyDescent="0.25">
      <c r="A90">
        <f>prem_analysis!BH18</f>
        <v>2016</v>
      </c>
      <c r="B90">
        <f>prem_analysis!BI18</f>
        <v>1</v>
      </c>
      <c r="C90" t="str">
        <f>prem_analysis!BJ18</f>
        <v>Chelsea</v>
      </c>
      <c r="D90">
        <f>prem_analysis!BK18</f>
        <v>38</v>
      </c>
      <c r="E90">
        <f>prem_analysis!BL18</f>
        <v>30</v>
      </c>
      <c r="F90">
        <f>prem_analysis!BM18</f>
        <v>3</v>
      </c>
      <c r="G90">
        <f>prem_analysis!BN18</f>
        <v>5</v>
      </c>
      <c r="H90">
        <f>prem_analysis!BO18</f>
        <v>85</v>
      </c>
      <c r="I90">
        <f>prem_analysis!BP18</f>
        <v>33</v>
      </c>
      <c r="J90">
        <f>prem_analysis!BQ18</f>
        <v>52</v>
      </c>
      <c r="K90">
        <f>prem_analysis!BR18</f>
        <v>93</v>
      </c>
      <c r="L90">
        <f>prem_analysis!BS18</f>
        <v>0.78947368421052633</v>
      </c>
    </row>
    <row r="91" spans="1:12" x14ac:dyDescent="0.25">
      <c r="A91">
        <f>prem_analysis!BH19</f>
        <v>2017</v>
      </c>
      <c r="B91">
        <f>prem_analysis!BI19</f>
        <v>1</v>
      </c>
      <c r="C91" t="str">
        <f>prem_analysis!BJ19</f>
        <v>Manchester City</v>
      </c>
      <c r="D91">
        <f>prem_analysis!BK19</f>
        <v>38</v>
      </c>
      <c r="E91">
        <f>prem_analysis!BL19</f>
        <v>32</v>
      </c>
      <c r="F91">
        <f>prem_analysis!BM19</f>
        <v>4</v>
      </c>
      <c r="G91">
        <f>prem_analysis!BN19</f>
        <v>2</v>
      </c>
      <c r="H91">
        <f>prem_analysis!BO19</f>
        <v>106</v>
      </c>
      <c r="I91">
        <f>prem_analysis!BP19</f>
        <v>27</v>
      </c>
      <c r="J91">
        <f>prem_analysis!BQ19</f>
        <v>79</v>
      </c>
      <c r="K91">
        <f>prem_analysis!BR19</f>
        <v>100</v>
      </c>
      <c r="L91">
        <f>prem_analysis!BS19</f>
        <v>0.84210526315789469</v>
      </c>
    </row>
    <row r="92" spans="1:12" x14ac:dyDescent="0.25">
      <c r="A92">
        <f>prem_analysis!BH20</f>
        <v>2018</v>
      </c>
      <c r="B92">
        <f>prem_analysis!BI20</f>
        <v>1</v>
      </c>
      <c r="C92" t="str">
        <f>prem_analysis!BJ20</f>
        <v>Manchester City</v>
      </c>
      <c r="D92">
        <f>prem_analysis!BK20</f>
        <v>38</v>
      </c>
      <c r="E92">
        <f>prem_analysis!BL20</f>
        <v>32</v>
      </c>
      <c r="F92">
        <f>prem_analysis!BM20</f>
        <v>2</v>
      </c>
      <c r="G92">
        <f>prem_analysis!BN20</f>
        <v>4</v>
      </c>
      <c r="H92">
        <f>prem_analysis!BO20</f>
        <v>95</v>
      </c>
      <c r="I92">
        <f>prem_analysis!BP20</f>
        <v>23</v>
      </c>
      <c r="J92">
        <f>prem_analysis!BQ20</f>
        <v>72</v>
      </c>
      <c r="K92">
        <f>prem_analysis!BR20</f>
        <v>98</v>
      </c>
      <c r="L92">
        <f>prem_analysis!BS20</f>
        <v>0.84210526315789469</v>
      </c>
    </row>
    <row r="93" spans="1:12" x14ac:dyDescent="0.25">
      <c r="A93">
        <f>prem_analysis!BH21</f>
        <v>2019</v>
      </c>
      <c r="B93">
        <f>prem_analysis!BI21</f>
        <v>1</v>
      </c>
      <c r="C93" t="str">
        <f>prem_analysis!BJ21</f>
        <v>Liverpool</v>
      </c>
      <c r="D93">
        <f>prem_analysis!BK21</f>
        <v>38</v>
      </c>
      <c r="E93">
        <f>prem_analysis!BL21</f>
        <v>32</v>
      </c>
      <c r="F93">
        <f>prem_analysis!BM21</f>
        <v>3</v>
      </c>
      <c r="G93">
        <f>prem_analysis!BN21</f>
        <v>3</v>
      </c>
      <c r="H93">
        <f>prem_analysis!BO21</f>
        <v>85</v>
      </c>
      <c r="I93">
        <f>prem_analysis!BP21</f>
        <v>33</v>
      </c>
      <c r="J93">
        <f>prem_analysis!BQ21</f>
        <v>52</v>
      </c>
      <c r="K93">
        <f>prem_analysis!BR21</f>
        <v>99</v>
      </c>
      <c r="L93">
        <f>prem_analysis!BS21</f>
        <v>0.84210526315789469</v>
      </c>
    </row>
    <row r="94" spans="1:12" x14ac:dyDescent="0.25">
      <c r="A94">
        <f>prem_analysis!BH22</f>
        <v>2020</v>
      </c>
      <c r="B94">
        <f>prem_analysis!BI22</f>
        <v>1</v>
      </c>
      <c r="C94" t="str">
        <f>prem_analysis!BJ22</f>
        <v>Manchester City</v>
      </c>
      <c r="D94">
        <f>prem_analysis!BK22</f>
        <v>38</v>
      </c>
      <c r="E94">
        <f>prem_analysis!BL22</f>
        <v>27</v>
      </c>
      <c r="F94">
        <f>prem_analysis!BM22</f>
        <v>5</v>
      </c>
      <c r="G94">
        <f>prem_analysis!BN22</f>
        <v>6</v>
      </c>
      <c r="H94">
        <f>prem_analysis!BO22</f>
        <v>83</v>
      </c>
      <c r="I94">
        <f>prem_analysis!BP22</f>
        <v>32</v>
      </c>
      <c r="J94">
        <f>prem_analysis!BQ22</f>
        <v>51</v>
      </c>
      <c r="K94">
        <f>prem_analysis!BR22</f>
        <v>86</v>
      </c>
      <c r="L94">
        <f>prem_analysis!BS22</f>
        <v>0.71052631578947367</v>
      </c>
    </row>
    <row r="95" spans="1:12" x14ac:dyDescent="0.25">
      <c r="A95">
        <f>prem_analysis!BH23</f>
        <v>2021</v>
      </c>
      <c r="B95">
        <f>prem_analysis!BI23</f>
        <v>1</v>
      </c>
      <c r="C95" t="str">
        <f>prem_analysis!BJ23</f>
        <v>Manchester City</v>
      </c>
      <c r="D95">
        <f>prem_analysis!BK23</f>
        <v>38</v>
      </c>
      <c r="E95">
        <f>prem_analysis!BL23</f>
        <v>29</v>
      </c>
      <c r="F95">
        <f>prem_analysis!BM23</f>
        <v>6</v>
      </c>
      <c r="G95">
        <f>prem_analysis!BN23</f>
        <v>3</v>
      </c>
      <c r="H95">
        <f>prem_analysis!BO23</f>
        <v>99</v>
      </c>
      <c r="I95">
        <f>prem_analysis!BP23</f>
        <v>26</v>
      </c>
      <c r="J95">
        <f>prem_analysis!BQ23</f>
        <v>73</v>
      </c>
      <c r="K95">
        <f>prem_analysis!BR23</f>
        <v>93</v>
      </c>
      <c r="L95">
        <f>prem_analysis!BS23</f>
        <v>0.76315789473684215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096D8-4954-4EE3-8BF7-F9785CBF153B}">
  <sheetPr codeName="Sheet4"/>
  <dimension ref="A1:AD441"/>
  <sheetViews>
    <sheetView topLeftCell="O1" workbookViewId="0">
      <selection activeCell="AB9" sqref="AB9"/>
    </sheetView>
  </sheetViews>
  <sheetFormatPr defaultRowHeight="12.75" x14ac:dyDescent="0.2"/>
  <cols>
    <col min="1" max="1" width="6.85546875" style="1" bestFit="1" customWidth="1"/>
    <col min="2" max="2" width="4.140625" style="1" bestFit="1" customWidth="1"/>
    <col min="3" max="3" width="23.28515625" style="1" bestFit="1" customWidth="1"/>
    <col min="4" max="4" width="4.7109375" style="1" bestFit="1" customWidth="1"/>
    <col min="5" max="5" width="5" style="1" bestFit="1" customWidth="1"/>
    <col min="6" max="6" width="4.42578125" style="1" bestFit="1" customWidth="1"/>
    <col min="7" max="8" width="4.140625" style="1" bestFit="1" customWidth="1"/>
    <col min="9" max="9" width="4.42578125" style="1" bestFit="1" customWidth="1"/>
    <col min="10" max="10" width="5.5703125" style="1" bestFit="1" customWidth="1"/>
    <col min="11" max="11" width="5.7109375" style="1" bestFit="1" customWidth="1"/>
    <col min="12" max="12" width="10.28515625" style="1" bestFit="1" customWidth="1"/>
    <col min="13" max="15" width="9.140625" style="1"/>
    <col min="16" max="16" width="17.85546875" style="1" bestFit="1" customWidth="1"/>
    <col min="17" max="17" width="15.85546875" style="1" bestFit="1" customWidth="1"/>
    <col min="18" max="18" width="5" style="1" bestFit="1" customWidth="1"/>
    <col min="19" max="19" width="5.28515625" style="1" bestFit="1" customWidth="1"/>
    <col min="20" max="20" width="16" style="1" bestFit="1" customWidth="1"/>
    <col min="21" max="28" width="8.42578125" style="1" customWidth="1"/>
    <col min="29" max="29" width="9.140625" style="18"/>
    <col min="30" max="16384" width="9.140625" style="1"/>
  </cols>
  <sheetData>
    <row r="1" spans="1:30" x14ac:dyDescent="0.2">
      <c r="A1" s="7" t="s">
        <v>0</v>
      </c>
      <c r="B1" s="7" t="s">
        <v>1</v>
      </c>
      <c r="C1" s="7" t="s">
        <v>2</v>
      </c>
      <c r="D1" s="7" t="s">
        <v>3</v>
      </c>
      <c r="E1" s="7" t="s">
        <v>4</v>
      </c>
      <c r="F1" s="7" t="s">
        <v>5</v>
      </c>
      <c r="G1" s="7" t="s">
        <v>6</v>
      </c>
      <c r="H1" s="7" t="s">
        <v>7</v>
      </c>
      <c r="I1" s="7" t="s">
        <v>8</v>
      </c>
      <c r="J1" s="7" t="s">
        <v>9</v>
      </c>
      <c r="K1" s="7" t="s">
        <v>10</v>
      </c>
      <c r="L1" s="7" t="s">
        <v>67</v>
      </c>
      <c r="M1" s="7" t="s">
        <v>63</v>
      </c>
      <c r="Q1" s="1" t="s">
        <v>60</v>
      </c>
      <c r="AD1" s="1">
        <v>1</v>
      </c>
    </row>
    <row r="2" spans="1:30" x14ac:dyDescent="0.2">
      <c r="A2" s="3">
        <v>2000</v>
      </c>
      <c r="B2" s="3">
        <v>1</v>
      </c>
      <c r="C2" s="4" t="s">
        <v>11</v>
      </c>
      <c r="D2" s="3">
        <v>38</v>
      </c>
      <c r="E2" s="3">
        <v>24</v>
      </c>
      <c r="F2" s="3">
        <v>8</v>
      </c>
      <c r="G2" s="3">
        <v>6</v>
      </c>
      <c r="H2" s="3">
        <v>79</v>
      </c>
      <c r="I2" s="3">
        <v>31</v>
      </c>
      <c r="J2" s="3">
        <v>48</v>
      </c>
      <c r="K2" s="3">
        <v>80</v>
      </c>
      <c r="L2" s="10" t="str">
        <f>IF(Table24[[#This Row],['#]]=1,"Champion", IF(Table24[[#This Row],['#]]&gt;=18,"Relegated",Table24[[#This Row],['#]]))</f>
        <v>Champion</v>
      </c>
      <c r="M2" s="10" t="str">
        <f>IF(Table24[[#This Row],[Details]]=2,K1-Table24[[#This Row],[Pts]],IF(Table24[[#This Row],[Details]]=17,Table24[[#This Row],[Pts]]-K3,""))</f>
        <v/>
      </c>
      <c r="R2" s="1" t="str">
        <f>IFERROR(IF($Q$1=$P$3,INDEX(prem_analysis!$P$2:$Q$441,ROWS(Data!$P$2:Q2),COLUMNS(Data!$P$3:P3)),IF($Q$1=$P$5,INDEX(prem_analysis!$BH$1:$BS$23,ROWS(Data!$Q$3:Q3),COLUMNS(Data!$Q$3:Q3)),IF($Q$1=$P$6,INDEX(prem_analysis!$BU$1:$CF$67,ROWS(prem_analysis!$N$2:N2),COLUMNS(prem_analysis!$N$2:N2)),IF($Q$1=$P$4,INDEX(Table24[[#All],[Year]:[Details]],ROWS(prem_analysis!$M$420:M420),COLUMNS(Data!$Q$3:Q3)))))),"")</f>
        <v>Year</v>
      </c>
      <c r="S2" s="1" t="str">
        <f>IFERROR(IF($Q$1=$P$3,INDEX(prem_analysis!$P$2:$Q$441,ROWS(Data!$P$2:R2),COLUMNS(Data!$P$3:Q3)),IF($Q$1=$P$5,INDEX(prem_analysis!$BH$1:$BS$23,ROWS(Data!$Q$3:R3),COLUMNS(Data!$Q$3:R3)),IF($Q$1=$P$6,INDEX(prem_analysis!$BU$1:$CF$67,ROWS(prem_analysis!$N$2:O2),COLUMNS(prem_analysis!$N$2:O2)),IF($Q$1=$P$4,INDEX(Table24[[#All],[Year]:[Details]],ROWS(prem_analysis!$M$420:N420),COLUMNS(Data!$Q$3:R3)))))),"")</f>
        <v>#</v>
      </c>
      <c r="T2" s="1" t="str">
        <f>IFERROR(IF($Q$1=$P$3,INDEX(prem_analysis!$P$2:$Q$441,ROWS(Data!$P$2:S2),COLUMNS(Data!$P$3:R3)),IF($Q$1=$P$5,INDEX(prem_analysis!$BH$1:$BS$23,ROWS(Data!$Q$3:S3),COLUMNS(Data!$Q$3:S3)),IF($Q$1=$P$6,INDEX(prem_analysis!$BU$1:$CF$67,ROWS(prem_analysis!$N$2:P2),COLUMNS(prem_analysis!$N$2:P2)),IF($Q$1=$P$4,INDEX(Table24[[#All],[Year]:[Details]],ROWS(prem_analysis!$M$420:O420),COLUMNS(Data!$Q$3:S3)))))),"")</f>
        <v>Team</v>
      </c>
      <c r="U2" s="1" t="str">
        <f>IFERROR(IF($Q$1=$P$3,INDEX(prem_analysis!$P$2:$Q$441,ROWS(Data!$P$2:T2),COLUMNS(Data!$P$3:S3)),IF($Q$1=$P$5,INDEX(prem_analysis!$BH$1:$BS$23,ROWS(Data!$Q$3:T3),COLUMNS(Data!$Q$3:T3)),IF($Q$1=$P$6,INDEX(prem_analysis!$BU$1:$CF$67,ROWS(prem_analysis!$N$2:Q2),COLUMNS(prem_analysis!$N$2:Q2)),IF($Q$1=$P$4,INDEX(Table24[[#All],[Year]:[Details]],ROWS(prem_analysis!$M$420:P420),COLUMNS(Data!$Q$3:T3)))))),"")</f>
        <v>Pl</v>
      </c>
      <c r="V2" s="1" t="str">
        <f>IFERROR(IF($Q$1=$P$3,INDEX(prem_analysis!$P$2:$Q$441,ROWS(Data!$P$2:U2),COLUMNS(Data!$P$3:T3)),IF($Q$1=$P$5,INDEX(prem_analysis!$BH$1:$BS$23,ROWS(Data!$Q$3:U3),COLUMNS(Data!$Q$3:U3)),IF($Q$1=$P$6,INDEX(prem_analysis!$BU$1:$CF$67,ROWS(prem_analysis!$N$2:R2),COLUMNS(prem_analysis!$N$2:R2)),IF($Q$1=$P$4,INDEX(Table24[[#All],[Year]:[Details]],ROWS(prem_analysis!$M$420:Q420),COLUMNS(Data!$Q$3:U3)))))),"")</f>
        <v>W</v>
      </c>
      <c r="W2" s="1" t="str">
        <f>IFERROR(IF($Q$1=$P$3,INDEX(prem_analysis!$P$2:$Q$441,ROWS(Data!$P$2:V2),COLUMNS(Data!$P$3:U3)),IF($Q$1=$P$5,INDEX(prem_analysis!$BH$1:$BS$23,ROWS(Data!$Q$3:V3),COLUMNS(Data!$Q$3:V3)),IF($Q$1=$P$6,INDEX(prem_analysis!$BU$1:$CF$67,ROWS(prem_analysis!$N$2:S2),COLUMNS(prem_analysis!$N$2:S2)),IF($Q$1=$P$4,INDEX(Table24[[#All],[Year]:[Details]],ROWS(prem_analysis!$M$420:R420),COLUMNS(Data!$Q$3:V3)))))),"")</f>
        <v>D</v>
      </c>
      <c r="X2" s="1" t="str">
        <f>IFERROR(IF($Q$1=$P$3,INDEX(prem_analysis!$P$2:$Q$441,ROWS(Data!$P$2:W2),COLUMNS(Data!$P$3:V3)),IF($Q$1=$P$5,INDEX(prem_analysis!$BH$1:$BS$23,ROWS(Data!$Q$3:W3),COLUMNS(Data!$Q$3:W3)),IF($Q$1=$P$6,INDEX(prem_analysis!$BU$1:$CF$67,ROWS(prem_analysis!$N$2:T2),COLUMNS(prem_analysis!$N$2:T2)),IF($Q$1=$P$4,INDEX(Table24[[#All],[Year]:[Details]],ROWS(prem_analysis!$M$420:S420),COLUMNS(Data!$Q$3:W3)))))),"")</f>
        <v>L</v>
      </c>
      <c r="Y2" s="1" t="str">
        <f>IFERROR(IF($Q$1=$P$3,INDEX(prem_analysis!$P$2:$Q$441,ROWS(Data!$P$2:X2),COLUMNS(Data!$P$3:W3)),IF($Q$1=$P$5,INDEX(prem_analysis!$BH$1:$BS$23,ROWS(Data!$Q$3:X3),COLUMNS(Data!$Q$3:X3)),IF($Q$1=$P$6,INDEX(prem_analysis!$BU$1:$CF$67,ROWS(prem_analysis!$N$2:U2),COLUMNS(prem_analysis!$N$2:U2)),IF($Q$1=$P$4,INDEX(Table24[[#All],[Year]:[Details]],ROWS(prem_analysis!$M$420:T420),COLUMNS(Data!$Q$3:X3)))))),"")</f>
        <v>F</v>
      </c>
      <c r="Z2" s="1" t="str">
        <f>IFERROR(IF($Q$1=$P$3,INDEX(prem_analysis!$P$2:$Q$441,ROWS(Data!$P$2:Y2),COLUMNS(Data!$P$3:X3)),IF($Q$1=$P$5,INDEX(prem_analysis!$BH$1:$BS$23,ROWS(Data!$Q$3:Y3),COLUMNS(Data!$Q$3:Y3)),IF($Q$1=$P$6,INDEX(prem_analysis!$BU$1:$CF$67,ROWS(prem_analysis!$N$2:V2),COLUMNS(prem_analysis!$N$2:V2)),IF($Q$1=$P$4,INDEX(Table24[[#All],[Year]:[Details]],ROWS(prem_analysis!$M$420:U420),COLUMNS(Data!$Q$3:Y3)))))),"")</f>
        <v>A</v>
      </c>
      <c r="AA2" s="1" t="str">
        <f>IFERROR(IF($Q$1=$P$3,INDEX(prem_analysis!$P$2:$Q$441,ROWS(Data!$P$2:Z2),COLUMNS(Data!$P$3:Y3)),IF($Q$1=$P$5,INDEX(prem_analysis!$BH$1:$BS$23,ROWS(Data!$Q$3:Z3),COLUMNS(Data!$Q$3:Z3)),IF($Q$1=$P$6,INDEX(prem_analysis!$BU$1:$CF$67,ROWS(prem_analysis!$N$2:W2),COLUMNS(prem_analysis!$N$2:W2)),IF($Q$1=$P$4,INDEX(Table24[[#All],[Year]:[Details]],ROWS(prem_analysis!$M$420:V420),COLUMNS(Data!$Q$3:Z3)))))),"")</f>
        <v>GD</v>
      </c>
      <c r="AB2" s="1" t="str">
        <f>IFERROR(IF($Q$1=$P$3,INDEX(prem_analysis!$P$2:$Q$441,ROWS(Data!$P$2:AA2),COLUMNS(Data!$P$3:Z3)),IF($Q$1=$P$5,INDEX(prem_analysis!$BH$1:$BS$23,ROWS(Data!$Q$3:AA3),COLUMNS(Data!$Q$3:AA3)),IF($Q$1=$P$6,INDEX(prem_analysis!$BU$1:$CF$67,ROWS(prem_analysis!$N$2:X2),COLUMNS(prem_analysis!$N$2:X2)),IF($Q$1=$P$4,INDEX(Table24[[#All],[Year]:[Details]],ROWS(prem_analysis!$M$420:W420),COLUMNS(Data!$Q$3:AA3)))))),"")</f>
        <v>Pts</v>
      </c>
      <c r="AC2" s="1" t="str">
        <f>IFERROR(IF($Q$1=$P$3,INDEX(prem_analysis!$P$2:$Q$441,ROWS(Data!$P$2:AB2),COLUMNS(Data!$P$3:AA3)),IF($Q$1=$P$5,INDEX(prem_analysis!$BH$1:$BS$23,ROWS(Data!$Q$3:AB3),COLUMNS(Data!$Q$3:AB3)),IF($Q$1=$P$6,INDEX(prem_analysis!$BU$1:$CF$67,ROWS(prem_analysis!$N$2:Y2),COLUMNS(prem_analysis!$N$2:Y2)),IF($Q$1=$P$4,INDEX(Table24[[#All],[Year]:[Details]],ROWS(prem_analysis!$M$420:X420),COLUMNS(Data!$Q$3:AB3)))))),"")</f>
        <v>Win_rate</v>
      </c>
    </row>
    <row r="3" spans="1:30" x14ac:dyDescent="0.2">
      <c r="A3" s="5">
        <v>2000</v>
      </c>
      <c r="B3" s="5">
        <v>2</v>
      </c>
      <c r="C3" s="6" t="s">
        <v>12</v>
      </c>
      <c r="D3" s="5">
        <v>38</v>
      </c>
      <c r="E3" s="5">
        <v>20</v>
      </c>
      <c r="F3" s="5">
        <v>10</v>
      </c>
      <c r="G3" s="5">
        <v>8</v>
      </c>
      <c r="H3" s="5">
        <v>63</v>
      </c>
      <c r="I3" s="5">
        <v>38</v>
      </c>
      <c r="J3" s="5">
        <v>25</v>
      </c>
      <c r="K3" s="5">
        <v>70</v>
      </c>
      <c r="L3" s="5">
        <f>IF(Table24[[#This Row],['#]]=1,"Champion", IF(Table24[[#This Row],['#]]&gt;=18,"Relegated",Table24[[#This Row],['#]]))</f>
        <v>2</v>
      </c>
      <c r="M3" s="5">
        <f>IF(Table24[[#This Row],[Details]]=2,K2-Table24[[#This Row],[Pts]],IF(Table24[[#This Row],[Details]]=17,Table24[[#This Row],[Pts]]-K4,""))</f>
        <v>10</v>
      </c>
      <c r="P3" s="1" t="s">
        <v>58</v>
      </c>
      <c r="R3" s="1">
        <f>IFERROR(IF($Q$1=$P$3,INDEX(prem_analysis!$P$2:$Q$441,ROWS(Data!$P$2:Q3),COLUMNS(Data!$P$3:P4)),IF($Q$1=$P$5,INDEX(prem_analysis!$BH$1:$BS$23,ROWS(Data!$Q$3:Q4),COLUMNS(Data!$Q$3:Q4)),IF($Q$1=$P$6,INDEX(prem_analysis!$BU$1:$CF$67,ROWS(prem_analysis!$N$2:N3),COLUMNS(prem_analysis!$N$2:N3)),IF($Q$1=$P$4,INDEX(Table24[[#All],[Year]:[Details]],ROWS(prem_analysis!$M$420:M421),COLUMNS(Data!$Q$3:Q4)))))),"")</f>
        <v>2000</v>
      </c>
      <c r="S3" s="1">
        <f>IFERROR(IF($Q$1=$P$3,INDEX(prem_analysis!$P$2:$Q$441,ROWS(Data!$P$2:R3),COLUMNS(Data!$P$3:Q4)),IF($Q$1=$P$5,INDEX(prem_analysis!$BH$1:$BS$23,ROWS(Data!$Q$3:R4),COLUMNS(Data!$Q$3:R4)),IF($Q$1=$P$6,INDEX(prem_analysis!$BU$1:$CF$67,ROWS(prem_analysis!$N$2:O3),COLUMNS(prem_analysis!$N$2:O3)),IF($Q$1=$P$4,INDEX(Table24[[#All],[Year]:[Details]],ROWS(prem_analysis!$M$420:N421),COLUMNS(Data!$Q$3:R4)))))),"")</f>
        <v>1</v>
      </c>
      <c r="T3" s="1" t="str">
        <f>IFERROR(IF($Q$1=$P$3,INDEX(prem_analysis!$P$2:$Q$441,ROWS(Data!$P$2:S3),COLUMNS(Data!$P$3:R4)),IF($Q$1=$P$5,INDEX(prem_analysis!$BH$1:$BS$23,ROWS(Data!$Q$3:S4),COLUMNS(Data!$Q$3:S4)),IF($Q$1=$P$6,INDEX(prem_analysis!$BU$1:$CF$67,ROWS(prem_analysis!$N$2:P3),COLUMNS(prem_analysis!$N$2:P3)),IF($Q$1=$P$4,INDEX(Table24[[#All],[Year]:[Details]],ROWS(prem_analysis!$M$420:O421),COLUMNS(Data!$Q$3:S4)))))),"")</f>
        <v>Manchester United</v>
      </c>
      <c r="U3" s="1">
        <f>IFERROR(IF($Q$1=$P$3,INDEX(prem_analysis!$P$2:$Q$441,ROWS(Data!$P$2:T3),COLUMNS(Data!$P$3:S4)),IF($Q$1=$P$5,INDEX(prem_analysis!$BH$1:$BS$23,ROWS(Data!$Q$3:T4),COLUMNS(Data!$Q$3:T4)),IF($Q$1=$P$6,INDEX(prem_analysis!$BU$1:$CF$67,ROWS(prem_analysis!$N$2:Q3),COLUMNS(prem_analysis!$N$2:Q3)),IF($Q$1=$P$4,INDEX(Table24[[#All],[Year]:[Details]],ROWS(prem_analysis!$M$420:P421),COLUMNS(Data!$Q$3:T4)))))),"")</f>
        <v>38</v>
      </c>
      <c r="V3" s="1">
        <f>IFERROR(IF($Q$1=$P$3,INDEX(prem_analysis!$P$2:$Q$441,ROWS(Data!$P$2:U3),COLUMNS(Data!$P$3:T4)),IF($Q$1=$P$5,INDEX(prem_analysis!$BH$1:$BS$23,ROWS(Data!$Q$3:U4),COLUMNS(Data!$Q$3:U4)),IF($Q$1=$P$6,INDEX(prem_analysis!$BU$1:$CF$67,ROWS(prem_analysis!$N$2:R3),COLUMNS(prem_analysis!$N$2:R3)),IF($Q$1=$P$4,INDEX(Table24[[#All],[Year]:[Details]],ROWS(prem_analysis!$M$420:Q421),COLUMNS(Data!$Q$3:U4)))))),"")</f>
        <v>24</v>
      </c>
      <c r="W3" s="1">
        <f>IFERROR(IF($Q$1=$P$3,INDEX(prem_analysis!$P$2:$Q$441,ROWS(Data!$P$2:V3),COLUMNS(Data!$P$3:U4)),IF($Q$1=$P$5,INDEX(prem_analysis!$BH$1:$BS$23,ROWS(Data!$Q$3:V4),COLUMNS(Data!$Q$3:V4)),IF($Q$1=$P$6,INDEX(prem_analysis!$BU$1:$CF$67,ROWS(prem_analysis!$N$2:S3),COLUMNS(prem_analysis!$N$2:S3)),IF($Q$1=$P$4,INDEX(Table24[[#All],[Year]:[Details]],ROWS(prem_analysis!$M$420:R421),COLUMNS(Data!$Q$3:V4)))))),"")</f>
        <v>8</v>
      </c>
      <c r="X3" s="1">
        <f>IFERROR(IF($Q$1=$P$3,INDEX(prem_analysis!$P$2:$Q$441,ROWS(Data!$P$2:W3),COLUMNS(Data!$P$3:V4)),IF($Q$1=$P$5,INDEX(prem_analysis!$BH$1:$BS$23,ROWS(Data!$Q$3:W4),COLUMNS(Data!$Q$3:W4)),IF($Q$1=$P$6,INDEX(prem_analysis!$BU$1:$CF$67,ROWS(prem_analysis!$N$2:T3),COLUMNS(prem_analysis!$N$2:T3)),IF($Q$1=$P$4,INDEX(Table24[[#All],[Year]:[Details]],ROWS(prem_analysis!$M$420:S421),COLUMNS(Data!$Q$3:W4)))))),"")</f>
        <v>6</v>
      </c>
      <c r="Y3" s="1">
        <f>IFERROR(IF($Q$1=$P$3,INDEX(prem_analysis!$P$2:$Q$441,ROWS(Data!$P$2:X3),COLUMNS(Data!$P$3:W4)),IF($Q$1=$P$5,INDEX(prem_analysis!$BH$1:$BS$23,ROWS(Data!$Q$3:X4),COLUMNS(Data!$Q$3:X4)),IF($Q$1=$P$6,INDEX(prem_analysis!$BU$1:$CF$67,ROWS(prem_analysis!$N$2:U3),COLUMNS(prem_analysis!$N$2:U3)),IF($Q$1=$P$4,INDEX(Table24[[#All],[Year]:[Details]],ROWS(prem_analysis!$M$420:T421),COLUMNS(Data!$Q$3:X4)))))),"")</f>
        <v>79</v>
      </c>
      <c r="Z3" s="1">
        <f>IFERROR(IF($Q$1=$P$3,INDEX(prem_analysis!$P$2:$Q$441,ROWS(Data!$P$2:Y3),COLUMNS(Data!$P$3:X4)),IF($Q$1=$P$5,INDEX(prem_analysis!$BH$1:$BS$23,ROWS(Data!$Q$3:Y4),COLUMNS(Data!$Q$3:Y4)),IF($Q$1=$P$6,INDEX(prem_analysis!$BU$1:$CF$67,ROWS(prem_analysis!$N$2:V3),COLUMNS(prem_analysis!$N$2:V3)),IF($Q$1=$P$4,INDEX(Table24[[#All],[Year]:[Details]],ROWS(prem_analysis!$M$420:U421),COLUMNS(Data!$Q$3:Y4)))))),"")</f>
        <v>31</v>
      </c>
      <c r="AA3" s="1">
        <f>IFERROR(IF($Q$1=$P$3,INDEX(prem_analysis!$P$2:$Q$441,ROWS(Data!$P$2:Z3),COLUMNS(Data!$P$3:Y4)),IF($Q$1=$P$5,INDEX(prem_analysis!$BH$1:$BS$23,ROWS(Data!$Q$3:Z4),COLUMNS(Data!$Q$3:Z4)),IF($Q$1=$P$6,INDEX(prem_analysis!$BU$1:$CF$67,ROWS(prem_analysis!$N$2:W3),COLUMNS(prem_analysis!$N$2:W3)),IF($Q$1=$P$4,INDEX(Table24[[#All],[Year]:[Details]],ROWS(prem_analysis!$M$420:V421),COLUMNS(Data!$Q$3:Z4)))))),"")</f>
        <v>48</v>
      </c>
      <c r="AB3" s="1">
        <f>IFERROR(IF($Q$1=$P$3,INDEX(prem_analysis!$P$2:$Q$441,ROWS(Data!$P$2:AA3),COLUMNS(Data!$P$3:Z4)),IF($Q$1=$P$5,INDEX(prem_analysis!$BH$1:$BS$23,ROWS(Data!$Q$3:AA4),COLUMNS(Data!$Q$3:AA4)),IF($Q$1=$P$6,INDEX(prem_analysis!$BU$1:$CF$67,ROWS(prem_analysis!$N$2:X3),COLUMNS(prem_analysis!$N$2:X3)),IF($Q$1=$P$4,INDEX(Table24[[#All],[Year]:[Details]],ROWS(prem_analysis!$M$420:W421),COLUMNS(Data!$Q$3:AA4)))))),"")</f>
        <v>80</v>
      </c>
      <c r="AC3" s="1">
        <f>IFERROR(IF($Q$1=$P$3,INDEX(prem_analysis!$P$2:$Q$441,ROWS(Data!$P$2:AB3),COLUMNS(Data!$P$3:AA4)),IF($Q$1=$P$5,INDEX(prem_analysis!$BH$1:$BS$23,ROWS(Data!$Q$3:AB4),COLUMNS(Data!$Q$3:AB4)),IF($Q$1=$P$6,INDEX(prem_analysis!$BU$1:$CF$67,ROWS(prem_analysis!$N$2:Y3),COLUMNS(prem_analysis!$N$2:Y3)),IF($Q$1=$P$4,INDEX(Table24[[#All],[Year]:[Details]],ROWS(prem_analysis!$M$420:X421),COLUMNS(Data!$Q$3:AB4)))))),"")</f>
        <v>0.63157894736842102</v>
      </c>
    </row>
    <row r="4" spans="1:30" x14ac:dyDescent="0.2">
      <c r="A4" s="3">
        <v>2000</v>
      </c>
      <c r="B4" s="3">
        <v>3</v>
      </c>
      <c r="C4" s="4" t="s">
        <v>13</v>
      </c>
      <c r="D4" s="3">
        <v>38</v>
      </c>
      <c r="E4" s="3">
        <v>20</v>
      </c>
      <c r="F4" s="3">
        <v>9</v>
      </c>
      <c r="G4" s="3">
        <v>9</v>
      </c>
      <c r="H4" s="3">
        <v>71</v>
      </c>
      <c r="I4" s="3">
        <v>39</v>
      </c>
      <c r="J4" s="3">
        <v>32</v>
      </c>
      <c r="K4" s="3">
        <v>69</v>
      </c>
      <c r="L4" s="5">
        <f>IF(Table24[[#This Row],['#]]=1,"Champion", IF(Table24[[#This Row],['#]]&gt;=18,"Relegated",Table24[[#This Row],['#]]))</f>
        <v>3</v>
      </c>
      <c r="M4" s="5" t="str">
        <f>IF(Table24[[#This Row],[Details]]=2,K3-Table24[[#This Row],[Pts]],IF(Table24[[#This Row],[Details]]=17,Table24[[#This Row],[Pts]]-K5,""))</f>
        <v/>
      </c>
      <c r="P4" s="1" t="s">
        <v>59</v>
      </c>
      <c r="R4" s="1">
        <f>IFERROR(IF($Q$1=$P$3,INDEX(prem_analysis!$P$2:$Q$441,ROWS(Data!$P$2:Q4),COLUMNS(Data!$P$3:P5)),IF($Q$1=$P$5,INDEX(prem_analysis!$BH$1:$BS$23,ROWS(Data!$Q$3:Q5),COLUMNS(Data!$Q$3:Q5)),IF($Q$1=$P$6,INDEX(prem_analysis!$BU$1:$CF$67,ROWS(prem_analysis!$N$2:N4),COLUMNS(prem_analysis!$N$2:N4)),IF($Q$1=$P$4,INDEX(Table24[[#All],[Year]:[Details]],ROWS(prem_analysis!$M$420:M422),COLUMNS(Data!$Q$3:Q5)))))),"")</f>
        <v>2001</v>
      </c>
      <c r="S4" s="1">
        <f>IFERROR(IF($Q$1=$P$3,INDEX(prem_analysis!$P$2:$Q$441,ROWS(Data!$P$2:R4),COLUMNS(Data!$P$3:Q5)),IF($Q$1=$P$5,INDEX(prem_analysis!$BH$1:$BS$23,ROWS(Data!$Q$3:R5),COLUMNS(Data!$Q$3:R5)),IF($Q$1=$P$6,INDEX(prem_analysis!$BU$1:$CF$67,ROWS(prem_analysis!$N$2:O4),COLUMNS(prem_analysis!$N$2:O4)),IF($Q$1=$P$4,INDEX(Table24[[#All],[Year]:[Details]],ROWS(prem_analysis!$M$420:N422),COLUMNS(Data!$Q$3:R5)))))),"")</f>
        <v>1</v>
      </c>
      <c r="T4" s="1" t="str">
        <f>IFERROR(IF($Q$1=$P$3,INDEX(prem_analysis!$P$2:$Q$441,ROWS(Data!$P$2:S4),COLUMNS(Data!$P$3:R5)),IF($Q$1=$P$5,INDEX(prem_analysis!$BH$1:$BS$23,ROWS(Data!$Q$3:S5),COLUMNS(Data!$Q$3:S5)),IF($Q$1=$P$6,INDEX(prem_analysis!$BU$1:$CF$67,ROWS(prem_analysis!$N$2:P4),COLUMNS(prem_analysis!$N$2:P4)),IF($Q$1=$P$4,INDEX(Table24[[#All],[Year]:[Details]],ROWS(prem_analysis!$M$420:O422),COLUMNS(Data!$Q$3:S5)))))),"")</f>
        <v>Arsenal</v>
      </c>
      <c r="U4" s="1">
        <f>IFERROR(IF($Q$1=$P$3,INDEX(prem_analysis!$P$2:$Q$441,ROWS(Data!$P$2:T4),COLUMNS(Data!$P$3:S5)),IF($Q$1=$P$5,INDEX(prem_analysis!$BH$1:$BS$23,ROWS(Data!$Q$3:T5),COLUMNS(Data!$Q$3:T5)),IF($Q$1=$P$6,INDEX(prem_analysis!$BU$1:$CF$67,ROWS(prem_analysis!$N$2:Q4),COLUMNS(prem_analysis!$N$2:Q4)),IF($Q$1=$P$4,INDEX(Table24[[#All],[Year]:[Details]],ROWS(prem_analysis!$M$420:P422),COLUMNS(Data!$Q$3:T5)))))),"")</f>
        <v>38</v>
      </c>
      <c r="V4" s="1">
        <f>IFERROR(IF($Q$1=$P$3,INDEX(prem_analysis!$P$2:$Q$441,ROWS(Data!$P$2:U4),COLUMNS(Data!$P$3:T5)),IF($Q$1=$P$5,INDEX(prem_analysis!$BH$1:$BS$23,ROWS(Data!$Q$3:U5),COLUMNS(Data!$Q$3:U5)),IF($Q$1=$P$6,INDEX(prem_analysis!$BU$1:$CF$67,ROWS(prem_analysis!$N$2:R4),COLUMNS(prem_analysis!$N$2:R4)),IF($Q$1=$P$4,INDEX(Table24[[#All],[Year]:[Details]],ROWS(prem_analysis!$M$420:Q422),COLUMNS(Data!$Q$3:U5)))))),"")</f>
        <v>26</v>
      </c>
      <c r="W4" s="1">
        <f>IFERROR(IF($Q$1=$P$3,INDEX(prem_analysis!$P$2:$Q$441,ROWS(Data!$P$2:V4),COLUMNS(Data!$P$3:U5)),IF($Q$1=$P$5,INDEX(prem_analysis!$BH$1:$BS$23,ROWS(Data!$Q$3:V5),COLUMNS(Data!$Q$3:V5)),IF($Q$1=$P$6,INDEX(prem_analysis!$BU$1:$CF$67,ROWS(prem_analysis!$N$2:S4),COLUMNS(prem_analysis!$N$2:S4)),IF($Q$1=$P$4,INDEX(Table24[[#All],[Year]:[Details]],ROWS(prem_analysis!$M$420:R422),COLUMNS(Data!$Q$3:V5)))))),"")</f>
        <v>9</v>
      </c>
      <c r="X4" s="1">
        <f>IFERROR(IF($Q$1=$P$3,INDEX(prem_analysis!$P$2:$Q$441,ROWS(Data!$P$2:W4),COLUMNS(Data!$P$3:V5)),IF($Q$1=$P$5,INDEX(prem_analysis!$BH$1:$BS$23,ROWS(Data!$Q$3:W5),COLUMNS(Data!$Q$3:W5)),IF($Q$1=$P$6,INDEX(prem_analysis!$BU$1:$CF$67,ROWS(prem_analysis!$N$2:T4),COLUMNS(prem_analysis!$N$2:T4)),IF($Q$1=$P$4,INDEX(Table24[[#All],[Year]:[Details]],ROWS(prem_analysis!$M$420:S422),COLUMNS(Data!$Q$3:W5)))))),"")</f>
        <v>3</v>
      </c>
      <c r="Y4" s="1">
        <f>IFERROR(IF($Q$1=$P$3,INDEX(prem_analysis!$P$2:$Q$441,ROWS(Data!$P$2:X4),COLUMNS(Data!$P$3:W5)),IF($Q$1=$P$5,INDEX(prem_analysis!$BH$1:$BS$23,ROWS(Data!$Q$3:X5),COLUMNS(Data!$Q$3:X5)),IF($Q$1=$P$6,INDEX(prem_analysis!$BU$1:$CF$67,ROWS(prem_analysis!$N$2:U4),COLUMNS(prem_analysis!$N$2:U4)),IF($Q$1=$P$4,INDEX(Table24[[#All],[Year]:[Details]],ROWS(prem_analysis!$M$420:T422),COLUMNS(Data!$Q$3:X5)))))),"")</f>
        <v>79</v>
      </c>
      <c r="Z4" s="1">
        <f>IFERROR(IF($Q$1=$P$3,INDEX(prem_analysis!$P$2:$Q$441,ROWS(Data!$P$2:Y4),COLUMNS(Data!$P$3:X5)),IF($Q$1=$P$5,INDEX(prem_analysis!$BH$1:$BS$23,ROWS(Data!$Q$3:Y5),COLUMNS(Data!$Q$3:Y5)),IF($Q$1=$P$6,INDEX(prem_analysis!$BU$1:$CF$67,ROWS(prem_analysis!$N$2:V4),COLUMNS(prem_analysis!$N$2:V4)),IF($Q$1=$P$4,INDEX(Table24[[#All],[Year]:[Details]],ROWS(prem_analysis!$M$420:U422),COLUMNS(Data!$Q$3:Y5)))))),"")</f>
        <v>36</v>
      </c>
      <c r="AA4" s="1">
        <f>IFERROR(IF($Q$1=$P$3,INDEX(prem_analysis!$P$2:$Q$441,ROWS(Data!$P$2:Z4),COLUMNS(Data!$P$3:Y5)),IF($Q$1=$P$5,INDEX(prem_analysis!$BH$1:$BS$23,ROWS(Data!$Q$3:Z5),COLUMNS(Data!$Q$3:Z5)),IF($Q$1=$P$6,INDEX(prem_analysis!$BU$1:$CF$67,ROWS(prem_analysis!$N$2:W4),COLUMNS(prem_analysis!$N$2:W4)),IF($Q$1=$P$4,INDEX(Table24[[#All],[Year]:[Details]],ROWS(prem_analysis!$M$420:V422),COLUMNS(Data!$Q$3:Z5)))))),"")</f>
        <v>43</v>
      </c>
      <c r="AB4" s="1">
        <f>IFERROR(IF($Q$1=$P$3,INDEX(prem_analysis!$P$2:$Q$441,ROWS(Data!$P$2:AA4),COLUMNS(Data!$P$3:Z5)),IF($Q$1=$P$5,INDEX(prem_analysis!$BH$1:$BS$23,ROWS(Data!$Q$3:AA5),COLUMNS(Data!$Q$3:AA5)),IF($Q$1=$P$6,INDEX(prem_analysis!$BU$1:$CF$67,ROWS(prem_analysis!$N$2:X4),COLUMNS(prem_analysis!$N$2:X4)),IF($Q$1=$P$4,INDEX(Table24[[#All],[Year]:[Details]],ROWS(prem_analysis!$M$420:W422),COLUMNS(Data!$Q$3:AA5)))))),"")</f>
        <v>87</v>
      </c>
      <c r="AC4" s="1">
        <f>IFERROR(IF($Q$1=$P$3,INDEX(prem_analysis!$P$2:$Q$441,ROWS(Data!$P$2:AB4),COLUMNS(Data!$P$3:AA5)),IF($Q$1=$P$5,INDEX(prem_analysis!$BH$1:$BS$23,ROWS(Data!$Q$3:AB5),COLUMNS(Data!$Q$3:AB5)),IF($Q$1=$P$6,INDEX(prem_analysis!$BU$1:$CF$67,ROWS(prem_analysis!$N$2:Y4),COLUMNS(prem_analysis!$N$2:Y4)),IF($Q$1=$P$4,INDEX(Table24[[#All],[Year]:[Details]],ROWS(prem_analysis!$M$420:X422),COLUMNS(Data!$Q$3:AB5)))))),"")</f>
        <v>0.68421052631578949</v>
      </c>
    </row>
    <row r="5" spans="1:30" x14ac:dyDescent="0.2">
      <c r="A5" s="5">
        <v>2000</v>
      </c>
      <c r="B5" s="5">
        <v>4</v>
      </c>
      <c r="C5" s="6" t="s">
        <v>14</v>
      </c>
      <c r="D5" s="5">
        <v>38</v>
      </c>
      <c r="E5" s="5">
        <v>20</v>
      </c>
      <c r="F5" s="5">
        <v>8</v>
      </c>
      <c r="G5" s="5">
        <v>10</v>
      </c>
      <c r="H5" s="5">
        <v>64</v>
      </c>
      <c r="I5" s="5">
        <v>43</v>
      </c>
      <c r="J5" s="5">
        <v>21</v>
      </c>
      <c r="K5" s="5">
        <v>68</v>
      </c>
      <c r="L5" s="5">
        <f>IF(Table24[[#This Row],['#]]=1,"Champion", IF(Table24[[#This Row],['#]]&gt;=18,"Relegated",Table24[[#This Row],['#]]))</f>
        <v>4</v>
      </c>
      <c r="M5" s="5" t="str">
        <f>IF(Table24[[#This Row],[Details]]=2,K4-Table24[[#This Row],[Pts]],IF(Table24[[#This Row],[Details]]=17,Table24[[#This Row],[Pts]]-K6,""))</f>
        <v/>
      </c>
      <c r="P5" s="1" t="s">
        <v>60</v>
      </c>
      <c r="R5" s="1">
        <f>IFERROR(IF($Q$1=$P$3,INDEX(prem_analysis!$P$2:$Q$441,ROWS(Data!$P$2:Q5),COLUMNS(Data!$P$3:P6)),IF($Q$1=$P$5,INDEX(prem_analysis!$BH$1:$BS$23,ROWS(Data!$Q$3:Q6),COLUMNS(Data!$Q$3:Q6)),IF($Q$1=$P$6,INDEX(prem_analysis!$BU$1:$CF$67,ROWS(prem_analysis!$N$2:N5),COLUMNS(prem_analysis!$N$2:N5)),IF($Q$1=$P$4,INDEX(Table24[[#All],[Year]:[Details]],ROWS(prem_analysis!$M$420:M423),COLUMNS(Data!$Q$3:Q6)))))),"")</f>
        <v>2002</v>
      </c>
      <c r="S5" s="1">
        <f>IFERROR(IF($Q$1=$P$3,INDEX(prem_analysis!$P$2:$Q$441,ROWS(Data!$P$2:R5),COLUMNS(Data!$P$3:Q6)),IF($Q$1=$P$5,INDEX(prem_analysis!$BH$1:$BS$23,ROWS(Data!$Q$3:R6),COLUMNS(Data!$Q$3:R6)),IF($Q$1=$P$6,INDEX(prem_analysis!$BU$1:$CF$67,ROWS(prem_analysis!$N$2:O5),COLUMNS(prem_analysis!$N$2:O5)),IF($Q$1=$P$4,INDEX(Table24[[#All],[Year]:[Details]],ROWS(prem_analysis!$M$420:N423),COLUMNS(Data!$Q$3:R6)))))),"")</f>
        <v>1</v>
      </c>
      <c r="T5" s="1" t="str">
        <f>IFERROR(IF($Q$1=$P$3,INDEX(prem_analysis!$P$2:$Q$441,ROWS(Data!$P$2:S5),COLUMNS(Data!$P$3:R6)),IF($Q$1=$P$5,INDEX(prem_analysis!$BH$1:$BS$23,ROWS(Data!$Q$3:S6),COLUMNS(Data!$Q$3:S6)),IF($Q$1=$P$6,INDEX(prem_analysis!$BU$1:$CF$67,ROWS(prem_analysis!$N$2:P5),COLUMNS(prem_analysis!$N$2:P5)),IF($Q$1=$P$4,INDEX(Table24[[#All],[Year]:[Details]],ROWS(prem_analysis!$M$420:O423),COLUMNS(Data!$Q$3:S6)))))),"")</f>
        <v>Manchester United</v>
      </c>
      <c r="U5" s="1">
        <f>IFERROR(IF($Q$1=$P$3,INDEX(prem_analysis!$P$2:$Q$441,ROWS(Data!$P$2:T5),COLUMNS(Data!$P$3:S6)),IF($Q$1=$P$5,INDEX(prem_analysis!$BH$1:$BS$23,ROWS(Data!$Q$3:T6),COLUMNS(Data!$Q$3:T6)),IF($Q$1=$P$6,INDEX(prem_analysis!$BU$1:$CF$67,ROWS(prem_analysis!$N$2:Q5),COLUMNS(prem_analysis!$N$2:Q5)),IF($Q$1=$P$4,INDEX(Table24[[#All],[Year]:[Details]],ROWS(prem_analysis!$M$420:P423),COLUMNS(Data!$Q$3:T6)))))),"")</f>
        <v>38</v>
      </c>
      <c r="V5" s="1">
        <f>IFERROR(IF($Q$1=$P$3,INDEX(prem_analysis!$P$2:$Q$441,ROWS(Data!$P$2:U5),COLUMNS(Data!$P$3:T6)),IF($Q$1=$P$5,INDEX(prem_analysis!$BH$1:$BS$23,ROWS(Data!$Q$3:U6),COLUMNS(Data!$Q$3:U6)),IF($Q$1=$P$6,INDEX(prem_analysis!$BU$1:$CF$67,ROWS(prem_analysis!$N$2:R5),COLUMNS(prem_analysis!$N$2:R5)),IF($Q$1=$P$4,INDEX(Table24[[#All],[Year]:[Details]],ROWS(prem_analysis!$M$420:Q423),COLUMNS(Data!$Q$3:U6)))))),"")</f>
        <v>25</v>
      </c>
      <c r="W5" s="1">
        <f>IFERROR(IF($Q$1=$P$3,INDEX(prem_analysis!$P$2:$Q$441,ROWS(Data!$P$2:V5),COLUMNS(Data!$P$3:U6)),IF($Q$1=$P$5,INDEX(prem_analysis!$BH$1:$BS$23,ROWS(Data!$Q$3:V6),COLUMNS(Data!$Q$3:V6)),IF($Q$1=$P$6,INDEX(prem_analysis!$BU$1:$CF$67,ROWS(prem_analysis!$N$2:S5),COLUMNS(prem_analysis!$N$2:S5)),IF($Q$1=$P$4,INDEX(Table24[[#All],[Year]:[Details]],ROWS(prem_analysis!$M$420:R423),COLUMNS(Data!$Q$3:V6)))))),"")</f>
        <v>8</v>
      </c>
      <c r="X5" s="1">
        <f>IFERROR(IF($Q$1=$P$3,INDEX(prem_analysis!$P$2:$Q$441,ROWS(Data!$P$2:W5),COLUMNS(Data!$P$3:V6)),IF($Q$1=$P$5,INDEX(prem_analysis!$BH$1:$BS$23,ROWS(Data!$Q$3:W6),COLUMNS(Data!$Q$3:W6)),IF($Q$1=$P$6,INDEX(prem_analysis!$BU$1:$CF$67,ROWS(prem_analysis!$N$2:T5),COLUMNS(prem_analysis!$N$2:T5)),IF($Q$1=$P$4,INDEX(Table24[[#All],[Year]:[Details]],ROWS(prem_analysis!$M$420:S423),COLUMNS(Data!$Q$3:W6)))))),"")</f>
        <v>5</v>
      </c>
      <c r="Y5" s="1">
        <f>IFERROR(IF($Q$1=$P$3,INDEX(prem_analysis!$P$2:$Q$441,ROWS(Data!$P$2:X5),COLUMNS(Data!$P$3:W6)),IF($Q$1=$P$5,INDEX(prem_analysis!$BH$1:$BS$23,ROWS(Data!$Q$3:X6),COLUMNS(Data!$Q$3:X6)),IF($Q$1=$P$6,INDEX(prem_analysis!$BU$1:$CF$67,ROWS(prem_analysis!$N$2:U5),COLUMNS(prem_analysis!$N$2:U5)),IF($Q$1=$P$4,INDEX(Table24[[#All],[Year]:[Details]],ROWS(prem_analysis!$M$420:T423),COLUMNS(Data!$Q$3:X6)))))),"")</f>
        <v>74</v>
      </c>
      <c r="Z5" s="1">
        <f>IFERROR(IF($Q$1=$P$3,INDEX(prem_analysis!$P$2:$Q$441,ROWS(Data!$P$2:Y5),COLUMNS(Data!$P$3:X6)),IF($Q$1=$P$5,INDEX(prem_analysis!$BH$1:$BS$23,ROWS(Data!$Q$3:Y6),COLUMNS(Data!$Q$3:Y6)),IF($Q$1=$P$6,INDEX(prem_analysis!$BU$1:$CF$67,ROWS(prem_analysis!$N$2:V5),COLUMNS(prem_analysis!$N$2:V5)),IF($Q$1=$P$4,INDEX(Table24[[#All],[Year]:[Details]],ROWS(prem_analysis!$M$420:U423),COLUMNS(Data!$Q$3:Y6)))))),"")</f>
        <v>34</v>
      </c>
      <c r="AA5" s="1">
        <f>IFERROR(IF($Q$1=$P$3,INDEX(prem_analysis!$P$2:$Q$441,ROWS(Data!$P$2:Z5),COLUMNS(Data!$P$3:Y6)),IF($Q$1=$P$5,INDEX(prem_analysis!$BH$1:$BS$23,ROWS(Data!$Q$3:Z6),COLUMNS(Data!$Q$3:Z6)),IF($Q$1=$P$6,INDEX(prem_analysis!$BU$1:$CF$67,ROWS(prem_analysis!$N$2:W5),COLUMNS(prem_analysis!$N$2:W5)),IF($Q$1=$P$4,INDEX(Table24[[#All],[Year]:[Details]],ROWS(prem_analysis!$M$420:V423),COLUMNS(Data!$Q$3:Z6)))))),"")</f>
        <v>40</v>
      </c>
      <c r="AB5" s="1">
        <f>IFERROR(IF($Q$1=$P$3,INDEX(prem_analysis!$P$2:$Q$441,ROWS(Data!$P$2:AA5),COLUMNS(Data!$P$3:Z6)),IF($Q$1=$P$5,INDEX(prem_analysis!$BH$1:$BS$23,ROWS(Data!$Q$3:AA6),COLUMNS(Data!$Q$3:AA6)),IF($Q$1=$P$6,INDEX(prem_analysis!$BU$1:$CF$67,ROWS(prem_analysis!$N$2:X5),COLUMNS(prem_analysis!$N$2:X5)),IF($Q$1=$P$4,INDEX(Table24[[#All],[Year]:[Details]],ROWS(prem_analysis!$M$420:W423),COLUMNS(Data!$Q$3:AA6)))))),"")</f>
        <v>83</v>
      </c>
      <c r="AC5" s="1">
        <f>IFERROR(IF($Q$1=$P$3,INDEX(prem_analysis!$P$2:$Q$441,ROWS(Data!$P$2:AB5),COLUMNS(Data!$P$3:AA6)),IF($Q$1=$P$5,INDEX(prem_analysis!$BH$1:$BS$23,ROWS(Data!$Q$3:AB6),COLUMNS(Data!$Q$3:AB6)),IF($Q$1=$P$6,INDEX(prem_analysis!$BU$1:$CF$67,ROWS(prem_analysis!$N$2:Y5),COLUMNS(prem_analysis!$N$2:Y5)),IF($Q$1=$P$4,INDEX(Table24[[#All],[Year]:[Details]],ROWS(prem_analysis!$M$420:X423),COLUMNS(Data!$Q$3:AB6)))))),"")</f>
        <v>0.65789473684210531</v>
      </c>
    </row>
    <row r="6" spans="1:30" x14ac:dyDescent="0.2">
      <c r="A6" s="3">
        <v>2000</v>
      </c>
      <c r="B6" s="3">
        <v>5</v>
      </c>
      <c r="C6" s="4" t="s">
        <v>15</v>
      </c>
      <c r="D6" s="3">
        <v>38</v>
      </c>
      <c r="E6" s="3">
        <v>20</v>
      </c>
      <c r="F6" s="3">
        <v>6</v>
      </c>
      <c r="G6" s="3">
        <v>12</v>
      </c>
      <c r="H6" s="3">
        <v>57</v>
      </c>
      <c r="I6" s="3">
        <v>42</v>
      </c>
      <c r="J6" s="3">
        <v>15</v>
      </c>
      <c r="K6" s="3">
        <v>66</v>
      </c>
      <c r="L6" s="5">
        <f>IF(Table24[[#This Row],['#]]=1,"Champion", IF(Table24[[#This Row],['#]]&gt;=18,"Relegated",Table24[[#This Row],['#]]))</f>
        <v>5</v>
      </c>
      <c r="M6" s="5" t="str">
        <f>IF(Table24[[#This Row],[Details]]=2,K5-Table24[[#This Row],[Pts]],IF(Table24[[#This Row],[Details]]=17,Table24[[#This Row],[Pts]]-K7,""))</f>
        <v/>
      </c>
      <c r="P6" s="1" t="s">
        <v>61</v>
      </c>
      <c r="R6" s="1">
        <f>IFERROR(IF($Q$1=$P$3,INDEX(prem_analysis!$P$2:$Q$441,ROWS(Data!$P$2:Q6),COLUMNS(Data!$P$3:P7)),IF($Q$1=$P$5,INDEX(prem_analysis!$BH$1:$BS$23,ROWS(Data!$Q$3:Q7),COLUMNS(Data!$Q$3:Q7)),IF($Q$1=$P$6,INDEX(prem_analysis!$BU$1:$CF$67,ROWS(prem_analysis!$N$2:N6),COLUMNS(prem_analysis!$N$2:N6)),IF($Q$1=$P$4,INDEX(Table24[[#All],[Year]:[Details]],ROWS(prem_analysis!$M$420:M424),COLUMNS(Data!$Q$3:Q7)))))),"")</f>
        <v>2003</v>
      </c>
      <c r="S6" s="1">
        <f>IFERROR(IF($Q$1=$P$3,INDEX(prem_analysis!$P$2:$Q$441,ROWS(Data!$P$2:R6),COLUMNS(Data!$P$3:Q7)),IF($Q$1=$P$5,INDEX(prem_analysis!$BH$1:$BS$23,ROWS(Data!$Q$3:R7),COLUMNS(Data!$Q$3:R7)),IF($Q$1=$P$6,INDEX(prem_analysis!$BU$1:$CF$67,ROWS(prem_analysis!$N$2:O6),COLUMNS(prem_analysis!$N$2:O6)),IF($Q$1=$P$4,INDEX(Table24[[#All],[Year]:[Details]],ROWS(prem_analysis!$M$420:N424),COLUMNS(Data!$Q$3:R7)))))),"")</f>
        <v>1</v>
      </c>
      <c r="T6" s="1" t="str">
        <f>IFERROR(IF($Q$1=$P$3,INDEX(prem_analysis!$P$2:$Q$441,ROWS(Data!$P$2:S6),COLUMNS(Data!$P$3:R7)),IF($Q$1=$P$5,INDEX(prem_analysis!$BH$1:$BS$23,ROWS(Data!$Q$3:S7),COLUMNS(Data!$Q$3:S7)),IF($Q$1=$P$6,INDEX(prem_analysis!$BU$1:$CF$67,ROWS(prem_analysis!$N$2:P6),COLUMNS(prem_analysis!$N$2:P6)),IF($Q$1=$P$4,INDEX(Table24[[#All],[Year]:[Details]],ROWS(prem_analysis!$M$420:O424),COLUMNS(Data!$Q$3:S7)))))),"")</f>
        <v>Arsenal</v>
      </c>
      <c r="U6" s="1">
        <f>IFERROR(IF($Q$1=$P$3,INDEX(prem_analysis!$P$2:$Q$441,ROWS(Data!$P$2:T6),COLUMNS(Data!$P$3:S7)),IF($Q$1=$P$5,INDEX(prem_analysis!$BH$1:$BS$23,ROWS(Data!$Q$3:T7),COLUMNS(Data!$Q$3:T7)),IF($Q$1=$P$6,INDEX(prem_analysis!$BU$1:$CF$67,ROWS(prem_analysis!$N$2:Q6),COLUMNS(prem_analysis!$N$2:Q6)),IF($Q$1=$P$4,INDEX(Table24[[#All],[Year]:[Details]],ROWS(prem_analysis!$M$420:P424),COLUMNS(Data!$Q$3:T7)))))),"")</f>
        <v>38</v>
      </c>
      <c r="V6" s="1">
        <f>IFERROR(IF($Q$1=$P$3,INDEX(prem_analysis!$P$2:$Q$441,ROWS(Data!$P$2:U6),COLUMNS(Data!$P$3:T7)),IF($Q$1=$P$5,INDEX(prem_analysis!$BH$1:$BS$23,ROWS(Data!$Q$3:U7),COLUMNS(Data!$Q$3:U7)),IF($Q$1=$P$6,INDEX(prem_analysis!$BU$1:$CF$67,ROWS(prem_analysis!$N$2:R6),COLUMNS(prem_analysis!$N$2:R6)),IF($Q$1=$P$4,INDEX(Table24[[#All],[Year]:[Details]],ROWS(prem_analysis!$M$420:Q424),COLUMNS(Data!$Q$3:U7)))))),"")</f>
        <v>26</v>
      </c>
      <c r="W6" s="1">
        <f>IFERROR(IF($Q$1=$P$3,INDEX(prem_analysis!$P$2:$Q$441,ROWS(Data!$P$2:V6),COLUMNS(Data!$P$3:U7)),IF($Q$1=$P$5,INDEX(prem_analysis!$BH$1:$BS$23,ROWS(Data!$Q$3:V7),COLUMNS(Data!$Q$3:V7)),IF($Q$1=$P$6,INDEX(prem_analysis!$BU$1:$CF$67,ROWS(prem_analysis!$N$2:S6),COLUMNS(prem_analysis!$N$2:S6)),IF($Q$1=$P$4,INDEX(Table24[[#All],[Year]:[Details]],ROWS(prem_analysis!$M$420:R424),COLUMNS(Data!$Q$3:V7)))))),"")</f>
        <v>12</v>
      </c>
      <c r="X6" s="1">
        <f>IFERROR(IF($Q$1=$P$3,INDEX(prem_analysis!$P$2:$Q$441,ROWS(Data!$P$2:W6),COLUMNS(Data!$P$3:V7)),IF($Q$1=$P$5,INDEX(prem_analysis!$BH$1:$BS$23,ROWS(Data!$Q$3:W7),COLUMNS(Data!$Q$3:W7)),IF($Q$1=$P$6,INDEX(prem_analysis!$BU$1:$CF$67,ROWS(prem_analysis!$N$2:T6),COLUMNS(prem_analysis!$N$2:T6)),IF($Q$1=$P$4,INDEX(Table24[[#All],[Year]:[Details]],ROWS(prem_analysis!$M$420:S424),COLUMNS(Data!$Q$3:W7)))))),"")</f>
        <v>0</v>
      </c>
      <c r="Y6" s="1">
        <f>IFERROR(IF($Q$1=$P$3,INDEX(prem_analysis!$P$2:$Q$441,ROWS(Data!$P$2:X6),COLUMNS(Data!$P$3:W7)),IF($Q$1=$P$5,INDEX(prem_analysis!$BH$1:$BS$23,ROWS(Data!$Q$3:X7),COLUMNS(Data!$Q$3:X7)),IF($Q$1=$P$6,INDEX(prem_analysis!$BU$1:$CF$67,ROWS(prem_analysis!$N$2:U6),COLUMNS(prem_analysis!$N$2:U6)),IF($Q$1=$P$4,INDEX(Table24[[#All],[Year]:[Details]],ROWS(prem_analysis!$M$420:T424),COLUMNS(Data!$Q$3:X7)))))),"")</f>
        <v>73</v>
      </c>
      <c r="Z6" s="1">
        <f>IFERROR(IF($Q$1=$P$3,INDEX(prem_analysis!$P$2:$Q$441,ROWS(Data!$P$2:Y6),COLUMNS(Data!$P$3:X7)),IF($Q$1=$P$5,INDEX(prem_analysis!$BH$1:$BS$23,ROWS(Data!$Q$3:Y7),COLUMNS(Data!$Q$3:Y7)),IF($Q$1=$P$6,INDEX(prem_analysis!$BU$1:$CF$67,ROWS(prem_analysis!$N$2:V6),COLUMNS(prem_analysis!$N$2:V6)),IF($Q$1=$P$4,INDEX(Table24[[#All],[Year]:[Details]],ROWS(prem_analysis!$M$420:U424),COLUMNS(Data!$Q$3:Y7)))))),"")</f>
        <v>26</v>
      </c>
      <c r="AA6" s="1">
        <f>IFERROR(IF($Q$1=$P$3,INDEX(prem_analysis!$P$2:$Q$441,ROWS(Data!$P$2:Z6),COLUMNS(Data!$P$3:Y7)),IF($Q$1=$P$5,INDEX(prem_analysis!$BH$1:$BS$23,ROWS(Data!$Q$3:Z7),COLUMNS(Data!$Q$3:Z7)),IF($Q$1=$P$6,INDEX(prem_analysis!$BU$1:$CF$67,ROWS(prem_analysis!$N$2:W6),COLUMNS(prem_analysis!$N$2:W6)),IF($Q$1=$P$4,INDEX(Table24[[#All],[Year]:[Details]],ROWS(prem_analysis!$M$420:V424),COLUMNS(Data!$Q$3:Z7)))))),"")</f>
        <v>47</v>
      </c>
      <c r="AB6" s="1">
        <f>IFERROR(IF($Q$1=$P$3,INDEX(prem_analysis!$P$2:$Q$441,ROWS(Data!$P$2:AA6),COLUMNS(Data!$P$3:Z7)),IF($Q$1=$P$5,INDEX(prem_analysis!$BH$1:$BS$23,ROWS(Data!$Q$3:AA7),COLUMNS(Data!$Q$3:AA7)),IF($Q$1=$P$6,INDEX(prem_analysis!$BU$1:$CF$67,ROWS(prem_analysis!$N$2:X6),COLUMNS(prem_analysis!$N$2:X6)),IF($Q$1=$P$4,INDEX(Table24[[#All],[Year]:[Details]],ROWS(prem_analysis!$M$420:W424),COLUMNS(Data!$Q$3:AA7)))))),"")</f>
        <v>90</v>
      </c>
      <c r="AC6" s="1">
        <f>IFERROR(IF($Q$1=$P$3,INDEX(prem_analysis!$P$2:$Q$441,ROWS(Data!$P$2:AB6),COLUMNS(Data!$P$3:AA7)),IF($Q$1=$P$5,INDEX(prem_analysis!$BH$1:$BS$23,ROWS(Data!$Q$3:AB7),COLUMNS(Data!$Q$3:AB7)),IF($Q$1=$P$6,INDEX(prem_analysis!$BU$1:$CF$67,ROWS(prem_analysis!$N$2:Y6),COLUMNS(prem_analysis!$N$2:Y6)),IF($Q$1=$P$4,INDEX(Table24[[#All],[Year]:[Details]],ROWS(prem_analysis!$M$420:X424),COLUMNS(Data!$Q$3:AB7)))))),"")</f>
        <v>0.68421052631578949</v>
      </c>
    </row>
    <row r="7" spans="1:30" x14ac:dyDescent="0.2">
      <c r="A7" s="5">
        <v>2000</v>
      </c>
      <c r="B7" s="5">
        <v>6</v>
      </c>
      <c r="C7" s="6" t="s">
        <v>16</v>
      </c>
      <c r="D7" s="5">
        <v>38</v>
      </c>
      <c r="E7" s="5">
        <v>17</v>
      </c>
      <c r="F7" s="5">
        <v>10</v>
      </c>
      <c r="G7" s="5">
        <v>11</v>
      </c>
      <c r="H7" s="5">
        <v>68</v>
      </c>
      <c r="I7" s="5">
        <v>45</v>
      </c>
      <c r="J7" s="5">
        <v>23</v>
      </c>
      <c r="K7" s="5">
        <v>61</v>
      </c>
      <c r="L7" s="5">
        <f>IF(Table24[[#This Row],['#]]=1,"Champion", IF(Table24[[#This Row],['#]]&gt;=18,"Relegated",Table24[[#This Row],['#]]))</f>
        <v>6</v>
      </c>
      <c r="M7" s="5" t="str">
        <f>IF(Table24[[#This Row],[Details]]=2,K6-Table24[[#This Row],[Pts]],IF(Table24[[#This Row],[Details]]=17,Table24[[#This Row],[Pts]]-K8,""))</f>
        <v/>
      </c>
      <c r="P7" s="1" t="s">
        <v>62</v>
      </c>
      <c r="R7" s="1">
        <f>IFERROR(IF($Q$1=$P$3,INDEX(prem_analysis!$P$2:$Q$441,ROWS(Data!$P$2:Q7),COLUMNS(Data!$P$3:P8)),IF($Q$1=$P$5,INDEX(prem_analysis!$BH$1:$BS$23,ROWS(Data!$Q$3:Q8),COLUMNS(Data!$Q$3:Q8)),IF($Q$1=$P$6,INDEX(prem_analysis!$BU$1:$CF$67,ROWS(prem_analysis!$N$2:N7),COLUMNS(prem_analysis!$N$2:N7)),IF($Q$1=$P$4,INDEX(Table24[[#All],[Year]:[Details]],ROWS(prem_analysis!$M$420:M425),COLUMNS(Data!$Q$3:Q8)))))),"")</f>
        <v>2004</v>
      </c>
      <c r="S7" s="1">
        <f>IFERROR(IF($Q$1=$P$3,INDEX(prem_analysis!$P$2:$Q$441,ROWS(Data!$P$2:R7),COLUMNS(Data!$P$3:Q8)),IF($Q$1=$P$5,INDEX(prem_analysis!$BH$1:$BS$23,ROWS(Data!$Q$3:R8),COLUMNS(Data!$Q$3:R8)),IF($Q$1=$P$6,INDEX(prem_analysis!$BU$1:$CF$67,ROWS(prem_analysis!$N$2:O7),COLUMNS(prem_analysis!$N$2:O7)),IF($Q$1=$P$4,INDEX(Table24[[#All],[Year]:[Details]],ROWS(prem_analysis!$M$420:N425),COLUMNS(Data!$Q$3:R8)))))),"")</f>
        <v>1</v>
      </c>
      <c r="T7" s="1" t="str">
        <f>IFERROR(IF($Q$1=$P$3,INDEX(prem_analysis!$P$2:$Q$441,ROWS(Data!$P$2:S7),COLUMNS(Data!$P$3:R8)),IF($Q$1=$P$5,INDEX(prem_analysis!$BH$1:$BS$23,ROWS(Data!$Q$3:S8),COLUMNS(Data!$Q$3:S8)),IF($Q$1=$P$6,INDEX(prem_analysis!$BU$1:$CF$67,ROWS(prem_analysis!$N$2:P7),COLUMNS(prem_analysis!$N$2:P7)),IF($Q$1=$P$4,INDEX(Table24[[#All],[Year]:[Details]],ROWS(prem_analysis!$M$420:O425),COLUMNS(Data!$Q$3:S8)))))),"")</f>
        <v>Chelsea</v>
      </c>
      <c r="U7" s="1">
        <f>IFERROR(IF($Q$1=$P$3,INDEX(prem_analysis!$P$2:$Q$441,ROWS(Data!$P$2:T7),COLUMNS(Data!$P$3:S8)),IF($Q$1=$P$5,INDEX(prem_analysis!$BH$1:$BS$23,ROWS(Data!$Q$3:T8),COLUMNS(Data!$Q$3:T8)),IF($Q$1=$P$6,INDEX(prem_analysis!$BU$1:$CF$67,ROWS(prem_analysis!$N$2:Q7),COLUMNS(prem_analysis!$N$2:Q7)),IF($Q$1=$P$4,INDEX(Table24[[#All],[Year]:[Details]],ROWS(prem_analysis!$M$420:P425),COLUMNS(Data!$Q$3:T8)))))),"")</f>
        <v>38</v>
      </c>
      <c r="V7" s="1">
        <f>IFERROR(IF($Q$1=$P$3,INDEX(prem_analysis!$P$2:$Q$441,ROWS(Data!$P$2:U7),COLUMNS(Data!$P$3:T8)),IF($Q$1=$P$5,INDEX(prem_analysis!$BH$1:$BS$23,ROWS(Data!$Q$3:U8),COLUMNS(Data!$Q$3:U8)),IF($Q$1=$P$6,INDEX(prem_analysis!$BU$1:$CF$67,ROWS(prem_analysis!$N$2:R7),COLUMNS(prem_analysis!$N$2:R7)),IF($Q$1=$P$4,INDEX(Table24[[#All],[Year]:[Details]],ROWS(prem_analysis!$M$420:Q425),COLUMNS(Data!$Q$3:U8)))))),"")</f>
        <v>29</v>
      </c>
      <c r="W7" s="1">
        <f>IFERROR(IF($Q$1=$P$3,INDEX(prem_analysis!$P$2:$Q$441,ROWS(Data!$P$2:V7),COLUMNS(Data!$P$3:U8)),IF($Q$1=$P$5,INDEX(prem_analysis!$BH$1:$BS$23,ROWS(Data!$Q$3:V8),COLUMNS(Data!$Q$3:V8)),IF($Q$1=$P$6,INDEX(prem_analysis!$BU$1:$CF$67,ROWS(prem_analysis!$N$2:S7),COLUMNS(prem_analysis!$N$2:S7)),IF($Q$1=$P$4,INDEX(Table24[[#All],[Year]:[Details]],ROWS(prem_analysis!$M$420:R425),COLUMNS(Data!$Q$3:V8)))))),"")</f>
        <v>8</v>
      </c>
      <c r="X7" s="1">
        <f>IFERROR(IF($Q$1=$P$3,INDEX(prem_analysis!$P$2:$Q$441,ROWS(Data!$P$2:W7),COLUMNS(Data!$P$3:V8)),IF($Q$1=$P$5,INDEX(prem_analysis!$BH$1:$BS$23,ROWS(Data!$Q$3:W8),COLUMNS(Data!$Q$3:W8)),IF($Q$1=$P$6,INDEX(prem_analysis!$BU$1:$CF$67,ROWS(prem_analysis!$N$2:T7),COLUMNS(prem_analysis!$N$2:T7)),IF($Q$1=$P$4,INDEX(Table24[[#All],[Year]:[Details]],ROWS(prem_analysis!$M$420:S425),COLUMNS(Data!$Q$3:W8)))))),"")</f>
        <v>1</v>
      </c>
      <c r="Y7" s="1">
        <f>IFERROR(IF($Q$1=$P$3,INDEX(prem_analysis!$P$2:$Q$441,ROWS(Data!$P$2:X7),COLUMNS(Data!$P$3:W8)),IF($Q$1=$P$5,INDEX(prem_analysis!$BH$1:$BS$23,ROWS(Data!$Q$3:X8),COLUMNS(Data!$Q$3:X8)),IF($Q$1=$P$6,INDEX(prem_analysis!$BU$1:$CF$67,ROWS(prem_analysis!$N$2:U7),COLUMNS(prem_analysis!$N$2:U7)),IF($Q$1=$P$4,INDEX(Table24[[#All],[Year]:[Details]],ROWS(prem_analysis!$M$420:T425),COLUMNS(Data!$Q$3:X8)))))),"")</f>
        <v>72</v>
      </c>
      <c r="Z7" s="1">
        <f>IFERROR(IF($Q$1=$P$3,INDEX(prem_analysis!$P$2:$Q$441,ROWS(Data!$P$2:Y7),COLUMNS(Data!$P$3:X8)),IF($Q$1=$P$5,INDEX(prem_analysis!$BH$1:$BS$23,ROWS(Data!$Q$3:Y8),COLUMNS(Data!$Q$3:Y8)),IF($Q$1=$P$6,INDEX(prem_analysis!$BU$1:$CF$67,ROWS(prem_analysis!$N$2:V7),COLUMNS(prem_analysis!$N$2:V7)),IF($Q$1=$P$4,INDEX(Table24[[#All],[Year]:[Details]],ROWS(prem_analysis!$M$420:U425),COLUMNS(Data!$Q$3:Y8)))))),"")</f>
        <v>15</v>
      </c>
      <c r="AA7" s="1">
        <f>IFERROR(IF($Q$1=$P$3,INDEX(prem_analysis!$P$2:$Q$441,ROWS(Data!$P$2:Z7),COLUMNS(Data!$P$3:Y8)),IF($Q$1=$P$5,INDEX(prem_analysis!$BH$1:$BS$23,ROWS(Data!$Q$3:Z8),COLUMNS(Data!$Q$3:Z8)),IF($Q$1=$P$6,INDEX(prem_analysis!$BU$1:$CF$67,ROWS(prem_analysis!$N$2:W7),COLUMNS(prem_analysis!$N$2:W7)),IF($Q$1=$P$4,INDEX(Table24[[#All],[Year]:[Details]],ROWS(prem_analysis!$M$420:V425),COLUMNS(Data!$Q$3:Z8)))))),"")</f>
        <v>57</v>
      </c>
      <c r="AB7" s="1">
        <f>IFERROR(IF($Q$1=$P$3,INDEX(prem_analysis!$P$2:$Q$441,ROWS(Data!$P$2:AA7),COLUMNS(Data!$P$3:Z8)),IF($Q$1=$P$5,INDEX(prem_analysis!$BH$1:$BS$23,ROWS(Data!$Q$3:AA8),COLUMNS(Data!$Q$3:AA8)),IF($Q$1=$P$6,INDEX(prem_analysis!$BU$1:$CF$67,ROWS(prem_analysis!$N$2:X7),COLUMNS(prem_analysis!$N$2:X7)),IF($Q$1=$P$4,INDEX(Table24[[#All],[Year]:[Details]],ROWS(prem_analysis!$M$420:W425),COLUMNS(Data!$Q$3:AA8)))))),"")</f>
        <v>95</v>
      </c>
      <c r="AC7" s="1">
        <f>IFERROR(IF($Q$1=$P$3,INDEX(prem_analysis!$P$2:$Q$441,ROWS(Data!$P$2:AB7),COLUMNS(Data!$P$3:AA8)),IF($Q$1=$P$5,INDEX(prem_analysis!$BH$1:$BS$23,ROWS(Data!$Q$3:AB8),COLUMNS(Data!$Q$3:AB8)),IF($Q$1=$P$6,INDEX(prem_analysis!$BU$1:$CF$67,ROWS(prem_analysis!$N$2:Y7),COLUMNS(prem_analysis!$N$2:Y7)),IF($Q$1=$P$4,INDEX(Table24[[#All],[Year]:[Details]],ROWS(prem_analysis!$M$420:X425),COLUMNS(Data!$Q$3:AB8)))))),"")</f>
        <v>0.76315789473684215</v>
      </c>
    </row>
    <row r="8" spans="1:30" x14ac:dyDescent="0.2">
      <c r="A8" s="3">
        <v>2000</v>
      </c>
      <c r="B8" s="3">
        <v>7</v>
      </c>
      <c r="C8" s="4" t="s">
        <v>17</v>
      </c>
      <c r="D8" s="3">
        <v>38</v>
      </c>
      <c r="E8" s="3">
        <v>15</v>
      </c>
      <c r="F8" s="3">
        <v>12</v>
      </c>
      <c r="G8" s="3">
        <v>11</v>
      </c>
      <c r="H8" s="3">
        <v>46</v>
      </c>
      <c r="I8" s="3">
        <v>41</v>
      </c>
      <c r="J8" s="3">
        <v>5</v>
      </c>
      <c r="K8" s="3">
        <v>57</v>
      </c>
      <c r="L8" s="5">
        <f>IF(Table24[[#This Row],['#]]=1,"Champion", IF(Table24[[#This Row],['#]]&gt;=18,"Relegated",Table24[[#This Row],['#]]))</f>
        <v>7</v>
      </c>
      <c r="M8" s="5" t="str">
        <f>IF(Table24[[#This Row],[Details]]=2,K7-Table24[[#This Row],[Pts]],IF(Table24[[#This Row],[Details]]=17,Table24[[#This Row],[Pts]]-K9,""))</f>
        <v/>
      </c>
      <c r="R8" s="1">
        <f>IFERROR(IF($Q$1=$P$3,INDEX(prem_analysis!$P$2:$Q$441,ROWS(Data!$P$2:Q8),COLUMNS(Data!$P$3:P9)),IF($Q$1=$P$5,INDEX(prem_analysis!$BH$1:$BS$23,ROWS(Data!$Q$3:Q9),COLUMNS(Data!$Q$3:Q9)),IF($Q$1=$P$6,INDEX(prem_analysis!$BU$1:$CF$67,ROWS(prem_analysis!$N$2:N8),COLUMNS(prem_analysis!$N$2:N8)),IF($Q$1=$P$4,INDEX(Table24[[#All],[Year]:[Details]],ROWS(prem_analysis!$M$420:M426),COLUMNS(Data!$Q$3:Q9)))))),"")</f>
        <v>2005</v>
      </c>
      <c r="S8" s="1">
        <f>IFERROR(IF($Q$1=$P$3,INDEX(prem_analysis!$P$2:$Q$441,ROWS(Data!$P$2:R8),COLUMNS(Data!$P$3:Q9)),IF($Q$1=$P$5,INDEX(prem_analysis!$BH$1:$BS$23,ROWS(Data!$Q$3:R9),COLUMNS(Data!$Q$3:R9)),IF($Q$1=$P$6,INDEX(prem_analysis!$BU$1:$CF$67,ROWS(prem_analysis!$N$2:O8),COLUMNS(prem_analysis!$N$2:O8)),IF($Q$1=$P$4,INDEX(Table24[[#All],[Year]:[Details]],ROWS(prem_analysis!$M$420:N426),COLUMNS(Data!$Q$3:R9)))))),"")</f>
        <v>1</v>
      </c>
      <c r="T8" s="1" t="str">
        <f>IFERROR(IF($Q$1=$P$3,INDEX(prem_analysis!$P$2:$Q$441,ROWS(Data!$P$2:S8),COLUMNS(Data!$P$3:R9)),IF($Q$1=$P$5,INDEX(prem_analysis!$BH$1:$BS$23,ROWS(Data!$Q$3:S9),COLUMNS(Data!$Q$3:S9)),IF($Q$1=$P$6,INDEX(prem_analysis!$BU$1:$CF$67,ROWS(prem_analysis!$N$2:P8),COLUMNS(prem_analysis!$N$2:P8)),IF($Q$1=$P$4,INDEX(Table24[[#All],[Year]:[Details]],ROWS(prem_analysis!$M$420:O426),COLUMNS(Data!$Q$3:S9)))))),"")</f>
        <v>Chelsea</v>
      </c>
      <c r="U8" s="1">
        <f>IFERROR(IF($Q$1=$P$3,INDEX(prem_analysis!$P$2:$Q$441,ROWS(Data!$P$2:T8),COLUMNS(Data!$P$3:S9)),IF($Q$1=$P$5,INDEX(prem_analysis!$BH$1:$BS$23,ROWS(Data!$Q$3:T9),COLUMNS(Data!$Q$3:T9)),IF($Q$1=$P$6,INDEX(prem_analysis!$BU$1:$CF$67,ROWS(prem_analysis!$N$2:Q8),COLUMNS(prem_analysis!$N$2:Q8)),IF($Q$1=$P$4,INDEX(Table24[[#All],[Year]:[Details]],ROWS(prem_analysis!$M$420:P426),COLUMNS(Data!$Q$3:T9)))))),"")</f>
        <v>38</v>
      </c>
      <c r="V8" s="1">
        <f>IFERROR(IF($Q$1=$P$3,INDEX(prem_analysis!$P$2:$Q$441,ROWS(Data!$P$2:U8),COLUMNS(Data!$P$3:T9)),IF($Q$1=$P$5,INDEX(prem_analysis!$BH$1:$BS$23,ROWS(Data!$Q$3:U9),COLUMNS(Data!$Q$3:U9)),IF($Q$1=$P$6,INDEX(prem_analysis!$BU$1:$CF$67,ROWS(prem_analysis!$N$2:R8),COLUMNS(prem_analysis!$N$2:R8)),IF($Q$1=$P$4,INDEX(Table24[[#All],[Year]:[Details]],ROWS(prem_analysis!$M$420:Q426),COLUMNS(Data!$Q$3:U9)))))),"")</f>
        <v>29</v>
      </c>
      <c r="W8" s="1">
        <f>IFERROR(IF($Q$1=$P$3,INDEX(prem_analysis!$P$2:$Q$441,ROWS(Data!$P$2:V8),COLUMNS(Data!$P$3:U9)),IF($Q$1=$P$5,INDEX(prem_analysis!$BH$1:$BS$23,ROWS(Data!$Q$3:V9),COLUMNS(Data!$Q$3:V9)),IF($Q$1=$P$6,INDEX(prem_analysis!$BU$1:$CF$67,ROWS(prem_analysis!$N$2:S8),COLUMNS(prem_analysis!$N$2:S8)),IF($Q$1=$P$4,INDEX(Table24[[#All],[Year]:[Details]],ROWS(prem_analysis!$M$420:R426),COLUMNS(Data!$Q$3:V9)))))),"")</f>
        <v>4</v>
      </c>
      <c r="X8" s="1">
        <f>IFERROR(IF($Q$1=$P$3,INDEX(prem_analysis!$P$2:$Q$441,ROWS(Data!$P$2:W8),COLUMNS(Data!$P$3:V9)),IF($Q$1=$P$5,INDEX(prem_analysis!$BH$1:$BS$23,ROWS(Data!$Q$3:W9),COLUMNS(Data!$Q$3:W9)),IF($Q$1=$P$6,INDEX(prem_analysis!$BU$1:$CF$67,ROWS(prem_analysis!$N$2:T8),COLUMNS(prem_analysis!$N$2:T8)),IF($Q$1=$P$4,INDEX(Table24[[#All],[Year]:[Details]],ROWS(prem_analysis!$M$420:S426),COLUMNS(Data!$Q$3:W9)))))),"")</f>
        <v>5</v>
      </c>
      <c r="Y8" s="1">
        <f>IFERROR(IF($Q$1=$P$3,INDEX(prem_analysis!$P$2:$Q$441,ROWS(Data!$P$2:X8),COLUMNS(Data!$P$3:W9)),IF($Q$1=$P$5,INDEX(prem_analysis!$BH$1:$BS$23,ROWS(Data!$Q$3:X9),COLUMNS(Data!$Q$3:X9)),IF($Q$1=$P$6,INDEX(prem_analysis!$BU$1:$CF$67,ROWS(prem_analysis!$N$2:U8),COLUMNS(prem_analysis!$N$2:U8)),IF($Q$1=$P$4,INDEX(Table24[[#All],[Year]:[Details]],ROWS(prem_analysis!$M$420:T426),COLUMNS(Data!$Q$3:X9)))))),"")</f>
        <v>72</v>
      </c>
      <c r="Z8" s="1">
        <f>IFERROR(IF($Q$1=$P$3,INDEX(prem_analysis!$P$2:$Q$441,ROWS(Data!$P$2:Y8),COLUMNS(Data!$P$3:X9)),IF($Q$1=$P$5,INDEX(prem_analysis!$BH$1:$BS$23,ROWS(Data!$Q$3:Y9),COLUMNS(Data!$Q$3:Y9)),IF($Q$1=$P$6,INDEX(prem_analysis!$BU$1:$CF$67,ROWS(prem_analysis!$N$2:V8),COLUMNS(prem_analysis!$N$2:V8)),IF($Q$1=$P$4,INDEX(Table24[[#All],[Year]:[Details]],ROWS(prem_analysis!$M$420:U426),COLUMNS(Data!$Q$3:Y9)))))),"")</f>
        <v>22</v>
      </c>
      <c r="AA8" s="1">
        <f>IFERROR(IF($Q$1=$P$3,INDEX(prem_analysis!$P$2:$Q$441,ROWS(Data!$P$2:Z8),COLUMNS(Data!$P$3:Y9)),IF($Q$1=$P$5,INDEX(prem_analysis!$BH$1:$BS$23,ROWS(Data!$Q$3:Z9),COLUMNS(Data!$Q$3:Z9)),IF($Q$1=$P$6,INDEX(prem_analysis!$BU$1:$CF$67,ROWS(prem_analysis!$N$2:W8),COLUMNS(prem_analysis!$N$2:W8)),IF($Q$1=$P$4,INDEX(Table24[[#All],[Year]:[Details]],ROWS(prem_analysis!$M$420:V426),COLUMNS(Data!$Q$3:Z9)))))),"")</f>
        <v>50</v>
      </c>
      <c r="AB8" s="1">
        <f>IFERROR(IF($Q$1=$P$3,INDEX(prem_analysis!$P$2:$Q$441,ROWS(Data!$P$2:AA8),COLUMNS(Data!$P$3:Z9)),IF($Q$1=$P$5,INDEX(prem_analysis!$BH$1:$BS$23,ROWS(Data!$Q$3:AA9),COLUMNS(Data!$Q$3:AA9)),IF($Q$1=$P$6,INDEX(prem_analysis!$BU$1:$CF$67,ROWS(prem_analysis!$N$2:X8),COLUMNS(prem_analysis!$N$2:X8)),IF($Q$1=$P$4,INDEX(Table24[[#All],[Year]:[Details]],ROWS(prem_analysis!$M$420:W426),COLUMNS(Data!$Q$3:AA9)))))),"")</f>
        <v>91</v>
      </c>
      <c r="AC8" s="1">
        <f>IFERROR(IF($Q$1=$P$3,INDEX(prem_analysis!$P$2:$Q$441,ROWS(Data!$P$2:AB8),COLUMNS(Data!$P$3:AA9)),IF($Q$1=$P$5,INDEX(prem_analysis!$BH$1:$BS$23,ROWS(Data!$Q$3:AB9),COLUMNS(Data!$Q$3:AB9)),IF($Q$1=$P$6,INDEX(prem_analysis!$BU$1:$CF$67,ROWS(prem_analysis!$N$2:Y8),COLUMNS(prem_analysis!$N$2:Y8)),IF($Q$1=$P$4,INDEX(Table24[[#All],[Year]:[Details]],ROWS(prem_analysis!$M$420:X426),COLUMNS(Data!$Q$3:AB9)))))),"")</f>
        <v>0.76315789473684215</v>
      </c>
    </row>
    <row r="9" spans="1:30" x14ac:dyDescent="0.2">
      <c r="A9" s="5">
        <v>2000</v>
      </c>
      <c r="B9" s="5">
        <v>8</v>
      </c>
      <c r="C9" s="6" t="s">
        <v>18</v>
      </c>
      <c r="D9" s="5">
        <v>38</v>
      </c>
      <c r="E9" s="5">
        <v>13</v>
      </c>
      <c r="F9" s="5">
        <v>15</v>
      </c>
      <c r="G9" s="5">
        <v>10</v>
      </c>
      <c r="H9" s="5">
        <v>46</v>
      </c>
      <c r="I9" s="5">
        <v>43</v>
      </c>
      <c r="J9" s="5">
        <v>3</v>
      </c>
      <c r="K9" s="5">
        <v>54</v>
      </c>
      <c r="L9" s="5">
        <f>IF(Table24[[#This Row],['#]]=1,"Champion", IF(Table24[[#This Row],['#]]&gt;=18,"Relegated",Table24[[#This Row],['#]]))</f>
        <v>8</v>
      </c>
      <c r="M9" s="5" t="str">
        <f>IF(Table24[[#This Row],[Details]]=2,K8-Table24[[#This Row],[Pts]],IF(Table24[[#This Row],[Details]]=17,Table24[[#This Row],[Pts]]-K10,""))</f>
        <v/>
      </c>
      <c r="R9" s="1">
        <f>IFERROR(IF($Q$1=$P$3,INDEX(prem_analysis!$P$2:$Q$441,ROWS(Data!$P$2:Q9),COLUMNS(Data!$P$3:P10)),IF($Q$1=$P$5,INDEX(prem_analysis!$BH$1:$BS$23,ROWS(Data!$Q$3:Q10),COLUMNS(Data!$Q$3:Q10)),IF($Q$1=$P$6,INDEX(prem_analysis!$BU$1:$CF$67,ROWS(prem_analysis!$N$2:N9),COLUMNS(prem_analysis!$N$2:N9)),IF($Q$1=$P$4,INDEX(Table24[[#All],[Year]:[Details]],ROWS(prem_analysis!$M$420:M427),COLUMNS(Data!$Q$3:Q10)))))),"")</f>
        <v>2006</v>
      </c>
      <c r="S9" s="1">
        <f>IFERROR(IF($Q$1=$P$3,INDEX(prem_analysis!$P$2:$Q$441,ROWS(Data!$P$2:R9),COLUMNS(Data!$P$3:Q10)),IF($Q$1=$P$5,INDEX(prem_analysis!$BH$1:$BS$23,ROWS(Data!$Q$3:R10),COLUMNS(Data!$Q$3:R10)),IF($Q$1=$P$6,INDEX(prem_analysis!$BU$1:$CF$67,ROWS(prem_analysis!$N$2:O9),COLUMNS(prem_analysis!$N$2:O9)),IF($Q$1=$P$4,INDEX(Table24[[#All],[Year]:[Details]],ROWS(prem_analysis!$M$420:N427),COLUMNS(Data!$Q$3:R10)))))),"")</f>
        <v>1</v>
      </c>
      <c r="T9" s="1" t="str">
        <f>IFERROR(IF($Q$1=$P$3,INDEX(prem_analysis!$P$2:$Q$441,ROWS(Data!$P$2:S9),COLUMNS(Data!$P$3:R10)),IF($Q$1=$P$5,INDEX(prem_analysis!$BH$1:$BS$23,ROWS(Data!$Q$3:S10),COLUMNS(Data!$Q$3:S10)),IF($Q$1=$P$6,INDEX(prem_analysis!$BU$1:$CF$67,ROWS(prem_analysis!$N$2:P9),COLUMNS(prem_analysis!$N$2:P9)),IF($Q$1=$P$4,INDEX(Table24[[#All],[Year]:[Details]],ROWS(prem_analysis!$M$420:O427),COLUMNS(Data!$Q$3:S10)))))),"")</f>
        <v>Manchester United</v>
      </c>
      <c r="U9" s="1">
        <f>IFERROR(IF($Q$1=$P$3,INDEX(prem_analysis!$P$2:$Q$441,ROWS(Data!$P$2:T9),COLUMNS(Data!$P$3:S10)),IF($Q$1=$P$5,INDEX(prem_analysis!$BH$1:$BS$23,ROWS(Data!$Q$3:T10),COLUMNS(Data!$Q$3:T10)),IF($Q$1=$P$6,INDEX(prem_analysis!$BU$1:$CF$67,ROWS(prem_analysis!$N$2:Q9),COLUMNS(prem_analysis!$N$2:Q9)),IF($Q$1=$P$4,INDEX(Table24[[#All],[Year]:[Details]],ROWS(prem_analysis!$M$420:P427),COLUMNS(Data!$Q$3:T10)))))),"")</f>
        <v>38</v>
      </c>
      <c r="V9" s="1">
        <f>IFERROR(IF($Q$1=$P$3,INDEX(prem_analysis!$P$2:$Q$441,ROWS(Data!$P$2:U9),COLUMNS(Data!$P$3:T10)),IF($Q$1=$P$5,INDEX(prem_analysis!$BH$1:$BS$23,ROWS(Data!$Q$3:U10),COLUMNS(Data!$Q$3:U10)),IF($Q$1=$P$6,INDEX(prem_analysis!$BU$1:$CF$67,ROWS(prem_analysis!$N$2:R9),COLUMNS(prem_analysis!$N$2:R9)),IF($Q$1=$P$4,INDEX(Table24[[#All],[Year]:[Details]],ROWS(prem_analysis!$M$420:Q427),COLUMNS(Data!$Q$3:U10)))))),"")</f>
        <v>0</v>
      </c>
      <c r="W9" s="1">
        <f>IFERROR(IF($Q$1=$P$3,INDEX(prem_analysis!$P$2:$Q$441,ROWS(Data!$P$2:V9),COLUMNS(Data!$P$3:U10)),IF($Q$1=$P$5,INDEX(prem_analysis!$BH$1:$BS$23,ROWS(Data!$Q$3:V10),COLUMNS(Data!$Q$3:V10)),IF($Q$1=$P$6,INDEX(prem_analysis!$BU$1:$CF$67,ROWS(prem_analysis!$N$2:S9),COLUMNS(prem_analysis!$N$2:S9)),IF($Q$1=$P$4,INDEX(Table24[[#All],[Year]:[Details]],ROWS(prem_analysis!$M$420:R427),COLUMNS(Data!$Q$3:V10)))))),"")</f>
        <v>0</v>
      </c>
      <c r="X9" s="1">
        <f>IFERROR(IF($Q$1=$P$3,INDEX(prem_analysis!$P$2:$Q$441,ROWS(Data!$P$2:W9),COLUMNS(Data!$P$3:V10)),IF($Q$1=$P$5,INDEX(prem_analysis!$BH$1:$BS$23,ROWS(Data!$Q$3:W10),COLUMNS(Data!$Q$3:W10)),IF($Q$1=$P$6,INDEX(prem_analysis!$BU$1:$CF$67,ROWS(prem_analysis!$N$2:T9),COLUMNS(prem_analysis!$N$2:T9)),IF($Q$1=$P$4,INDEX(Table24[[#All],[Year]:[Details]],ROWS(prem_analysis!$M$420:S427),COLUMNS(Data!$Q$3:W10)))))),"")</f>
        <v>0</v>
      </c>
      <c r="Y9" s="1">
        <f>IFERROR(IF($Q$1=$P$3,INDEX(prem_analysis!$P$2:$Q$441,ROWS(Data!$P$2:X9),COLUMNS(Data!$P$3:W10)),IF($Q$1=$P$5,INDEX(prem_analysis!$BH$1:$BS$23,ROWS(Data!$Q$3:X10),COLUMNS(Data!$Q$3:X10)),IF($Q$1=$P$6,INDEX(prem_analysis!$BU$1:$CF$67,ROWS(prem_analysis!$N$2:U9),COLUMNS(prem_analysis!$N$2:U9)),IF($Q$1=$P$4,INDEX(Table24[[#All],[Year]:[Details]],ROWS(prem_analysis!$M$420:T427),COLUMNS(Data!$Q$3:X10)))))),"")</f>
        <v>0</v>
      </c>
      <c r="Z9" s="1">
        <f>IFERROR(IF($Q$1=$P$3,INDEX(prem_analysis!$P$2:$Q$441,ROWS(Data!$P$2:Y9),COLUMNS(Data!$P$3:X10)),IF($Q$1=$P$5,INDEX(prem_analysis!$BH$1:$BS$23,ROWS(Data!$Q$3:Y10),COLUMNS(Data!$Q$3:Y10)),IF($Q$1=$P$6,INDEX(prem_analysis!$BU$1:$CF$67,ROWS(prem_analysis!$N$2:V9),COLUMNS(prem_analysis!$N$2:V9)),IF($Q$1=$P$4,INDEX(Table24[[#All],[Year]:[Details]],ROWS(prem_analysis!$M$420:U427),COLUMNS(Data!$Q$3:Y10)))))),"")</f>
        <v>0</v>
      </c>
      <c r="AA9" s="1">
        <f>IFERROR(IF($Q$1=$P$3,INDEX(prem_analysis!$P$2:$Q$441,ROWS(Data!$P$2:Z9),COLUMNS(Data!$P$3:Y10)),IF($Q$1=$P$5,INDEX(prem_analysis!$BH$1:$BS$23,ROWS(Data!$Q$3:Z10),COLUMNS(Data!$Q$3:Z10)),IF($Q$1=$P$6,INDEX(prem_analysis!$BU$1:$CF$67,ROWS(prem_analysis!$N$2:W9),COLUMNS(prem_analysis!$N$2:W9)),IF($Q$1=$P$4,INDEX(Table24[[#All],[Year]:[Details]],ROWS(prem_analysis!$M$420:V427),COLUMNS(Data!$Q$3:Z10)))))),"")</f>
        <v>0</v>
      </c>
      <c r="AB9" s="1">
        <f>IFERROR(IF($Q$1=$P$3,INDEX(prem_analysis!$P$2:$Q$441,ROWS(Data!$P$2:AA9),COLUMNS(Data!$P$3:Z10)),IF($Q$1=$P$5,INDEX(prem_analysis!$BH$1:$BS$23,ROWS(Data!$Q$3:AA10),COLUMNS(Data!$Q$3:AA10)),IF($Q$1=$P$6,INDEX(prem_analysis!$BU$1:$CF$67,ROWS(prem_analysis!$N$2:X9),COLUMNS(prem_analysis!$N$2:X9)),IF($Q$1=$P$4,INDEX(Table24[[#All],[Year]:[Details]],ROWS(prem_analysis!$M$420:W427),COLUMNS(Data!$Q$3:AA10)))))),"")</f>
        <v>89</v>
      </c>
      <c r="AC9" s="1">
        <f>IFERROR(IF($Q$1=$P$3,INDEX(prem_analysis!$P$2:$Q$441,ROWS(Data!$P$2:AB9),COLUMNS(Data!$P$3:AA10)),IF($Q$1=$P$5,INDEX(prem_analysis!$BH$1:$BS$23,ROWS(Data!$Q$3:AB10),COLUMNS(Data!$Q$3:AB10)),IF($Q$1=$P$6,INDEX(prem_analysis!$BU$1:$CF$67,ROWS(prem_analysis!$N$2:Y9),COLUMNS(prem_analysis!$N$2:Y9)),IF($Q$1=$P$4,INDEX(Table24[[#All],[Year]:[Details]],ROWS(prem_analysis!$M$420:X427),COLUMNS(Data!$Q$3:AB10)))))),"")</f>
        <v>0</v>
      </c>
    </row>
    <row r="10" spans="1:30" x14ac:dyDescent="0.2">
      <c r="A10" s="3">
        <v>2000</v>
      </c>
      <c r="B10" s="3">
        <v>9</v>
      </c>
      <c r="C10" s="4" t="s">
        <v>19</v>
      </c>
      <c r="D10" s="3">
        <v>38</v>
      </c>
      <c r="E10" s="3">
        <v>14</v>
      </c>
      <c r="F10" s="3">
        <v>10</v>
      </c>
      <c r="G10" s="3">
        <v>14</v>
      </c>
      <c r="H10" s="3">
        <v>50</v>
      </c>
      <c r="I10" s="3">
        <v>57</v>
      </c>
      <c r="J10" s="3">
        <v>-7</v>
      </c>
      <c r="K10" s="3">
        <v>52</v>
      </c>
      <c r="L10" s="5">
        <f>IF(Table24[[#This Row],['#]]=1,"Champion", IF(Table24[[#This Row],['#]]&gt;=18,"Relegated",Table24[[#This Row],['#]]))</f>
        <v>9</v>
      </c>
      <c r="M10" s="5" t="str">
        <f>IF(Table24[[#This Row],[Details]]=2,K9-Table24[[#This Row],[Pts]],IF(Table24[[#This Row],[Details]]=17,Table24[[#This Row],[Pts]]-K11,""))</f>
        <v/>
      </c>
      <c r="R10" s="1">
        <f>IFERROR(IF($Q$1=$P$3,INDEX(prem_analysis!$P$2:$Q$441,ROWS(Data!$P$2:Q10),COLUMNS(Data!$P$3:P11)),IF($Q$1=$P$5,INDEX(prem_analysis!$BH$1:$BS$23,ROWS(Data!$Q$3:Q11),COLUMNS(Data!$Q$3:Q11)),IF($Q$1=$P$6,INDEX(prem_analysis!$BU$1:$CF$67,ROWS(prem_analysis!$N$2:N10),COLUMNS(prem_analysis!$N$2:N10)),IF($Q$1=$P$4,INDEX(Table24[[#All],[Year]:[Details]],ROWS(prem_analysis!$M$420:M428),COLUMNS(Data!$Q$3:Q11)))))),"")</f>
        <v>2007</v>
      </c>
      <c r="S10" s="1">
        <f>IFERROR(IF($Q$1=$P$3,INDEX(prem_analysis!$P$2:$Q$441,ROWS(Data!$P$2:R10),COLUMNS(Data!$P$3:Q11)),IF($Q$1=$P$5,INDEX(prem_analysis!$BH$1:$BS$23,ROWS(Data!$Q$3:R11),COLUMNS(Data!$Q$3:R11)),IF($Q$1=$P$6,INDEX(prem_analysis!$BU$1:$CF$67,ROWS(prem_analysis!$N$2:O10),COLUMNS(prem_analysis!$N$2:O10)),IF($Q$1=$P$4,INDEX(Table24[[#All],[Year]:[Details]],ROWS(prem_analysis!$M$420:N428),COLUMNS(Data!$Q$3:R11)))))),"")</f>
        <v>1</v>
      </c>
      <c r="T10" s="1" t="str">
        <f>IFERROR(IF($Q$1=$P$3,INDEX(prem_analysis!$P$2:$Q$441,ROWS(Data!$P$2:S10),COLUMNS(Data!$P$3:R11)),IF($Q$1=$P$5,INDEX(prem_analysis!$BH$1:$BS$23,ROWS(Data!$Q$3:S11),COLUMNS(Data!$Q$3:S11)),IF($Q$1=$P$6,INDEX(prem_analysis!$BU$1:$CF$67,ROWS(prem_analysis!$N$2:P10),COLUMNS(prem_analysis!$N$2:P10)),IF($Q$1=$P$4,INDEX(Table24[[#All],[Year]:[Details]],ROWS(prem_analysis!$M$420:O428),COLUMNS(Data!$Q$3:S11)))))),"")</f>
        <v>Manchester United</v>
      </c>
      <c r="U10" s="1">
        <f>IFERROR(IF($Q$1=$P$3,INDEX(prem_analysis!$P$2:$Q$441,ROWS(Data!$P$2:T10),COLUMNS(Data!$P$3:S11)),IF($Q$1=$P$5,INDEX(prem_analysis!$BH$1:$BS$23,ROWS(Data!$Q$3:T11),COLUMNS(Data!$Q$3:T11)),IF($Q$1=$P$6,INDEX(prem_analysis!$BU$1:$CF$67,ROWS(prem_analysis!$N$2:Q10),COLUMNS(prem_analysis!$N$2:Q10)),IF($Q$1=$P$4,INDEX(Table24[[#All],[Year]:[Details]],ROWS(prem_analysis!$M$420:P428),COLUMNS(Data!$Q$3:T11)))))),"")</f>
        <v>38</v>
      </c>
      <c r="V10" s="1">
        <f>IFERROR(IF($Q$1=$P$3,INDEX(prem_analysis!$P$2:$Q$441,ROWS(Data!$P$2:U10),COLUMNS(Data!$P$3:T11)),IF($Q$1=$P$5,INDEX(prem_analysis!$BH$1:$BS$23,ROWS(Data!$Q$3:U11),COLUMNS(Data!$Q$3:U11)),IF($Q$1=$P$6,INDEX(prem_analysis!$BU$1:$CF$67,ROWS(prem_analysis!$N$2:R10),COLUMNS(prem_analysis!$N$2:R10)),IF($Q$1=$P$4,INDEX(Table24[[#All],[Year]:[Details]],ROWS(prem_analysis!$M$420:Q428),COLUMNS(Data!$Q$3:U11)))))),"")</f>
        <v>27</v>
      </c>
      <c r="W10" s="1">
        <f>IFERROR(IF($Q$1=$P$3,INDEX(prem_analysis!$P$2:$Q$441,ROWS(Data!$P$2:V10),COLUMNS(Data!$P$3:U11)),IF($Q$1=$P$5,INDEX(prem_analysis!$BH$1:$BS$23,ROWS(Data!$Q$3:V11),COLUMNS(Data!$Q$3:V11)),IF($Q$1=$P$6,INDEX(prem_analysis!$BU$1:$CF$67,ROWS(prem_analysis!$N$2:S10),COLUMNS(prem_analysis!$N$2:S10)),IF($Q$1=$P$4,INDEX(Table24[[#All],[Year]:[Details]],ROWS(prem_analysis!$M$420:R428),COLUMNS(Data!$Q$3:V11)))))),"")</f>
        <v>6</v>
      </c>
      <c r="X10" s="1">
        <f>IFERROR(IF($Q$1=$P$3,INDEX(prem_analysis!$P$2:$Q$441,ROWS(Data!$P$2:W10),COLUMNS(Data!$P$3:V11)),IF($Q$1=$P$5,INDEX(prem_analysis!$BH$1:$BS$23,ROWS(Data!$Q$3:W11),COLUMNS(Data!$Q$3:W11)),IF($Q$1=$P$6,INDEX(prem_analysis!$BU$1:$CF$67,ROWS(prem_analysis!$N$2:T10),COLUMNS(prem_analysis!$N$2:T10)),IF($Q$1=$P$4,INDEX(Table24[[#All],[Year]:[Details]],ROWS(prem_analysis!$M$420:S428),COLUMNS(Data!$Q$3:W11)))))),"")</f>
        <v>5</v>
      </c>
      <c r="Y10" s="1">
        <f>IFERROR(IF($Q$1=$P$3,INDEX(prem_analysis!$P$2:$Q$441,ROWS(Data!$P$2:X10),COLUMNS(Data!$P$3:W11)),IF($Q$1=$P$5,INDEX(prem_analysis!$BH$1:$BS$23,ROWS(Data!$Q$3:X11),COLUMNS(Data!$Q$3:X11)),IF($Q$1=$P$6,INDEX(prem_analysis!$BU$1:$CF$67,ROWS(prem_analysis!$N$2:U10),COLUMNS(prem_analysis!$N$2:U10)),IF($Q$1=$P$4,INDEX(Table24[[#All],[Year]:[Details]],ROWS(prem_analysis!$M$420:T428),COLUMNS(Data!$Q$3:X11)))))),"")</f>
        <v>80</v>
      </c>
      <c r="Z10" s="1">
        <f>IFERROR(IF($Q$1=$P$3,INDEX(prem_analysis!$P$2:$Q$441,ROWS(Data!$P$2:Y10),COLUMNS(Data!$P$3:X11)),IF($Q$1=$P$5,INDEX(prem_analysis!$BH$1:$BS$23,ROWS(Data!$Q$3:Y11),COLUMNS(Data!$Q$3:Y11)),IF($Q$1=$P$6,INDEX(prem_analysis!$BU$1:$CF$67,ROWS(prem_analysis!$N$2:V10),COLUMNS(prem_analysis!$N$2:V10)),IF($Q$1=$P$4,INDEX(Table24[[#All],[Year]:[Details]],ROWS(prem_analysis!$M$420:U428),COLUMNS(Data!$Q$3:Y11)))))),"")</f>
        <v>22</v>
      </c>
      <c r="AA10" s="1">
        <f>IFERROR(IF($Q$1=$P$3,INDEX(prem_analysis!$P$2:$Q$441,ROWS(Data!$P$2:Z10),COLUMNS(Data!$P$3:Y11)),IF($Q$1=$P$5,INDEX(prem_analysis!$BH$1:$BS$23,ROWS(Data!$Q$3:Z11),COLUMNS(Data!$Q$3:Z11)),IF($Q$1=$P$6,INDEX(prem_analysis!$BU$1:$CF$67,ROWS(prem_analysis!$N$2:W10),COLUMNS(prem_analysis!$N$2:W10)),IF($Q$1=$P$4,INDEX(Table24[[#All],[Year]:[Details]],ROWS(prem_analysis!$M$420:V428),COLUMNS(Data!$Q$3:Z11)))))),"")</f>
        <v>58</v>
      </c>
      <c r="AB10" s="1">
        <f>IFERROR(IF($Q$1=$P$3,INDEX(prem_analysis!$P$2:$Q$441,ROWS(Data!$P$2:AA10),COLUMNS(Data!$P$3:Z11)),IF($Q$1=$P$5,INDEX(prem_analysis!$BH$1:$BS$23,ROWS(Data!$Q$3:AA11),COLUMNS(Data!$Q$3:AA11)),IF($Q$1=$P$6,INDEX(prem_analysis!$BU$1:$CF$67,ROWS(prem_analysis!$N$2:X10),COLUMNS(prem_analysis!$N$2:X10)),IF($Q$1=$P$4,INDEX(Table24[[#All],[Year]:[Details]],ROWS(prem_analysis!$M$420:W428),COLUMNS(Data!$Q$3:AA11)))))),"")</f>
        <v>87</v>
      </c>
      <c r="AC10" s="1">
        <f>IFERROR(IF($Q$1=$P$3,INDEX(prem_analysis!$P$2:$Q$441,ROWS(Data!$P$2:AB10),COLUMNS(Data!$P$3:AA11)),IF($Q$1=$P$5,INDEX(prem_analysis!$BH$1:$BS$23,ROWS(Data!$Q$3:AB11),COLUMNS(Data!$Q$3:AB11)),IF($Q$1=$P$6,INDEX(prem_analysis!$BU$1:$CF$67,ROWS(prem_analysis!$N$2:Y10),COLUMNS(prem_analysis!$N$2:Y10)),IF($Q$1=$P$4,INDEX(Table24[[#All],[Year]:[Details]],ROWS(prem_analysis!$M$420:X428),COLUMNS(Data!$Q$3:AB11)))))),"")</f>
        <v>0.71052631578947367</v>
      </c>
    </row>
    <row r="11" spans="1:30" x14ac:dyDescent="0.2">
      <c r="A11" s="5">
        <v>2000</v>
      </c>
      <c r="B11" s="5">
        <v>10</v>
      </c>
      <c r="C11" s="6" t="s">
        <v>20</v>
      </c>
      <c r="D11" s="5">
        <v>38</v>
      </c>
      <c r="E11" s="5">
        <v>14</v>
      </c>
      <c r="F11" s="5">
        <v>10</v>
      </c>
      <c r="G11" s="5">
        <v>14</v>
      </c>
      <c r="H11" s="5">
        <v>40</v>
      </c>
      <c r="I11" s="5">
        <v>48</v>
      </c>
      <c r="J11" s="5">
        <v>-8</v>
      </c>
      <c r="K11" s="5">
        <v>52</v>
      </c>
      <c r="L11" s="5">
        <f>IF(Table24[[#This Row],['#]]=1,"Champion", IF(Table24[[#This Row],['#]]&gt;=18,"Relegated",Table24[[#This Row],['#]]))</f>
        <v>10</v>
      </c>
      <c r="M11" s="5" t="str">
        <f>IF(Table24[[#This Row],[Details]]=2,K10-Table24[[#This Row],[Pts]],IF(Table24[[#This Row],[Details]]=17,Table24[[#This Row],[Pts]]-K12,""))</f>
        <v/>
      </c>
      <c r="R11" s="1">
        <f>IFERROR(IF($Q$1=$P$3,INDEX(prem_analysis!$P$2:$Q$441,ROWS(Data!$P$2:Q11),COLUMNS(Data!$P$3:P12)),IF($Q$1=$P$5,INDEX(prem_analysis!$BH$1:$BS$23,ROWS(Data!$Q$3:Q12),COLUMNS(Data!$Q$3:Q12)),IF($Q$1=$P$6,INDEX(prem_analysis!$BU$1:$CF$67,ROWS(prem_analysis!$N$2:N11),COLUMNS(prem_analysis!$N$2:N11)),IF($Q$1=$P$4,INDEX(Table24[[#All],[Year]:[Details]],ROWS(prem_analysis!$M$420:M429),COLUMNS(Data!$Q$3:Q12)))))),"")</f>
        <v>2008</v>
      </c>
      <c r="S11" s="1">
        <f>IFERROR(IF($Q$1=$P$3,INDEX(prem_analysis!$P$2:$Q$441,ROWS(Data!$P$2:R11),COLUMNS(Data!$P$3:Q12)),IF($Q$1=$P$5,INDEX(prem_analysis!$BH$1:$BS$23,ROWS(Data!$Q$3:R12),COLUMNS(Data!$Q$3:R12)),IF($Q$1=$P$6,INDEX(prem_analysis!$BU$1:$CF$67,ROWS(prem_analysis!$N$2:O11),COLUMNS(prem_analysis!$N$2:O11)),IF($Q$1=$P$4,INDEX(Table24[[#All],[Year]:[Details]],ROWS(prem_analysis!$M$420:N429),COLUMNS(Data!$Q$3:R12)))))),"")</f>
        <v>1</v>
      </c>
      <c r="T11" s="1" t="str">
        <f>IFERROR(IF($Q$1=$P$3,INDEX(prem_analysis!$P$2:$Q$441,ROWS(Data!$P$2:S11),COLUMNS(Data!$P$3:R12)),IF($Q$1=$P$5,INDEX(prem_analysis!$BH$1:$BS$23,ROWS(Data!$Q$3:S12),COLUMNS(Data!$Q$3:S12)),IF($Q$1=$P$6,INDEX(prem_analysis!$BU$1:$CF$67,ROWS(prem_analysis!$N$2:P11),COLUMNS(prem_analysis!$N$2:P11)),IF($Q$1=$P$4,INDEX(Table24[[#All],[Year]:[Details]],ROWS(prem_analysis!$M$420:O429),COLUMNS(Data!$Q$3:S12)))))),"")</f>
        <v>Manchester United</v>
      </c>
      <c r="U11" s="1">
        <f>IFERROR(IF($Q$1=$P$3,INDEX(prem_analysis!$P$2:$Q$441,ROWS(Data!$P$2:T11),COLUMNS(Data!$P$3:S12)),IF($Q$1=$P$5,INDEX(prem_analysis!$BH$1:$BS$23,ROWS(Data!$Q$3:T12),COLUMNS(Data!$Q$3:T12)),IF($Q$1=$P$6,INDEX(prem_analysis!$BU$1:$CF$67,ROWS(prem_analysis!$N$2:Q11),COLUMNS(prem_analysis!$N$2:Q11)),IF($Q$1=$P$4,INDEX(Table24[[#All],[Year]:[Details]],ROWS(prem_analysis!$M$420:P429),COLUMNS(Data!$Q$3:T12)))))),"")</f>
        <v>38</v>
      </c>
      <c r="V11" s="1">
        <f>IFERROR(IF($Q$1=$P$3,INDEX(prem_analysis!$P$2:$Q$441,ROWS(Data!$P$2:U11),COLUMNS(Data!$P$3:T12)),IF($Q$1=$P$5,INDEX(prem_analysis!$BH$1:$BS$23,ROWS(Data!$Q$3:U12),COLUMNS(Data!$Q$3:U12)),IF($Q$1=$P$6,INDEX(prem_analysis!$BU$1:$CF$67,ROWS(prem_analysis!$N$2:R11),COLUMNS(prem_analysis!$N$2:R11)),IF($Q$1=$P$4,INDEX(Table24[[#All],[Year]:[Details]],ROWS(prem_analysis!$M$420:Q429),COLUMNS(Data!$Q$3:U12)))))),"")</f>
        <v>28</v>
      </c>
      <c r="W11" s="1">
        <f>IFERROR(IF($Q$1=$P$3,INDEX(prem_analysis!$P$2:$Q$441,ROWS(Data!$P$2:V11),COLUMNS(Data!$P$3:U12)),IF($Q$1=$P$5,INDEX(prem_analysis!$BH$1:$BS$23,ROWS(Data!$Q$3:V12),COLUMNS(Data!$Q$3:V12)),IF($Q$1=$P$6,INDEX(prem_analysis!$BU$1:$CF$67,ROWS(prem_analysis!$N$2:S11),COLUMNS(prem_analysis!$N$2:S11)),IF($Q$1=$P$4,INDEX(Table24[[#All],[Year]:[Details]],ROWS(prem_analysis!$M$420:R429),COLUMNS(Data!$Q$3:V12)))))),"")</f>
        <v>6</v>
      </c>
      <c r="X11" s="1">
        <f>IFERROR(IF($Q$1=$P$3,INDEX(prem_analysis!$P$2:$Q$441,ROWS(Data!$P$2:W11),COLUMNS(Data!$P$3:V12)),IF($Q$1=$P$5,INDEX(prem_analysis!$BH$1:$BS$23,ROWS(Data!$Q$3:W12),COLUMNS(Data!$Q$3:W12)),IF($Q$1=$P$6,INDEX(prem_analysis!$BU$1:$CF$67,ROWS(prem_analysis!$N$2:T11),COLUMNS(prem_analysis!$N$2:T11)),IF($Q$1=$P$4,INDEX(Table24[[#All],[Year]:[Details]],ROWS(prem_analysis!$M$420:S429),COLUMNS(Data!$Q$3:W12)))))),"")</f>
        <v>4</v>
      </c>
      <c r="Y11" s="1">
        <f>IFERROR(IF($Q$1=$P$3,INDEX(prem_analysis!$P$2:$Q$441,ROWS(Data!$P$2:X11),COLUMNS(Data!$P$3:W12)),IF($Q$1=$P$5,INDEX(prem_analysis!$BH$1:$BS$23,ROWS(Data!$Q$3:X12),COLUMNS(Data!$Q$3:X12)),IF($Q$1=$P$6,INDEX(prem_analysis!$BU$1:$CF$67,ROWS(prem_analysis!$N$2:U11),COLUMNS(prem_analysis!$N$2:U11)),IF($Q$1=$P$4,INDEX(Table24[[#All],[Year]:[Details]],ROWS(prem_analysis!$M$420:T429),COLUMNS(Data!$Q$3:X12)))))),"")</f>
        <v>68</v>
      </c>
      <c r="Z11" s="1">
        <f>IFERROR(IF($Q$1=$P$3,INDEX(prem_analysis!$P$2:$Q$441,ROWS(Data!$P$2:Y11),COLUMNS(Data!$P$3:X12)),IF($Q$1=$P$5,INDEX(prem_analysis!$BH$1:$BS$23,ROWS(Data!$Q$3:Y12),COLUMNS(Data!$Q$3:Y12)),IF($Q$1=$P$6,INDEX(prem_analysis!$BU$1:$CF$67,ROWS(prem_analysis!$N$2:V11),COLUMNS(prem_analysis!$N$2:V11)),IF($Q$1=$P$4,INDEX(Table24[[#All],[Year]:[Details]],ROWS(prem_analysis!$M$420:U429),COLUMNS(Data!$Q$3:Y12)))))),"")</f>
        <v>24</v>
      </c>
      <c r="AA11" s="1">
        <f>IFERROR(IF($Q$1=$P$3,INDEX(prem_analysis!$P$2:$Q$441,ROWS(Data!$P$2:Z11),COLUMNS(Data!$P$3:Y12)),IF($Q$1=$P$5,INDEX(prem_analysis!$BH$1:$BS$23,ROWS(Data!$Q$3:Z12),COLUMNS(Data!$Q$3:Z12)),IF($Q$1=$P$6,INDEX(prem_analysis!$BU$1:$CF$67,ROWS(prem_analysis!$N$2:W11),COLUMNS(prem_analysis!$N$2:W11)),IF($Q$1=$P$4,INDEX(Table24[[#All],[Year]:[Details]],ROWS(prem_analysis!$M$420:V429),COLUMNS(Data!$Q$3:Z12)))))),"")</f>
        <v>44</v>
      </c>
      <c r="AB11" s="1">
        <f>IFERROR(IF($Q$1=$P$3,INDEX(prem_analysis!$P$2:$Q$441,ROWS(Data!$P$2:AA11),COLUMNS(Data!$P$3:Z12)),IF($Q$1=$P$5,INDEX(prem_analysis!$BH$1:$BS$23,ROWS(Data!$Q$3:AA12),COLUMNS(Data!$Q$3:AA12)),IF($Q$1=$P$6,INDEX(prem_analysis!$BU$1:$CF$67,ROWS(prem_analysis!$N$2:X11),COLUMNS(prem_analysis!$N$2:X11)),IF($Q$1=$P$4,INDEX(Table24[[#All],[Year]:[Details]],ROWS(prem_analysis!$M$420:W429),COLUMNS(Data!$Q$3:AA12)))))),"")</f>
        <v>90</v>
      </c>
      <c r="AC11" s="1">
        <f>IFERROR(IF($Q$1=$P$3,INDEX(prem_analysis!$P$2:$Q$441,ROWS(Data!$P$2:AB11),COLUMNS(Data!$P$3:AA12)),IF($Q$1=$P$5,INDEX(prem_analysis!$BH$1:$BS$23,ROWS(Data!$Q$3:AB12),COLUMNS(Data!$Q$3:AB12)),IF($Q$1=$P$6,INDEX(prem_analysis!$BU$1:$CF$67,ROWS(prem_analysis!$N$2:Y11),COLUMNS(prem_analysis!$N$2:Y11)),IF($Q$1=$P$4,INDEX(Table24[[#All],[Year]:[Details]],ROWS(prem_analysis!$M$420:X429),COLUMNS(Data!$Q$3:AB12)))))),"")</f>
        <v>0.73684210526315785</v>
      </c>
    </row>
    <row r="12" spans="1:30" x14ac:dyDescent="0.2">
      <c r="A12" s="3">
        <v>2000</v>
      </c>
      <c r="B12" s="3">
        <v>11</v>
      </c>
      <c r="C12" s="4" t="s">
        <v>21</v>
      </c>
      <c r="D12" s="3">
        <v>38</v>
      </c>
      <c r="E12" s="3">
        <v>14</v>
      </c>
      <c r="F12" s="3">
        <v>9</v>
      </c>
      <c r="G12" s="3">
        <v>15</v>
      </c>
      <c r="H12" s="3">
        <v>44</v>
      </c>
      <c r="I12" s="3">
        <v>50</v>
      </c>
      <c r="J12" s="3">
        <v>-6</v>
      </c>
      <c r="K12" s="3">
        <v>51</v>
      </c>
      <c r="L12" s="5">
        <f>IF(Table24[[#This Row],['#]]=1,"Champion", IF(Table24[[#This Row],['#]]&gt;=18,"Relegated",Table24[[#This Row],['#]]))</f>
        <v>11</v>
      </c>
      <c r="M12" s="5" t="str">
        <f>IF(Table24[[#This Row],[Details]]=2,K11-Table24[[#This Row],[Pts]],IF(Table24[[#This Row],[Details]]=17,Table24[[#This Row],[Pts]]-K13,""))</f>
        <v/>
      </c>
      <c r="R12" s="1">
        <f>IFERROR(IF($Q$1=$P$3,INDEX(prem_analysis!$P$2:$Q$441,ROWS(Data!$P$2:Q12),COLUMNS(Data!$P$3:P13)),IF($Q$1=$P$5,INDEX(prem_analysis!$BH$1:$BS$23,ROWS(Data!$Q$3:Q13),COLUMNS(Data!$Q$3:Q13)),IF($Q$1=$P$6,INDEX(prem_analysis!$BU$1:$CF$67,ROWS(prem_analysis!$N$2:N12),COLUMNS(prem_analysis!$N$2:N12)),IF($Q$1=$P$4,INDEX(Table24[[#All],[Year]:[Details]],ROWS(prem_analysis!$M$420:M430),COLUMNS(Data!$Q$3:Q13)))))),"")</f>
        <v>2009</v>
      </c>
      <c r="S12" s="1">
        <f>IFERROR(IF($Q$1=$P$3,INDEX(prem_analysis!$P$2:$Q$441,ROWS(Data!$P$2:R12),COLUMNS(Data!$P$3:Q13)),IF($Q$1=$P$5,INDEX(prem_analysis!$BH$1:$BS$23,ROWS(Data!$Q$3:R13),COLUMNS(Data!$Q$3:R13)),IF($Q$1=$P$6,INDEX(prem_analysis!$BU$1:$CF$67,ROWS(prem_analysis!$N$2:O12),COLUMNS(prem_analysis!$N$2:O12)),IF($Q$1=$P$4,INDEX(Table24[[#All],[Year]:[Details]],ROWS(prem_analysis!$M$420:N430),COLUMNS(Data!$Q$3:R13)))))),"")</f>
        <v>1</v>
      </c>
      <c r="T12" s="1" t="str">
        <f>IFERROR(IF($Q$1=$P$3,INDEX(prem_analysis!$P$2:$Q$441,ROWS(Data!$P$2:S12),COLUMNS(Data!$P$3:R13)),IF($Q$1=$P$5,INDEX(prem_analysis!$BH$1:$BS$23,ROWS(Data!$Q$3:S13),COLUMNS(Data!$Q$3:S13)),IF($Q$1=$P$6,INDEX(prem_analysis!$BU$1:$CF$67,ROWS(prem_analysis!$N$2:P12),COLUMNS(prem_analysis!$N$2:P12)),IF($Q$1=$P$4,INDEX(Table24[[#All],[Year]:[Details]],ROWS(prem_analysis!$M$420:O430),COLUMNS(Data!$Q$3:S13)))))),"")</f>
        <v>Chelsea</v>
      </c>
      <c r="U12" s="1">
        <f>IFERROR(IF($Q$1=$P$3,INDEX(prem_analysis!$P$2:$Q$441,ROWS(Data!$P$2:T12),COLUMNS(Data!$P$3:S13)),IF($Q$1=$P$5,INDEX(prem_analysis!$BH$1:$BS$23,ROWS(Data!$Q$3:T13),COLUMNS(Data!$Q$3:T13)),IF($Q$1=$P$6,INDEX(prem_analysis!$BU$1:$CF$67,ROWS(prem_analysis!$N$2:Q12),COLUMNS(prem_analysis!$N$2:Q12)),IF($Q$1=$P$4,INDEX(Table24[[#All],[Year]:[Details]],ROWS(prem_analysis!$M$420:P430),COLUMNS(Data!$Q$3:T13)))))),"")</f>
        <v>38</v>
      </c>
      <c r="V12" s="1">
        <f>IFERROR(IF($Q$1=$P$3,INDEX(prem_analysis!$P$2:$Q$441,ROWS(Data!$P$2:U12),COLUMNS(Data!$P$3:T13)),IF($Q$1=$P$5,INDEX(prem_analysis!$BH$1:$BS$23,ROWS(Data!$Q$3:U13),COLUMNS(Data!$Q$3:U13)),IF($Q$1=$P$6,INDEX(prem_analysis!$BU$1:$CF$67,ROWS(prem_analysis!$N$2:R12),COLUMNS(prem_analysis!$N$2:R12)),IF($Q$1=$P$4,INDEX(Table24[[#All],[Year]:[Details]],ROWS(prem_analysis!$M$420:Q430),COLUMNS(Data!$Q$3:U13)))))),"")</f>
        <v>27</v>
      </c>
      <c r="W12" s="1">
        <f>IFERROR(IF($Q$1=$P$3,INDEX(prem_analysis!$P$2:$Q$441,ROWS(Data!$P$2:V12),COLUMNS(Data!$P$3:U13)),IF($Q$1=$P$5,INDEX(prem_analysis!$BH$1:$BS$23,ROWS(Data!$Q$3:V13),COLUMNS(Data!$Q$3:V13)),IF($Q$1=$P$6,INDEX(prem_analysis!$BU$1:$CF$67,ROWS(prem_analysis!$N$2:S12),COLUMNS(prem_analysis!$N$2:S12)),IF($Q$1=$P$4,INDEX(Table24[[#All],[Year]:[Details]],ROWS(prem_analysis!$M$420:R430),COLUMNS(Data!$Q$3:V13)))))),"")</f>
        <v>5</v>
      </c>
      <c r="X12" s="1">
        <f>IFERROR(IF($Q$1=$P$3,INDEX(prem_analysis!$P$2:$Q$441,ROWS(Data!$P$2:W12),COLUMNS(Data!$P$3:V13)),IF($Q$1=$P$5,INDEX(prem_analysis!$BH$1:$BS$23,ROWS(Data!$Q$3:W13),COLUMNS(Data!$Q$3:W13)),IF($Q$1=$P$6,INDEX(prem_analysis!$BU$1:$CF$67,ROWS(prem_analysis!$N$2:T12),COLUMNS(prem_analysis!$N$2:T12)),IF($Q$1=$P$4,INDEX(Table24[[#All],[Year]:[Details]],ROWS(prem_analysis!$M$420:S430),COLUMNS(Data!$Q$3:W13)))))),"")</f>
        <v>6</v>
      </c>
      <c r="Y12" s="1">
        <f>IFERROR(IF($Q$1=$P$3,INDEX(prem_analysis!$P$2:$Q$441,ROWS(Data!$P$2:X12),COLUMNS(Data!$P$3:W13)),IF($Q$1=$P$5,INDEX(prem_analysis!$BH$1:$BS$23,ROWS(Data!$Q$3:X13),COLUMNS(Data!$Q$3:X13)),IF($Q$1=$P$6,INDEX(prem_analysis!$BU$1:$CF$67,ROWS(prem_analysis!$N$2:U12),COLUMNS(prem_analysis!$N$2:U12)),IF($Q$1=$P$4,INDEX(Table24[[#All],[Year]:[Details]],ROWS(prem_analysis!$M$420:T430),COLUMNS(Data!$Q$3:X13)))))),"")</f>
        <v>103</v>
      </c>
      <c r="Z12" s="1">
        <f>IFERROR(IF($Q$1=$P$3,INDEX(prem_analysis!$P$2:$Q$441,ROWS(Data!$P$2:Y12),COLUMNS(Data!$P$3:X13)),IF($Q$1=$P$5,INDEX(prem_analysis!$BH$1:$BS$23,ROWS(Data!$Q$3:Y13),COLUMNS(Data!$Q$3:Y13)),IF($Q$1=$P$6,INDEX(prem_analysis!$BU$1:$CF$67,ROWS(prem_analysis!$N$2:V12),COLUMNS(prem_analysis!$N$2:V12)),IF($Q$1=$P$4,INDEX(Table24[[#All],[Year]:[Details]],ROWS(prem_analysis!$M$420:U430),COLUMNS(Data!$Q$3:Y13)))))),"")</f>
        <v>32</v>
      </c>
      <c r="AA12" s="1">
        <f>IFERROR(IF($Q$1=$P$3,INDEX(prem_analysis!$P$2:$Q$441,ROWS(Data!$P$2:Z12),COLUMNS(Data!$P$3:Y13)),IF($Q$1=$P$5,INDEX(prem_analysis!$BH$1:$BS$23,ROWS(Data!$Q$3:Z13),COLUMNS(Data!$Q$3:Z13)),IF($Q$1=$P$6,INDEX(prem_analysis!$BU$1:$CF$67,ROWS(prem_analysis!$N$2:W12),COLUMNS(prem_analysis!$N$2:W12)),IF($Q$1=$P$4,INDEX(Table24[[#All],[Year]:[Details]],ROWS(prem_analysis!$M$420:V430),COLUMNS(Data!$Q$3:Z13)))))),"")</f>
        <v>71</v>
      </c>
      <c r="AB12" s="1">
        <f>IFERROR(IF($Q$1=$P$3,INDEX(prem_analysis!$P$2:$Q$441,ROWS(Data!$P$2:AA12),COLUMNS(Data!$P$3:Z13)),IF($Q$1=$P$5,INDEX(prem_analysis!$BH$1:$BS$23,ROWS(Data!$Q$3:AA13),COLUMNS(Data!$Q$3:AA13)),IF($Q$1=$P$6,INDEX(prem_analysis!$BU$1:$CF$67,ROWS(prem_analysis!$N$2:X12),COLUMNS(prem_analysis!$N$2:X12)),IF($Q$1=$P$4,INDEX(Table24[[#All],[Year]:[Details]],ROWS(prem_analysis!$M$420:W430),COLUMNS(Data!$Q$3:AA13)))))),"")</f>
        <v>86</v>
      </c>
      <c r="AC12" s="1">
        <f>IFERROR(IF($Q$1=$P$3,INDEX(prem_analysis!$P$2:$Q$441,ROWS(Data!$P$2:AB12),COLUMNS(Data!$P$3:AA13)),IF($Q$1=$P$5,INDEX(prem_analysis!$BH$1:$BS$23,ROWS(Data!$Q$3:AB13),COLUMNS(Data!$Q$3:AB13)),IF($Q$1=$P$6,INDEX(prem_analysis!$BU$1:$CF$67,ROWS(prem_analysis!$N$2:Y12),COLUMNS(prem_analysis!$N$2:Y12)),IF($Q$1=$P$4,INDEX(Table24[[#All],[Year]:[Details]],ROWS(prem_analysis!$M$420:X430),COLUMNS(Data!$Q$3:AB13)))))),"")</f>
        <v>0.71052631578947367</v>
      </c>
    </row>
    <row r="13" spans="1:30" x14ac:dyDescent="0.2">
      <c r="A13" s="5">
        <v>2000</v>
      </c>
      <c r="B13" s="5">
        <v>12</v>
      </c>
      <c r="C13" s="6" t="s">
        <v>22</v>
      </c>
      <c r="D13" s="5">
        <v>38</v>
      </c>
      <c r="E13" s="5">
        <v>13</v>
      </c>
      <c r="F13" s="5">
        <v>10</v>
      </c>
      <c r="G13" s="5">
        <v>15</v>
      </c>
      <c r="H13" s="5">
        <v>47</v>
      </c>
      <c r="I13" s="5">
        <v>54</v>
      </c>
      <c r="J13" s="5">
        <v>-7</v>
      </c>
      <c r="K13" s="5">
        <v>49</v>
      </c>
      <c r="L13" s="5">
        <f>IF(Table24[[#This Row],['#]]=1,"Champion", IF(Table24[[#This Row],['#]]&gt;=18,"Relegated",Table24[[#This Row],['#]]))</f>
        <v>12</v>
      </c>
      <c r="M13" s="5" t="str">
        <f>IF(Table24[[#This Row],[Details]]=2,K12-Table24[[#This Row],[Pts]],IF(Table24[[#This Row],[Details]]=17,Table24[[#This Row],[Pts]]-K14,""))</f>
        <v/>
      </c>
      <c r="R13" s="1">
        <f>IFERROR(IF($Q$1=$P$3,INDEX(prem_analysis!$P$2:$Q$441,ROWS(Data!$P$2:Q13),COLUMNS(Data!$P$3:P14)),IF($Q$1=$P$5,INDEX(prem_analysis!$BH$1:$BS$23,ROWS(Data!$Q$3:Q14),COLUMNS(Data!$Q$3:Q14)),IF($Q$1=$P$6,INDEX(prem_analysis!$BU$1:$CF$67,ROWS(prem_analysis!$N$2:N13),COLUMNS(prem_analysis!$N$2:N13)),IF($Q$1=$P$4,INDEX(Table24[[#All],[Year]:[Details]],ROWS(prem_analysis!$M$420:M431),COLUMNS(Data!$Q$3:Q14)))))),"")</f>
        <v>2010</v>
      </c>
      <c r="S13" s="1">
        <f>IFERROR(IF($Q$1=$P$3,INDEX(prem_analysis!$P$2:$Q$441,ROWS(Data!$P$2:R13),COLUMNS(Data!$P$3:Q14)),IF($Q$1=$P$5,INDEX(prem_analysis!$BH$1:$BS$23,ROWS(Data!$Q$3:R14),COLUMNS(Data!$Q$3:R14)),IF($Q$1=$P$6,INDEX(prem_analysis!$BU$1:$CF$67,ROWS(prem_analysis!$N$2:O13),COLUMNS(prem_analysis!$N$2:O13)),IF($Q$1=$P$4,INDEX(Table24[[#All],[Year]:[Details]],ROWS(prem_analysis!$M$420:N431),COLUMNS(Data!$Q$3:R14)))))),"")</f>
        <v>1</v>
      </c>
      <c r="T13" s="1" t="str">
        <f>IFERROR(IF($Q$1=$P$3,INDEX(prem_analysis!$P$2:$Q$441,ROWS(Data!$P$2:S13),COLUMNS(Data!$P$3:R14)),IF($Q$1=$P$5,INDEX(prem_analysis!$BH$1:$BS$23,ROWS(Data!$Q$3:S14),COLUMNS(Data!$Q$3:S14)),IF($Q$1=$P$6,INDEX(prem_analysis!$BU$1:$CF$67,ROWS(prem_analysis!$N$2:P13),COLUMNS(prem_analysis!$N$2:P13)),IF($Q$1=$P$4,INDEX(Table24[[#All],[Year]:[Details]],ROWS(prem_analysis!$M$420:O431),COLUMNS(Data!$Q$3:S14)))))),"")</f>
        <v>Manchester United</v>
      </c>
      <c r="U13" s="1">
        <f>IFERROR(IF($Q$1=$P$3,INDEX(prem_analysis!$P$2:$Q$441,ROWS(Data!$P$2:T13),COLUMNS(Data!$P$3:S14)),IF($Q$1=$P$5,INDEX(prem_analysis!$BH$1:$BS$23,ROWS(Data!$Q$3:T14),COLUMNS(Data!$Q$3:T14)),IF($Q$1=$P$6,INDEX(prem_analysis!$BU$1:$CF$67,ROWS(prem_analysis!$N$2:Q13),COLUMNS(prem_analysis!$N$2:Q13)),IF($Q$1=$P$4,INDEX(Table24[[#All],[Year]:[Details]],ROWS(prem_analysis!$M$420:P431),COLUMNS(Data!$Q$3:T14)))))),"")</f>
        <v>38</v>
      </c>
      <c r="V13" s="1">
        <f>IFERROR(IF($Q$1=$P$3,INDEX(prem_analysis!$P$2:$Q$441,ROWS(Data!$P$2:U13),COLUMNS(Data!$P$3:T14)),IF($Q$1=$P$5,INDEX(prem_analysis!$BH$1:$BS$23,ROWS(Data!$Q$3:U14),COLUMNS(Data!$Q$3:U14)),IF($Q$1=$P$6,INDEX(prem_analysis!$BU$1:$CF$67,ROWS(prem_analysis!$N$2:R13),COLUMNS(prem_analysis!$N$2:R13)),IF($Q$1=$P$4,INDEX(Table24[[#All],[Year]:[Details]],ROWS(prem_analysis!$M$420:Q431),COLUMNS(Data!$Q$3:U14)))))),"")</f>
        <v>23</v>
      </c>
      <c r="W13" s="1">
        <f>IFERROR(IF($Q$1=$P$3,INDEX(prem_analysis!$P$2:$Q$441,ROWS(Data!$P$2:V13),COLUMNS(Data!$P$3:U14)),IF($Q$1=$P$5,INDEX(prem_analysis!$BH$1:$BS$23,ROWS(Data!$Q$3:V14),COLUMNS(Data!$Q$3:V14)),IF($Q$1=$P$6,INDEX(prem_analysis!$BU$1:$CF$67,ROWS(prem_analysis!$N$2:S13),COLUMNS(prem_analysis!$N$2:S13)),IF($Q$1=$P$4,INDEX(Table24[[#All],[Year]:[Details]],ROWS(prem_analysis!$M$420:R431),COLUMNS(Data!$Q$3:V14)))))),"")</f>
        <v>11</v>
      </c>
      <c r="X13" s="1">
        <f>IFERROR(IF($Q$1=$P$3,INDEX(prem_analysis!$P$2:$Q$441,ROWS(Data!$P$2:W13),COLUMNS(Data!$P$3:V14)),IF($Q$1=$P$5,INDEX(prem_analysis!$BH$1:$BS$23,ROWS(Data!$Q$3:W14),COLUMNS(Data!$Q$3:W14)),IF($Q$1=$P$6,INDEX(prem_analysis!$BU$1:$CF$67,ROWS(prem_analysis!$N$2:T13),COLUMNS(prem_analysis!$N$2:T13)),IF($Q$1=$P$4,INDEX(Table24[[#All],[Year]:[Details]],ROWS(prem_analysis!$M$420:S431),COLUMNS(Data!$Q$3:W14)))))),"")</f>
        <v>4</v>
      </c>
      <c r="Y13" s="1">
        <f>IFERROR(IF($Q$1=$P$3,INDEX(prem_analysis!$P$2:$Q$441,ROWS(Data!$P$2:X13),COLUMNS(Data!$P$3:W14)),IF($Q$1=$P$5,INDEX(prem_analysis!$BH$1:$BS$23,ROWS(Data!$Q$3:X14),COLUMNS(Data!$Q$3:X14)),IF($Q$1=$P$6,INDEX(prem_analysis!$BU$1:$CF$67,ROWS(prem_analysis!$N$2:U13),COLUMNS(prem_analysis!$N$2:U13)),IF($Q$1=$P$4,INDEX(Table24[[#All],[Year]:[Details]],ROWS(prem_analysis!$M$420:T431),COLUMNS(Data!$Q$3:X14)))))),"")</f>
        <v>78</v>
      </c>
      <c r="Z13" s="1">
        <f>IFERROR(IF($Q$1=$P$3,INDEX(prem_analysis!$P$2:$Q$441,ROWS(Data!$P$2:Y13),COLUMNS(Data!$P$3:X14)),IF($Q$1=$P$5,INDEX(prem_analysis!$BH$1:$BS$23,ROWS(Data!$Q$3:Y14),COLUMNS(Data!$Q$3:Y14)),IF($Q$1=$P$6,INDEX(prem_analysis!$BU$1:$CF$67,ROWS(prem_analysis!$N$2:V13),COLUMNS(prem_analysis!$N$2:V13)),IF($Q$1=$P$4,INDEX(Table24[[#All],[Year]:[Details]],ROWS(prem_analysis!$M$420:U431),COLUMNS(Data!$Q$3:Y14)))))),"")</f>
        <v>37</v>
      </c>
      <c r="AA13" s="1">
        <f>IFERROR(IF($Q$1=$P$3,INDEX(prem_analysis!$P$2:$Q$441,ROWS(Data!$P$2:Z13),COLUMNS(Data!$P$3:Y14)),IF($Q$1=$P$5,INDEX(prem_analysis!$BH$1:$BS$23,ROWS(Data!$Q$3:Z14),COLUMNS(Data!$Q$3:Z14)),IF($Q$1=$P$6,INDEX(prem_analysis!$BU$1:$CF$67,ROWS(prem_analysis!$N$2:W13),COLUMNS(prem_analysis!$N$2:W13)),IF($Q$1=$P$4,INDEX(Table24[[#All],[Year]:[Details]],ROWS(prem_analysis!$M$420:V431),COLUMNS(Data!$Q$3:Z14)))))),"")</f>
        <v>41</v>
      </c>
      <c r="AB13" s="1">
        <f>IFERROR(IF($Q$1=$P$3,INDEX(prem_analysis!$P$2:$Q$441,ROWS(Data!$P$2:AA13),COLUMNS(Data!$P$3:Z14)),IF($Q$1=$P$5,INDEX(prem_analysis!$BH$1:$BS$23,ROWS(Data!$Q$3:AA14),COLUMNS(Data!$Q$3:AA14)),IF($Q$1=$P$6,INDEX(prem_analysis!$BU$1:$CF$67,ROWS(prem_analysis!$N$2:X13),COLUMNS(prem_analysis!$N$2:X13)),IF($Q$1=$P$4,INDEX(Table24[[#All],[Year]:[Details]],ROWS(prem_analysis!$M$420:W431),COLUMNS(Data!$Q$3:AA14)))))),"")</f>
        <v>80</v>
      </c>
      <c r="AC13" s="1">
        <f>IFERROR(IF($Q$1=$P$3,INDEX(prem_analysis!$P$2:$Q$441,ROWS(Data!$P$2:AB13),COLUMNS(Data!$P$3:AA14)),IF($Q$1=$P$5,INDEX(prem_analysis!$BH$1:$BS$23,ROWS(Data!$Q$3:AB14),COLUMNS(Data!$Q$3:AB14)),IF($Q$1=$P$6,INDEX(prem_analysis!$BU$1:$CF$67,ROWS(prem_analysis!$N$2:Y13),COLUMNS(prem_analysis!$N$2:Y13)),IF($Q$1=$P$4,INDEX(Table24[[#All],[Year]:[Details]],ROWS(prem_analysis!$M$420:X431),COLUMNS(Data!$Q$3:AB14)))))),"")</f>
        <v>0.60526315789473684</v>
      </c>
    </row>
    <row r="14" spans="1:30" x14ac:dyDescent="0.2">
      <c r="A14" s="3">
        <v>2000</v>
      </c>
      <c r="B14" s="3">
        <v>13</v>
      </c>
      <c r="C14" s="4" t="s">
        <v>23</v>
      </c>
      <c r="D14" s="3">
        <v>38</v>
      </c>
      <c r="E14" s="3">
        <v>14</v>
      </c>
      <c r="F14" s="3">
        <v>6</v>
      </c>
      <c r="G14" s="3">
        <v>18</v>
      </c>
      <c r="H14" s="3">
        <v>39</v>
      </c>
      <c r="I14" s="3">
        <v>51</v>
      </c>
      <c r="J14" s="3">
        <v>-12</v>
      </c>
      <c r="K14" s="3">
        <v>48</v>
      </c>
      <c r="L14" s="5">
        <f>IF(Table24[[#This Row],['#]]=1,"Champion", IF(Table24[[#This Row],['#]]&gt;=18,"Relegated",Table24[[#This Row],['#]]))</f>
        <v>13</v>
      </c>
      <c r="M14" s="5" t="str">
        <f>IF(Table24[[#This Row],[Details]]=2,K13-Table24[[#This Row],[Pts]],IF(Table24[[#This Row],[Details]]=17,Table24[[#This Row],[Pts]]-K15,""))</f>
        <v/>
      </c>
      <c r="R14" s="1">
        <f>IFERROR(IF($Q$1=$P$3,INDEX(prem_analysis!$P$2:$Q$441,ROWS(Data!$P$2:Q14),COLUMNS(Data!$P$3:P15)),IF($Q$1=$P$5,INDEX(prem_analysis!$BH$1:$BS$23,ROWS(Data!$Q$3:Q15),COLUMNS(Data!$Q$3:Q15)),IF($Q$1=$P$6,INDEX(prem_analysis!$BU$1:$CF$67,ROWS(prem_analysis!$N$2:N14),COLUMNS(prem_analysis!$N$2:N14)),IF($Q$1=$P$4,INDEX(Table24[[#All],[Year]:[Details]],ROWS(prem_analysis!$M$420:M432),COLUMNS(Data!$Q$3:Q15)))))),"")</f>
        <v>2011</v>
      </c>
      <c r="S14" s="1">
        <f>IFERROR(IF($Q$1=$P$3,INDEX(prem_analysis!$P$2:$Q$441,ROWS(Data!$P$2:R14),COLUMNS(Data!$P$3:Q15)),IF($Q$1=$P$5,INDEX(prem_analysis!$BH$1:$BS$23,ROWS(Data!$Q$3:R15),COLUMNS(Data!$Q$3:R15)),IF($Q$1=$P$6,INDEX(prem_analysis!$BU$1:$CF$67,ROWS(prem_analysis!$N$2:O14),COLUMNS(prem_analysis!$N$2:O14)),IF($Q$1=$P$4,INDEX(Table24[[#All],[Year]:[Details]],ROWS(prem_analysis!$M$420:N432),COLUMNS(Data!$Q$3:R15)))))),"")</f>
        <v>1</v>
      </c>
      <c r="T14" s="1" t="str">
        <f>IFERROR(IF($Q$1=$P$3,INDEX(prem_analysis!$P$2:$Q$441,ROWS(Data!$P$2:S14),COLUMNS(Data!$P$3:R15)),IF($Q$1=$P$5,INDEX(prem_analysis!$BH$1:$BS$23,ROWS(Data!$Q$3:S15),COLUMNS(Data!$Q$3:S15)),IF($Q$1=$P$6,INDEX(prem_analysis!$BU$1:$CF$67,ROWS(prem_analysis!$N$2:P14),COLUMNS(prem_analysis!$N$2:P14)),IF($Q$1=$P$4,INDEX(Table24[[#All],[Year]:[Details]],ROWS(prem_analysis!$M$420:O432),COLUMNS(Data!$Q$3:S15)))))),"")</f>
        <v>Manchester City</v>
      </c>
      <c r="U14" s="1">
        <f>IFERROR(IF($Q$1=$P$3,INDEX(prem_analysis!$P$2:$Q$441,ROWS(Data!$P$2:T14),COLUMNS(Data!$P$3:S15)),IF($Q$1=$P$5,INDEX(prem_analysis!$BH$1:$BS$23,ROWS(Data!$Q$3:T15),COLUMNS(Data!$Q$3:T15)),IF($Q$1=$P$6,INDEX(prem_analysis!$BU$1:$CF$67,ROWS(prem_analysis!$N$2:Q14),COLUMNS(prem_analysis!$N$2:Q14)),IF($Q$1=$P$4,INDEX(Table24[[#All],[Year]:[Details]],ROWS(prem_analysis!$M$420:P432),COLUMNS(Data!$Q$3:T15)))))),"")</f>
        <v>38</v>
      </c>
      <c r="V14" s="1">
        <f>IFERROR(IF($Q$1=$P$3,INDEX(prem_analysis!$P$2:$Q$441,ROWS(Data!$P$2:U14),COLUMNS(Data!$P$3:T15)),IF($Q$1=$P$5,INDEX(prem_analysis!$BH$1:$BS$23,ROWS(Data!$Q$3:U15),COLUMNS(Data!$Q$3:U15)),IF($Q$1=$P$6,INDEX(prem_analysis!$BU$1:$CF$67,ROWS(prem_analysis!$N$2:R14),COLUMNS(prem_analysis!$N$2:R14)),IF($Q$1=$P$4,INDEX(Table24[[#All],[Year]:[Details]],ROWS(prem_analysis!$M$420:Q432),COLUMNS(Data!$Q$3:U15)))))),"")</f>
        <v>28</v>
      </c>
      <c r="W14" s="1">
        <f>IFERROR(IF($Q$1=$P$3,INDEX(prem_analysis!$P$2:$Q$441,ROWS(Data!$P$2:V14),COLUMNS(Data!$P$3:U15)),IF($Q$1=$P$5,INDEX(prem_analysis!$BH$1:$BS$23,ROWS(Data!$Q$3:V15),COLUMNS(Data!$Q$3:V15)),IF($Q$1=$P$6,INDEX(prem_analysis!$BU$1:$CF$67,ROWS(prem_analysis!$N$2:S14),COLUMNS(prem_analysis!$N$2:S14)),IF($Q$1=$P$4,INDEX(Table24[[#All],[Year]:[Details]],ROWS(prem_analysis!$M$420:R432),COLUMNS(Data!$Q$3:V15)))))),"")</f>
        <v>5</v>
      </c>
      <c r="X14" s="1">
        <f>IFERROR(IF($Q$1=$P$3,INDEX(prem_analysis!$P$2:$Q$441,ROWS(Data!$P$2:W14),COLUMNS(Data!$P$3:V15)),IF($Q$1=$P$5,INDEX(prem_analysis!$BH$1:$BS$23,ROWS(Data!$Q$3:W15),COLUMNS(Data!$Q$3:W15)),IF($Q$1=$P$6,INDEX(prem_analysis!$BU$1:$CF$67,ROWS(prem_analysis!$N$2:T14),COLUMNS(prem_analysis!$N$2:T14)),IF($Q$1=$P$4,INDEX(Table24[[#All],[Year]:[Details]],ROWS(prem_analysis!$M$420:S432),COLUMNS(Data!$Q$3:W15)))))),"")</f>
        <v>5</v>
      </c>
      <c r="Y14" s="1">
        <f>IFERROR(IF($Q$1=$P$3,INDEX(prem_analysis!$P$2:$Q$441,ROWS(Data!$P$2:X14),COLUMNS(Data!$P$3:W15)),IF($Q$1=$P$5,INDEX(prem_analysis!$BH$1:$BS$23,ROWS(Data!$Q$3:X15),COLUMNS(Data!$Q$3:X15)),IF($Q$1=$P$6,INDEX(prem_analysis!$BU$1:$CF$67,ROWS(prem_analysis!$N$2:U14),COLUMNS(prem_analysis!$N$2:U14)),IF($Q$1=$P$4,INDEX(Table24[[#All],[Year]:[Details]],ROWS(prem_analysis!$M$420:T432),COLUMNS(Data!$Q$3:X15)))))),"")</f>
        <v>93</v>
      </c>
      <c r="Z14" s="1">
        <f>IFERROR(IF($Q$1=$P$3,INDEX(prem_analysis!$P$2:$Q$441,ROWS(Data!$P$2:Y14),COLUMNS(Data!$P$3:X15)),IF($Q$1=$P$5,INDEX(prem_analysis!$BH$1:$BS$23,ROWS(Data!$Q$3:Y15),COLUMNS(Data!$Q$3:Y15)),IF($Q$1=$P$6,INDEX(prem_analysis!$BU$1:$CF$67,ROWS(prem_analysis!$N$2:V14),COLUMNS(prem_analysis!$N$2:V14)),IF($Q$1=$P$4,INDEX(Table24[[#All],[Year]:[Details]],ROWS(prem_analysis!$M$420:U432),COLUMNS(Data!$Q$3:Y15)))))),"")</f>
        <v>29</v>
      </c>
      <c r="AA14" s="1">
        <f>IFERROR(IF($Q$1=$P$3,INDEX(prem_analysis!$P$2:$Q$441,ROWS(Data!$P$2:Z14),COLUMNS(Data!$P$3:Y15)),IF($Q$1=$P$5,INDEX(prem_analysis!$BH$1:$BS$23,ROWS(Data!$Q$3:Z15),COLUMNS(Data!$Q$3:Z15)),IF($Q$1=$P$6,INDEX(prem_analysis!$BU$1:$CF$67,ROWS(prem_analysis!$N$2:W14),COLUMNS(prem_analysis!$N$2:W14)),IF($Q$1=$P$4,INDEX(Table24[[#All],[Year]:[Details]],ROWS(prem_analysis!$M$420:V432),COLUMNS(Data!$Q$3:Z15)))))),"")</f>
        <v>64</v>
      </c>
      <c r="AB14" s="1">
        <f>IFERROR(IF($Q$1=$P$3,INDEX(prem_analysis!$P$2:$Q$441,ROWS(Data!$P$2:AA14),COLUMNS(Data!$P$3:Z15)),IF($Q$1=$P$5,INDEX(prem_analysis!$BH$1:$BS$23,ROWS(Data!$Q$3:AA15),COLUMNS(Data!$Q$3:AA15)),IF($Q$1=$P$6,INDEX(prem_analysis!$BU$1:$CF$67,ROWS(prem_analysis!$N$2:X14),COLUMNS(prem_analysis!$N$2:X14)),IF($Q$1=$P$4,INDEX(Table24[[#All],[Year]:[Details]],ROWS(prem_analysis!$M$420:W432),COLUMNS(Data!$Q$3:AA15)))))),"")</f>
        <v>89</v>
      </c>
      <c r="AC14" s="1">
        <f>IFERROR(IF($Q$1=$P$3,INDEX(prem_analysis!$P$2:$Q$441,ROWS(Data!$P$2:AB14),COLUMNS(Data!$P$3:AA15)),IF($Q$1=$P$5,INDEX(prem_analysis!$BH$1:$BS$23,ROWS(Data!$Q$3:AB15),COLUMNS(Data!$Q$3:AB15)),IF($Q$1=$P$6,INDEX(prem_analysis!$BU$1:$CF$67,ROWS(prem_analysis!$N$2:Y14),COLUMNS(prem_analysis!$N$2:Y14)),IF($Q$1=$P$4,INDEX(Table24[[#All],[Year]:[Details]],ROWS(prem_analysis!$M$420:X432),COLUMNS(Data!$Q$3:AB15)))))),"")</f>
        <v>0.73684210526315785</v>
      </c>
    </row>
    <row r="15" spans="1:30" x14ac:dyDescent="0.2">
      <c r="A15" s="5">
        <v>2000</v>
      </c>
      <c r="B15" s="5">
        <v>14</v>
      </c>
      <c r="C15" s="6" t="s">
        <v>24</v>
      </c>
      <c r="D15" s="5">
        <v>38</v>
      </c>
      <c r="E15" s="5">
        <v>9</v>
      </c>
      <c r="F15" s="5">
        <v>15</v>
      </c>
      <c r="G15" s="5">
        <v>14</v>
      </c>
      <c r="H15" s="5">
        <v>44</v>
      </c>
      <c r="I15" s="5">
        <v>44</v>
      </c>
      <c r="J15" s="5">
        <v>0</v>
      </c>
      <c r="K15" s="5">
        <v>42</v>
      </c>
      <c r="L15" s="5">
        <f>IF(Table24[[#This Row],['#]]=1,"Champion", IF(Table24[[#This Row],['#]]&gt;=18,"Relegated",Table24[[#This Row],['#]]))</f>
        <v>14</v>
      </c>
      <c r="M15" s="5" t="str">
        <f>IF(Table24[[#This Row],[Details]]=2,K14-Table24[[#This Row],[Pts]],IF(Table24[[#This Row],[Details]]=17,Table24[[#This Row],[Pts]]-K16,""))</f>
        <v/>
      </c>
      <c r="R15" s="1">
        <f>IFERROR(IF($Q$1=$P$3,INDEX(prem_analysis!$P$2:$Q$441,ROWS(Data!$P$2:Q15),COLUMNS(Data!$P$3:P16)),IF($Q$1=$P$5,INDEX(prem_analysis!$BH$1:$BS$23,ROWS(Data!$Q$3:Q16),COLUMNS(Data!$Q$3:Q16)),IF($Q$1=$P$6,INDEX(prem_analysis!$BU$1:$CF$67,ROWS(prem_analysis!$N$2:N15),COLUMNS(prem_analysis!$N$2:N15)),IF($Q$1=$P$4,INDEX(Table24[[#All],[Year]:[Details]],ROWS(prem_analysis!$M$420:M433),COLUMNS(Data!$Q$3:Q16)))))),"")</f>
        <v>2012</v>
      </c>
      <c r="S15" s="1">
        <f>IFERROR(IF($Q$1=$P$3,INDEX(prem_analysis!$P$2:$Q$441,ROWS(Data!$P$2:R15),COLUMNS(Data!$P$3:Q16)),IF($Q$1=$P$5,INDEX(prem_analysis!$BH$1:$BS$23,ROWS(Data!$Q$3:R16),COLUMNS(Data!$Q$3:R16)),IF($Q$1=$P$6,INDEX(prem_analysis!$BU$1:$CF$67,ROWS(prem_analysis!$N$2:O15),COLUMNS(prem_analysis!$N$2:O15)),IF($Q$1=$P$4,INDEX(Table24[[#All],[Year]:[Details]],ROWS(prem_analysis!$M$420:N433),COLUMNS(Data!$Q$3:R16)))))),"")</f>
        <v>1</v>
      </c>
      <c r="T15" s="1" t="str">
        <f>IFERROR(IF($Q$1=$P$3,INDEX(prem_analysis!$P$2:$Q$441,ROWS(Data!$P$2:S15),COLUMNS(Data!$P$3:R16)),IF($Q$1=$P$5,INDEX(prem_analysis!$BH$1:$BS$23,ROWS(Data!$Q$3:S16),COLUMNS(Data!$Q$3:S16)),IF($Q$1=$P$6,INDEX(prem_analysis!$BU$1:$CF$67,ROWS(prem_analysis!$N$2:P15),COLUMNS(prem_analysis!$N$2:P15)),IF($Q$1=$P$4,INDEX(Table24[[#All],[Year]:[Details]],ROWS(prem_analysis!$M$420:O433),COLUMNS(Data!$Q$3:S16)))))),"")</f>
        <v>Manchester United</v>
      </c>
      <c r="U15" s="1">
        <f>IFERROR(IF($Q$1=$P$3,INDEX(prem_analysis!$P$2:$Q$441,ROWS(Data!$P$2:T15),COLUMNS(Data!$P$3:S16)),IF($Q$1=$P$5,INDEX(prem_analysis!$BH$1:$BS$23,ROWS(Data!$Q$3:T16),COLUMNS(Data!$Q$3:T16)),IF($Q$1=$P$6,INDEX(prem_analysis!$BU$1:$CF$67,ROWS(prem_analysis!$N$2:Q15),COLUMNS(prem_analysis!$N$2:Q15)),IF($Q$1=$P$4,INDEX(Table24[[#All],[Year]:[Details]],ROWS(prem_analysis!$M$420:P433),COLUMNS(Data!$Q$3:T16)))))),"")</f>
        <v>38</v>
      </c>
      <c r="V15" s="1">
        <f>IFERROR(IF($Q$1=$P$3,INDEX(prem_analysis!$P$2:$Q$441,ROWS(Data!$P$2:U15),COLUMNS(Data!$P$3:T16)),IF($Q$1=$P$5,INDEX(prem_analysis!$BH$1:$BS$23,ROWS(Data!$Q$3:U16),COLUMNS(Data!$Q$3:U16)),IF($Q$1=$P$6,INDEX(prem_analysis!$BU$1:$CF$67,ROWS(prem_analysis!$N$2:R15),COLUMNS(prem_analysis!$N$2:R15)),IF($Q$1=$P$4,INDEX(Table24[[#All],[Year]:[Details]],ROWS(prem_analysis!$M$420:Q433),COLUMNS(Data!$Q$3:U16)))))),"")</f>
        <v>28</v>
      </c>
      <c r="W15" s="1">
        <f>IFERROR(IF($Q$1=$P$3,INDEX(prem_analysis!$P$2:$Q$441,ROWS(Data!$P$2:V15),COLUMNS(Data!$P$3:U16)),IF($Q$1=$P$5,INDEX(prem_analysis!$BH$1:$BS$23,ROWS(Data!$Q$3:V16),COLUMNS(Data!$Q$3:V16)),IF($Q$1=$P$6,INDEX(prem_analysis!$BU$1:$CF$67,ROWS(prem_analysis!$N$2:S15),COLUMNS(prem_analysis!$N$2:S15)),IF($Q$1=$P$4,INDEX(Table24[[#All],[Year]:[Details]],ROWS(prem_analysis!$M$420:R433),COLUMNS(Data!$Q$3:V16)))))),"")</f>
        <v>5</v>
      </c>
      <c r="X15" s="1">
        <f>IFERROR(IF($Q$1=$P$3,INDEX(prem_analysis!$P$2:$Q$441,ROWS(Data!$P$2:W15),COLUMNS(Data!$P$3:V16)),IF($Q$1=$P$5,INDEX(prem_analysis!$BH$1:$BS$23,ROWS(Data!$Q$3:W16),COLUMNS(Data!$Q$3:W16)),IF($Q$1=$P$6,INDEX(prem_analysis!$BU$1:$CF$67,ROWS(prem_analysis!$N$2:T15),COLUMNS(prem_analysis!$N$2:T15)),IF($Q$1=$P$4,INDEX(Table24[[#All],[Year]:[Details]],ROWS(prem_analysis!$M$420:S433),COLUMNS(Data!$Q$3:W16)))))),"")</f>
        <v>5</v>
      </c>
      <c r="Y15" s="1">
        <f>IFERROR(IF($Q$1=$P$3,INDEX(prem_analysis!$P$2:$Q$441,ROWS(Data!$P$2:X15),COLUMNS(Data!$P$3:W16)),IF($Q$1=$P$5,INDEX(prem_analysis!$BH$1:$BS$23,ROWS(Data!$Q$3:X16),COLUMNS(Data!$Q$3:X16)),IF($Q$1=$P$6,INDEX(prem_analysis!$BU$1:$CF$67,ROWS(prem_analysis!$N$2:U15),COLUMNS(prem_analysis!$N$2:U15)),IF($Q$1=$P$4,INDEX(Table24[[#All],[Year]:[Details]],ROWS(prem_analysis!$M$420:T433),COLUMNS(Data!$Q$3:X16)))))),"")</f>
        <v>86</v>
      </c>
      <c r="Z15" s="1">
        <f>IFERROR(IF($Q$1=$P$3,INDEX(prem_analysis!$P$2:$Q$441,ROWS(Data!$P$2:Y15),COLUMNS(Data!$P$3:X16)),IF($Q$1=$P$5,INDEX(prem_analysis!$BH$1:$BS$23,ROWS(Data!$Q$3:Y16),COLUMNS(Data!$Q$3:Y16)),IF($Q$1=$P$6,INDEX(prem_analysis!$BU$1:$CF$67,ROWS(prem_analysis!$N$2:V15),COLUMNS(prem_analysis!$N$2:V15)),IF($Q$1=$P$4,INDEX(Table24[[#All],[Year]:[Details]],ROWS(prem_analysis!$M$420:U433),COLUMNS(Data!$Q$3:Y16)))))),"")</f>
        <v>43</v>
      </c>
      <c r="AA15" s="1">
        <f>IFERROR(IF($Q$1=$P$3,INDEX(prem_analysis!$P$2:$Q$441,ROWS(Data!$P$2:Z15),COLUMNS(Data!$P$3:Y16)),IF($Q$1=$P$5,INDEX(prem_analysis!$BH$1:$BS$23,ROWS(Data!$Q$3:Z16),COLUMNS(Data!$Q$3:Z16)),IF($Q$1=$P$6,INDEX(prem_analysis!$BU$1:$CF$67,ROWS(prem_analysis!$N$2:W15),COLUMNS(prem_analysis!$N$2:W15)),IF($Q$1=$P$4,INDEX(Table24[[#All],[Year]:[Details]],ROWS(prem_analysis!$M$420:V433),COLUMNS(Data!$Q$3:Z16)))))),"")</f>
        <v>43</v>
      </c>
      <c r="AB15" s="1">
        <f>IFERROR(IF($Q$1=$P$3,INDEX(prem_analysis!$P$2:$Q$441,ROWS(Data!$P$2:AA15),COLUMNS(Data!$P$3:Z16)),IF($Q$1=$P$5,INDEX(prem_analysis!$BH$1:$BS$23,ROWS(Data!$Q$3:AA16),COLUMNS(Data!$Q$3:AA16)),IF($Q$1=$P$6,INDEX(prem_analysis!$BU$1:$CF$67,ROWS(prem_analysis!$N$2:X15),COLUMNS(prem_analysis!$N$2:X15)),IF($Q$1=$P$4,INDEX(Table24[[#All],[Year]:[Details]],ROWS(prem_analysis!$M$420:W433),COLUMNS(Data!$Q$3:AA16)))))),"")</f>
        <v>89</v>
      </c>
      <c r="AC15" s="1">
        <f>IFERROR(IF($Q$1=$P$3,INDEX(prem_analysis!$P$2:$Q$441,ROWS(Data!$P$2:AB15),COLUMNS(Data!$P$3:AA16)),IF($Q$1=$P$5,INDEX(prem_analysis!$BH$1:$BS$23,ROWS(Data!$Q$3:AB16),COLUMNS(Data!$Q$3:AB16)),IF($Q$1=$P$6,INDEX(prem_analysis!$BU$1:$CF$67,ROWS(prem_analysis!$N$2:Y15),COLUMNS(prem_analysis!$N$2:Y15)),IF($Q$1=$P$4,INDEX(Table24[[#All],[Year]:[Details]],ROWS(prem_analysis!$M$420:X433),COLUMNS(Data!$Q$3:AB16)))))),"")</f>
        <v>0.73684210526315785</v>
      </c>
    </row>
    <row r="16" spans="1:30" x14ac:dyDescent="0.2">
      <c r="A16" s="3">
        <v>2000</v>
      </c>
      <c r="B16" s="3">
        <v>15</v>
      </c>
      <c r="C16" s="4" t="s">
        <v>25</v>
      </c>
      <c r="D16" s="3">
        <v>38</v>
      </c>
      <c r="E16" s="3">
        <v>10</v>
      </c>
      <c r="F16" s="3">
        <v>12</v>
      </c>
      <c r="G16" s="3">
        <v>16</v>
      </c>
      <c r="H16" s="3">
        <v>45</v>
      </c>
      <c r="I16" s="3">
        <v>50</v>
      </c>
      <c r="J16" s="3">
        <v>-5</v>
      </c>
      <c r="K16" s="3">
        <v>42</v>
      </c>
      <c r="L16" s="5">
        <f>IF(Table24[[#This Row],['#]]=1,"Champion", IF(Table24[[#This Row],['#]]&gt;=18,"Relegated",Table24[[#This Row],['#]]))</f>
        <v>15</v>
      </c>
      <c r="M16" s="5" t="str">
        <f>IF(Table24[[#This Row],[Details]]=2,K15-Table24[[#This Row],[Pts]],IF(Table24[[#This Row],[Details]]=17,Table24[[#This Row],[Pts]]-K17,""))</f>
        <v/>
      </c>
      <c r="R16" s="1">
        <f>IFERROR(IF($Q$1=$P$3,INDEX(prem_analysis!$P$2:$Q$441,ROWS(Data!$P$2:Q16),COLUMNS(Data!$P$3:P17)),IF($Q$1=$P$5,INDEX(prem_analysis!$BH$1:$BS$23,ROWS(Data!$Q$3:Q17),COLUMNS(Data!$Q$3:Q17)),IF($Q$1=$P$6,INDEX(prem_analysis!$BU$1:$CF$67,ROWS(prem_analysis!$N$2:N16),COLUMNS(prem_analysis!$N$2:N16)),IF($Q$1=$P$4,INDEX(Table24[[#All],[Year]:[Details]],ROWS(prem_analysis!$M$420:M434),COLUMNS(Data!$Q$3:Q17)))))),"")</f>
        <v>2013</v>
      </c>
      <c r="S16" s="1">
        <f>IFERROR(IF($Q$1=$P$3,INDEX(prem_analysis!$P$2:$Q$441,ROWS(Data!$P$2:R16),COLUMNS(Data!$P$3:Q17)),IF($Q$1=$P$5,INDEX(prem_analysis!$BH$1:$BS$23,ROWS(Data!$Q$3:R17),COLUMNS(Data!$Q$3:R17)),IF($Q$1=$P$6,INDEX(prem_analysis!$BU$1:$CF$67,ROWS(prem_analysis!$N$2:O16),COLUMNS(prem_analysis!$N$2:O16)),IF($Q$1=$P$4,INDEX(Table24[[#All],[Year]:[Details]],ROWS(prem_analysis!$M$420:N434),COLUMNS(Data!$Q$3:R17)))))),"")</f>
        <v>1</v>
      </c>
      <c r="T16" s="1" t="str">
        <f>IFERROR(IF($Q$1=$P$3,INDEX(prem_analysis!$P$2:$Q$441,ROWS(Data!$P$2:S16),COLUMNS(Data!$P$3:R17)),IF($Q$1=$P$5,INDEX(prem_analysis!$BH$1:$BS$23,ROWS(Data!$Q$3:S17),COLUMNS(Data!$Q$3:S17)),IF($Q$1=$P$6,INDEX(prem_analysis!$BU$1:$CF$67,ROWS(prem_analysis!$N$2:P16),COLUMNS(prem_analysis!$N$2:P16)),IF($Q$1=$P$4,INDEX(Table24[[#All],[Year]:[Details]],ROWS(prem_analysis!$M$420:O434),COLUMNS(Data!$Q$3:S17)))))),"")</f>
        <v>Manchester City</v>
      </c>
      <c r="U16" s="1">
        <f>IFERROR(IF($Q$1=$P$3,INDEX(prem_analysis!$P$2:$Q$441,ROWS(Data!$P$2:T16),COLUMNS(Data!$P$3:S17)),IF($Q$1=$P$5,INDEX(prem_analysis!$BH$1:$BS$23,ROWS(Data!$Q$3:T17),COLUMNS(Data!$Q$3:T17)),IF($Q$1=$P$6,INDEX(prem_analysis!$BU$1:$CF$67,ROWS(prem_analysis!$N$2:Q16),COLUMNS(prem_analysis!$N$2:Q16)),IF($Q$1=$P$4,INDEX(Table24[[#All],[Year]:[Details]],ROWS(prem_analysis!$M$420:P434),COLUMNS(Data!$Q$3:T17)))))),"")</f>
        <v>38</v>
      </c>
      <c r="V16" s="1">
        <f>IFERROR(IF($Q$1=$P$3,INDEX(prem_analysis!$P$2:$Q$441,ROWS(Data!$P$2:U16),COLUMNS(Data!$P$3:T17)),IF($Q$1=$P$5,INDEX(prem_analysis!$BH$1:$BS$23,ROWS(Data!$Q$3:U17),COLUMNS(Data!$Q$3:U17)),IF($Q$1=$P$6,INDEX(prem_analysis!$BU$1:$CF$67,ROWS(prem_analysis!$N$2:R16),COLUMNS(prem_analysis!$N$2:R16)),IF($Q$1=$P$4,INDEX(Table24[[#All],[Year]:[Details]],ROWS(prem_analysis!$M$420:Q434),COLUMNS(Data!$Q$3:U17)))))),"")</f>
        <v>27</v>
      </c>
      <c r="W16" s="1">
        <f>IFERROR(IF($Q$1=$P$3,INDEX(prem_analysis!$P$2:$Q$441,ROWS(Data!$P$2:V16),COLUMNS(Data!$P$3:U17)),IF($Q$1=$P$5,INDEX(prem_analysis!$BH$1:$BS$23,ROWS(Data!$Q$3:V17),COLUMNS(Data!$Q$3:V17)),IF($Q$1=$P$6,INDEX(prem_analysis!$BU$1:$CF$67,ROWS(prem_analysis!$N$2:S16),COLUMNS(prem_analysis!$N$2:S16)),IF($Q$1=$P$4,INDEX(Table24[[#All],[Year]:[Details]],ROWS(prem_analysis!$M$420:R434),COLUMNS(Data!$Q$3:V17)))))),"")</f>
        <v>5</v>
      </c>
      <c r="X16" s="1">
        <f>IFERROR(IF($Q$1=$P$3,INDEX(prem_analysis!$P$2:$Q$441,ROWS(Data!$P$2:W16),COLUMNS(Data!$P$3:V17)),IF($Q$1=$P$5,INDEX(prem_analysis!$BH$1:$BS$23,ROWS(Data!$Q$3:W17),COLUMNS(Data!$Q$3:W17)),IF($Q$1=$P$6,INDEX(prem_analysis!$BU$1:$CF$67,ROWS(prem_analysis!$N$2:T16),COLUMNS(prem_analysis!$N$2:T16)),IF($Q$1=$P$4,INDEX(Table24[[#All],[Year]:[Details]],ROWS(prem_analysis!$M$420:S434),COLUMNS(Data!$Q$3:W17)))))),"")</f>
        <v>6</v>
      </c>
      <c r="Y16" s="1">
        <f>IFERROR(IF($Q$1=$P$3,INDEX(prem_analysis!$P$2:$Q$441,ROWS(Data!$P$2:X16),COLUMNS(Data!$P$3:W17)),IF($Q$1=$P$5,INDEX(prem_analysis!$BH$1:$BS$23,ROWS(Data!$Q$3:X17),COLUMNS(Data!$Q$3:X17)),IF($Q$1=$P$6,INDEX(prem_analysis!$BU$1:$CF$67,ROWS(prem_analysis!$N$2:U16),COLUMNS(prem_analysis!$N$2:U16)),IF($Q$1=$P$4,INDEX(Table24[[#All],[Year]:[Details]],ROWS(prem_analysis!$M$420:T434),COLUMNS(Data!$Q$3:X17)))))),"")</f>
        <v>102</v>
      </c>
      <c r="Z16" s="1">
        <f>IFERROR(IF($Q$1=$P$3,INDEX(prem_analysis!$P$2:$Q$441,ROWS(Data!$P$2:Y16),COLUMNS(Data!$P$3:X17)),IF($Q$1=$P$5,INDEX(prem_analysis!$BH$1:$BS$23,ROWS(Data!$Q$3:Y17),COLUMNS(Data!$Q$3:Y17)),IF($Q$1=$P$6,INDEX(prem_analysis!$BU$1:$CF$67,ROWS(prem_analysis!$N$2:V16),COLUMNS(prem_analysis!$N$2:V16)),IF($Q$1=$P$4,INDEX(Table24[[#All],[Year]:[Details]],ROWS(prem_analysis!$M$420:U434),COLUMNS(Data!$Q$3:Y17)))))),"")</f>
        <v>37</v>
      </c>
      <c r="AA16" s="1">
        <f>IFERROR(IF($Q$1=$P$3,INDEX(prem_analysis!$P$2:$Q$441,ROWS(Data!$P$2:Z16),COLUMNS(Data!$P$3:Y17)),IF($Q$1=$P$5,INDEX(prem_analysis!$BH$1:$BS$23,ROWS(Data!$Q$3:Z17),COLUMNS(Data!$Q$3:Z17)),IF($Q$1=$P$6,INDEX(prem_analysis!$BU$1:$CF$67,ROWS(prem_analysis!$N$2:W16),COLUMNS(prem_analysis!$N$2:W16)),IF($Q$1=$P$4,INDEX(Table24[[#All],[Year]:[Details]],ROWS(prem_analysis!$M$420:V434),COLUMNS(Data!$Q$3:Z17)))))),"")</f>
        <v>65</v>
      </c>
      <c r="AB16" s="1">
        <f>IFERROR(IF($Q$1=$P$3,INDEX(prem_analysis!$P$2:$Q$441,ROWS(Data!$P$2:AA16),COLUMNS(Data!$P$3:Z17)),IF($Q$1=$P$5,INDEX(prem_analysis!$BH$1:$BS$23,ROWS(Data!$Q$3:AA17),COLUMNS(Data!$Q$3:AA17)),IF($Q$1=$P$6,INDEX(prem_analysis!$BU$1:$CF$67,ROWS(prem_analysis!$N$2:X16),COLUMNS(prem_analysis!$N$2:X16)),IF($Q$1=$P$4,INDEX(Table24[[#All],[Year]:[Details]],ROWS(prem_analysis!$M$420:W434),COLUMNS(Data!$Q$3:AA17)))))),"")</f>
        <v>86</v>
      </c>
      <c r="AC16" s="1">
        <f>IFERROR(IF($Q$1=$P$3,INDEX(prem_analysis!$P$2:$Q$441,ROWS(Data!$P$2:AB16),COLUMNS(Data!$P$3:AA17)),IF($Q$1=$P$5,INDEX(prem_analysis!$BH$1:$BS$23,ROWS(Data!$Q$3:AB17),COLUMNS(Data!$Q$3:AB17)),IF($Q$1=$P$6,INDEX(prem_analysis!$BU$1:$CF$67,ROWS(prem_analysis!$N$2:Y16),COLUMNS(prem_analysis!$N$2:Y16)),IF($Q$1=$P$4,INDEX(Table24[[#All],[Year]:[Details]],ROWS(prem_analysis!$M$420:X434),COLUMNS(Data!$Q$3:AB17)))))),"")</f>
        <v>0.71052631578947367</v>
      </c>
    </row>
    <row r="17" spans="1:29" x14ac:dyDescent="0.2">
      <c r="A17" s="5">
        <v>2000</v>
      </c>
      <c r="B17" s="5">
        <v>16</v>
      </c>
      <c r="C17" s="6" t="s">
        <v>26</v>
      </c>
      <c r="D17" s="5">
        <v>38</v>
      </c>
      <c r="E17" s="5">
        <v>11</v>
      </c>
      <c r="F17" s="5">
        <v>9</v>
      </c>
      <c r="G17" s="5">
        <v>18</v>
      </c>
      <c r="H17" s="5">
        <v>45</v>
      </c>
      <c r="I17" s="5">
        <v>59</v>
      </c>
      <c r="J17" s="5">
        <v>-14</v>
      </c>
      <c r="K17" s="5">
        <v>42</v>
      </c>
      <c r="L17" s="5">
        <f>IF(Table24[[#This Row],['#]]=1,"Champion", IF(Table24[[#This Row],['#]]&gt;=18,"Relegated",Table24[[#This Row],['#]]))</f>
        <v>16</v>
      </c>
      <c r="M17" s="5" t="str">
        <f>IF(Table24[[#This Row],[Details]]=2,K16-Table24[[#This Row],[Pts]],IF(Table24[[#This Row],[Details]]=17,Table24[[#This Row],[Pts]]-K18,""))</f>
        <v/>
      </c>
      <c r="R17" s="1">
        <f>IFERROR(IF($Q$1=$P$3,INDEX(prem_analysis!$P$2:$Q$441,ROWS(Data!$P$2:Q17),COLUMNS(Data!$P$3:P18)),IF($Q$1=$P$5,INDEX(prem_analysis!$BH$1:$BS$23,ROWS(Data!$Q$3:Q18),COLUMNS(Data!$Q$3:Q18)),IF($Q$1=$P$6,INDEX(prem_analysis!$BU$1:$CF$67,ROWS(prem_analysis!$N$2:N17),COLUMNS(prem_analysis!$N$2:N17)),IF($Q$1=$P$4,INDEX(Table24[[#All],[Year]:[Details]],ROWS(prem_analysis!$M$420:M435),COLUMNS(Data!$Q$3:Q18)))))),"")</f>
        <v>2014</v>
      </c>
      <c r="S17" s="1">
        <f>IFERROR(IF($Q$1=$P$3,INDEX(prem_analysis!$P$2:$Q$441,ROWS(Data!$P$2:R17),COLUMNS(Data!$P$3:Q18)),IF($Q$1=$P$5,INDEX(prem_analysis!$BH$1:$BS$23,ROWS(Data!$Q$3:R18),COLUMNS(Data!$Q$3:R18)),IF($Q$1=$P$6,INDEX(prem_analysis!$BU$1:$CF$67,ROWS(prem_analysis!$N$2:O17),COLUMNS(prem_analysis!$N$2:O17)),IF($Q$1=$P$4,INDEX(Table24[[#All],[Year]:[Details]],ROWS(prem_analysis!$M$420:N435),COLUMNS(Data!$Q$3:R18)))))),"")</f>
        <v>1</v>
      </c>
      <c r="T17" s="1" t="str">
        <f>IFERROR(IF($Q$1=$P$3,INDEX(prem_analysis!$P$2:$Q$441,ROWS(Data!$P$2:S17),COLUMNS(Data!$P$3:R18)),IF($Q$1=$P$5,INDEX(prem_analysis!$BH$1:$BS$23,ROWS(Data!$Q$3:S18),COLUMNS(Data!$Q$3:S18)),IF($Q$1=$P$6,INDEX(prem_analysis!$BU$1:$CF$67,ROWS(prem_analysis!$N$2:P17),COLUMNS(prem_analysis!$N$2:P17)),IF($Q$1=$P$4,INDEX(Table24[[#All],[Year]:[Details]],ROWS(prem_analysis!$M$420:O435),COLUMNS(Data!$Q$3:S18)))))),"")</f>
        <v>Chelsea</v>
      </c>
      <c r="U17" s="1">
        <f>IFERROR(IF($Q$1=$P$3,INDEX(prem_analysis!$P$2:$Q$441,ROWS(Data!$P$2:T17),COLUMNS(Data!$P$3:S18)),IF($Q$1=$P$5,INDEX(prem_analysis!$BH$1:$BS$23,ROWS(Data!$Q$3:T18),COLUMNS(Data!$Q$3:T18)),IF($Q$1=$P$6,INDEX(prem_analysis!$BU$1:$CF$67,ROWS(prem_analysis!$N$2:Q17),COLUMNS(prem_analysis!$N$2:Q17)),IF($Q$1=$P$4,INDEX(Table24[[#All],[Year]:[Details]],ROWS(prem_analysis!$M$420:P435),COLUMNS(Data!$Q$3:T18)))))),"")</f>
        <v>38</v>
      </c>
      <c r="V17" s="1">
        <f>IFERROR(IF($Q$1=$P$3,INDEX(prem_analysis!$P$2:$Q$441,ROWS(Data!$P$2:U17),COLUMNS(Data!$P$3:T18)),IF($Q$1=$P$5,INDEX(prem_analysis!$BH$1:$BS$23,ROWS(Data!$Q$3:U18),COLUMNS(Data!$Q$3:U18)),IF($Q$1=$P$6,INDEX(prem_analysis!$BU$1:$CF$67,ROWS(prem_analysis!$N$2:R17),COLUMNS(prem_analysis!$N$2:R17)),IF($Q$1=$P$4,INDEX(Table24[[#All],[Year]:[Details]],ROWS(prem_analysis!$M$420:Q435),COLUMNS(Data!$Q$3:U18)))))),"")</f>
        <v>26</v>
      </c>
      <c r="W17" s="1">
        <f>IFERROR(IF($Q$1=$P$3,INDEX(prem_analysis!$P$2:$Q$441,ROWS(Data!$P$2:V17),COLUMNS(Data!$P$3:U18)),IF($Q$1=$P$5,INDEX(prem_analysis!$BH$1:$BS$23,ROWS(Data!$Q$3:V18),COLUMNS(Data!$Q$3:V18)),IF($Q$1=$P$6,INDEX(prem_analysis!$BU$1:$CF$67,ROWS(prem_analysis!$N$2:S17),COLUMNS(prem_analysis!$N$2:S17)),IF($Q$1=$P$4,INDEX(Table24[[#All],[Year]:[Details]],ROWS(prem_analysis!$M$420:R435),COLUMNS(Data!$Q$3:V18)))))),"")</f>
        <v>9</v>
      </c>
      <c r="X17" s="1">
        <f>IFERROR(IF($Q$1=$P$3,INDEX(prem_analysis!$P$2:$Q$441,ROWS(Data!$P$2:W17),COLUMNS(Data!$P$3:V18)),IF($Q$1=$P$5,INDEX(prem_analysis!$BH$1:$BS$23,ROWS(Data!$Q$3:W18),COLUMNS(Data!$Q$3:W18)),IF($Q$1=$P$6,INDEX(prem_analysis!$BU$1:$CF$67,ROWS(prem_analysis!$N$2:T17),COLUMNS(prem_analysis!$N$2:T17)),IF($Q$1=$P$4,INDEX(Table24[[#All],[Year]:[Details]],ROWS(prem_analysis!$M$420:S435),COLUMNS(Data!$Q$3:W18)))))),"")</f>
        <v>3</v>
      </c>
      <c r="Y17" s="1">
        <f>IFERROR(IF($Q$1=$P$3,INDEX(prem_analysis!$P$2:$Q$441,ROWS(Data!$P$2:X17),COLUMNS(Data!$P$3:W18)),IF($Q$1=$P$5,INDEX(prem_analysis!$BH$1:$BS$23,ROWS(Data!$Q$3:X18),COLUMNS(Data!$Q$3:X18)),IF($Q$1=$P$6,INDEX(prem_analysis!$BU$1:$CF$67,ROWS(prem_analysis!$N$2:U17),COLUMNS(prem_analysis!$N$2:U17)),IF($Q$1=$P$4,INDEX(Table24[[#All],[Year]:[Details]],ROWS(prem_analysis!$M$420:T435),COLUMNS(Data!$Q$3:X18)))))),"")</f>
        <v>73</v>
      </c>
      <c r="Z17" s="1">
        <f>IFERROR(IF($Q$1=$P$3,INDEX(prem_analysis!$P$2:$Q$441,ROWS(Data!$P$2:Y17),COLUMNS(Data!$P$3:X18)),IF($Q$1=$P$5,INDEX(prem_analysis!$BH$1:$BS$23,ROWS(Data!$Q$3:Y18),COLUMNS(Data!$Q$3:Y18)),IF($Q$1=$P$6,INDEX(prem_analysis!$BU$1:$CF$67,ROWS(prem_analysis!$N$2:V17),COLUMNS(prem_analysis!$N$2:V17)),IF($Q$1=$P$4,INDEX(Table24[[#All],[Year]:[Details]],ROWS(prem_analysis!$M$420:U435),COLUMNS(Data!$Q$3:Y18)))))),"")</f>
        <v>32</v>
      </c>
      <c r="AA17" s="1">
        <f>IFERROR(IF($Q$1=$P$3,INDEX(prem_analysis!$P$2:$Q$441,ROWS(Data!$P$2:Z17),COLUMNS(Data!$P$3:Y18)),IF($Q$1=$P$5,INDEX(prem_analysis!$BH$1:$BS$23,ROWS(Data!$Q$3:Z18),COLUMNS(Data!$Q$3:Z18)),IF($Q$1=$P$6,INDEX(prem_analysis!$BU$1:$CF$67,ROWS(prem_analysis!$N$2:W17),COLUMNS(prem_analysis!$N$2:W17)),IF($Q$1=$P$4,INDEX(Table24[[#All],[Year]:[Details]],ROWS(prem_analysis!$M$420:V435),COLUMNS(Data!$Q$3:Z18)))))),"")</f>
        <v>41</v>
      </c>
      <c r="AB17" s="1">
        <f>IFERROR(IF($Q$1=$P$3,INDEX(prem_analysis!$P$2:$Q$441,ROWS(Data!$P$2:AA17),COLUMNS(Data!$P$3:Z18)),IF($Q$1=$P$5,INDEX(prem_analysis!$BH$1:$BS$23,ROWS(Data!$Q$3:AA18),COLUMNS(Data!$Q$3:AA18)),IF($Q$1=$P$6,INDEX(prem_analysis!$BU$1:$CF$67,ROWS(prem_analysis!$N$2:X17),COLUMNS(prem_analysis!$N$2:X17)),IF($Q$1=$P$4,INDEX(Table24[[#All],[Year]:[Details]],ROWS(prem_analysis!$M$420:W435),COLUMNS(Data!$Q$3:AA18)))))),"")</f>
        <v>87</v>
      </c>
      <c r="AC17" s="1">
        <f>IFERROR(IF($Q$1=$P$3,INDEX(prem_analysis!$P$2:$Q$441,ROWS(Data!$P$2:AB17),COLUMNS(Data!$P$3:AA18)),IF($Q$1=$P$5,INDEX(prem_analysis!$BH$1:$BS$23,ROWS(Data!$Q$3:AB18),COLUMNS(Data!$Q$3:AB18)),IF($Q$1=$P$6,INDEX(prem_analysis!$BU$1:$CF$67,ROWS(prem_analysis!$N$2:Y17),COLUMNS(prem_analysis!$N$2:Y17)),IF($Q$1=$P$4,INDEX(Table24[[#All],[Year]:[Details]],ROWS(prem_analysis!$M$420:X435),COLUMNS(Data!$Q$3:AB18)))))),"")</f>
        <v>0.68421052631578949</v>
      </c>
    </row>
    <row r="18" spans="1:29" x14ac:dyDescent="0.2">
      <c r="A18" s="3">
        <v>2000</v>
      </c>
      <c r="B18" s="3">
        <v>17</v>
      </c>
      <c r="C18" s="4" t="s">
        <v>27</v>
      </c>
      <c r="D18" s="3">
        <v>38</v>
      </c>
      <c r="E18" s="3">
        <v>10</v>
      </c>
      <c r="F18" s="3">
        <v>12</v>
      </c>
      <c r="G18" s="3">
        <v>16</v>
      </c>
      <c r="H18" s="3">
        <v>37</v>
      </c>
      <c r="I18" s="3">
        <v>59</v>
      </c>
      <c r="J18" s="3">
        <v>-22</v>
      </c>
      <c r="K18" s="3">
        <v>42</v>
      </c>
      <c r="L18" s="5">
        <f>IF(Table24[[#This Row],['#]]=1,"Champion", IF(Table24[[#This Row],['#]]&gt;=18,"Relegated",Table24[[#This Row],['#]]))</f>
        <v>17</v>
      </c>
      <c r="M18" s="5">
        <f>IF(Table24[[#This Row],[Details]]=2,K17-Table24[[#This Row],[Pts]],IF(Table24[[#This Row],[Details]]=17,Table24[[#This Row],[Pts]]-K19,""))</f>
        <v>8</v>
      </c>
      <c r="R18" s="1">
        <f>IFERROR(IF($Q$1=$P$3,INDEX(prem_analysis!$P$2:$Q$441,ROWS(Data!$P$2:Q18),COLUMNS(Data!$P$3:P19)),IF($Q$1=$P$5,INDEX(prem_analysis!$BH$1:$BS$23,ROWS(Data!$Q$3:Q19),COLUMNS(Data!$Q$3:Q19)),IF($Q$1=$P$6,INDEX(prem_analysis!$BU$1:$CF$67,ROWS(prem_analysis!$N$2:N18),COLUMNS(prem_analysis!$N$2:N18)),IF($Q$1=$P$4,INDEX(Table24[[#All],[Year]:[Details]],ROWS(prem_analysis!$M$420:M436),COLUMNS(Data!$Q$3:Q19)))))),"")</f>
        <v>2015</v>
      </c>
      <c r="S18" s="1">
        <f>IFERROR(IF($Q$1=$P$3,INDEX(prem_analysis!$P$2:$Q$441,ROWS(Data!$P$2:R18),COLUMNS(Data!$P$3:Q19)),IF($Q$1=$P$5,INDEX(prem_analysis!$BH$1:$BS$23,ROWS(Data!$Q$3:R19),COLUMNS(Data!$Q$3:R19)),IF($Q$1=$P$6,INDEX(prem_analysis!$BU$1:$CF$67,ROWS(prem_analysis!$N$2:O18),COLUMNS(prem_analysis!$N$2:O18)),IF($Q$1=$P$4,INDEX(Table24[[#All],[Year]:[Details]],ROWS(prem_analysis!$M$420:N436),COLUMNS(Data!$Q$3:R19)))))),"")</f>
        <v>1</v>
      </c>
      <c r="T18" s="1" t="str">
        <f>IFERROR(IF($Q$1=$P$3,INDEX(prem_analysis!$P$2:$Q$441,ROWS(Data!$P$2:S18),COLUMNS(Data!$P$3:R19)),IF($Q$1=$P$5,INDEX(prem_analysis!$BH$1:$BS$23,ROWS(Data!$Q$3:S19),COLUMNS(Data!$Q$3:S19)),IF($Q$1=$P$6,INDEX(prem_analysis!$BU$1:$CF$67,ROWS(prem_analysis!$N$2:P18),COLUMNS(prem_analysis!$N$2:P18)),IF($Q$1=$P$4,INDEX(Table24[[#All],[Year]:[Details]],ROWS(prem_analysis!$M$420:O436),COLUMNS(Data!$Q$3:S19)))))),"")</f>
        <v>Leicester City</v>
      </c>
      <c r="U18" s="1">
        <f>IFERROR(IF($Q$1=$P$3,INDEX(prem_analysis!$P$2:$Q$441,ROWS(Data!$P$2:T18),COLUMNS(Data!$P$3:S19)),IF($Q$1=$P$5,INDEX(prem_analysis!$BH$1:$BS$23,ROWS(Data!$Q$3:T19),COLUMNS(Data!$Q$3:T19)),IF($Q$1=$P$6,INDEX(prem_analysis!$BU$1:$CF$67,ROWS(prem_analysis!$N$2:Q18),COLUMNS(prem_analysis!$N$2:Q18)),IF($Q$1=$P$4,INDEX(Table24[[#All],[Year]:[Details]],ROWS(prem_analysis!$M$420:P436),COLUMNS(Data!$Q$3:T19)))))),"")</f>
        <v>38</v>
      </c>
      <c r="V18" s="1">
        <f>IFERROR(IF($Q$1=$P$3,INDEX(prem_analysis!$P$2:$Q$441,ROWS(Data!$P$2:U18),COLUMNS(Data!$P$3:T19)),IF($Q$1=$P$5,INDEX(prem_analysis!$BH$1:$BS$23,ROWS(Data!$Q$3:U19),COLUMNS(Data!$Q$3:U19)),IF($Q$1=$P$6,INDEX(prem_analysis!$BU$1:$CF$67,ROWS(prem_analysis!$N$2:R18),COLUMNS(prem_analysis!$N$2:R18)),IF($Q$1=$P$4,INDEX(Table24[[#All],[Year]:[Details]],ROWS(prem_analysis!$M$420:Q436),COLUMNS(Data!$Q$3:U19)))))),"")</f>
        <v>23</v>
      </c>
      <c r="W18" s="1">
        <f>IFERROR(IF($Q$1=$P$3,INDEX(prem_analysis!$P$2:$Q$441,ROWS(Data!$P$2:V18),COLUMNS(Data!$P$3:U19)),IF($Q$1=$P$5,INDEX(prem_analysis!$BH$1:$BS$23,ROWS(Data!$Q$3:V19),COLUMNS(Data!$Q$3:V19)),IF($Q$1=$P$6,INDEX(prem_analysis!$BU$1:$CF$67,ROWS(prem_analysis!$N$2:S18),COLUMNS(prem_analysis!$N$2:S18)),IF($Q$1=$P$4,INDEX(Table24[[#All],[Year]:[Details]],ROWS(prem_analysis!$M$420:R436),COLUMNS(Data!$Q$3:V19)))))),"")</f>
        <v>12</v>
      </c>
      <c r="X18" s="1">
        <f>IFERROR(IF($Q$1=$P$3,INDEX(prem_analysis!$P$2:$Q$441,ROWS(Data!$P$2:W18),COLUMNS(Data!$P$3:V19)),IF($Q$1=$P$5,INDEX(prem_analysis!$BH$1:$BS$23,ROWS(Data!$Q$3:W19),COLUMNS(Data!$Q$3:W19)),IF($Q$1=$P$6,INDEX(prem_analysis!$BU$1:$CF$67,ROWS(prem_analysis!$N$2:T18),COLUMNS(prem_analysis!$N$2:T18)),IF($Q$1=$P$4,INDEX(Table24[[#All],[Year]:[Details]],ROWS(prem_analysis!$M$420:S436),COLUMNS(Data!$Q$3:W19)))))),"")</f>
        <v>3</v>
      </c>
      <c r="Y18" s="1">
        <f>IFERROR(IF($Q$1=$P$3,INDEX(prem_analysis!$P$2:$Q$441,ROWS(Data!$P$2:X18),COLUMNS(Data!$P$3:W19)),IF($Q$1=$P$5,INDEX(prem_analysis!$BH$1:$BS$23,ROWS(Data!$Q$3:X19),COLUMNS(Data!$Q$3:X19)),IF($Q$1=$P$6,INDEX(prem_analysis!$BU$1:$CF$67,ROWS(prem_analysis!$N$2:U18),COLUMNS(prem_analysis!$N$2:U18)),IF($Q$1=$P$4,INDEX(Table24[[#All],[Year]:[Details]],ROWS(prem_analysis!$M$420:T436),COLUMNS(Data!$Q$3:X19)))))),"")</f>
        <v>68</v>
      </c>
      <c r="Z18" s="1">
        <f>IFERROR(IF($Q$1=$P$3,INDEX(prem_analysis!$P$2:$Q$441,ROWS(Data!$P$2:Y18),COLUMNS(Data!$P$3:X19)),IF($Q$1=$P$5,INDEX(prem_analysis!$BH$1:$BS$23,ROWS(Data!$Q$3:Y19),COLUMNS(Data!$Q$3:Y19)),IF($Q$1=$P$6,INDEX(prem_analysis!$BU$1:$CF$67,ROWS(prem_analysis!$N$2:V18),COLUMNS(prem_analysis!$N$2:V18)),IF($Q$1=$P$4,INDEX(Table24[[#All],[Year]:[Details]],ROWS(prem_analysis!$M$420:U436),COLUMNS(Data!$Q$3:Y19)))))),"")</f>
        <v>36</v>
      </c>
      <c r="AA18" s="1">
        <f>IFERROR(IF($Q$1=$P$3,INDEX(prem_analysis!$P$2:$Q$441,ROWS(Data!$P$2:Z18),COLUMNS(Data!$P$3:Y19)),IF($Q$1=$P$5,INDEX(prem_analysis!$BH$1:$BS$23,ROWS(Data!$Q$3:Z19),COLUMNS(Data!$Q$3:Z19)),IF($Q$1=$P$6,INDEX(prem_analysis!$BU$1:$CF$67,ROWS(prem_analysis!$N$2:W18),COLUMNS(prem_analysis!$N$2:W18)),IF($Q$1=$P$4,INDEX(Table24[[#All],[Year]:[Details]],ROWS(prem_analysis!$M$420:V436),COLUMNS(Data!$Q$3:Z19)))))),"")</f>
        <v>32</v>
      </c>
      <c r="AB18" s="1">
        <f>IFERROR(IF($Q$1=$P$3,INDEX(prem_analysis!$P$2:$Q$441,ROWS(Data!$P$2:AA18),COLUMNS(Data!$P$3:Z19)),IF($Q$1=$P$5,INDEX(prem_analysis!$BH$1:$BS$23,ROWS(Data!$Q$3:AA19),COLUMNS(Data!$Q$3:AA19)),IF($Q$1=$P$6,INDEX(prem_analysis!$BU$1:$CF$67,ROWS(prem_analysis!$N$2:X18),COLUMNS(prem_analysis!$N$2:X18)),IF($Q$1=$P$4,INDEX(Table24[[#All],[Year]:[Details]],ROWS(prem_analysis!$M$420:W436),COLUMNS(Data!$Q$3:AA19)))))),"")</f>
        <v>81</v>
      </c>
      <c r="AC18" s="1">
        <f>IFERROR(IF($Q$1=$P$3,INDEX(prem_analysis!$P$2:$Q$441,ROWS(Data!$P$2:AB18),COLUMNS(Data!$P$3:AA19)),IF($Q$1=$P$5,INDEX(prem_analysis!$BH$1:$BS$23,ROWS(Data!$Q$3:AB19),COLUMNS(Data!$Q$3:AB19)),IF($Q$1=$P$6,INDEX(prem_analysis!$BU$1:$CF$67,ROWS(prem_analysis!$N$2:Y18),COLUMNS(prem_analysis!$N$2:Y18)),IF($Q$1=$P$4,INDEX(Table24[[#All],[Year]:[Details]],ROWS(prem_analysis!$M$420:X436),COLUMNS(Data!$Q$3:AB19)))))),"")</f>
        <v>0.60526315789473684</v>
      </c>
    </row>
    <row r="19" spans="1:29" x14ac:dyDescent="0.2">
      <c r="A19" s="5">
        <v>2000</v>
      </c>
      <c r="B19" s="5">
        <v>18</v>
      </c>
      <c r="C19" s="6" t="s">
        <v>28</v>
      </c>
      <c r="D19" s="5">
        <v>38</v>
      </c>
      <c r="E19" s="5">
        <v>8</v>
      </c>
      <c r="F19" s="5">
        <v>10</v>
      </c>
      <c r="G19" s="5">
        <v>20</v>
      </c>
      <c r="H19" s="5">
        <v>41</v>
      </c>
      <c r="I19" s="5">
        <v>65</v>
      </c>
      <c r="J19" s="5">
        <v>-24</v>
      </c>
      <c r="K19" s="5">
        <v>34</v>
      </c>
      <c r="L19" s="5" t="str">
        <f>IF(Table24[[#This Row],['#]]=1,"Champion", IF(Table24[[#This Row],['#]]&gt;=18,"Relegated",Table24[[#This Row],['#]]))</f>
        <v>Relegated</v>
      </c>
      <c r="M19" s="5" t="str">
        <f>IF(Table24[[#This Row],[Details]]=2,K18-Table24[[#This Row],[Pts]],IF(Table24[[#This Row],[Details]]=17,Table24[[#This Row],[Pts]]-K20,""))</f>
        <v/>
      </c>
      <c r="R19" s="1">
        <f>IFERROR(IF($Q$1=$P$3,INDEX(prem_analysis!$P$2:$Q$441,ROWS(Data!$P$2:Q19),COLUMNS(Data!$P$3:P20)),IF($Q$1=$P$5,INDEX(prem_analysis!$BH$1:$BS$23,ROWS(Data!$Q$3:Q20),COLUMNS(Data!$Q$3:Q20)),IF($Q$1=$P$6,INDEX(prem_analysis!$BU$1:$CF$67,ROWS(prem_analysis!$N$2:N19),COLUMNS(prem_analysis!$N$2:N19)),IF($Q$1=$P$4,INDEX(Table24[[#All],[Year]:[Details]],ROWS(prem_analysis!$M$420:M437),COLUMNS(Data!$Q$3:Q20)))))),"")</f>
        <v>2016</v>
      </c>
      <c r="S19" s="1">
        <f>IFERROR(IF($Q$1=$P$3,INDEX(prem_analysis!$P$2:$Q$441,ROWS(Data!$P$2:R19),COLUMNS(Data!$P$3:Q20)),IF($Q$1=$P$5,INDEX(prem_analysis!$BH$1:$BS$23,ROWS(Data!$Q$3:R20),COLUMNS(Data!$Q$3:R20)),IF($Q$1=$P$6,INDEX(prem_analysis!$BU$1:$CF$67,ROWS(prem_analysis!$N$2:O19),COLUMNS(prem_analysis!$N$2:O19)),IF($Q$1=$P$4,INDEX(Table24[[#All],[Year]:[Details]],ROWS(prem_analysis!$M$420:N437),COLUMNS(Data!$Q$3:R20)))))),"")</f>
        <v>1</v>
      </c>
      <c r="T19" s="1" t="str">
        <f>IFERROR(IF($Q$1=$P$3,INDEX(prem_analysis!$P$2:$Q$441,ROWS(Data!$P$2:S19),COLUMNS(Data!$P$3:R20)),IF($Q$1=$P$5,INDEX(prem_analysis!$BH$1:$BS$23,ROWS(Data!$Q$3:S20),COLUMNS(Data!$Q$3:S20)),IF($Q$1=$P$6,INDEX(prem_analysis!$BU$1:$CF$67,ROWS(prem_analysis!$N$2:P19),COLUMNS(prem_analysis!$N$2:P19)),IF($Q$1=$P$4,INDEX(Table24[[#All],[Year]:[Details]],ROWS(prem_analysis!$M$420:O437),COLUMNS(Data!$Q$3:S20)))))),"")</f>
        <v>Chelsea</v>
      </c>
      <c r="U19" s="1">
        <f>IFERROR(IF($Q$1=$P$3,INDEX(prem_analysis!$P$2:$Q$441,ROWS(Data!$P$2:T19),COLUMNS(Data!$P$3:S20)),IF($Q$1=$P$5,INDEX(prem_analysis!$BH$1:$BS$23,ROWS(Data!$Q$3:T20),COLUMNS(Data!$Q$3:T20)),IF($Q$1=$P$6,INDEX(prem_analysis!$BU$1:$CF$67,ROWS(prem_analysis!$N$2:Q19),COLUMNS(prem_analysis!$N$2:Q19)),IF($Q$1=$P$4,INDEX(Table24[[#All],[Year]:[Details]],ROWS(prem_analysis!$M$420:P437),COLUMNS(Data!$Q$3:T20)))))),"")</f>
        <v>38</v>
      </c>
      <c r="V19" s="1">
        <f>IFERROR(IF($Q$1=$P$3,INDEX(prem_analysis!$P$2:$Q$441,ROWS(Data!$P$2:U19),COLUMNS(Data!$P$3:T20)),IF($Q$1=$P$5,INDEX(prem_analysis!$BH$1:$BS$23,ROWS(Data!$Q$3:U20),COLUMNS(Data!$Q$3:U20)),IF($Q$1=$P$6,INDEX(prem_analysis!$BU$1:$CF$67,ROWS(prem_analysis!$N$2:R19),COLUMNS(prem_analysis!$N$2:R19)),IF($Q$1=$P$4,INDEX(Table24[[#All],[Year]:[Details]],ROWS(prem_analysis!$M$420:Q437),COLUMNS(Data!$Q$3:U20)))))),"")</f>
        <v>30</v>
      </c>
      <c r="W19" s="1">
        <f>IFERROR(IF($Q$1=$P$3,INDEX(prem_analysis!$P$2:$Q$441,ROWS(Data!$P$2:V19),COLUMNS(Data!$P$3:U20)),IF($Q$1=$P$5,INDEX(prem_analysis!$BH$1:$BS$23,ROWS(Data!$Q$3:V20),COLUMNS(Data!$Q$3:V20)),IF($Q$1=$P$6,INDEX(prem_analysis!$BU$1:$CF$67,ROWS(prem_analysis!$N$2:S19),COLUMNS(prem_analysis!$N$2:S19)),IF($Q$1=$P$4,INDEX(Table24[[#All],[Year]:[Details]],ROWS(prem_analysis!$M$420:R437),COLUMNS(Data!$Q$3:V20)))))),"")</f>
        <v>3</v>
      </c>
      <c r="X19" s="1">
        <f>IFERROR(IF($Q$1=$P$3,INDEX(prem_analysis!$P$2:$Q$441,ROWS(Data!$P$2:W19),COLUMNS(Data!$P$3:V20)),IF($Q$1=$P$5,INDEX(prem_analysis!$BH$1:$BS$23,ROWS(Data!$Q$3:W20),COLUMNS(Data!$Q$3:W20)),IF($Q$1=$P$6,INDEX(prem_analysis!$BU$1:$CF$67,ROWS(prem_analysis!$N$2:T19),COLUMNS(prem_analysis!$N$2:T19)),IF($Q$1=$P$4,INDEX(Table24[[#All],[Year]:[Details]],ROWS(prem_analysis!$M$420:S437),COLUMNS(Data!$Q$3:W20)))))),"")</f>
        <v>5</v>
      </c>
      <c r="Y19" s="1">
        <f>IFERROR(IF($Q$1=$P$3,INDEX(prem_analysis!$P$2:$Q$441,ROWS(Data!$P$2:X19),COLUMNS(Data!$P$3:W20)),IF($Q$1=$P$5,INDEX(prem_analysis!$BH$1:$BS$23,ROWS(Data!$Q$3:X20),COLUMNS(Data!$Q$3:X20)),IF($Q$1=$P$6,INDEX(prem_analysis!$BU$1:$CF$67,ROWS(prem_analysis!$N$2:U19),COLUMNS(prem_analysis!$N$2:U19)),IF($Q$1=$P$4,INDEX(Table24[[#All],[Year]:[Details]],ROWS(prem_analysis!$M$420:T437),COLUMNS(Data!$Q$3:X20)))))),"")</f>
        <v>85</v>
      </c>
      <c r="Z19" s="1">
        <f>IFERROR(IF($Q$1=$P$3,INDEX(prem_analysis!$P$2:$Q$441,ROWS(Data!$P$2:Y19),COLUMNS(Data!$P$3:X20)),IF($Q$1=$P$5,INDEX(prem_analysis!$BH$1:$BS$23,ROWS(Data!$Q$3:Y20),COLUMNS(Data!$Q$3:Y20)),IF($Q$1=$P$6,INDEX(prem_analysis!$BU$1:$CF$67,ROWS(prem_analysis!$N$2:V19),COLUMNS(prem_analysis!$N$2:V19)),IF($Q$1=$P$4,INDEX(Table24[[#All],[Year]:[Details]],ROWS(prem_analysis!$M$420:U437),COLUMNS(Data!$Q$3:Y20)))))),"")</f>
        <v>33</v>
      </c>
      <c r="AA19" s="1">
        <f>IFERROR(IF($Q$1=$P$3,INDEX(prem_analysis!$P$2:$Q$441,ROWS(Data!$P$2:Z19),COLUMNS(Data!$P$3:Y20)),IF($Q$1=$P$5,INDEX(prem_analysis!$BH$1:$BS$23,ROWS(Data!$Q$3:Z20),COLUMNS(Data!$Q$3:Z20)),IF($Q$1=$P$6,INDEX(prem_analysis!$BU$1:$CF$67,ROWS(prem_analysis!$N$2:W19),COLUMNS(prem_analysis!$N$2:W19)),IF($Q$1=$P$4,INDEX(Table24[[#All],[Year]:[Details]],ROWS(prem_analysis!$M$420:V437),COLUMNS(Data!$Q$3:Z20)))))),"")</f>
        <v>52</v>
      </c>
      <c r="AB19" s="1">
        <f>IFERROR(IF($Q$1=$P$3,INDEX(prem_analysis!$P$2:$Q$441,ROWS(Data!$P$2:AA19),COLUMNS(Data!$P$3:Z20)),IF($Q$1=$P$5,INDEX(prem_analysis!$BH$1:$BS$23,ROWS(Data!$Q$3:AA20),COLUMNS(Data!$Q$3:AA20)),IF($Q$1=$P$6,INDEX(prem_analysis!$BU$1:$CF$67,ROWS(prem_analysis!$N$2:X19),COLUMNS(prem_analysis!$N$2:X19)),IF($Q$1=$P$4,INDEX(Table24[[#All],[Year]:[Details]],ROWS(prem_analysis!$M$420:W437),COLUMNS(Data!$Q$3:AA20)))))),"")</f>
        <v>93</v>
      </c>
      <c r="AC19" s="1">
        <f>IFERROR(IF($Q$1=$P$3,INDEX(prem_analysis!$P$2:$Q$441,ROWS(Data!$P$2:AB19),COLUMNS(Data!$P$3:AA20)),IF($Q$1=$P$5,INDEX(prem_analysis!$BH$1:$BS$23,ROWS(Data!$Q$3:AB20),COLUMNS(Data!$Q$3:AB20)),IF($Q$1=$P$6,INDEX(prem_analysis!$BU$1:$CF$67,ROWS(prem_analysis!$N$2:Y19),COLUMNS(prem_analysis!$N$2:Y19)),IF($Q$1=$P$4,INDEX(Table24[[#All],[Year]:[Details]],ROWS(prem_analysis!$M$420:X437),COLUMNS(Data!$Q$3:AB20)))))),"")</f>
        <v>0.78947368421052633</v>
      </c>
    </row>
    <row r="20" spans="1:29" x14ac:dyDescent="0.2">
      <c r="A20" s="3">
        <v>2000</v>
      </c>
      <c r="B20" s="3">
        <v>19</v>
      </c>
      <c r="C20" s="4" t="s">
        <v>29</v>
      </c>
      <c r="D20" s="3">
        <v>38</v>
      </c>
      <c r="E20" s="3">
        <v>8</v>
      </c>
      <c r="F20" s="3">
        <v>10</v>
      </c>
      <c r="G20" s="3">
        <v>20</v>
      </c>
      <c r="H20" s="3">
        <v>36</v>
      </c>
      <c r="I20" s="3">
        <v>63</v>
      </c>
      <c r="J20" s="3">
        <v>-27</v>
      </c>
      <c r="K20" s="3">
        <v>34</v>
      </c>
      <c r="L20" s="5" t="str">
        <f>IF(Table24[[#This Row],['#]]=1,"Champion", IF(Table24[[#This Row],['#]]&gt;=18,"Relegated",Table24[[#This Row],['#]]))</f>
        <v>Relegated</v>
      </c>
      <c r="M20" s="5" t="str">
        <f>IF(Table24[[#This Row],[Details]]=2,K19-Table24[[#This Row],[Pts]],IF(Table24[[#This Row],[Details]]=17,Table24[[#This Row],[Pts]]-K21,""))</f>
        <v/>
      </c>
      <c r="R20" s="1">
        <f>IFERROR(IF($Q$1=$P$3,INDEX(prem_analysis!$P$2:$Q$441,ROWS(Data!$P$2:Q20),COLUMNS(Data!$P$3:P21)),IF($Q$1=$P$5,INDEX(prem_analysis!$BH$1:$BS$23,ROWS(Data!$Q$3:Q21),COLUMNS(Data!$Q$3:Q21)),IF($Q$1=$P$6,INDEX(prem_analysis!$BU$1:$CF$67,ROWS(prem_analysis!$N$2:N20),COLUMNS(prem_analysis!$N$2:N20)),IF($Q$1=$P$4,INDEX(Table24[[#All],[Year]:[Details]],ROWS(prem_analysis!$M$420:M438),COLUMNS(Data!$Q$3:Q21)))))),"")</f>
        <v>2017</v>
      </c>
      <c r="S20" s="1">
        <f>IFERROR(IF($Q$1=$P$3,INDEX(prem_analysis!$P$2:$Q$441,ROWS(Data!$P$2:R20),COLUMNS(Data!$P$3:Q21)),IF($Q$1=$P$5,INDEX(prem_analysis!$BH$1:$BS$23,ROWS(Data!$Q$3:R21),COLUMNS(Data!$Q$3:R21)),IF($Q$1=$P$6,INDEX(prem_analysis!$BU$1:$CF$67,ROWS(prem_analysis!$N$2:O20),COLUMNS(prem_analysis!$N$2:O20)),IF($Q$1=$P$4,INDEX(Table24[[#All],[Year]:[Details]],ROWS(prem_analysis!$M$420:N438),COLUMNS(Data!$Q$3:R21)))))),"")</f>
        <v>1</v>
      </c>
      <c r="T20" s="1" t="str">
        <f>IFERROR(IF($Q$1=$P$3,INDEX(prem_analysis!$P$2:$Q$441,ROWS(Data!$P$2:S20),COLUMNS(Data!$P$3:R21)),IF($Q$1=$P$5,INDEX(prem_analysis!$BH$1:$BS$23,ROWS(Data!$Q$3:S21),COLUMNS(Data!$Q$3:S21)),IF($Q$1=$P$6,INDEX(prem_analysis!$BU$1:$CF$67,ROWS(prem_analysis!$N$2:P20),COLUMNS(prem_analysis!$N$2:P20)),IF($Q$1=$P$4,INDEX(Table24[[#All],[Year]:[Details]],ROWS(prem_analysis!$M$420:O438),COLUMNS(Data!$Q$3:S21)))))),"")</f>
        <v>Manchester City</v>
      </c>
      <c r="U20" s="1">
        <f>IFERROR(IF($Q$1=$P$3,INDEX(prem_analysis!$P$2:$Q$441,ROWS(Data!$P$2:T20),COLUMNS(Data!$P$3:S21)),IF($Q$1=$P$5,INDEX(prem_analysis!$BH$1:$BS$23,ROWS(Data!$Q$3:T21),COLUMNS(Data!$Q$3:T21)),IF($Q$1=$P$6,INDEX(prem_analysis!$BU$1:$CF$67,ROWS(prem_analysis!$N$2:Q20),COLUMNS(prem_analysis!$N$2:Q20)),IF($Q$1=$P$4,INDEX(Table24[[#All],[Year]:[Details]],ROWS(prem_analysis!$M$420:P438),COLUMNS(Data!$Q$3:T21)))))),"")</f>
        <v>38</v>
      </c>
      <c r="V20" s="1">
        <f>IFERROR(IF($Q$1=$P$3,INDEX(prem_analysis!$P$2:$Q$441,ROWS(Data!$P$2:U20),COLUMNS(Data!$P$3:T21)),IF($Q$1=$P$5,INDEX(prem_analysis!$BH$1:$BS$23,ROWS(Data!$Q$3:U21),COLUMNS(Data!$Q$3:U21)),IF($Q$1=$P$6,INDEX(prem_analysis!$BU$1:$CF$67,ROWS(prem_analysis!$N$2:R20),COLUMNS(prem_analysis!$N$2:R20)),IF($Q$1=$P$4,INDEX(Table24[[#All],[Year]:[Details]],ROWS(prem_analysis!$M$420:Q438),COLUMNS(Data!$Q$3:U21)))))),"")</f>
        <v>32</v>
      </c>
      <c r="W20" s="1">
        <f>IFERROR(IF($Q$1=$P$3,INDEX(prem_analysis!$P$2:$Q$441,ROWS(Data!$P$2:V20),COLUMNS(Data!$P$3:U21)),IF($Q$1=$P$5,INDEX(prem_analysis!$BH$1:$BS$23,ROWS(Data!$Q$3:V21),COLUMNS(Data!$Q$3:V21)),IF($Q$1=$P$6,INDEX(prem_analysis!$BU$1:$CF$67,ROWS(prem_analysis!$N$2:S20),COLUMNS(prem_analysis!$N$2:S20)),IF($Q$1=$P$4,INDEX(Table24[[#All],[Year]:[Details]],ROWS(prem_analysis!$M$420:R438),COLUMNS(Data!$Q$3:V21)))))),"")</f>
        <v>4</v>
      </c>
      <c r="X20" s="1">
        <f>IFERROR(IF($Q$1=$P$3,INDEX(prem_analysis!$P$2:$Q$441,ROWS(Data!$P$2:W20),COLUMNS(Data!$P$3:V21)),IF($Q$1=$P$5,INDEX(prem_analysis!$BH$1:$BS$23,ROWS(Data!$Q$3:W21),COLUMNS(Data!$Q$3:W21)),IF($Q$1=$P$6,INDEX(prem_analysis!$BU$1:$CF$67,ROWS(prem_analysis!$N$2:T20),COLUMNS(prem_analysis!$N$2:T20)),IF($Q$1=$P$4,INDEX(Table24[[#All],[Year]:[Details]],ROWS(prem_analysis!$M$420:S438),COLUMNS(Data!$Q$3:W21)))))),"")</f>
        <v>2</v>
      </c>
      <c r="Y20" s="1">
        <f>IFERROR(IF($Q$1=$P$3,INDEX(prem_analysis!$P$2:$Q$441,ROWS(Data!$P$2:X20),COLUMNS(Data!$P$3:W21)),IF($Q$1=$P$5,INDEX(prem_analysis!$BH$1:$BS$23,ROWS(Data!$Q$3:X21),COLUMNS(Data!$Q$3:X21)),IF($Q$1=$P$6,INDEX(prem_analysis!$BU$1:$CF$67,ROWS(prem_analysis!$N$2:U20),COLUMNS(prem_analysis!$N$2:U20)),IF($Q$1=$P$4,INDEX(Table24[[#All],[Year]:[Details]],ROWS(prem_analysis!$M$420:T438),COLUMNS(Data!$Q$3:X21)))))),"")</f>
        <v>106</v>
      </c>
      <c r="Z20" s="1">
        <f>IFERROR(IF($Q$1=$P$3,INDEX(prem_analysis!$P$2:$Q$441,ROWS(Data!$P$2:Y20),COLUMNS(Data!$P$3:X21)),IF($Q$1=$P$5,INDEX(prem_analysis!$BH$1:$BS$23,ROWS(Data!$Q$3:Y21),COLUMNS(Data!$Q$3:Y21)),IF($Q$1=$P$6,INDEX(prem_analysis!$BU$1:$CF$67,ROWS(prem_analysis!$N$2:V20),COLUMNS(prem_analysis!$N$2:V20)),IF($Q$1=$P$4,INDEX(Table24[[#All],[Year]:[Details]],ROWS(prem_analysis!$M$420:U438),COLUMNS(Data!$Q$3:Y21)))))),"")</f>
        <v>27</v>
      </c>
      <c r="AA20" s="1">
        <f>IFERROR(IF($Q$1=$P$3,INDEX(prem_analysis!$P$2:$Q$441,ROWS(Data!$P$2:Z20),COLUMNS(Data!$P$3:Y21)),IF($Q$1=$P$5,INDEX(prem_analysis!$BH$1:$BS$23,ROWS(Data!$Q$3:Z21),COLUMNS(Data!$Q$3:Z21)),IF($Q$1=$P$6,INDEX(prem_analysis!$BU$1:$CF$67,ROWS(prem_analysis!$N$2:W20),COLUMNS(prem_analysis!$N$2:W20)),IF($Q$1=$P$4,INDEX(Table24[[#All],[Year]:[Details]],ROWS(prem_analysis!$M$420:V438),COLUMNS(Data!$Q$3:Z21)))))),"")</f>
        <v>79</v>
      </c>
      <c r="AB20" s="1">
        <f>IFERROR(IF($Q$1=$P$3,INDEX(prem_analysis!$P$2:$Q$441,ROWS(Data!$P$2:AA20),COLUMNS(Data!$P$3:Z21)),IF($Q$1=$P$5,INDEX(prem_analysis!$BH$1:$BS$23,ROWS(Data!$Q$3:AA21),COLUMNS(Data!$Q$3:AA21)),IF($Q$1=$P$6,INDEX(prem_analysis!$BU$1:$CF$67,ROWS(prem_analysis!$N$2:X20),COLUMNS(prem_analysis!$N$2:X20)),IF($Q$1=$P$4,INDEX(Table24[[#All],[Year]:[Details]],ROWS(prem_analysis!$M$420:W438),COLUMNS(Data!$Q$3:AA21)))))),"")</f>
        <v>100</v>
      </c>
      <c r="AC20" s="1">
        <f>IFERROR(IF($Q$1=$P$3,INDEX(prem_analysis!$P$2:$Q$441,ROWS(Data!$P$2:AB20),COLUMNS(Data!$P$3:AA21)),IF($Q$1=$P$5,INDEX(prem_analysis!$BH$1:$BS$23,ROWS(Data!$Q$3:AB21),COLUMNS(Data!$Q$3:AB21)),IF($Q$1=$P$6,INDEX(prem_analysis!$BU$1:$CF$67,ROWS(prem_analysis!$N$2:Y20),COLUMNS(prem_analysis!$N$2:Y20)),IF($Q$1=$P$4,INDEX(Table24[[#All],[Year]:[Details]],ROWS(prem_analysis!$M$420:X438),COLUMNS(Data!$Q$3:AB21)))))),"")</f>
        <v>0.84210526315789469</v>
      </c>
    </row>
    <row r="21" spans="1:29" x14ac:dyDescent="0.2">
      <c r="A21" s="5">
        <v>2000</v>
      </c>
      <c r="B21" s="5">
        <v>20</v>
      </c>
      <c r="C21" s="6" t="s">
        <v>30</v>
      </c>
      <c r="D21" s="5">
        <v>38</v>
      </c>
      <c r="E21" s="5">
        <v>5</v>
      </c>
      <c r="F21" s="5">
        <v>11</v>
      </c>
      <c r="G21" s="5">
        <v>22</v>
      </c>
      <c r="H21" s="5">
        <v>30</v>
      </c>
      <c r="I21" s="5">
        <v>70</v>
      </c>
      <c r="J21" s="5">
        <v>-40</v>
      </c>
      <c r="K21" s="5">
        <v>26</v>
      </c>
      <c r="L21" s="5" t="str">
        <f>IF(Table24[[#This Row],['#]]=1,"Champion", IF(Table24[[#This Row],['#]]&gt;=18,"Relegated",Table24[[#This Row],['#]]))</f>
        <v>Relegated</v>
      </c>
      <c r="M21" s="5" t="str">
        <f>IF(Table24[[#This Row],[Details]]=2,K20-Table24[[#This Row],[Pts]],IF(Table24[[#This Row],[Details]]=17,Table24[[#This Row],[Pts]]-K22,""))</f>
        <v/>
      </c>
      <c r="R21" s="1">
        <f>IFERROR(IF($Q$1=$P$3,INDEX(prem_analysis!$P$2:$Q$441,ROWS(Data!$P$2:Q21),COLUMNS(Data!$P$3:P22)),IF($Q$1=$P$5,INDEX(prem_analysis!$BH$1:$BS$23,ROWS(Data!$Q$3:Q22),COLUMNS(Data!$Q$3:Q22)),IF($Q$1=$P$6,INDEX(prem_analysis!$BU$1:$CF$67,ROWS(prem_analysis!$N$2:N21),COLUMNS(prem_analysis!$N$2:N21)),IF($Q$1=$P$4,INDEX(Table24[[#All],[Year]:[Details]],ROWS(prem_analysis!$M$420:M439),COLUMNS(Data!$Q$3:Q22)))))),"")</f>
        <v>2018</v>
      </c>
      <c r="S21" s="1">
        <f>IFERROR(IF($Q$1=$P$3,INDEX(prem_analysis!$P$2:$Q$441,ROWS(Data!$P$2:R21),COLUMNS(Data!$P$3:Q22)),IF($Q$1=$P$5,INDEX(prem_analysis!$BH$1:$BS$23,ROWS(Data!$Q$3:R22),COLUMNS(Data!$Q$3:R22)),IF($Q$1=$P$6,INDEX(prem_analysis!$BU$1:$CF$67,ROWS(prem_analysis!$N$2:O21),COLUMNS(prem_analysis!$N$2:O21)),IF($Q$1=$P$4,INDEX(Table24[[#All],[Year]:[Details]],ROWS(prem_analysis!$M$420:N439),COLUMNS(Data!$Q$3:R22)))))),"")</f>
        <v>1</v>
      </c>
      <c r="T21" s="1" t="str">
        <f>IFERROR(IF($Q$1=$P$3,INDEX(prem_analysis!$P$2:$Q$441,ROWS(Data!$P$2:S21),COLUMNS(Data!$P$3:R22)),IF($Q$1=$P$5,INDEX(prem_analysis!$BH$1:$BS$23,ROWS(Data!$Q$3:S22),COLUMNS(Data!$Q$3:S22)),IF($Q$1=$P$6,INDEX(prem_analysis!$BU$1:$CF$67,ROWS(prem_analysis!$N$2:P21),COLUMNS(prem_analysis!$N$2:P21)),IF($Q$1=$P$4,INDEX(Table24[[#All],[Year]:[Details]],ROWS(prem_analysis!$M$420:O439),COLUMNS(Data!$Q$3:S22)))))),"")</f>
        <v>Manchester City</v>
      </c>
      <c r="U21" s="1">
        <f>IFERROR(IF($Q$1=$P$3,INDEX(prem_analysis!$P$2:$Q$441,ROWS(Data!$P$2:T21),COLUMNS(Data!$P$3:S22)),IF($Q$1=$P$5,INDEX(prem_analysis!$BH$1:$BS$23,ROWS(Data!$Q$3:T22),COLUMNS(Data!$Q$3:T22)),IF($Q$1=$P$6,INDEX(prem_analysis!$BU$1:$CF$67,ROWS(prem_analysis!$N$2:Q21),COLUMNS(prem_analysis!$N$2:Q21)),IF($Q$1=$P$4,INDEX(Table24[[#All],[Year]:[Details]],ROWS(prem_analysis!$M$420:P439),COLUMNS(Data!$Q$3:T22)))))),"")</f>
        <v>38</v>
      </c>
      <c r="V21" s="1">
        <f>IFERROR(IF($Q$1=$P$3,INDEX(prem_analysis!$P$2:$Q$441,ROWS(Data!$P$2:U21),COLUMNS(Data!$P$3:T22)),IF($Q$1=$P$5,INDEX(prem_analysis!$BH$1:$BS$23,ROWS(Data!$Q$3:U22),COLUMNS(Data!$Q$3:U22)),IF($Q$1=$P$6,INDEX(prem_analysis!$BU$1:$CF$67,ROWS(prem_analysis!$N$2:R21),COLUMNS(prem_analysis!$N$2:R21)),IF($Q$1=$P$4,INDEX(Table24[[#All],[Year]:[Details]],ROWS(prem_analysis!$M$420:Q439),COLUMNS(Data!$Q$3:U22)))))),"")</f>
        <v>32</v>
      </c>
      <c r="W21" s="1">
        <f>IFERROR(IF($Q$1=$P$3,INDEX(prem_analysis!$P$2:$Q$441,ROWS(Data!$P$2:V21),COLUMNS(Data!$P$3:U22)),IF($Q$1=$P$5,INDEX(prem_analysis!$BH$1:$BS$23,ROWS(Data!$Q$3:V22),COLUMNS(Data!$Q$3:V22)),IF($Q$1=$P$6,INDEX(prem_analysis!$BU$1:$CF$67,ROWS(prem_analysis!$N$2:S21),COLUMNS(prem_analysis!$N$2:S21)),IF($Q$1=$P$4,INDEX(Table24[[#All],[Year]:[Details]],ROWS(prem_analysis!$M$420:R439),COLUMNS(Data!$Q$3:V22)))))),"")</f>
        <v>2</v>
      </c>
      <c r="X21" s="1">
        <f>IFERROR(IF($Q$1=$P$3,INDEX(prem_analysis!$P$2:$Q$441,ROWS(Data!$P$2:W21),COLUMNS(Data!$P$3:V22)),IF($Q$1=$P$5,INDEX(prem_analysis!$BH$1:$BS$23,ROWS(Data!$Q$3:W22),COLUMNS(Data!$Q$3:W22)),IF($Q$1=$P$6,INDEX(prem_analysis!$BU$1:$CF$67,ROWS(prem_analysis!$N$2:T21),COLUMNS(prem_analysis!$N$2:T21)),IF($Q$1=$P$4,INDEX(Table24[[#All],[Year]:[Details]],ROWS(prem_analysis!$M$420:S439),COLUMNS(Data!$Q$3:W22)))))),"")</f>
        <v>4</v>
      </c>
      <c r="Y21" s="1">
        <f>IFERROR(IF($Q$1=$P$3,INDEX(prem_analysis!$P$2:$Q$441,ROWS(Data!$P$2:X21),COLUMNS(Data!$P$3:W22)),IF($Q$1=$P$5,INDEX(prem_analysis!$BH$1:$BS$23,ROWS(Data!$Q$3:X22),COLUMNS(Data!$Q$3:X22)),IF($Q$1=$P$6,INDEX(prem_analysis!$BU$1:$CF$67,ROWS(prem_analysis!$N$2:U21),COLUMNS(prem_analysis!$N$2:U21)),IF($Q$1=$P$4,INDEX(Table24[[#All],[Year]:[Details]],ROWS(prem_analysis!$M$420:T439),COLUMNS(Data!$Q$3:X22)))))),"")</f>
        <v>95</v>
      </c>
      <c r="Z21" s="1">
        <f>IFERROR(IF($Q$1=$P$3,INDEX(prem_analysis!$P$2:$Q$441,ROWS(Data!$P$2:Y21),COLUMNS(Data!$P$3:X22)),IF($Q$1=$P$5,INDEX(prem_analysis!$BH$1:$BS$23,ROWS(Data!$Q$3:Y22),COLUMNS(Data!$Q$3:Y22)),IF($Q$1=$P$6,INDEX(prem_analysis!$BU$1:$CF$67,ROWS(prem_analysis!$N$2:V21),COLUMNS(prem_analysis!$N$2:V21)),IF($Q$1=$P$4,INDEX(Table24[[#All],[Year]:[Details]],ROWS(prem_analysis!$M$420:U439),COLUMNS(Data!$Q$3:Y22)))))),"")</f>
        <v>23</v>
      </c>
      <c r="AA21" s="1">
        <f>IFERROR(IF($Q$1=$P$3,INDEX(prem_analysis!$P$2:$Q$441,ROWS(Data!$P$2:Z21),COLUMNS(Data!$P$3:Y22)),IF($Q$1=$P$5,INDEX(prem_analysis!$BH$1:$BS$23,ROWS(Data!$Q$3:Z22),COLUMNS(Data!$Q$3:Z22)),IF($Q$1=$P$6,INDEX(prem_analysis!$BU$1:$CF$67,ROWS(prem_analysis!$N$2:W21),COLUMNS(prem_analysis!$N$2:W21)),IF($Q$1=$P$4,INDEX(Table24[[#All],[Year]:[Details]],ROWS(prem_analysis!$M$420:V439),COLUMNS(Data!$Q$3:Z22)))))),"")</f>
        <v>72</v>
      </c>
      <c r="AB21" s="1">
        <f>IFERROR(IF($Q$1=$P$3,INDEX(prem_analysis!$P$2:$Q$441,ROWS(Data!$P$2:AA21),COLUMNS(Data!$P$3:Z22)),IF($Q$1=$P$5,INDEX(prem_analysis!$BH$1:$BS$23,ROWS(Data!$Q$3:AA22),COLUMNS(Data!$Q$3:AA22)),IF($Q$1=$P$6,INDEX(prem_analysis!$BU$1:$CF$67,ROWS(prem_analysis!$N$2:X21),COLUMNS(prem_analysis!$N$2:X21)),IF($Q$1=$P$4,INDEX(Table24[[#All],[Year]:[Details]],ROWS(prem_analysis!$M$420:W439),COLUMNS(Data!$Q$3:AA22)))))),"")</f>
        <v>98</v>
      </c>
      <c r="AC21" s="1">
        <f>IFERROR(IF($Q$1=$P$3,INDEX(prem_analysis!$P$2:$Q$441,ROWS(Data!$P$2:AB21),COLUMNS(Data!$P$3:AA22)),IF($Q$1=$P$5,INDEX(prem_analysis!$BH$1:$BS$23,ROWS(Data!$Q$3:AB22),COLUMNS(Data!$Q$3:AB22)),IF($Q$1=$P$6,INDEX(prem_analysis!$BU$1:$CF$67,ROWS(prem_analysis!$N$2:Y21),COLUMNS(prem_analysis!$N$2:Y21)),IF($Q$1=$P$4,INDEX(Table24[[#All],[Year]:[Details]],ROWS(prem_analysis!$M$420:X439),COLUMNS(Data!$Q$3:AB22)))))),"")</f>
        <v>0.84210526315789469</v>
      </c>
    </row>
    <row r="22" spans="1:29" x14ac:dyDescent="0.2">
      <c r="A22" s="3">
        <v>2001</v>
      </c>
      <c r="B22" s="3">
        <v>1</v>
      </c>
      <c r="C22" s="6" t="s">
        <v>12</v>
      </c>
      <c r="D22" s="3">
        <v>38</v>
      </c>
      <c r="E22" s="3">
        <v>26</v>
      </c>
      <c r="F22" s="3">
        <v>9</v>
      </c>
      <c r="G22" s="3">
        <v>3</v>
      </c>
      <c r="H22" s="3">
        <v>79</v>
      </c>
      <c r="I22" s="3">
        <v>36</v>
      </c>
      <c r="J22" s="3">
        <v>43</v>
      </c>
      <c r="K22" s="3">
        <v>87</v>
      </c>
      <c r="L22" s="5" t="str">
        <f>IF(Table24[[#This Row],['#]]=1,"Champion", IF(Table24[[#This Row],['#]]&gt;=18,"Relegated",Table24[[#This Row],['#]]))</f>
        <v>Champion</v>
      </c>
      <c r="M22" s="5" t="str">
        <f>IF(Table24[[#This Row],[Details]]=2,K21-Table24[[#This Row],[Pts]],IF(Table24[[#This Row],[Details]]=17,Table24[[#This Row],[Pts]]-K23,""))</f>
        <v/>
      </c>
      <c r="R22" s="1">
        <f>IFERROR(IF($Q$1=$P$3,INDEX(prem_analysis!$P$2:$Q$441,ROWS(Data!$P$2:Q22),COLUMNS(Data!$P$3:P23)),IF($Q$1=$P$5,INDEX(prem_analysis!$BH$1:$BS$23,ROWS(Data!$Q$3:Q23),COLUMNS(Data!$Q$3:Q23)),IF($Q$1=$P$6,INDEX(prem_analysis!$BU$1:$CF$67,ROWS(prem_analysis!$N$2:N22),COLUMNS(prem_analysis!$N$2:N22)),IF($Q$1=$P$4,INDEX(Table24[[#All],[Year]:[Details]],ROWS(prem_analysis!$M$420:M440),COLUMNS(Data!$Q$3:Q23)))))),"")</f>
        <v>2019</v>
      </c>
      <c r="S22" s="1">
        <f>IFERROR(IF($Q$1=$P$3,INDEX(prem_analysis!$P$2:$Q$441,ROWS(Data!$P$2:R22),COLUMNS(Data!$P$3:Q23)),IF($Q$1=$P$5,INDEX(prem_analysis!$BH$1:$BS$23,ROWS(Data!$Q$3:R23),COLUMNS(Data!$Q$3:R23)),IF($Q$1=$P$6,INDEX(prem_analysis!$BU$1:$CF$67,ROWS(prem_analysis!$N$2:O22),COLUMNS(prem_analysis!$N$2:O22)),IF($Q$1=$P$4,INDEX(Table24[[#All],[Year]:[Details]],ROWS(prem_analysis!$M$420:N440),COLUMNS(Data!$Q$3:R23)))))),"")</f>
        <v>1</v>
      </c>
      <c r="T22" s="1" t="str">
        <f>IFERROR(IF($Q$1=$P$3,INDEX(prem_analysis!$P$2:$Q$441,ROWS(Data!$P$2:S22),COLUMNS(Data!$P$3:R23)),IF($Q$1=$P$5,INDEX(prem_analysis!$BH$1:$BS$23,ROWS(Data!$Q$3:S23),COLUMNS(Data!$Q$3:S23)),IF($Q$1=$P$6,INDEX(prem_analysis!$BU$1:$CF$67,ROWS(prem_analysis!$N$2:P22),COLUMNS(prem_analysis!$N$2:P22)),IF($Q$1=$P$4,INDEX(Table24[[#All],[Year]:[Details]],ROWS(prem_analysis!$M$420:O440),COLUMNS(Data!$Q$3:S23)))))),"")</f>
        <v>Liverpool</v>
      </c>
      <c r="U22" s="1">
        <f>IFERROR(IF($Q$1=$P$3,INDEX(prem_analysis!$P$2:$Q$441,ROWS(Data!$P$2:T22),COLUMNS(Data!$P$3:S23)),IF($Q$1=$P$5,INDEX(prem_analysis!$BH$1:$BS$23,ROWS(Data!$Q$3:T23),COLUMNS(Data!$Q$3:T23)),IF($Q$1=$P$6,INDEX(prem_analysis!$BU$1:$CF$67,ROWS(prem_analysis!$N$2:Q22),COLUMNS(prem_analysis!$N$2:Q22)),IF($Q$1=$P$4,INDEX(Table24[[#All],[Year]:[Details]],ROWS(prem_analysis!$M$420:P440),COLUMNS(Data!$Q$3:T23)))))),"")</f>
        <v>38</v>
      </c>
      <c r="V22" s="1">
        <f>IFERROR(IF($Q$1=$P$3,INDEX(prem_analysis!$P$2:$Q$441,ROWS(Data!$P$2:U22),COLUMNS(Data!$P$3:T23)),IF($Q$1=$P$5,INDEX(prem_analysis!$BH$1:$BS$23,ROWS(Data!$Q$3:U23),COLUMNS(Data!$Q$3:U23)),IF($Q$1=$P$6,INDEX(prem_analysis!$BU$1:$CF$67,ROWS(prem_analysis!$N$2:R22),COLUMNS(prem_analysis!$N$2:R22)),IF($Q$1=$P$4,INDEX(Table24[[#All],[Year]:[Details]],ROWS(prem_analysis!$M$420:Q440),COLUMNS(Data!$Q$3:U23)))))),"")</f>
        <v>32</v>
      </c>
      <c r="W22" s="1">
        <f>IFERROR(IF($Q$1=$P$3,INDEX(prem_analysis!$P$2:$Q$441,ROWS(Data!$P$2:V22),COLUMNS(Data!$P$3:U23)),IF($Q$1=$P$5,INDEX(prem_analysis!$BH$1:$BS$23,ROWS(Data!$Q$3:V23),COLUMNS(Data!$Q$3:V23)),IF($Q$1=$P$6,INDEX(prem_analysis!$BU$1:$CF$67,ROWS(prem_analysis!$N$2:S22),COLUMNS(prem_analysis!$N$2:S22)),IF($Q$1=$P$4,INDEX(Table24[[#All],[Year]:[Details]],ROWS(prem_analysis!$M$420:R440),COLUMNS(Data!$Q$3:V23)))))),"")</f>
        <v>3</v>
      </c>
      <c r="X22" s="1">
        <f>IFERROR(IF($Q$1=$P$3,INDEX(prem_analysis!$P$2:$Q$441,ROWS(Data!$P$2:W22),COLUMNS(Data!$P$3:V23)),IF($Q$1=$P$5,INDEX(prem_analysis!$BH$1:$BS$23,ROWS(Data!$Q$3:W23),COLUMNS(Data!$Q$3:W23)),IF($Q$1=$P$6,INDEX(prem_analysis!$BU$1:$CF$67,ROWS(prem_analysis!$N$2:T22),COLUMNS(prem_analysis!$N$2:T22)),IF($Q$1=$P$4,INDEX(Table24[[#All],[Year]:[Details]],ROWS(prem_analysis!$M$420:S440),COLUMNS(Data!$Q$3:W23)))))),"")</f>
        <v>3</v>
      </c>
      <c r="Y22" s="1">
        <f>IFERROR(IF($Q$1=$P$3,INDEX(prem_analysis!$P$2:$Q$441,ROWS(Data!$P$2:X22),COLUMNS(Data!$P$3:W23)),IF($Q$1=$P$5,INDEX(prem_analysis!$BH$1:$BS$23,ROWS(Data!$Q$3:X23),COLUMNS(Data!$Q$3:X23)),IF($Q$1=$P$6,INDEX(prem_analysis!$BU$1:$CF$67,ROWS(prem_analysis!$N$2:U22),COLUMNS(prem_analysis!$N$2:U22)),IF($Q$1=$P$4,INDEX(Table24[[#All],[Year]:[Details]],ROWS(prem_analysis!$M$420:T440),COLUMNS(Data!$Q$3:X23)))))),"")</f>
        <v>85</v>
      </c>
      <c r="Z22" s="1">
        <f>IFERROR(IF($Q$1=$P$3,INDEX(prem_analysis!$P$2:$Q$441,ROWS(Data!$P$2:Y22),COLUMNS(Data!$P$3:X23)),IF($Q$1=$P$5,INDEX(prem_analysis!$BH$1:$BS$23,ROWS(Data!$Q$3:Y23),COLUMNS(Data!$Q$3:Y23)),IF($Q$1=$P$6,INDEX(prem_analysis!$BU$1:$CF$67,ROWS(prem_analysis!$N$2:V22),COLUMNS(prem_analysis!$N$2:V22)),IF($Q$1=$P$4,INDEX(Table24[[#All],[Year]:[Details]],ROWS(prem_analysis!$M$420:U440),COLUMNS(Data!$Q$3:Y23)))))),"")</f>
        <v>33</v>
      </c>
      <c r="AA22" s="1">
        <f>IFERROR(IF($Q$1=$P$3,INDEX(prem_analysis!$P$2:$Q$441,ROWS(Data!$P$2:Z22),COLUMNS(Data!$P$3:Y23)),IF($Q$1=$P$5,INDEX(prem_analysis!$BH$1:$BS$23,ROWS(Data!$Q$3:Z23),COLUMNS(Data!$Q$3:Z23)),IF($Q$1=$P$6,INDEX(prem_analysis!$BU$1:$CF$67,ROWS(prem_analysis!$N$2:W22),COLUMNS(prem_analysis!$N$2:W22)),IF($Q$1=$P$4,INDEX(Table24[[#All],[Year]:[Details]],ROWS(prem_analysis!$M$420:V440),COLUMNS(Data!$Q$3:Z23)))))),"")</f>
        <v>52</v>
      </c>
      <c r="AB22" s="1">
        <f>IFERROR(IF($Q$1=$P$3,INDEX(prem_analysis!$P$2:$Q$441,ROWS(Data!$P$2:AA22),COLUMNS(Data!$P$3:Z23)),IF($Q$1=$P$5,INDEX(prem_analysis!$BH$1:$BS$23,ROWS(Data!$Q$3:AA23),COLUMNS(Data!$Q$3:AA23)),IF($Q$1=$P$6,INDEX(prem_analysis!$BU$1:$CF$67,ROWS(prem_analysis!$N$2:X22),COLUMNS(prem_analysis!$N$2:X22)),IF($Q$1=$P$4,INDEX(Table24[[#All],[Year]:[Details]],ROWS(prem_analysis!$M$420:W440),COLUMNS(Data!$Q$3:AA23)))))),"")</f>
        <v>99</v>
      </c>
      <c r="AC22" s="1">
        <f>IFERROR(IF($Q$1=$P$3,INDEX(prem_analysis!$P$2:$Q$441,ROWS(Data!$P$2:AB22),COLUMNS(Data!$P$3:AA23)),IF($Q$1=$P$5,INDEX(prem_analysis!$BH$1:$BS$23,ROWS(Data!$Q$3:AB23),COLUMNS(Data!$Q$3:AB23)),IF($Q$1=$P$6,INDEX(prem_analysis!$BU$1:$CF$67,ROWS(prem_analysis!$N$2:Y22),COLUMNS(prem_analysis!$N$2:Y22)),IF($Q$1=$P$4,INDEX(Table24[[#All],[Year]:[Details]],ROWS(prem_analysis!$M$420:X440),COLUMNS(Data!$Q$3:AB23)))))),"")</f>
        <v>0.84210526315789469</v>
      </c>
    </row>
    <row r="23" spans="1:29" x14ac:dyDescent="0.2">
      <c r="A23" s="5">
        <v>2001</v>
      </c>
      <c r="B23" s="5">
        <v>2</v>
      </c>
      <c r="C23" s="4" t="s">
        <v>13</v>
      </c>
      <c r="D23" s="5">
        <v>38</v>
      </c>
      <c r="E23" s="5">
        <v>24</v>
      </c>
      <c r="F23" s="5">
        <v>8</v>
      </c>
      <c r="G23" s="5">
        <v>6</v>
      </c>
      <c r="H23" s="5">
        <v>67</v>
      </c>
      <c r="I23" s="5">
        <v>30</v>
      </c>
      <c r="J23" s="5">
        <v>37</v>
      </c>
      <c r="K23" s="5">
        <v>80</v>
      </c>
      <c r="L23" s="5">
        <f>IF(Table24[[#This Row],['#]]=1,"Champion", IF(Table24[[#This Row],['#]]&gt;=18,"Relegated",Table24[[#This Row],['#]]))</f>
        <v>2</v>
      </c>
      <c r="M23" s="5">
        <f>IF(Table24[[#This Row],[Details]]=2,K22-Table24[[#This Row],[Pts]],IF(Table24[[#This Row],[Details]]=17,Table24[[#This Row],[Pts]]-K24,""))</f>
        <v>7</v>
      </c>
      <c r="R23" s="1">
        <f>IFERROR(IF($Q$1=$P$3,INDEX(prem_analysis!$P$2:$Q$441,ROWS(Data!$P$2:Q23),COLUMNS(Data!$P$3:P24)),IF($Q$1=$P$5,INDEX(prem_analysis!$BH$1:$BS$23,ROWS(Data!$Q$3:Q24),COLUMNS(Data!$Q$3:Q24)),IF($Q$1=$P$6,INDEX(prem_analysis!$BU$1:$CF$67,ROWS(prem_analysis!$N$2:N23),COLUMNS(prem_analysis!$N$2:N23)),IF($Q$1=$P$4,INDEX(Table24[[#All],[Year]:[Details]],ROWS(prem_analysis!$M$420:M441),COLUMNS(Data!$Q$3:Q24)))))),"")</f>
        <v>2020</v>
      </c>
      <c r="S23" s="1">
        <f>IFERROR(IF($Q$1=$P$3,INDEX(prem_analysis!$P$2:$Q$441,ROWS(Data!$P$2:R23),COLUMNS(Data!$P$3:Q24)),IF($Q$1=$P$5,INDEX(prem_analysis!$BH$1:$BS$23,ROWS(Data!$Q$3:R24),COLUMNS(Data!$Q$3:R24)),IF($Q$1=$P$6,INDEX(prem_analysis!$BU$1:$CF$67,ROWS(prem_analysis!$N$2:O23),COLUMNS(prem_analysis!$N$2:O23)),IF($Q$1=$P$4,INDEX(Table24[[#All],[Year]:[Details]],ROWS(prem_analysis!$M$420:N441),COLUMNS(Data!$Q$3:R24)))))),"")</f>
        <v>1</v>
      </c>
      <c r="T23" s="1" t="str">
        <f>IFERROR(IF($Q$1=$P$3,INDEX(prem_analysis!$P$2:$Q$441,ROWS(Data!$P$2:S23),COLUMNS(Data!$P$3:R24)),IF($Q$1=$P$5,INDEX(prem_analysis!$BH$1:$BS$23,ROWS(Data!$Q$3:S24),COLUMNS(Data!$Q$3:S24)),IF($Q$1=$P$6,INDEX(prem_analysis!$BU$1:$CF$67,ROWS(prem_analysis!$N$2:P23),COLUMNS(prem_analysis!$N$2:P23)),IF($Q$1=$P$4,INDEX(Table24[[#All],[Year]:[Details]],ROWS(prem_analysis!$M$420:O441),COLUMNS(Data!$Q$3:S24)))))),"")</f>
        <v>Manchester City</v>
      </c>
      <c r="U23" s="1">
        <f>IFERROR(IF($Q$1=$P$3,INDEX(prem_analysis!$P$2:$Q$441,ROWS(Data!$P$2:T23),COLUMNS(Data!$P$3:S24)),IF($Q$1=$P$5,INDEX(prem_analysis!$BH$1:$BS$23,ROWS(Data!$Q$3:T24),COLUMNS(Data!$Q$3:T24)),IF($Q$1=$P$6,INDEX(prem_analysis!$BU$1:$CF$67,ROWS(prem_analysis!$N$2:Q23),COLUMNS(prem_analysis!$N$2:Q23)),IF($Q$1=$P$4,INDEX(Table24[[#All],[Year]:[Details]],ROWS(prem_analysis!$M$420:P441),COLUMNS(Data!$Q$3:T24)))))),"")</f>
        <v>38</v>
      </c>
      <c r="V23" s="1">
        <f>IFERROR(IF($Q$1=$P$3,INDEX(prem_analysis!$P$2:$Q$441,ROWS(Data!$P$2:U23),COLUMNS(Data!$P$3:T24)),IF($Q$1=$P$5,INDEX(prem_analysis!$BH$1:$BS$23,ROWS(Data!$Q$3:U24),COLUMNS(Data!$Q$3:U24)),IF($Q$1=$P$6,INDEX(prem_analysis!$BU$1:$CF$67,ROWS(prem_analysis!$N$2:R23),COLUMNS(prem_analysis!$N$2:R23)),IF($Q$1=$P$4,INDEX(Table24[[#All],[Year]:[Details]],ROWS(prem_analysis!$M$420:Q441),COLUMNS(Data!$Q$3:U24)))))),"")</f>
        <v>27</v>
      </c>
      <c r="W23" s="1">
        <f>IFERROR(IF($Q$1=$P$3,INDEX(prem_analysis!$P$2:$Q$441,ROWS(Data!$P$2:V23),COLUMNS(Data!$P$3:U24)),IF($Q$1=$P$5,INDEX(prem_analysis!$BH$1:$BS$23,ROWS(Data!$Q$3:V24),COLUMNS(Data!$Q$3:V24)),IF($Q$1=$P$6,INDEX(prem_analysis!$BU$1:$CF$67,ROWS(prem_analysis!$N$2:S23),COLUMNS(prem_analysis!$N$2:S23)),IF($Q$1=$P$4,INDEX(Table24[[#All],[Year]:[Details]],ROWS(prem_analysis!$M$420:R441),COLUMNS(Data!$Q$3:V24)))))),"")</f>
        <v>5</v>
      </c>
      <c r="X23" s="1">
        <f>IFERROR(IF($Q$1=$P$3,INDEX(prem_analysis!$P$2:$Q$441,ROWS(Data!$P$2:W23),COLUMNS(Data!$P$3:V24)),IF($Q$1=$P$5,INDEX(prem_analysis!$BH$1:$BS$23,ROWS(Data!$Q$3:W24),COLUMNS(Data!$Q$3:W24)),IF($Q$1=$P$6,INDEX(prem_analysis!$BU$1:$CF$67,ROWS(prem_analysis!$N$2:T23),COLUMNS(prem_analysis!$N$2:T23)),IF($Q$1=$P$4,INDEX(Table24[[#All],[Year]:[Details]],ROWS(prem_analysis!$M$420:S441),COLUMNS(Data!$Q$3:W24)))))),"")</f>
        <v>6</v>
      </c>
      <c r="Y23" s="1">
        <f>IFERROR(IF($Q$1=$P$3,INDEX(prem_analysis!$P$2:$Q$441,ROWS(Data!$P$2:X23),COLUMNS(Data!$P$3:W24)),IF($Q$1=$P$5,INDEX(prem_analysis!$BH$1:$BS$23,ROWS(Data!$Q$3:X24),COLUMNS(Data!$Q$3:X24)),IF($Q$1=$P$6,INDEX(prem_analysis!$BU$1:$CF$67,ROWS(prem_analysis!$N$2:U23),COLUMNS(prem_analysis!$N$2:U23)),IF($Q$1=$P$4,INDEX(Table24[[#All],[Year]:[Details]],ROWS(prem_analysis!$M$420:T441),COLUMNS(Data!$Q$3:X24)))))),"")</f>
        <v>83</v>
      </c>
      <c r="Z23" s="1">
        <f>IFERROR(IF($Q$1=$P$3,INDEX(prem_analysis!$P$2:$Q$441,ROWS(Data!$P$2:Y23),COLUMNS(Data!$P$3:X24)),IF($Q$1=$P$5,INDEX(prem_analysis!$BH$1:$BS$23,ROWS(Data!$Q$3:Y24),COLUMNS(Data!$Q$3:Y24)),IF($Q$1=$P$6,INDEX(prem_analysis!$BU$1:$CF$67,ROWS(prem_analysis!$N$2:V23),COLUMNS(prem_analysis!$N$2:V23)),IF($Q$1=$P$4,INDEX(Table24[[#All],[Year]:[Details]],ROWS(prem_analysis!$M$420:U441),COLUMNS(Data!$Q$3:Y24)))))),"")</f>
        <v>32</v>
      </c>
      <c r="AA23" s="1">
        <f>IFERROR(IF($Q$1=$P$3,INDEX(prem_analysis!$P$2:$Q$441,ROWS(Data!$P$2:Z23),COLUMNS(Data!$P$3:Y24)),IF($Q$1=$P$5,INDEX(prem_analysis!$BH$1:$BS$23,ROWS(Data!$Q$3:Z24),COLUMNS(Data!$Q$3:Z24)),IF($Q$1=$P$6,INDEX(prem_analysis!$BU$1:$CF$67,ROWS(prem_analysis!$N$2:W23),COLUMNS(prem_analysis!$N$2:W23)),IF($Q$1=$P$4,INDEX(Table24[[#All],[Year]:[Details]],ROWS(prem_analysis!$M$420:V441),COLUMNS(Data!$Q$3:Z24)))))),"")</f>
        <v>51</v>
      </c>
      <c r="AB23" s="1">
        <f>IFERROR(IF($Q$1=$P$3,INDEX(prem_analysis!$P$2:$Q$441,ROWS(Data!$P$2:AA23),COLUMNS(Data!$P$3:Z24)),IF($Q$1=$P$5,INDEX(prem_analysis!$BH$1:$BS$23,ROWS(Data!$Q$3:AA24),COLUMNS(Data!$Q$3:AA24)),IF($Q$1=$P$6,INDEX(prem_analysis!$BU$1:$CF$67,ROWS(prem_analysis!$N$2:X23),COLUMNS(prem_analysis!$N$2:X23)),IF($Q$1=$P$4,INDEX(Table24[[#All],[Year]:[Details]],ROWS(prem_analysis!$M$420:W441),COLUMNS(Data!$Q$3:AA24)))))),"")</f>
        <v>86</v>
      </c>
      <c r="AC23" s="1">
        <f>IFERROR(IF($Q$1=$P$3,INDEX(prem_analysis!$P$2:$Q$441,ROWS(Data!$P$2:AB23),COLUMNS(Data!$P$3:AA24)),IF($Q$1=$P$5,INDEX(prem_analysis!$BH$1:$BS$23,ROWS(Data!$Q$3:AB24),COLUMNS(Data!$Q$3:AB24)),IF($Q$1=$P$6,INDEX(prem_analysis!$BU$1:$CF$67,ROWS(prem_analysis!$N$2:Y23),COLUMNS(prem_analysis!$N$2:Y23)),IF($Q$1=$P$4,INDEX(Table24[[#All],[Year]:[Details]],ROWS(prem_analysis!$M$420:X441),COLUMNS(Data!$Q$3:AB24)))))),"")</f>
        <v>0.71052631578947367</v>
      </c>
    </row>
    <row r="24" spans="1:29" x14ac:dyDescent="0.2">
      <c r="A24" s="3">
        <v>2001</v>
      </c>
      <c r="B24" s="3">
        <v>3</v>
      </c>
      <c r="C24" s="4" t="s">
        <v>11</v>
      </c>
      <c r="D24" s="3">
        <v>38</v>
      </c>
      <c r="E24" s="3">
        <v>24</v>
      </c>
      <c r="F24" s="3">
        <v>5</v>
      </c>
      <c r="G24" s="3">
        <v>9</v>
      </c>
      <c r="H24" s="3">
        <v>87</v>
      </c>
      <c r="I24" s="3">
        <v>45</v>
      </c>
      <c r="J24" s="3">
        <v>42</v>
      </c>
      <c r="K24" s="3">
        <v>77</v>
      </c>
      <c r="L24" s="5">
        <f>IF(Table24[[#This Row],['#]]=1,"Champion", IF(Table24[[#This Row],['#]]&gt;=18,"Relegated",Table24[[#This Row],['#]]))</f>
        <v>3</v>
      </c>
      <c r="M24" s="5" t="str">
        <f>IF(Table24[[#This Row],[Details]]=2,K23-Table24[[#This Row],[Pts]],IF(Table24[[#This Row],[Details]]=17,Table24[[#This Row],[Pts]]-K25,""))</f>
        <v/>
      </c>
      <c r="R24" s="1">
        <f>IFERROR(IF($Q$1=$P$3,INDEX(prem_analysis!$P$2:$Q$441,ROWS(Data!$P$2:Q24),COLUMNS(Data!$P$3:P25)),IF($Q$1=$P$5,INDEX(prem_analysis!$BH$1:$BS$23,ROWS(Data!$Q$3:Q25),COLUMNS(Data!$Q$3:Q25)),IF($Q$1=$P$6,INDEX(prem_analysis!$BU$1:$CF$67,ROWS(prem_analysis!$N$2:N24),COLUMNS(prem_analysis!$N$2:N24)),IF($Q$1=$P$4,INDEX(Table24[[#All],[Year]:[Details]],ROWS(prem_analysis!$M$420:M442),COLUMNS(Data!$Q$3:Q25)))))),"")</f>
        <v>2021</v>
      </c>
      <c r="S24" s="1">
        <f>IFERROR(IF($Q$1=$P$3,INDEX(prem_analysis!$P$2:$Q$441,ROWS(Data!$P$2:R24),COLUMNS(Data!$P$3:Q25)),IF($Q$1=$P$5,INDEX(prem_analysis!$BH$1:$BS$23,ROWS(Data!$Q$3:R25),COLUMNS(Data!$Q$3:R25)),IF($Q$1=$P$6,INDEX(prem_analysis!$BU$1:$CF$67,ROWS(prem_analysis!$N$2:O24),COLUMNS(prem_analysis!$N$2:O24)),IF($Q$1=$P$4,INDEX(Table24[[#All],[Year]:[Details]],ROWS(prem_analysis!$M$420:N442),COLUMNS(Data!$Q$3:R25)))))),"")</f>
        <v>1</v>
      </c>
      <c r="T24" s="1" t="str">
        <f>IFERROR(IF($Q$1=$P$3,INDEX(prem_analysis!$P$2:$Q$441,ROWS(Data!$P$2:S24),COLUMNS(Data!$P$3:R25)),IF($Q$1=$P$5,INDEX(prem_analysis!$BH$1:$BS$23,ROWS(Data!$Q$3:S25),COLUMNS(Data!$Q$3:S25)),IF($Q$1=$P$6,INDEX(prem_analysis!$BU$1:$CF$67,ROWS(prem_analysis!$N$2:P24),COLUMNS(prem_analysis!$N$2:P24)),IF($Q$1=$P$4,INDEX(Table24[[#All],[Year]:[Details]],ROWS(prem_analysis!$M$420:O442),COLUMNS(Data!$Q$3:S25)))))),"")</f>
        <v>Manchester City</v>
      </c>
      <c r="U24" s="1">
        <f>IFERROR(IF($Q$1=$P$3,INDEX(prem_analysis!$P$2:$Q$441,ROWS(Data!$P$2:T24),COLUMNS(Data!$P$3:S25)),IF($Q$1=$P$5,INDEX(prem_analysis!$BH$1:$BS$23,ROWS(Data!$Q$3:T25),COLUMNS(Data!$Q$3:T25)),IF($Q$1=$P$6,INDEX(prem_analysis!$BU$1:$CF$67,ROWS(prem_analysis!$N$2:Q24),COLUMNS(prem_analysis!$N$2:Q24)),IF($Q$1=$P$4,INDEX(Table24[[#All],[Year]:[Details]],ROWS(prem_analysis!$M$420:P442),COLUMNS(Data!$Q$3:T25)))))),"")</f>
        <v>38</v>
      </c>
      <c r="V24" s="1">
        <f>IFERROR(IF($Q$1=$P$3,INDEX(prem_analysis!$P$2:$Q$441,ROWS(Data!$P$2:U24),COLUMNS(Data!$P$3:T25)),IF($Q$1=$P$5,INDEX(prem_analysis!$BH$1:$BS$23,ROWS(Data!$Q$3:U25),COLUMNS(Data!$Q$3:U25)),IF($Q$1=$P$6,INDEX(prem_analysis!$BU$1:$CF$67,ROWS(prem_analysis!$N$2:R24),COLUMNS(prem_analysis!$N$2:R24)),IF($Q$1=$P$4,INDEX(Table24[[#All],[Year]:[Details]],ROWS(prem_analysis!$M$420:Q442),COLUMNS(Data!$Q$3:U25)))))),"")</f>
        <v>29</v>
      </c>
      <c r="W24" s="1">
        <f>IFERROR(IF($Q$1=$P$3,INDEX(prem_analysis!$P$2:$Q$441,ROWS(Data!$P$2:V24),COLUMNS(Data!$P$3:U25)),IF($Q$1=$P$5,INDEX(prem_analysis!$BH$1:$BS$23,ROWS(Data!$Q$3:V25),COLUMNS(Data!$Q$3:V25)),IF($Q$1=$P$6,INDEX(prem_analysis!$BU$1:$CF$67,ROWS(prem_analysis!$N$2:S24),COLUMNS(prem_analysis!$N$2:S24)),IF($Q$1=$P$4,INDEX(Table24[[#All],[Year]:[Details]],ROWS(prem_analysis!$M$420:R442),COLUMNS(Data!$Q$3:V25)))))),"")</f>
        <v>6</v>
      </c>
      <c r="X24" s="1">
        <f>IFERROR(IF($Q$1=$P$3,INDEX(prem_analysis!$P$2:$Q$441,ROWS(Data!$P$2:W24),COLUMNS(Data!$P$3:V25)),IF($Q$1=$P$5,INDEX(prem_analysis!$BH$1:$BS$23,ROWS(Data!$Q$3:W25),COLUMNS(Data!$Q$3:W25)),IF($Q$1=$P$6,INDEX(prem_analysis!$BU$1:$CF$67,ROWS(prem_analysis!$N$2:T24),COLUMNS(prem_analysis!$N$2:T24)),IF($Q$1=$P$4,INDEX(Table24[[#All],[Year]:[Details]],ROWS(prem_analysis!$M$420:S442),COLUMNS(Data!$Q$3:W25)))))),"")</f>
        <v>3</v>
      </c>
      <c r="Y24" s="1">
        <f>IFERROR(IF($Q$1=$P$3,INDEX(prem_analysis!$P$2:$Q$441,ROWS(Data!$P$2:X24),COLUMNS(Data!$P$3:W25)),IF($Q$1=$P$5,INDEX(prem_analysis!$BH$1:$BS$23,ROWS(Data!$Q$3:X25),COLUMNS(Data!$Q$3:X25)),IF($Q$1=$P$6,INDEX(prem_analysis!$BU$1:$CF$67,ROWS(prem_analysis!$N$2:U24),COLUMNS(prem_analysis!$N$2:U24)),IF($Q$1=$P$4,INDEX(Table24[[#All],[Year]:[Details]],ROWS(prem_analysis!$M$420:T442),COLUMNS(Data!$Q$3:X25)))))),"")</f>
        <v>99</v>
      </c>
      <c r="Z24" s="1">
        <f>IFERROR(IF($Q$1=$P$3,INDEX(prem_analysis!$P$2:$Q$441,ROWS(Data!$P$2:Y24),COLUMNS(Data!$P$3:X25)),IF($Q$1=$P$5,INDEX(prem_analysis!$BH$1:$BS$23,ROWS(Data!$Q$3:Y25),COLUMNS(Data!$Q$3:Y25)),IF($Q$1=$P$6,INDEX(prem_analysis!$BU$1:$CF$67,ROWS(prem_analysis!$N$2:V24),COLUMNS(prem_analysis!$N$2:V24)),IF($Q$1=$P$4,INDEX(Table24[[#All],[Year]:[Details]],ROWS(prem_analysis!$M$420:U442),COLUMNS(Data!$Q$3:Y25)))))),"")</f>
        <v>26</v>
      </c>
      <c r="AA24" s="1">
        <f>IFERROR(IF($Q$1=$P$3,INDEX(prem_analysis!$P$2:$Q$441,ROWS(Data!$P$2:Z24),COLUMNS(Data!$P$3:Y25)),IF($Q$1=$P$5,INDEX(prem_analysis!$BH$1:$BS$23,ROWS(Data!$Q$3:Z25),COLUMNS(Data!$Q$3:Z25)),IF($Q$1=$P$6,INDEX(prem_analysis!$BU$1:$CF$67,ROWS(prem_analysis!$N$2:W24),COLUMNS(prem_analysis!$N$2:W24)),IF($Q$1=$P$4,INDEX(Table24[[#All],[Year]:[Details]],ROWS(prem_analysis!$M$420:V442),COLUMNS(Data!$Q$3:Z25)))))),"")</f>
        <v>73</v>
      </c>
      <c r="AB24" s="1">
        <f>IFERROR(IF($Q$1=$P$3,INDEX(prem_analysis!$P$2:$Q$441,ROWS(Data!$P$2:AA24),COLUMNS(Data!$P$3:Z25)),IF($Q$1=$P$5,INDEX(prem_analysis!$BH$1:$BS$23,ROWS(Data!$Q$3:AA25),COLUMNS(Data!$Q$3:AA25)),IF($Q$1=$P$6,INDEX(prem_analysis!$BU$1:$CF$67,ROWS(prem_analysis!$N$2:X24),COLUMNS(prem_analysis!$N$2:X24)),IF($Q$1=$P$4,INDEX(Table24[[#All],[Year]:[Details]],ROWS(prem_analysis!$M$420:W442),COLUMNS(Data!$Q$3:AA25)))))),"")</f>
        <v>93</v>
      </c>
      <c r="AC24" s="1">
        <f>IFERROR(IF($Q$1=$P$3,INDEX(prem_analysis!$P$2:$Q$441,ROWS(Data!$P$2:AB24),COLUMNS(Data!$P$3:AA25)),IF($Q$1=$P$5,INDEX(prem_analysis!$BH$1:$BS$23,ROWS(Data!$Q$3:AB25),COLUMNS(Data!$Q$3:AB25)),IF($Q$1=$P$6,INDEX(prem_analysis!$BU$1:$CF$67,ROWS(prem_analysis!$N$2:Y24),COLUMNS(prem_analysis!$N$2:Y24)),IF($Q$1=$P$4,INDEX(Table24[[#All],[Year]:[Details]],ROWS(prem_analysis!$M$420:X442),COLUMNS(Data!$Q$3:AB25)))))),"")</f>
        <v>0.76315789473684215</v>
      </c>
    </row>
    <row r="25" spans="1:29" x14ac:dyDescent="0.2">
      <c r="A25" s="5">
        <v>2001</v>
      </c>
      <c r="B25" s="5">
        <v>4</v>
      </c>
      <c r="C25" s="6" t="s">
        <v>21</v>
      </c>
      <c r="D25" s="5">
        <v>38</v>
      </c>
      <c r="E25" s="5">
        <v>21</v>
      </c>
      <c r="F25" s="5">
        <v>8</v>
      </c>
      <c r="G25" s="5">
        <v>9</v>
      </c>
      <c r="H25" s="5">
        <v>74</v>
      </c>
      <c r="I25" s="5">
        <v>52</v>
      </c>
      <c r="J25" s="5">
        <v>22</v>
      </c>
      <c r="K25" s="5">
        <v>71</v>
      </c>
      <c r="L25" s="5">
        <f>IF(Table24[[#This Row],['#]]=1,"Champion", IF(Table24[[#This Row],['#]]&gt;=18,"Relegated",Table24[[#This Row],['#]]))</f>
        <v>4</v>
      </c>
      <c r="M25" s="5" t="str">
        <f>IF(Table24[[#This Row],[Details]]=2,K24-Table24[[#This Row],[Pts]],IF(Table24[[#This Row],[Details]]=17,Table24[[#This Row],[Pts]]-K26,""))</f>
        <v/>
      </c>
      <c r="R25" s="1" t="str">
        <f>IFERROR(IF($Q$1=$P$3,INDEX(prem_analysis!$P$2:$Q$441,ROWS(Data!$P$2:Q25),COLUMNS(Data!$P$3:P26)),IF($Q$1=$P$5,INDEX(prem_analysis!$BH$1:$BS$23,ROWS(Data!$Q$3:Q26),COLUMNS(Data!$Q$3:Q26)),IF($Q$1=$P$6,INDEX(prem_analysis!$BU$1:$CF$67,ROWS(prem_analysis!$N$2:N25),COLUMNS(prem_analysis!$N$2:N25)),IF($Q$1=$P$4,INDEX(Table24[[#All],[Year]:[Details]],ROWS(prem_analysis!$M$420:M443),COLUMNS(Data!$Q$3:Q26)))))),"")</f>
        <v/>
      </c>
      <c r="S25" s="1" t="str">
        <f>IFERROR(IF($Q$1=$P$3,INDEX(prem_analysis!$P$2:$Q$441,ROWS(Data!$P$2:R25),COLUMNS(Data!$P$3:Q26)),IF($Q$1=$P$5,INDEX(prem_analysis!$BH$1:$BS$23,ROWS(Data!$Q$3:R26),COLUMNS(Data!$Q$3:R26)),IF($Q$1=$P$6,INDEX(prem_analysis!$BU$1:$CF$67,ROWS(prem_analysis!$N$2:O25),COLUMNS(prem_analysis!$N$2:O25)),IF($Q$1=$P$4,INDEX(Table24[[#All],[Year]:[Details]],ROWS(prem_analysis!$M$420:N443),COLUMNS(Data!$Q$3:R26)))))),"")</f>
        <v/>
      </c>
      <c r="T25" s="1" t="str">
        <f>IFERROR(IF($Q$1=$P$3,INDEX(prem_analysis!$P$2:$Q$441,ROWS(Data!$P$2:S25),COLUMNS(Data!$P$3:R26)),IF($Q$1=$P$5,INDEX(prem_analysis!$BH$1:$BS$23,ROWS(Data!$Q$3:S26),COLUMNS(Data!$Q$3:S26)),IF($Q$1=$P$6,INDEX(prem_analysis!$BU$1:$CF$67,ROWS(prem_analysis!$N$2:P25),COLUMNS(prem_analysis!$N$2:P25)),IF($Q$1=$P$4,INDEX(Table24[[#All],[Year]:[Details]],ROWS(prem_analysis!$M$420:O443),COLUMNS(Data!$Q$3:S26)))))),"")</f>
        <v/>
      </c>
      <c r="U25" s="1" t="str">
        <f>IFERROR(IF($Q$1=$P$3,INDEX(prem_analysis!$P$2:$Q$441,ROWS(Data!$P$2:T25),COLUMNS(Data!$P$3:S26)),IF($Q$1=$P$5,INDEX(prem_analysis!$BH$1:$BS$23,ROWS(Data!$Q$3:T26),COLUMNS(Data!$Q$3:T26)),IF($Q$1=$P$6,INDEX(prem_analysis!$BU$1:$CF$67,ROWS(prem_analysis!$N$2:Q25),COLUMNS(prem_analysis!$N$2:Q25)),IF($Q$1=$P$4,INDEX(Table24[[#All],[Year]:[Details]],ROWS(prem_analysis!$M$420:P443),COLUMNS(Data!$Q$3:T26)))))),"")</f>
        <v/>
      </c>
      <c r="V25" s="1" t="str">
        <f>IFERROR(IF($Q$1=$P$3,INDEX(prem_analysis!$P$2:$Q$441,ROWS(Data!$P$2:U25),COLUMNS(Data!$P$3:T26)),IF($Q$1=$P$5,INDEX(prem_analysis!$BH$1:$BS$23,ROWS(Data!$Q$3:U26),COLUMNS(Data!$Q$3:U26)),IF($Q$1=$P$6,INDEX(prem_analysis!$BU$1:$CF$67,ROWS(prem_analysis!$N$2:R25),COLUMNS(prem_analysis!$N$2:R25)),IF($Q$1=$P$4,INDEX(Table24[[#All],[Year]:[Details]],ROWS(prem_analysis!$M$420:Q443),COLUMNS(Data!$Q$3:U26)))))),"")</f>
        <v/>
      </c>
      <c r="W25" s="1" t="str">
        <f>IFERROR(IF($Q$1=$P$3,INDEX(prem_analysis!$P$2:$Q$441,ROWS(Data!$P$2:V25),COLUMNS(Data!$P$3:U26)),IF($Q$1=$P$5,INDEX(prem_analysis!$BH$1:$BS$23,ROWS(Data!$Q$3:V26),COLUMNS(Data!$Q$3:V26)),IF($Q$1=$P$6,INDEX(prem_analysis!$BU$1:$CF$67,ROWS(prem_analysis!$N$2:S25),COLUMNS(prem_analysis!$N$2:S25)),IF($Q$1=$P$4,INDEX(Table24[[#All],[Year]:[Details]],ROWS(prem_analysis!$M$420:R443),COLUMNS(Data!$Q$3:V26)))))),"")</f>
        <v/>
      </c>
      <c r="X25" s="1" t="str">
        <f>IFERROR(IF($Q$1=$P$3,INDEX(prem_analysis!$P$2:$Q$441,ROWS(Data!$P$2:W25),COLUMNS(Data!$P$3:V26)),IF($Q$1=$P$5,INDEX(prem_analysis!$BH$1:$BS$23,ROWS(Data!$Q$3:W26),COLUMNS(Data!$Q$3:W26)),IF($Q$1=$P$6,INDEX(prem_analysis!$BU$1:$CF$67,ROWS(prem_analysis!$N$2:T25),COLUMNS(prem_analysis!$N$2:T25)),IF($Q$1=$P$4,INDEX(Table24[[#All],[Year]:[Details]],ROWS(prem_analysis!$M$420:S443),COLUMNS(Data!$Q$3:W26)))))),"")</f>
        <v/>
      </c>
      <c r="Y25" s="1" t="str">
        <f>IFERROR(IF($Q$1=$P$3,INDEX(prem_analysis!$P$2:$Q$441,ROWS(Data!$P$2:X25),COLUMNS(Data!$P$3:W26)),IF($Q$1=$P$5,INDEX(prem_analysis!$BH$1:$BS$23,ROWS(Data!$Q$3:X26),COLUMNS(Data!$Q$3:X26)),IF($Q$1=$P$6,INDEX(prem_analysis!$BU$1:$CF$67,ROWS(prem_analysis!$N$2:U25),COLUMNS(prem_analysis!$N$2:U25)),IF($Q$1=$P$4,INDEX(Table24[[#All],[Year]:[Details]],ROWS(prem_analysis!$M$420:T443),COLUMNS(Data!$Q$3:X26)))))),"")</f>
        <v/>
      </c>
      <c r="Z25" s="1" t="str">
        <f>IFERROR(IF($Q$1=$P$3,INDEX(prem_analysis!$P$2:$Q$441,ROWS(Data!$P$2:Y25),COLUMNS(Data!$P$3:X26)),IF($Q$1=$P$5,INDEX(prem_analysis!$BH$1:$BS$23,ROWS(Data!$Q$3:Y26),COLUMNS(Data!$Q$3:Y26)),IF($Q$1=$P$6,INDEX(prem_analysis!$BU$1:$CF$67,ROWS(prem_analysis!$N$2:V25),COLUMNS(prem_analysis!$N$2:V25)),IF($Q$1=$P$4,INDEX(Table24[[#All],[Year]:[Details]],ROWS(prem_analysis!$M$420:U443),COLUMNS(Data!$Q$3:Y26)))))),"")</f>
        <v/>
      </c>
      <c r="AA25" s="1" t="str">
        <f>IFERROR(IF($Q$1=$P$3,INDEX(prem_analysis!$P$2:$Q$441,ROWS(Data!$P$2:Z25),COLUMNS(Data!$P$3:Y26)),IF($Q$1=$P$5,INDEX(prem_analysis!$BH$1:$BS$23,ROWS(Data!$Q$3:Z26),COLUMNS(Data!$Q$3:Z26)),IF($Q$1=$P$6,INDEX(prem_analysis!$BU$1:$CF$67,ROWS(prem_analysis!$N$2:W25),COLUMNS(prem_analysis!$N$2:W25)),IF($Q$1=$P$4,INDEX(Table24[[#All],[Year]:[Details]],ROWS(prem_analysis!$M$420:V443),COLUMNS(Data!$Q$3:Z26)))))),"")</f>
        <v/>
      </c>
      <c r="AB25" s="1" t="str">
        <f>IFERROR(IF($Q$1=$P$3,INDEX(prem_analysis!$P$2:$Q$441,ROWS(Data!$P$2:AA25),COLUMNS(Data!$P$3:Z26)),IF($Q$1=$P$5,INDEX(prem_analysis!$BH$1:$BS$23,ROWS(Data!$Q$3:AA26),COLUMNS(Data!$Q$3:AA26)),IF($Q$1=$P$6,INDEX(prem_analysis!$BU$1:$CF$67,ROWS(prem_analysis!$N$2:X25),COLUMNS(prem_analysis!$N$2:X25)),IF($Q$1=$P$4,INDEX(Table24[[#All],[Year]:[Details]],ROWS(prem_analysis!$M$420:W443),COLUMNS(Data!$Q$3:AA26)))))),"")</f>
        <v/>
      </c>
      <c r="AC25" s="1" t="str">
        <f>IFERROR(IF($Q$1=$P$3,INDEX(prem_analysis!$P$2:$Q$441,ROWS(Data!$P$2:AB25),COLUMNS(Data!$P$3:AA26)),IF($Q$1=$P$5,INDEX(prem_analysis!$BH$1:$BS$23,ROWS(Data!$Q$3:AB26),COLUMNS(Data!$Q$3:AB26)),IF($Q$1=$P$6,INDEX(prem_analysis!$BU$1:$CF$67,ROWS(prem_analysis!$N$2:Y25),COLUMNS(prem_analysis!$N$2:Y25)),IF($Q$1=$P$4,INDEX(Table24[[#All],[Year]:[Details]],ROWS(prem_analysis!$M$420:X443),COLUMNS(Data!$Q$3:AB26)))))),"")</f>
        <v/>
      </c>
    </row>
    <row r="26" spans="1:29" x14ac:dyDescent="0.2">
      <c r="A26" s="3">
        <v>2001</v>
      </c>
      <c r="B26" s="3">
        <v>5</v>
      </c>
      <c r="C26" s="4" t="s">
        <v>14</v>
      </c>
      <c r="D26" s="3">
        <v>38</v>
      </c>
      <c r="E26" s="3">
        <v>18</v>
      </c>
      <c r="F26" s="3">
        <v>12</v>
      </c>
      <c r="G26" s="3">
        <v>8</v>
      </c>
      <c r="H26" s="3">
        <v>53</v>
      </c>
      <c r="I26" s="3">
        <v>37</v>
      </c>
      <c r="J26" s="3">
        <v>16</v>
      </c>
      <c r="K26" s="3">
        <v>66</v>
      </c>
      <c r="L26" s="5">
        <f>IF(Table24[[#This Row],['#]]=1,"Champion", IF(Table24[[#This Row],['#]]&gt;=18,"Relegated",Table24[[#This Row],['#]]))</f>
        <v>5</v>
      </c>
      <c r="M26" s="5" t="str">
        <f>IF(Table24[[#This Row],[Details]]=2,K25-Table24[[#This Row],[Pts]],IF(Table24[[#This Row],[Details]]=17,Table24[[#This Row],[Pts]]-K27,""))</f>
        <v/>
      </c>
      <c r="R26" s="1" t="str">
        <f>IFERROR(IF($Q$1=$P$3,INDEX(prem_analysis!$P$2:$Q$441,ROWS(Data!$P$2:Q26),COLUMNS(Data!$P$3:P27)),IF($Q$1=$P$5,INDEX(prem_analysis!$BH$1:$BS$23,ROWS(Data!$Q$3:Q27),COLUMNS(Data!$Q$3:Q27)),IF($Q$1=$P$6,INDEX(prem_analysis!$BU$1:$CF$67,ROWS(prem_analysis!$N$2:N26),COLUMNS(prem_analysis!$N$2:N26)),IF($Q$1=$P$4,INDEX(Table24[[#All],[Year]:[Details]],ROWS(prem_analysis!$M$420:M444),COLUMNS(Data!$Q$3:Q27)))))),"")</f>
        <v/>
      </c>
      <c r="S26" s="1" t="str">
        <f>IFERROR(IF($Q$1=$P$3,INDEX(prem_analysis!$P$2:$Q$441,ROWS(Data!$P$2:R26),COLUMNS(Data!$P$3:Q27)),IF($Q$1=$P$5,INDEX(prem_analysis!$BH$1:$BS$23,ROWS(Data!$Q$3:R27),COLUMNS(Data!$Q$3:R27)),IF($Q$1=$P$6,INDEX(prem_analysis!$BU$1:$CF$67,ROWS(prem_analysis!$N$2:O26),COLUMNS(prem_analysis!$N$2:O26)),IF($Q$1=$P$4,INDEX(Table24[[#All],[Year]:[Details]],ROWS(prem_analysis!$M$420:N444),COLUMNS(Data!$Q$3:R27)))))),"")</f>
        <v/>
      </c>
      <c r="T26" s="1" t="str">
        <f>IFERROR(IF($Q$1=$P$3,INDEX(prem_analysis!$P$2:$Q$441,ROWS(Data!$P$2:S26),COLUMNS(Data!$P$3:R27)),IF($Q$1=$P$5,INDEX(prem_analysis!$BH$1:$BS$23,ROWS(Data!$Q$3:S27),COLUMNS(Data!$Q$3:S27)),IF($Q$1=$P$6,INDEX(prem_analysis!$BU$1:$CF$67,ROWS(prem_analysis!$N$2:P26),COLUMNS(prem_analysis!$N$2:P26)),IF($Q$1=$P$4,INDEX(Table24[[#All],[Year]:[Details]],ROWS(prem_analysis!$M$420:O444),COLUMNS(Data!$Q$3:S27)))))),"")</f>
        <v/>
      </c>
      <c r="U26" s="1" t="str">
        <f>IFERROR(IF($Q$1=$P$3,INDEX(prem_analysis!$P$2:$Q$441,ROWS(Data!$P$2:T26),COLUMNS(Data!$P$3:S27)),IF($Q$1=$P$5,INDEX(prem_analysis!$BH$1:$BS$23,ROWS(Data!$Q$3:T27),COLUMNS(Data!$Q$3:T27)),IF($Q$1=$P$6,INDEX(prem_analysis!$BU$1:$CF$67,ROWS(prem_analysis!$N$2:Q26),COLUMNS(prem_analysis!$N$2:Q26)),IF($Q$1=$P$4,INDEX(Table24[[#All],[Year]:[Details]],ROWS(prem_analysis!$M$420:P444),COLUMNS(Data!$Q$3:T27)))))),"")</f>
        <v/>
      </c>
      <c r="V26" s="1" t="str">
        <f>IFERROR(IF($Q$1=$P$3,INDEX(prem_analysis!$P$2:$Q$441,ROWS(Data!$P$2:U26),COLUMNS(Data!$P$3:T27)),IF($Q$1=$P$5,INDEX(prem_analysis!$BH$1:$BS$23,ROWS(Data!$Q$3:U27),COLUMNS(Data!$Q$3:U27)),IF($Q$1=$P$6,INDEX(prem_analysis!$BU$1:$CF$67,ROWS(prem_analysis!$N$2:R26),COLUMNS(prem_analysis!$N$2:R26)),IF($Q$1=$P$4,INDEX(Table24[[#All],[Year]:[Details]],ROWS(prem_analysis!$M$420:Q444),COLUMNS(Data!$Q$3:U27)))))),"")</f>
        <v/>
      </c>
      <c r="W26" s="1" t="str">
        <f>IFERROR(IF($Q$1=$P$3,INDEX(prem_analysis!$P$2:$Q$441,ROWS(Data!$P$2:V26),COLUMNS(Data!$P$3:U27)),IF($Q$1=$P$5,INDEX(prem_analysis!$BH$1:$BS$23,ROWS(Data!$Q$3:V27),COLUMNS(Data!$Q$3:V27)),IF($Q$1=$P$6,INDEX(prem_analysis!$BU$1:$CF$67,ROWS(prem_analysis!$N$2:S26),COLUMNS(prem_analysis!$N$2:S26)),IF($Q$1=$P$4,INDEX(Table24[[#All],[Year]:[Details]],ROWS(prem_analysis!$M$420:R444),COLUMNS(Data!$Q$3:V27)))))),"")</f>
        <v/>
      </c>
      <c r="X26" s="1" t="str">
        <f>IFERROR(IF($Q$1=$P$3,INDEX(prem_analysis!$P$2:$Q$441,ROWS(Data!$P$2:W26),COLUMNS(Data!$P$3:V27)),IF($Q$1=$P$5,INDEX(prem_analysis!$BH$1:$BS$23,ROWS(Data!$Q$3:W27),COLUMNS(Data!$Q$3:W27)),IF($Q$1=$P$6,INDEX(prem_analysis!$BU$1:$CF$67,ROWS(prem_analysis!$N$2:T26),COLUMNS(prem_analysis!$N$2:T26)),IF($Q$1=$P$4,INDEX(Table24[[#All],[Year]:[Details]],ROWS(prem_analysis!$M$420:S444),COLUMNS(Data!$Q$3:W27)))))),"")</f>
        <v/>
      </c>
      <c r="Y26" s="1" t="str">
        <f>IFERROR(IF($Q$1=$P$3,INDEX(prem_analysis!$P$2:$Q$441,ROWS(Data!$P$2:X26),COLUMNS(Data!$P$3:W27)),IF($Q$1=$P$5,INDEX(prem_analysis!$BH$1:$BS$23,ROWS(Data!$Q$3:X27),COLUMNS(Data!$Q$3:X27)),IF($Q$1=$P$6,INDEX(prem_analysis!$BU$1:$CF$67,ROWS(prem_analysis!$N$2:U26),COLUMNS(prem_analysis!$N$2:U26)),IF($Q$1=$P$4,INDEX(Table24[[#All],[Year]:[Details]],ROWS(prem_analysis!$M$420:T444),COLUMNS(Data!$Q$3:X27)))))),"")</f>
        <v/>
      </c>
      <c r="Z26" s="1" t="str">
        <f>IFERROR(IF($Q$1=$P$3,INDEX(prem_analysis!$P$2:$Q$441,ROWS(Data!$P$2:Y26),COLUMNS(Data!$P$3:X27)),IF($Q$1=$P$5,INDEX(prem_analysis!$BH$1:$BS$23,ROWS(Data!$Q$3:Y27),COLUMNS(Data!$Q$3:Y27)),IF($Q$1=$P$6,INDEX(prem_analysis!$BU$1:$CF$67,ROWS(prem_analysis!$N$2:V26),COLUMNS(prem_analysis!$N$2:V26)),IF($Q$1=$P$4,INDEX(Table24[[#All],[Year]:[Details]],ROWS(prem_analysis!$M$420:U444),COLUMNS(Data!$Q$3:Y27)))))),"")</f>
        <v/>
      </c>
      <c r="AA26" s="1" t="str">
        <f>IFERROR(IF($Q$1=$P$3,INDEX(prem_analysis!$P$2:$Q$441,ROWS(Data!$P$2:Z26),COLUMNS(Data!$P$3:Y27)),IF($Q$1=$P$5,INDEX(prem_analysis!$BH$1:$BS$23,ROWS(Data!$Q$3:Z27),COLUMNS(Data!$Q$3:Z27)),IF($Q$1=$P$6,INDEX(prem_analysis!$BU$1:$CF$67,ROWS(prem_analysis!$N$2:W26),COLUMNS(prem_analysis!$N$2:W26)),IF($Q$1=$P$4,INDEX(Table24[[#All],[Year]:[Details]],ROWS(prem_analysis!$M$420:V444),COLUMNS(Data!$Q$3:Z27)))))),"")</f>
        <v/>
      </c>
      <c r="AB26" s="1" t="str">
        <f>IFERROR(IF($Q$1=$P$3,INDEX(prem_analysis!$P$2:$Q$441,ROWS(Data!$P$2:AA26),COLUMNS(Data!$P$3:Z27)),IF($Q$1=$P$5,INDEX(prem_analysis!$BH$1:$BS$23,ROWS(Data!$Q$3:AA27),COLUMNS(Data!$Q$3:AA27)),IF($Q$1=$P$6,INDEX(prem_analysis!$BU$1:$CF$67,ROWS(prem_analysis!$N$2:X26),COLUMNS(prem_analysis!$N$2:X26)),IF($Q$1=$P$4,INDEX(Table24[[#All],[Year]:[Details]],ROWS(prem_analysis!$M$420:W444),COLUMNS(Data!$Q$3:AA27)))))),"")</f>
        <v/>
      </c>
      <c r="AC26" s="1" t="str">
        <f>IFERROR(IF($Q$1=$P$3,INDEX(prem_analysis!$P$2:$Q$441,ROWS(Data!$P$2:AB26),COLUMNS(Data!$P$3:AA27)),IF($Q$1=$P$5,INDEX(prem_analysis!$BH$1:$BS$23,ROWS(Data!$Q$3:AB27),COLUMNS(Data!$Q$3:AB27)),IF($Q$1=$P$6,INDEX(prem_analysis!$BU$1:$CF$67,ROWS(prem_analysis!$N$2:Y26),COLUMNS(prem_analysis!$N$2:Y26)),IF($Q$1=$P$4,INDEX(Table24[[#All],[Year]:[Details]],ROWS(prem_analysis!$M$420:X444),COLUMNS(Data!$Q$3:AB27)))))),"")</f>
        <v/>
      </c>
    </row>
    <row r="27" spans="1:29" x14ac:dyDescent="0.2">
      <c r="A27" s="5">
        <v>2001</v>
      </c>
      <c r="B27" s="5">
        <v>6</v>
      </c>
      <c r="C27" s="6" t="s">
        <v>16</v>
      </c>
      <c r="D27" s="5">
        <v>38</v>
      </c>
      <c r="E27" s="5">
        <v>17</v>
      </c>
      <c r="F27" s="5">
        <v>13</v>
      </c>
      <c r="G27" s="5">
        <v>8</v>
      </c>
      <c r="H27" s="5">
        <v>66</v>
      </c>
      <c r="I27" s="5">
        <v>38</v>
      </c>
      <c r="J27" s="5">
        <v>28</v>
      </c>
      <c r="K27" s="5">
        <v>64</v>
      </c>
      <c r="L27" s="5">
        <f>IF(Table24[[#This Row],['#]]=1,"Champion", IF(Table24[[#This Row],['#]]&gt;=18,"Relegated",Table24[[#This Row],['#]]))</f>
        <v>6</v>
      </c>
      <c r="M27" s="5" t="str">
        <f>IF(Table24[[#This Row],[Details]]=2,K26-Table24[[#This Row],[Pts]],IF(Table24[[#This Row],[Details]]=17,Table24[[#This Row],[Pts]]-K28,""))</f>
        <v/>
      </c>
      <c r="R27" s="1" t="str">
        <f>IFERROR(IF($Q$1=$P$3,INDEX(prem_analysis!$P$2:$Q$441,ROWS(Data!$P$2:Q27),COLUMNS(Data!$P$3:P28)),IF($Q$1=$P$5,INDEX(prem_analysis!$BH$1:$BS$23,ROWS(Data!$Q$3:Q28),COLUMNS(Data!$Q$3:Q28)),IF($Q$1=$P$6,INDEX(prem_analysis!$BU$1:$CF$67,ROWS(prem_analysis!$N$2:N27),COLUMNS(prem_analysis!$N$2:N27)),IF($Q$1=$P$4,INDEX(Table24[[#All],[Year]:[Details]],ROWS(prem_analysis!$M$420:M445),COLUMNS(Data!$Q$3:Q28)))))),"")</f>
        <v/>
      </c>
      <c r="S27" s="1" t="str">
        <f>IFERROR(IF($Q$1=$P$3,INDEX(prem_analysis!$P$2:$Q$441,ROWS(Data!$P$2:R27),COLUMNS(Data!$P$3:Q28)),IF($Q$1=$P$5,INDEX(prem_analysis!$BH$1:$BS$23,ROWS(Data!$Q$3:R28),COLUMNS(Data!$Q$3:R28)),IF($Q$1=$P$6,INDEX(prem_analysis!$BU$1:$CF$67,ROWS(prem_analysis!$N$2:O27),COLUMNS(prem_analysis!$N$2:O27)),IF($Q$1=$P$4,INDEX(Table24[[#All],[Year]:[Details]],ROWS(prem_analysis!$M$420:N445),COLUMNS(Data!$Q$3:R28)))))),"")</f>
        <v/>
      </c>
      <c r="T27" s="1" t="str">
        <f>IFERROR(IF($Q$1=$P$3,INDEX(prem_analysis!$P$2:$Q$441,ROWS(Data!$P$2:S27),COLUMNS(Data!$P$3:R28)),IF($Q$1=$P$5,INDEX(prem_analysis!$BH$1:$BS$23,ROWS(Data!$Q$3:S28),COLUMNS(Data!$Q$3:S28)),IF($Q$1=$P$6,INDEX(prem_analysis!$BU$1:$CF$67,ROWS(prem_analysis!$N$2:P27),COLUMNS(prem_analysis!$N$2:P27)),IF($Q$1=$P$4,INDEX(Table24[[#All],[Year]:[Details]],ROWS(prem_analysis!$M$420:O445),COLUMNS(Data!$Q$3:S28)))))),"")</f>
        <v/>
      </c>
      <c r="U27" s="1" t="str">
        <f>IFERROR(IF($Q$1=$P$3,INDEX(prem_analysis!$P$2:$Q$441,ROWS(Data!$P$2:T27),COLUMNS(Data!$P$3:S28)),IF($Q$1=$P$5,INDEX(prem_analysis!$BH$1:$BS$23,ROWS(Data!$Q$3:T28),COLUMNS(Data!$Q$3:T28)),IF($Q$1=$P$6,INDEX(prem_analysis!$BU$1:$CF$67,ROWS(prem_analysis!$N$2:Q27),COLUMNS(prem_analysis!$N$2:Q27)),IF($Q$1=$P$4,INDEX(Table24[[#All],[Year]:[Details]],ROWS(prem_analysis!$M$420:P445),COLUMNS(Data!$Q$3:T28)))))),"")</f>
        <v/>
      </c>
      <c r="V27" s="1" t="str">
        <f>IFERROR(IF($Q$1=$P$3,INDEX(prem_analysis!$P$2:$Q$441,ROWS(Data!$P$2:U27),COLUMNS(Data!$P$3:T28)),IF($Q$1=$P$5,INDEX(prem_analysis!$BH$1:$BS$23,ROWS(Data!$Q$3:U28),COLUMNS(Data!$Q$3:U28)),IF($Q$1=$P$6,INDEX(prem_analysis!$BU$1:$CF$67,ROWS(prem_analysis!$N$2:R27),COLUMNS(prem_analysis!$N$2:R27)),IF($Q$1=$P$4,INDEX(Table24[[#All],[Year]:[Details]],ROWS(prem_analysis!$M$420:Q445),COLUMNS(Data!$Q$3:U28)))))),"")</f>
        <v/>
      </c>
      <c r="W27" s="1" t="str">
        <f>IFERROR(IF($Q$1=$P$3,INDEX(prem_analysis!$P$2:$Q$441,ROWS(Data!$P$2:V27),COLUMNS(Data!$P$3:U28)),IF($Q$1=$P$5,INDEX(prem_analysis!$BH$1:$BS$23,ROWS(Data!$Q$3:V28),COLUMNS(Data!$Q$3:V28)),IF($Q$1=$P$6,INDEX(prem_analysis!$BU$1:$CF$67,ROWS(prem_analysis!$N$2:S27),COLUMNS(prem_analysis!$N$2:S27)),IF($Q$1=$P$4,INDEX(Table24[[#All],[Year]:[Details]],ROWS(prem_analysis!$M$420:R445),COLUMNS(Data!$Q$3:V28)))))),"")</f>
        <v/>
      </c>
      <c r="X27" s="1" t="str">
        <f>IFERROR(IF($Q$1=$P$3,INDEX(prem_analysis!$P$2:$Q$441,ROWS(Data!$P$2:W27),COLUMNS(Data!$P$3:V28)),IF($Q$1=$P$5,INDEX(prem_analysis!$BH$1:$BS$23,ROWS(Data!$Q$3:W28),COLUMNS(Data!$Q$3:W28)),IF($Q$1=$P$6,INDEX(prem_analysis!$BU$1:$CF$67,ROWS(prem_analysis!$N$2:T27),COLUMNS(prem_analysis!$N$2:T27)),IF($Q$1=$P$4,INDEX(Table24[[#All],[Year]:[Details]],ROWS(prem_analysis!$M$420:S445),COLUMNS(Data!$Q$3:W28)))))),"")</f>
        <v/>
      </c>
      <c r="Y27" s="1" t="str">
        <f>IFERROR(IF($Q$1=$P$3,INDEX(prem_analysis!$P$2:$Q$441,ROWS(Data!$P$2:X27),COLUMNS(Data!$P$3:W28)),IF($Q$1=$P$5,INDEX(prem_analysis!$BH$1:$BS$23,ROWS(Data!$Q$3:X28),COLUMNS(Data!$Q$3:X28)),IF($Q$1=$P$6,INDEX(prem_analysis!$BU$1:$CF$67,ROWS(prem_analysis!$N$2:U27),COLUMNS(prem_analysis!$N$2:U27)),IF($Q$1=$P$4,INDEX(Table24[[#All],[Year]:[Details]],ROWS(prem_analysis!$M$420:T445),COLUMNS(Data!$Q$3:X28)))))),"")</f>
        <v/>
      </c>
      <c r="Z27" s="1" t="str">
        <f>IFERROR(IF($Q$1=$P$3,INDEX(prem_analysis!$P$2:$Q$441,ROWS(Data!$P$2:Y27),COLUMNS(Data!$P$3:X28)),IF($Q$1=$P$5,INDEX(prem_analysis!$BH$1:$BS$23,ROWS(Data!$Q$3:Y28),COLUMNS(Data!$Q$3:Y28)),IF($Q$1=$P$6,INDEX(prem_analysis!$BU$1:$CF$67,ROWS(prem_analysis!$N$2:V27),COLUMNS(prem_analysis!$N$2:V27)),IF($Q$1=$P$4,INDEX(Table24[[#All],[Year]:[Details]],ROWS(prem_analysis!$M$420:U445),COLUMNS(Data!$Q$3:Y28)))))),"")</f>
        <v/>
      </c>
      <c r="AA27" s="1" t="str">
        <f>IFERROR(IF($Q$1=$P$3,INDEX(prem_analysis!$P$2:$Q$441,ROWS(Data!$P$2:Z27),COLUMNS(Data!$P$3:Y28)),IF($Q$1=$P$5,INDEX(prem_analysis!$BH$1:$BS$23,ROWS(Data!$Q$3:Z28),COLUMNS(Data!$Q$3:Z28)),IF($Q$1=$P$6,INDEX(prem_analysis!$BU$1:$CF$67,ROWS(prem_analysis!$N$2:W27),COLUMNS(prem_analysis!$N$2:W27)),IF($Q$1=$P$4,INDEX(Table24[[#All],[Year]:[Details]],ROWS(prem_analysis!$M$420:V445),COLUMNS(Data!$Q$3:Z28)))))),"")</f>
        <v/>
      </c>
      <c r="AB27" s="1" t="str">
        <f>IFERROR(IF($Q$1=$P$3,INDEX(prem_analysis!$P$2:$Q$441,ROWS(Data!$P$2:AA27),COLUMNS(Data!$P$3:Z28)),IF($Q$1=$P$5,INDEX(prem_analysis!$BH$1:$BS$23,ROWS(Data!$Q$3:AA28),COLUMNS(Data!$Q$3:AA28)),IF($Q$1=$P$6,INDEX(prem_analysis!$BU$1:$CF$67,ROWS(prem_analysis!$N$2:X27),COLUMNS(prem_analysis!$N$2:X27)),IF($Q$1=$P$4,INDEX(Table24[[#All],[Year]:[Details]],ROWS(prem_analysis!$M$420:W445),COLUMNS(Data!$Q$3:AA28)))))),"")</f>
        <v/>
      </c>
      <c r="AC27" s="1" t="str">
        <f>IFERROR(IF($Q$1=$P$3,INDEX(prem_analysis!$P$2:$Q$441,ROWS(Data!$P$2:AB27),COLUMNS(Data!$P$3:AA28)),IF($Q$1=$P$5,INDEX(prem_analysis!$BH$1:$BS$23,ROWS(Data!$Q$3:AB28),COLUMNS(Data!$Q$3:AB28)),IF($Q$1=$P$6,INDEX(prem_analysis!$BU$1:$CF$67,ROWS(prem_analysis!$N$2:Y27),COLUMNS(prem_analysis!$N$2:Y27)),IF($Q$1=$P$4,INDEX(Table24[[#All],[Year]:[Details]],ROWS(prem_analysis!$M$420:X445),COLUMNS(Data!$Q$3:AB28)))))),"")</f>
        <v/>
      </c>
    </row>
    <row r="28" spans="1:29" x14ac:dyDescent="0.2">
      <c r="A28" s="3">
        <v>2001</v>
      </c>
      <c r="B28" s="3">
        <v>7</v>
      </c>
      <c r="C28" s="4" t="s">
        <v>25</v>
      </c>
      <c r="D28" s="3">
        <v>38</v>
      </c>
      <c r="E28" s="3">
        <v>15</v>
      </c>
      <c r="F28" s="3">
        <v>8</v>
      </c>
      <c r="G28" s="3">
        <v>15</v>
      </c>
      <c r="H28" s="3">
        <v>48</v>
      </c>
      <c r="I28" s="3">
        <v>57</v>
      </c>
      <c r="J28" s="3">
        <v>-9</v>
      </c>
      <c r="K28" s="3">
        <v>53</v>
      </c>
      <c r="L28" s="5">
        <f>IF(Table24[[#This Row],['#]]=1,"Champion", IF(Table24[[#This Row],['#]]&gt;=18,"Relegated",Table24[[#This Row],['#]]))</f>
        <v>7</v>
      </c>
      <c r="M28" s="5" t="str">
        <f>IF(Table24[[#This Row],[Details]]=2,K27-Table24[[#This Row],[Pts]],IF(Table24[[#This Row],[Details]]=17,Table24[[#This Row],[Pts]]-K29,""))</f>
        <v/>
      </c>
      <c r="R28" s="1" t="str">
        <f>IFERROR(IF($Q$1=$P$3,INDEX(prem_analysis!$P$2:$Q$441,ROWS(Data!$P$2:Q28),COLUMNS(Data!$P$3:P29)),IF($Q$1=$P$5,INDEX(prem_analysis!$BH$1:$BS$23,ROWS(Data!$Q$3:Q29),COLUMNS(Data!$Q$3:Q29)),IF($Q$1=$P$6,INDEX(prem_analysis!$BU$1:$CF$67,ROWS(prem_analysis!$N$2:N28),COLUMNS(prem_analysis!$N$2:N28)),IF($Q$1=$P$4,INDEX(Table24[[#All],[Year]:[Details]],ROWS(prem_analysis!$M$420:M446),COLUMNS(Data!$Q$3:Q29)))))),"")</f>
        <v/>
      </c>
      <c r="S28" s="1" t="str">
        <f>IFERROR(IF($Q$1=$P$3,INDEX(prem_analysis!$P$2:$Q$441,ROWS(Data!$P$2:R28),COLUMNS(Data!$P$3:Q29)),IF($Q$1=$P$5,INDEX(prem_analysis!$BH$1:$BS$23,ROWS(Data!$Q$3:R29),COLUMNS(Data!$Q$3:R29)),IF($Q$1=$P$6,INDEX(prem_analysis!$BU$1:$CF$67,ROWS(prem_analysis!$N$2:O28),COLUMNS(prem_analysis!$N$2:O28)),IF($Q$1=$P$4,INDEX(Table24[[#All],[Year]:[Details]],ROWS(prem_analysis!$M$420:N446),COLUMNS(Data!$Q$3:R29)))))),"")</f>
        <v/>
      </c>
      <c r="T28" s="1" t="str">
        <f>IFERROR(IF($Q$1=$P$3,INDEX(prem_analysis!$P$2:$Q$441,ROWS(Data!$P$2:S28),COLUMNS(Data!$P$3:R29)),IF($Q$1=$P$5,INDEX(prem_analysis!$BH$1:$BS$23,ROWS(Data!$Q$3:S29),COLUMNS(Data!$Q$3:S29)),IF($Q$1=$P$6,INDEX(prem_analysis!$BU$1:$CF$67,ROWS(prem_analysis!$N$2:P28),COLUMNS(prem_analysis!$N$2:P28)),IF($Q$1=$P$4,INDEX(Table24[[#All],[Year]:[Details]],ROWS(prem_analysis!$M$420:O446),COLUMNS(Data!$Q$3:S29)))))),"")</f>
        <v/>
      </c>
      <c r="U28" s="1" t="str">
        <f>IFERROR(IF($Q$1=$P$3,INDEX(prem_analysis!$P$2:$Q$441,ROWS(Data!$P$2:T28),COLUMNS(Data!$P$3:S29)),IF($Q$1=$P$5,INDEX(prem_analysis!$BH$1:$BS$23,ROWS(Data!$Q$3:T29),COLUMNS(Data!$Q$3:T29)),IF($Q$1=$P$6,INDEX(prem_analysis!$BU$1:$CF$67,ROWS(prem_analysis!$N$2:Q28),COLUMNS(prem_analysis!$N$2:Q28)),IF($Q$1=$P$4,INDEX(Table24[[#All],[Year]:[Details]],ROWS(prem_analysis!$M$420:P446),COLUMNS(Data!$Q$3:T29)))))),"")</f>
        <v/>
      </c>
      <c r="V28" s="1" t="str">
        <f>IFERROR(IF($Q$1=$P$3,INDEX(prem_analysis!$P$2:$Q$441,ROWS(Data!$P$2:U28),COLUMNS(Data!$P$3:T29)),IF($Q$1=$P$5,INDEX(prem_analysis!$BH$1:$BS$23,ROWS(Data!$Q$3:U29),COLUMNS(Data!$Q$3:U29)),IF($Q$1=$P$6,INDEX(prem_analysis!$BU$1:$CF$67,ROWS(prem_analysis!$N$2:R28),COLUMNS(prem_analysis!$N$2:R28)),IF($Q$1=$P$4,INDEX(Table24[[#All],[Year]:[Details]],ROWS(prem_analysis!$M$420:Q446),COLUMNS(Data!$Q$3:U29)))))),"")</f>
        <v/>
      </c>
      <c r="W28" s="1" t="str">
        <f>IFERROR(IF($Q$1=$P$3,INDEX(prem_analysis!$P$2:$Q$441,ROWS(Data!$P$2:V28),COLUMNS(Data!$P$3:U29)),IF($Q$1=$P$5,INDEX(prem_analysis!$BH$1:$BS$23,ROWS(Data!$Q$3:V29),COLUMNS(Data!$Q$3:V29)),IF($Q$1=$P$6,INDEX(prem_analysis!$BU$1:$CF$67,ROWS(prem_analysis!$N$2:S28),COLUMNS(prem_analysis!$N$2:S28)),IF($Q$1=$P$4,INDEX(Table24[[#All],[Year]:[Details]],ROWS(prem_analysis!$M$420:R446),COLUMNS(Data!$Q$3:V29)))))),"")</f>
        <v/>
      </c>
      <c r="X28" s="1" t="str">
        <f>IFERROR(IF($Q$1=$P$3,INDEX(prem_analysis!$P$2:$Q$441,ROWS(Data!$P$2:W28),COLUMNS(Data!$P$3:V29)),IF($Q$1=$P$5,INDEX(prem_analysis!$BH$1:$BS$23,ROWS(Data!$Q$3:W29),COLUMNS(Data!$Q$3:W29)),IF($Q$1=$P$6,INDEX(prem_analysis!$BU$1:$CF$67,ROWS(prem_analysis!$N$2:T28),COLUMNS(prem_analysis!$N$2:T28)),IF($Q$1=$P$4,INDEX(Table24[[#All],[Year]:[Details]],ROWS(prem_analysis!$M$420:S446),COLUMNS(Data!$Q$3:W29)))))),"")</f>
        <v/>
      </c>
      <c r="Y28" s="1" t="str">
        <f>IFERROR(IF($Q$1=$P$3,INDEX(prem_analysis!$P$2:$Q$441,ROWS(Data!$P$2:X28),COLUMNS(Data!$P$3:W29)),IF($Q$1=$P$5,INDEX(prem_analysis!$BH$1:$BS$23,ROWS(Data!$Q$3:X29),COLUMNS(Data!$Q$3:X29)),IF($Q$1=$P$6,INDEX(prem_analysis!$BU$1:$CF$67,ROWS(prem_analysis!$N$2:U28),COLUMNS(prem_analysis!$N$2:U28)),IF($Q$1=$P$4,INDEX(Table24[[#All],[Year]:[Details]],ROWS(prem_analysis!$M$420:T446),COLUMNS(Data!$Q$3:X29)))))),"")</f>
        <v/>
      </c>
      <c r="Z28" s="1" t="str">
        <f>IFERROR(IF($Q$1=$P$3,INDEX(prem_analysis!$P$2:$Q$441,ROWS(Data!$P$2:Y28),COLUMNS(Data!$P$3:X29)),IF($Q$1=$P$5,INDEX(prem_analysis!$BH$1:$BS$23,ROWS(Data!$Q$3:Y29),COLUMNS(Data!$Q$3:Y29)),IF($Q$1=$P$6,INDEX(prem_analysis!$BU$1:$CF$67,ROWS(prem_analysis!$N$2:V28),COLUMNS(prem_analysis!$N$2:V28)),IF($Q$1=$P$4,INDEX(Table24[[#All],[Year]:[Details]],ROWS(prem_analysis!$M$420:U446),COLUMNS(Data!$Q$3:Y29)))))),"")</f>
        <v/>
      </c>
      <c r="AA28" s="1" t="str">
        <f>IFERROR(IF($Q$1=$P$3,INDEX(prem_analysis!$P$2:$Q$441,ROWS(Data!$P$2:Z28),COLUMNS(Data!$P$3:Y29)),IF($Q$1=$P$5,INDEX(prem_analysis!$BH$1:$BS$23,ROWS(Data!$Q$3:Z29),COLUMNS(Data!$Q$3:Z29)),IF($Q$1=$P$6,INDEX(prem_analysis!$BU$1:$CF$67,ROWS(prem_analysis!$N$2:W28),COLUMNS(prem_analysis!$N$2:W28)),IF($Q$1=$P$4,INDEX(Table24[[#All],[Year]:[Details]],ROWS(prem_analysis!$M$420:V446),COLUMNS(Data!$Q$3:Z29)))))),"")</f>
        <v/>
      </c>
      <c r="AB28" s="1" t="str">
        <f>IFERROR(IF($Q$1=$P$3,INDEX(prem_analysis!$P$2:$Q$441,ROWS(Data!$P$2:AA28),COLUMNS(Data!$P$3:Z29)),IF($Q$1=$P$5,INDEX(prem_analysis!$BH$1:$BS$23,ROWS(Data!$Q$3:AA29),COLUMNS(Data!$Q$3:AA29)),IF($Q$1=$P$6,INDEX(prem_analysis!$BU$1:$CF$67,ROWS(prem_analysis!$N$2:X28),COLUMNS(prem_analysis!$N$2:X28)),IF($Q$1=$P$4,INDEX(Table24[[#All],[Year]:[Details]],ROWS(prem_analysis!$M$420:W446),COLUMNS(Data!$Q$3:AA29)))))),"")</f>
        <v/>
      </c>
      <c r="AC28" s="1" t="str">
        <f>IFERROR(IF($Q$1=$P$3,INDEX(prem_analysis!$P$2:$Q$441,ROWS(Data!$P$2:AB28),COLUMNS(Data!$P$3:AA29)),IF($Q$1=$P$5,INDEX(prem_analysis!$BH$1:$BS$23,ROWS(Data!$Q$3:AB29),COLUMNS(Data!$Q$3:AB29)),IF($Q$1=$P$6,INDEX(prem_analysis!$BU$1:$CF$67,ROWS(prem_analysis!$N$2:Y28),COLUMNS(prem_analysis!$N$2:Y28)),IF($Q$1=$P$4,INDEX(Table24[[#All],[Year]:[Details]],ROWS(prem_analysis!$M$420:X446),COLUMNS(Data!$Q$3:AB29)))))),"")</f>
        <v/>
      </c>
    </row>
    <row r="29" spans="1:29" x14ac:dyDescent="0.2">
      <c r="A29" s="5">
        <v>2001</v>
      </c>
      <c r="B29" s="5">
        <v>8</v>
      </c>
      <c r="C29" s="6" t="s">
        <v>18</v>
      </c>
      <c r="D29" s="5">
        <v>38</v>
      </c>
      <c r="E29" s="5">
        <v>12</v>
      </c>
      <c r="F29" s="5">
        <v>14</v>
      </c>
      <c r="G29" s="5">
        <v>12</v>
      </c>
      <c r="H29" s="5">
        <v>46</v>
      </c>
      <c r="I29" s="5">
        <v>47</v>
      </c>
      <c r="J29" s="5">
        <v>-1</v>
      </c>
      <c r="K29" s="5">
        <v>50</v>
      </c>
      <c r="L29" s="5">
        <f>IF(Table24[[#This Row],['#]]=1,"Champion", IF(Table24[[#This Row],['#]]&gt;=18,"Relegated",Table24[[#This Row],['#]]))</f>
        <v>8</v>
      </c>
      <c r="M29" s="5" t="str">
        <f>IF(Table24[[#This Row],[Details]]=2,K28-Table24[[#This Row],[Pts]],IF(Table24[[#This Row],[Details]]=17,Table24[[#This Row],[Pts]]-K30,""))</f>
        <v/>
      </c>
      <c r="R29" s="1" t="str">
        <f>IFERROR(IF($Q$1=$P$3,INDEX(prem_analysis!$P$2:$Q$441,ROWS(Data!$P$2:Q29),COLUMNS(Data!$P$3:P30)),IF($Q$1=$P$5,INDEX(prem_analysis!$BH$1:$BS$23,ROWS(Data!$Q$3:Q30),COLUMNS(Data!$Q$3:Q30)),IF($Q$1=$P$6,INDEX(prem_analysis!$BU$1:$CF$67,ROWS(prem_analysis!$N$2:N29),COLUMNS(prem_analysis!$N$2:N29)),IF($Q$1=$P$4,INDEX(Table24[[#All],[Year]:[Details]],ROWS(prem_analysis!$M$420:M447),COLUMNS(Data!$Q$3:Q30)))))),"")</f>
        <v/>
      </c>
      <c r="S29" s="1" t="str">
        <f>IFERROR(IF($Q$1=$P$3,INDEX(prem_analysis!$P$2:$Q$441,ROWS(Data!$P$2:R29),COLUMNS(Data!$P$3:Q30)),IF($Q$1=$P$5,INDEX(prem_analysis!$BH$1:$BS$23,ROWS(Data!$Q$3:R30),COLUMNS(Data!$Q$3:R30)),IF($Q$1=$P$6,INDEX(prem_analysis!$BU$1:$CF$67,ROWS(prem_analysis!$N$2:O29),COLUMNS(prem_analysis!$N$2:O29)),IF($Q$1=$P$4,INDEX(Table24[[#All],[Year]:[Details]],ROWS(prem_analysis!$M$420:N447),COLUMNS(Data!$Q$3:R30)))))),"")</f>
        <v/>
      </c>
      <c r="T29" s="1" t="str">
        <f>IFERROR(IF($Q$1=$P$3,INDEX(prem_analysis!$P$2:$Q$441,ROWS(Data!$P$2:S29),COLUMNS(Data!$P$3:R30)),IF($Q$1=$P$5,INDEX(prem_analysis!$BH$1:$BS$23,ROWS(Data!$Q$3:S30),COLUMNS(Data!$Q$3:S30)),IF($Q$1=$P$6,INDEX(prem_analysis!$BU$1:$CF$67,ROWS(prem_analysis!$N$2:P29),COLUMNS(prem_analysis!$N$2:P29)),IF($Q$1=$P$4,INDEX(Table24[[#All],[Year]:[Details]],ROWS(prem_analysis!$M$420:O447),COLUMNS(Data!$Q$3:S30)))))),"")</f>
        <v/>
      </c>
      <c r="U29" s="1" t="str">
        <f>IFERROR(IF($Q$1=$P$3,INDEX(prem_analysis!$P$2:$Q$441,ROWS(Data!$P$2:T29),COLUMNS(Data!$P$3:S30)),IF($Q$1=$P$5,INDEX(prem_analysis!$BH$1:$BS$23,ROWS(Data!$Q$3:T30),COLUMNS(Data!$Q$3:T30)),IF($Q$1=$P$6,INDEX(prem_analysis!$BU$1:$CF$67,ROWS(prem_analysis!$N$2:Q29),COLUMNS(prem_analysis!$N$2:Q29)),IF($Q$1=$P$4,INDEX(Table24[[#All],[Year]:[Details]],ROWS(prem_analysis!$M$420:P447),COLUMNS(Data!$Q$3:T30)))))),"")</f>
        <v/>
      </c>
      <c r="V29" s="1" t="str">
        <f>IFERROR(IF($Q$1=$P$3,INDEX(prem_analysis!$P$2:$Q$441,ROWS(Data!$P$2:U29),COLUMNS(Data!$P$3:T30)),IF($Q$1=$P$5,INDEX(prem_analysis!$BH$1:$BS$23,ROWS(Data!$Q$3:U30),COLUMNS(Data!$Q$3:U30)),IF($Q$1=$P$6,INDEX(prem_analysis!$BU$1:$CF$67,ROWS(prem_analysis!$N$2:R29),COLUMNS(prem_analysis!$N$2:R29)),IF($Q$1=$P$4,INDEX(Table24[[#All],[Year]:[Details]],ROWS(prem_analysis!$M$420:Q447),COLUMNS(Data!$Q$3:U30)))))),"")</f>
        <v/>
      </c>
      <c r="W29" s="1" t="str">
        <f>IFERROR(IF($Q$1=$P$3,INDEX(prem_analysis!$P$2:$Q$441,ROWS(Data!$P$2:V29),COLUMNS(Data!$P$3:U30)),IF($Q$1=$P$5,INDEX(prem_analysis!$BH$1:$BS$23,ROWS(Data!$Q$3:V30),COLUMNS(Data!$Q$3:V30)),IF($Q$1=$P$6,INDEX(prem_analysis!$BU$1:$CF$67,ROWS(prem_analysis!$N$2:S29),COLUMNS(prem_analysis!$N$2:S29)),IF($Q$1=$P$4,INDEX(Table24[[#All],[Year]:[Details]],ROWS(prem_analysis!$M$420:R447),COLUMNS(Data!$Q$3:V30)))))),"")</f>
        <v/>
      </c>
      <c r="X29" s="1" t="str">
        <f>IFERROR(IF($Q$1=$P$3,INDEX(prem_analysis!$P$2:$Q$441,ROWS(Data!$P$2:W29),COLUMNS(Data!$P$3:V30)),IF($Q$1=$P$5,INDEX(prem_analysis!$BH$1:$BS$23,ROWS(Data!$Q$3:W30),COLUMNS(Data!$Q$3:W30)),IF($Q$1=$P$6,INDEX(prem_analysis!$BU$1:$CF$67,ROWS(prem_analysis!$N$2:T29),COLUMNS(prem_analysis!$N$2:T29)),IF($Q$1=$P$4,INDEX(Table24[[#All],[Year]:[Details]],ROWS(prem_analysis!$M$420:S447),COLUMNS(Data!$Q$3:W30)))))),"")</f>
        <v/>
      </c>
      <c r="Y29" s="1" t="str">
        <f>IFERROR(IF($Q$1=$P$3,INDEX(prem_analysis!$P$2:$Q$441,ROWS(Data!$P$2:X29),COLUMNS(Data!$P$3:W30)),IF($Q$1=$P$5,INDEX(prem_analysis!$BH$1:$BS$23,ROWS(Data!$Q$3:X30),COLUMNS(Data!$Q$3:X30)),IF($Q$1=$P$6,INDEX(prem_analysis!$BU$1:$CF$67,ROWS(prem_analysis!$N$2:U29),COLUMNS(prem_analysis!$N$2:U29)),IF($Q$1=$P$4,INDEX(Table24[[#All],[Year]:[Details]],ROWS(prem_analysis!$M$420:T447),COLUMNS(Data!$Q$3:X30)))))),"")</f>
        <v/>
      </c>
      <c r="Z29" s="1" t="str">
        <f>IFERROR(IF($Q$1=$P$3,INDEX(prem_analysis!$P$2:$Q$441,ROWS(Data!$P$2:Y29),COLUMNS(Data!$P$3:X30)),IF($Q$1=$P$5,INDEX(prem_analysis!$BH$1:$BS$23,ROWS(Data!$Q$3:Y30),COLUMNS(Data!$Q$3:Y30)),IF($Q$1=$P$6,INDEX(prem_analysis!$BU$1:$CF$67,ROWS(prem_analysis!$N$2:V29),COLUMNS(prem_analysis!$N$2:V29)),IF($Q$1=$P$4,INDEX(Table24[[#All],[Year]:[Details]],ROWS(prem_analysis!$M$420:U447),COLUMNS(Data!$Q$3:Y30)))))),"")</f>
        <v/>
      </c>
      <c r="AA29" s="1" t="str">
        <f>IFERROR(IF($Q$1=$P$3,INDEX(prem_analysis!$P$2:$Q$441,ROWS(Data!$P$2:Z29),COLUMNS(Data!$P$3:Y30)),IF($Q$1=$P$5,INDEX(prem_analysis!$BH$1:$BS$23,ROWS(Data!$Q$3:Z30),COLUMNS(Data!$Q$3:Z30)),IF($Q$1=$P$6,INDEX(prem_analysis!$BU$1:$CF$67,ROWS(prem_analysis!$N$2:W29),COLUMNS(prem_analysis!$N$2:W29)),IF($Q$1=$P$4,INDEX(Table24[[#All],[Year]:[Details]],ROWS(prem_analysis!$M$420:V447),COLUMNS(Data!$Q$3:Z30)))))),"")</f>
        <v/>
      </c>
      <c r="AB29" s="1" t="str">
        <f>IFERROR(IF($Q$1=$P$3,INDEX(prem_analysis!$P$2:$Q$441,ROWS(Data!$P$2:AA29),COLUMNS(Data!$P$3:Z30)),IF($Q$1=$P$5,INDEX(prem_analysis!$BH$1:$BS$23,ROWS(Data!$Q$3:AA30),COLUMNS(Data!$Q$3:AA30)),IF($Q$1=$P$6,INDEX(prem_analysis!$BU$1:$CF$67,ROWS(prem_analysis!$N$2:X29),COLUMNS(prem_analysis!$N$2:X29)),IF($Q$1=$P$4,INDEX(Table24[[#All],[Year]:[Details]],ROWS(prem_analysis!$M$420:W447),COLUMNS(Data!$Q$3:AA30)))))),"")</f>
        <v/>
      </c>
      <c r="AC29" s="1" t="str">
        <f>IFERROR(IF($Q$1=$P$3,INDEX(prem_analysis!$P$2:$Q$441,ROWS(Data!$P$2:AB29),COLUMNS(Data!$P$3:AA30)),IF($Q$1=$P$5,INDEX(prem_analysis!$BH$1:$BS$23,ROWS(Data!$Q$3:AB30),COLUMNS(Data!$Q$3:AB30)),IF($Q$1=$P$6,INDEX(prem_analysis!$BU$1:$CF$67,ROWS(prem_analysis!$N$2:Y29),COLUMNS(prem_analysis!$N$2:Y29)),IF($Q$1=$P$4,INDEX(Table24[[#All],[Year]:[Details]],ROWS(prem_analysis!$M$420:X447),COLUMNS(Data!$Q$3:AB30)))))),"")</f>
        <v/>
      </c>
    </row>
    <row r="30" spans="1:29" x14ac:dyDescent="0.2">
      <c r="A30" s="3">
        <v>2001</v>
      </c>
      <c r="B30" s="3">
        <v>9</v>
      </c>
      <c r="C30" s="4" t="s">
        <v>22</v>
      </c>
      <c r="D30" s="3">
        <v>38</v>
      </c>
      <c r="E30" s="3">
        <v>14</v>
      </c>
      <c r="F30" s="3">
        <v>8</v>
      </c>
      <c r="G30" s="3">
        <v>16</v>
      </c>
      <c r="H30" s="3">
        <v>49</v>
      </c>
      <c r="I30" s="3">
        <v>53</v>
      </c>
      <c r="J30" s="3">
        <v>-4</v>
      </c>
      <c r="K30" s="3">
        <v>50</v>
      </c>
      <c r="L30" s="5">
        <f>IF(Table24[[#This Row],['#]]=1,"Champion", IF(Table24[[#This Row],['#]]&gt;=18,"Relegated",Table24[[#This Row],['#]]))</f>
        <v>9</v>
      </c>
      <c r="M30" s="5" t="str">
        <f>IF(Table24[[#This Row],[Details]]=2,K29-Table24[[#This Row],[Pts]],IF(Table24[[#This Row],[Details]]=17,Table24[[#This Row],[Pts]]-K31,""))</f>
        <v/>
      </c>
      <c r="R30" s="1" t="str">
        <f>IFERROR(IF($Q$1=$P$3,INDEX(prem_analysis!$P$2:$Q$441,ROWS(Data!$P$2:Q30),COLUMNS(Data!$P$3:P31)),IF($Q$1=$P$5,INDEX(prem_analysis!$BH$1:$BS$23,ROWS(Data!$Q$3:Q31),COLUMNS(Data!$Q$3:Q31)),IF($Q$1=$P$6,INDEX(prem_analysis!$BU$1:$CF$67,ROWS(prem_analysis!$N$2:N30),COLUMNS(prem_analysis!$N$2:N30)),IF($Q$1=$P$4,INDEX(Table24[[#All],[Year]:[Details]],ROWS(prem_analysis!$M$420:M448),COLUMNS(Data!$Q$3:Q31)))))),"")</f>
        <v/>
      </c>
      <c r="S30" s="1" t="str">
        <f>IFERROR(IF($Q$1=$P$3,INDEX(prem_analysis!$P$2:$Q$441,ROWS(Data!$P$2:R30),COLUMNS(Data!$P$3:Q31)),IF($Q$1=$P$5,INDEX(prem_analysis!$BH$1:$BS$23,ROWS(Data!$Q$3:R31),COLUMNS(Data!$Q$3:R31)),IF($Q$1=$P$6,INDEX(prem_analysis!$BU$1:$CF$67,ROWS(prem_analysis!$N$2:O30),COLUMNS(prem_analysis!$N$2:O30)),IF($Q$1=$P$4,INDEX(Table24[[#All],[Year]:[Details]],ROWS(prem_analysis!$M$420:N448),COLUMNS(Data!$Q$3:R31)))))),"")</f>
        <v/>
      </c>
      <c r="T30" s="1" t="str">
        <f>IFERROR(IF($Q$1=$P$3,INDEX(prem_analysis!$P$2:$Q$441,ROWS(Data!$P$2:S30),COLUMNS(Data!$P$3:R31)),IF($Q$1=$P$5,INDEX(prem_analysis!$BH$1:$BS$23,ROWS(Data!$Q$3:S31),COLUMNS(Data!$Q$3:S31)),IF($Q$1=$P$6,INDEX(prem_analysis!$BU$1:$CF$67,ROWS(prem_analysis!$N$2:P30),COLUMNS(prem_analysis!$N$2:P30)),IF($Q$1=$P$4,INDEX(Table24[[#All],[Year]:[Details]],ROWS(prem_analysis!$M$420:O448),COLUMNS(Data!$Q$3:S31)))))),"")</f>
        <v/>
      </c>
      <c r="U30" s="1" t="str">
        <f>IFERROR(IF($Q$1=$P$3,INDEX(prem_analysis!$P$2:$Q$441,ROWS(Data!$P$2:T30),COLUMNS(Data!$P$3:S31)),IF($Q$1=$P$5,INDEX(prem_analysis!$BH$1:$BS$23,ROWS(Data!$Q$3:T31),COLUMNS(Data!$Q$3:T31)),IF($Q$1=$P$6,INDEX(prem_analysis!$BU$1:$CF$67,ROWS(prem_analysis!$N$2:Q30),COLUMNS(prem_analysis!$N$2:Q30)),IF($Q$1=$P$4,INDEX(Table24[[#All],[Year]:[Details]],ROWS(prem_analysis!$M$420:P448),COLUMNS(Data!$Q$3:T31)))))),"")</f>
        <v/>
      </c>
      <c r="V30" s="1" t="str">
        <f>IFERROR(IF($Q$1=$P$3,INDEX(prem_analysis!$P$2:$Q$441,ROWS(Data!$P$2:U30),COLUMNS(Data!$P$3:T31)),IF($Q$1=$P$5,INDEX(prem_analysis!$BH$1:$BS$23,ROWS(Data!$Q$3:U31),COLUMNS(Data!$Q$3:U31)),IF($Q$1=$P$6,INDEX(prem_analysis!$BU$1:$CF$67,ROWS(prem_analysis!$N$2:R30),COLUMNS(prem_analysis!$N$2:R30)),IF($Q$1=$P$4,INDEX(Table24[[#All],[Year]:[Details]],ROWS(prem_analysis!$M$420:Q448),COLUMNS(Data!$Q$3:U31)))))),"")</f>
        <v/>
      </c>
      <c r="W30" s="1" t="str">
        <f>IFERROR(IF($Q$1=$P$3,INDEX(prem_analysis!$P$2:$Q$441,ROWS(Data!$P$2:V30),COLUMNS(Data!$P$3:U31)),IF($Q$1=$P$5,INDEX(prem_analysis!$BH$1:$BS$23,ROWS(Data!$Q$3:V31),COLUMNS(Data!$Q$3:V31)),IF($Q$1=$P$6,INDEX(prem_analysis!$BU$1:$CF$67,ROWS(prem_analysis!$N$2:S30),COLUMNS(prem_analysis!$N$2:S30)),IF($Q$1=$P$4,INDEX(Table24[[#All],[Year]:[Details]],ROWS(prem_analysis!$M$420:R448),COLUMNS(Data!$Q$3:V31)))))),"")</f>
        <v/>
      </c>
      <c r="X30" s="1" t="str">
        <f>IFERROR(IF($Q$1=$P$3,INDEX(prem_analysis!$P$2:$Q$441,ROWS(Data!$P$2:W30),COLUMNS(Data!$P$3:V31)),IF($Q$1=$P$5,INDEX(prem_analysis!$BH$1:$BS$23,ROWS(Data!$Q$3:W31),COLUMNS(Data!$Q$3:W31)),IF($Q$1=$P$6,INDEX(prem_analysis!$BU$1:$CF$67,ROWS(prem_analysis!$N$2:T30),COLUMNS(prem_analysis!$N$2:T30)),IF($Q$1=$P$4,INDEX(Table24[[#All],[Year]:[Details]],ROWS(prem_analysis!$M$420:S448),COLUMNS(Data!$Q$3:W31)))))),"")</f>
        <v/>
      </c>
      <c r="Y30" s="1" t="str">
        <f>IFERROR(IF($Q$1=$P$3,INDEX(prem_analysis!$P$2:$Q$441,ROWS(Data!$P$2:X30),COLUMNS(Data!$P$3:W31)),IF($Q$1=$P$5,INDEX(prem_analysis!$BH$1:$BS$23,ROWS(Data!$Q$3:X31),COLUMNS(Data!$Q$3:X31)),IF($Q$1=$P$6,INDEX(prem_analysis!$BU$1:$CF$67,ROWS(prem_analysis!$N$2:U30),COLUMNS(prem_analysis!$N$2:U30)),IF($Q$1=$P$4,INDEX(Table24[[#All],[Year]:[Details]],ROWS(prem_analysis!$M$420:T448),COLUMNS(Data!$Q$3:X31)))))),"")</f>
        <v/>
      </c>
      <c r="Z30" s="1" t="str">
        <f>IFERROR(IF($Q$1=$P$3,INDEX(prem_analysis!$P$2:$Q$441,ROWS(Data!$P$2:Y30),COLUMNS(Data!$P$3:X31)),IF($Q$1=$P$5,INDEX(prem_analysis!$BH$1:$BS$23,ROWS(Data!$Q$3:Y31),COLUMNS(Data!$Q$3:Y31)),IF($Q$1=$P$6,INDEX(prem_analysis!$BU$1:$CF$67,ROWS(prem_analysis!$N$2:V30),COLUMNS(prem_analysis!$N$2:V30)),IF($Q$1=$P$4,INDEX(Table24[[#All],[Year]:[Details]],ROWS(prem_analysis!$M$420:U448),COLUMNS(Data!$Q$3:Y31)))))),"")</f>
        <v/>
      </c>
      <c r="AA30" s="1" t="str">
        <f>IFERROR(IF($Q$1=$P$3,INDEX(prem_analysis!$P$2:$Q$441,ROWS(Data!$P$2:Z30),COLUMNS(Data!$P$3:Y31)),IF($Q$1=$P$5,INDEX(prem_analysis!$BH$1:$BS$23,ROWS(Data!$Q$3:Z31),COLUMNS(Data!$Q$3:Z31)),IF($Q$1=$P$6,INDEX(prem_analysis!$BU$1:$CF$67,ROWS(prem_analysis!$N$2:W30),COLUMNS(prem_analysis!$N$2:W30)),IF($Q$1=$P$4,INDEX(Table24[[#All],[Year]:[Details]],ROWS(prem_analysis!$M$420:V448),COLUMNS(Data!$Q$3:Z31)))))),"")</f>
        <v/>
      </c>
      <c r="AB30" s="1" t="str">
        <f>IFERROR(IF($Q$1=$P$3,INDEX(prem_analysis!$P$2:$Q$441,ROWS(Data!$P$2:AA30),COLUMNS(Data!$P$3:Z31)),IF($Q$1=$P$5,INDEX(prem_analysis!$BH$1:$BS$23,ROWS(Data!$Q$3:AA31),COLUMNS(Data!$Q$3:AA31)),IF($Q$1=$P$6,INDEX(prem_analysis!$BU$1:$CF$67,ROWS(prem_analysis!$N$2:X30),COLUMNS(prem_analysis!$N$2:X30)),IF($Q$1=$P$4,INDEX(Table24[[#All],[Year]:[Details]],ROWS(prem_analysis!$M$420:W448),COLUMNS(Data!$Q$3:AA31)))))),"")</f>
        <v/>
      </c>
      <c r="AC30" s="1" t="str">
        <f>IFERROR(IF($Q$1=$P$3,INDEX(prem_analysis!$P$2:$Q$441,ROWS(Data!$P$2:AB30),COLUMNS(Data!$P$3:AA31)),IF($Q$1=$P$5,INDEX(prem_analysis!$BH$1:$BS$23,ROWS(Data!$Q$3:AB31),COLUMNS(Data!$Q$3:AB31)),IF($Q$1=$P$6,INDEX(prem_analysis!$BU$1:$CF$67,ROWS(prem_analysis!$N$2:Y30),COLUMNS(prem_analysis!$N$2:Y30)),IF($Q$1=$P$4,INDEX(Table24[[#All],[Year]:[Details]],ROWS(prem_analysis!$M$420:X448),COLUMNS(Data!$Q$3:AB31)))))),"")</f>
        <v/>
      </c>
    </row>
    <row r="31" spans="1:29" x14ac:dyDescent="0.2">
      <c r="A31" s="5">
        <v>2001</v>
      </c>
      <c r="B31" s="5">
        <v>10</v>
      </c>
      <c r="C31" s="6" t="s">
        <v>31</v>
      </c>
      <c r="D31" s="5">
        <v>38</v>
      </c>
      <c r="E31" s="5">
        <v>12</v>
      </c>
      <c r="F31" s="5">
        <v>10</v>
      </c>
      <c r="G31" s="5">
        <v>16</v>
      </c>
      <c r="H31" s="5">
        <v>55</v>
      </c>
      <c r="I31" s="5">
        <v>51</v>
      </c>
      <c r="J31" s="5">
        <v>4</v>
      </c>
      <c r="K31" s="5">
        <v>46</v>
      </c>
      <c r="L31" s="5">
        <f>IF(Table24[[#This Row],['#]]=1,"Champion", IF(Table24[[#This Row],['#]]&gt;=18,"Relegated",Table24[[#This Row],['#]]))</f>
        <v>10</v>
      </c>
      <c r="M31" s="5" t="str">
        <f>IF(Table24[[#This Row],[Details]]=2,K30-Table24[[#This Row],[Pts]],IF(Table24[[#This Row],[Details]]=17,Table24[[#This Row],[Pts]]-K32,""))</f>
        <v/>
      </c>
      <c r="R31" s="1" t="str">
        <f>IFERROR(IF($Q$1=$P$3,INDEX(prem_analysis!$P$2:$Q$441,ROWS(Data!$P$2:Q31),COLUMNS(Data!$P$3:P32)),IF($Q$1=$P$5,INDEX(prem_analysis!$BH$1:$BS$23,ROWS(Data!$Q$3:Q32),COLUMNS(Data!$Q$3:Q32)),IF($Q$1=$P$6,INDEX(prem_analysis!$BU$1:$CF$67,ROWS(prem_analysis!$N$2:N31),COLUMNS(prem_analysis!$N$2:N31)),IF($Q$1=$P$4,INDEX(Table24[[#All],[Year]:[Details]],ROWS(prem_analysis!$M$420:M449),COLUMNS(Data!$Q$3:Q32)))))),"")</f>
        <v/>
      </c>
      <c r="S31" s="1" t="str">
        <f>IFERROR(IF($Q$1=$P$3,INDEX(prem_analysis!$P$2:$Q$441,ROWS(Data!$P$2:R31),COLUMNS(Data!$P$3:Q32)),IF($Q$1=$P$5,INDEX(prem_analysis!$BH$1:$BS$23,ROWS(Data!$Q$3:R32),COLUMNS(Data!$Q$3:R32)),IF($Q$1=$P$6,INDEX(prem_analysis!$BU$1:$CF$67,ROWS(prem_analysis!$N$2:O31),COLUMNS(prem_analysis!$N$2:O31)),IF($Q$1=$P$4,INDEX(Table24[[#All],[Year]:[Details]],ROWS(prem_analysis!$M$420:N449),COLUMNS(Data!$Q$3:R32)))))),"")</f>
        <v/>
      </c>
      <c r="T31" s="1" t="str">
        <f>IFERROR(IF($Q$1=$P$3,INDEX(prem_analysis!$P$2:$Q$441,ROWS(Data!$P$2:S31),COLUMNS(Data!$P$3:R32)),IF($Q$1=$P$5,INDEX(prem_analysis!$BH$1:$BS$23,ROWS(Data!$Q$3:S32),COLUMNS(Data!$Q$3:S32)),IF($Q$1=$P$6,INDEX(prem_analysis!$BU$1:$CF$67,ROWS(prem_analysis!$N$2:P31),COLUMNS(prem_analysis!$N$2:P31)),IF($Q$1=$P$4,INDEX(Table24[[#All],[Year]:[Details]],ROWS(prem_analysis!$M$420:O449),COLUMNS(Data!$Q$3:S32)))))),"")</f>
        <v/>
      </c>
      <c r="U31" s="1" t="str">
        <f>IFERROR(IF($Q$1=$P$3,INDEX(prem_analysis!$P$2:$Q$441,ROWS(Data!$P$2:T31),COLUMNS(Data!$P$3:S32)),IF($Q$1=$P$5,INDEX(prem_analysis!$BH$1:$BS$23,ROWS(Data!$Q$3:T32),COLUMNS(Data!$Q$3:T32)),IF($Q$1=$P$6,INDEX(prem_analysis!$BU$1:$CF$67,ROWS(prem_analysis!$N$2:Q31),COLUMNS(prem_analysis!$N$2:Q31)),IF($Q$1=$P$4,INDEX(Table24[[#All],[Year]:[Details]],ROWS(prem_analysis!$M$420:P449),COLUMNS(Data!$Q$3:T32)))))),"")</f>
        <v/>
      </c>
      <c r="V31" s="1" t="str">
        <f>IFERROR(IF($Q$1=$P$3,INDEX(prem_analysis!$P$2:$Q$441,ROWS(Data!$P$2:U31),COLUMNS(Data!$P$3:T32)),IF($Q$1=$P$5,INDEX(prem_analysis!$BH$1:$BS$23,ROWS(Data!$Q$3:U32),COLUMNS(Data!$Q$3:U32)),IF($Q$1=$P$6,INDEX(prem_analysis!$BU$1:$CF$67,ROWS(prem_analysis!$N$2:R31),COLUMNS(prem_analysis!$N$2:R31)),IF($Q$1=$P$4,INDEX(Table24[[#All],[Year]:[Details]],ROWS(prem_analysis!$M$420:Q449),COLUMNS(Data!$Q$3:U32)))))),"")</f>
        <v/>
      </c>
      <c r="W31" s="1" t="str">
        <f>IFERROR(IF($Q$1=$P$3,INDEX(prem_analysis!$P$2:$Q$441,ROWS(Data!$P$2:V31),COLUMNS(Data!$P$3:U32)),IF($Q$1=$P$5,INDEX(prem_analysis!$BH$1:$BS$23,ROWS(Data!$Q$3:V32),COLUMNS(Data!$Q$3:V32)),IF($Q$1=$P$6,INDEX(prem_analysis!$BU$1:$CF$67,ROWS(prem_analysis!$N$2:S31),COLUMNS(prem_analysis!$N$2:S31)),IF($Q$1=$P$4,INDEX(Table24[[#All],[Year]:[Details]],ROWS(prem_analysis!$M$420:R449),COLUMNS(Data!$Q$3:V32)))))),"")</f>
        <v/>
      </c>
      <c r="X31" s="1" t="str">
        <f>IFERROR(IF($Q$1=$P$3,INDEX(prem_analysis!$P$2:$Q$441,ROWS(Data!$P$2:W31),COLUMNS(Data!$P$3:V32)),IF($Q$1=$P$5,INDEX(prem_analysis!$BH$1:$BS$23,ROWS(Data!$Q$3:W32),COLUMNS(Data!$Q$3:W32)),IF($Q$1=$P$6,INDEX(prem_analysis!$BU$1:$CF$67,ROWS(prem_analysis!$N$2:T31),COLUMNS(prem_analysis!$N$2:T31)),IF($Q$1=$P$4,INDEX(Table24[[#All],[Year]:[Details]],ROWS(prem_analysis!$M$420:S449),COLUMNS(Data!$Q$3:W32)))))),"")</f>
        <v/>
      </c>
      <c r="Y31" s="1" t="str">
        <f>IFERROR(IF($Q$1=$P$3,INDEX(prem_analysis!$P$2:$Q$441,ROWS(Data!$P$2:X31),COLUMNS(Data!$P$3:W32)),IF($Q$1=$P$5,INDEX(prem_analysis!$BH$1:$BS$23,ROWS(Data!$Q$3:X32),COLUMNS(Data!$Q$3:X32)),IF($Q$1=$P$6,INDEX(prem_analysis!$BU$1:$CF$67,ROWS(prem_analysis!$N$2:U31),COLUMNS(prem_analysis!$N$2:U31)),IF($Q$1=$P$4,INDEX(Table24[[#All],[Year]:[Details]],ROWS(prem_analysis!$M$420:T449),COLUMNS(Data!$Q$3:X32)))))),"")</f>
        <v/>
      </c>
      <c r="Z31" s="1" t="str">
        <f>IFERROR(IF($Q$1=$P$3,INDEX(prem_analysis!$P$2:$Q$441,ROWS(Data!$P$2:Y31),COLUMNS(Data!$P$3:X32)),IF($Q$1=$P$5,INDEX(prem_analysis!$BH$1:$BS$23,ROWS(Data!$Q$3:Y32),COLUMNS(Data!$Q$3:Y32)),IF($Q$1=$P$6,INDEX(prem_analysis!$BU$1:$CF$67,ROWS(prem_analysis!$N$2:V31),COLUMNS(prem_analysis!$N$2:V31)),IF($Q$1=$P$4,INDEX(Table24[[#All],[Year]:[Details]],ROWS(prem_analysis!$M$420:U449),COLUMNS(Data!$Q$3:Y32)))))),"")</f>
        <v/>
      </c>
      <c r="AA31" s="1" t="str">
        <f>IFERROR(IF($Q$1=$P$3,INDEX(prem_analysis!$P$2:$Q$441,ROWS(Data!$P$2:Z31),COLUMNS(Data!$P$3:Y32)),IF($Q$1=$P$5,INDEX(prem_analysis!$BH$1:$BS$23,ROWS(Data!$Q$3:Z32),COLUMNS(Data!$Q$3:Z32)),IF($Q$1=$P$6,INDEX(prem_analysis!$BU$1:$CF$67,ROWS(prem_analysis!$N$2:W31),COLUMNS(prem_analysis!$N$2:W31)),IF($Q$1=$P$4,INDEX(Table24[[#All],[Year]:[Details]],ROWS(prem_analysis!$M$420:V449),COLUMNS(Data!$Q$3:Z32)))))),"")</f>
        <v/>
      </c>
      <c r="AB31" s="1" t="str">
        <f>IFERROR(IF($Q$1=$P$3,INDEX(prem_analysis!$P$2:$Q$441,ROWS(Data!$P$2:AA31),COLUMNS(Data!$P$3:Z32)),IF($Q$1=$P$5,INDEX(prem_analysis!$BH$1:$BS$23,ROWS(Data!$Q$3:AA32),COLUMNS(Data!$Q$3:AA32)),IF($Q$1=$P$6,INDEX(prem_analysis!$BU$1:$CF$67,ROWS(prem_analysis!$N$2:X31),COLUMNS(prem_analysis!$N$2:X31)),IF($Q$1=$P$4,INDEX(Table24[[#All],[Year]:[Details]],ROWS(prem_analysis!$M$420:W449),COLUMNS(Data!$Q$3:AA32)))))),"")</f>
        <v/>
      </c>
      <c r="AC31" s="1" t="str">
        <f>IFERROR(IF($Q$1=$P$3,INDEX(prem_analysis!$P$2:$Q$441,ROWS(Data!$P$2:AB31),COLUMNS(Data!$P$3:AA32)),IF($Q$1=$P$5,INDEX(prem_analysis!$BH$1:$BS$23,ROWS(Data!$Q$3:AB32),COLUMNS(Data!$Q$3:AB32)),IF($Q$1=$P$6,INDEX(prem_analysis!$BU$1:$CF$67,ROWS(prem_analysis!$N$2:Y31),COLUMNS(prem_analysis!$N$2:Y31)),IF($Q$1=$P$4,INDEX(Table24[[#All],[Year]:[Details]],ROWS(prem_analysis!$M$420:X449),COLUMNS(Data!$Q$3:AB32)))))),"")</f>
        <v/>
      </c>
    </row>
    <row r="32" spans="1:29" x14ac:dyDescent="0.2">
      <c r="A32" s="3">
        <v>2001</v>
      </c>
      <c r="B32" s="3">
        <v>11</v>
      </c>
      <c r="C32" s="4" t="s">
        <v>20</v>
      </c>
      <c r="D32" s="3">
        <v>38</v>
      </c>
      <c r="E32" s="3">
        <v>12</v>
      </c>
      <c r="F32" s="3">
        <v>9</v>
      </c>
      <c r="G32" s="3">
        <v>17</v>
      </c>
      <c r="H32" s="3">
        <v>46</v>
      </c>
      <c r="I32" s="3">
        <v>54</v>
      </c>
      <c r="J32" s="3">
        <v>-8</v>
      </c>
      <c r="K32" s="3">
        <v>45</v>
      </c>
      <c r="L32" s="5">
        <f>IF(Table24[[#This Row],['#]]=1,"Champion", IF(Table24[[#This Row],['#]]&gt;=18,"Relegated",Table24[[#This Row],['#]]))</f>
        <v>11</v>
      </c>
      <c r="M32" s="5" t="str">
        <f>IF(Table24[[#This Row],[Details]]=2,K31-Table24[[#This Row],[Pts]],IF(Table24[[#This Row],[Details]]=17,Table24[[#This Row],[Pts]]-K33,""))</f>
        <v/>
      </c>
      <c r="R32" s="1" t="str">
        <f>IFERROR(IF($Q$1=$P$3,INDEX(prem_analysis!$P$2:$Q$441,ROWS(Data!$P$2:Q32),COLUMNS(Data!$P$3:P33)),IF($Q$1=$P$5,INDEX(prem_analysis!$BH$1:$BS$23,ROWS(Data!$Q$3:Q33),COLUMNS(Data!$Q$3:Q33)),IF($Q$1=$P$6,INDEX(prem_analysis!$BU$1:$CF$67,ROWS(prem_analysis!$N$2:N32),COLUMNS(prem_analysis!$N$2:N32)),IF($Q$1=$P$4,INDEX(Table24[[#All],[Year]:[Details]],ROWS(prem_analysis!$M$420:M450),COLUMNS(Data!$Q$3:Q33)))))),"")</f>
        <v/>
      </c>
      <c r="S32" s="1" t="str">
        <f>IFERROR(IF($Q$1=$P$3,INDEX(prem_analysis!$P$2:$Q$441,ROWS(Data!$P$2:R32),COLUMNS(Data!$P$3:Q33)),IF($Q$1=$P$5,INDEX(prem_analysis!$BH$1:$BS$23,ROWS(Data!$Q$3:R33),COLUMNS(Data!$Q$3:R33)),IF($Q$1=$P$6,INDEX(prem_analysis!$BU$1:$CF$67,ROWS(prem_analysis!$N$2:O32),COLUMNS(prem_analysis!$N$2:O32)),IF($Q$1=$P$4,INDEX(Table24[[#All],[Year]:[Details]],ROWS(prem_analysis!$M$420:N450),COLUMNS(Data!$Q$3:R33)))))),"")</f>
        <v/>
      </c>
      <c r="T32" s="1" t="str">
        <f>IFERROR(IF($Q$1=$P$3,INDEX(prem_analysis!$P$2:$Q$441,ROWS(Data!$P$2:S32),COLUMNS(Data!$P$3:R33)),IF($Q$1=$P$5,INDEX(prem_analysis!$BH$1:$BS$23,ROWS(Data!$Q$3:S33),COLUMNS(Data!$Q$3:S33)),IF($Q$1=$P$6,INDEX(prem_analysis!$BU$1:$CF$67,ROWS(prem_analysis!$N$2:P32),COLUMNS(prem_analysis!$N$2:P32)),IF($Q$1=$P$4,INDEX(Table24[[#All],[Year]:[Details]],ROWS(prem_analysis!$M$420:O450),COLUMNS(Data!$Q$3:S33)))))),"")</f>
        <v/>
      </c>
      <c r="U32" s="1" t="str">
        <f>IFERROR(IF($Q$1=$P$3,INDEX(prem_analysis!$P$2:$Q$441,ROWS(Data!$P$2:T32),COLUMNS(Data!$P$3:S33)),IF($Q$1=$P$5,INDEX(prem_analysis!$BH$1:$BS$23,ROWS(Data!$Q$3:T33),COLUMNS(Data!$Q$3:T33)),IF($Q$1=$P$6,INDEX(prem_analysis!$BU$1:$CF$67,ROWS(prem_analysis!$N$2:Q32),COLUMNS(prem_analysis!$N$2:Q32)),IF($Q$1=$P$4,INDEX(Table24[[#All],[Year]:[Details]],ROWS(prem_analysis!$M$420:P450),COLUMNS(Data!$Q$3:T33)))))),"")</f>
        <v/>
      </c>
      <c r="V32" s="1" t="str">
        <f>IFERROR(IF($Q$1=$P$3,INDEX(prem_analysis!$P$2:$Q$441,ROWS(Data!$P$2:U32),COLUMNS(Data!$P$3:T33)),IF($Q$1=$P$5,INDEX(prem_analysis!$BH$1:$BS$23,ROWS(Data!$Q$3:U33),COLUMNS(Data!$Q$3:U33)),IF($Q$1=$P$6,INDEX(prem_analysis!$BU$1:$CF$67,ROWS(prem_analysis!$N$2:R32),COLUMNS(prem_analysis!$N$2:R32)),IF($Q$1=$P$4,INDEX(Table24[[#All],[Year]:[Details]],ROWS(prem_analysis!$M$420:Q450),COLUMNS(Data!$Q$3:U33)))))),"")</f>
        <v/>
      </c>
      <c r="W32" s="1" t="str">
        <f>IFERROR(IF($Q$1=$P$3,INDEX(prem_analysis!$P$2:$Q$441,ROWS(Data!$P$2:V32),COLUMNS(Data!$P$3:U33)),IF($Q$1=$P$5,INDEX(prem_analysis!$BH$1:$BS$23,ROWS(Data!$Q$3:V33),COLUMNS(Data!$Q$3:V33)),IF($Q$1=$P$6,INDEX(prem_analysis!$BU$1:$CF$67,ROWS(prem_analysis!$N$2:S32),COLUMNS(prem_analysis!$N$2:S32)),IF($Q$1=$P$4,INDEX(Table24[[#All],[Year]:[Details]],ROWS(prem_analysis!$M$420:R450),COLUMNS(Data!$Q$3:V33)))))),"")</f>
        <v/>
      </c>
      <c r="X32" s="1" t="str">
        <f>IFERROR(IF($Q$1=$P$3,INDEX(prem_analysis!$P$2:$Q$441,ROWS(Data!$P$2:W32),COLUMNS(Data!$P$3:V33)),IF($Q$1=$P$5,INDEX(prem_analysis!$BH$1:$BS$23,ROWS(Data!$Q$3:W33),COLUMNS(Data!$Q$3:W33)),IF($Q$1=$P$6,INDEX(prem_analysis!$BU$1:$CF$67,ROWS(prem_analysis!$N$2:T32),COLUMNS(prem_analysis!$N$2:T32)),IF($Q$1=$P$4,INDEX(Table24[[#All],[Year]:[Details]],ROWS(prem_analysis!$M$420:S450),COLUMNS(Data!$Q$3:W33)))))),"")</f>
        <v/>
      </c>
      <c r="Y32" s="1" t="str">
        <f>IFERROR(IF($Q$1=$P$3,INDEX(prem_analysis!$P$2:$Q$441,ROWS(Data!$P$2:X32),COLUMNS(Data!$P$3:W33)),IF($Q$1=$P$5,INDEX(prem_analysis!$BH$1:$BS$23,ROWS(Data!$Q$3:X33),COLUMNS(Data!$Q$3:X33)),IF($Q$1=$P$6,INDEX(prem_analysis!$BU$1:$CF$67,ROWS(prem_analysis!$N$2:U32),COLUMNS(prem_analysis!$N$2:U32)),IF($Q$1=$P$4,INDEX(Table24[[#All],[Year]:[Details]],ROWS(prem_analysis!$M$420:T450),COLUMNS(Data!$Q$3:X33)))))),"")</f>
        <v/>
      </c>
      <c r="Z32" s="1" t="str">
        <f>IFERROR(IF($Q$1=$P$3,INDEX(prem_analysis!$P$2:$Q$441,ROWS(Data!$P$2:Y32),COLUMNS(Data!$P$3:X33)),IF($Q$1=$P$5,INDEX(prem_analysis!$BH$1:$BS$23,ROWS(Data!$Q$3:Y33),COLUMNS(Data!$Q$3:Y33)),IF($Q$1=$P$6,INDEX(prem_analysis!$BU$1:$CF$67,ROWS(prem_analysis!$N$2:V32),COLUMNS(prem_analysis!$N$2:V32)),IF($Q$1=$P$4,INDEX(Table24[[#All],[Year]:[Details]],ROWS(prem_analysis!$M$420:U450),COLUMNS(Data!$Q$3:Y33)))))),"")</f>
        <v/>
      </c>
      <c r="AA32" s="1" t="str">
        <f>IFERROR(IF($Q$1=$P$3,INDEX(prem_analysis!$P$2:$Q$441,ROWS(Data!$P$2:Z32),COLUMNS(Data!$P$3:Y33)),IF($Q$1=$P$5,INDEX(prem_analysis!$BH$1:$BS$23,ROWS(Data!$Q$3:Z33),COLUMNS(Data!$Q$3:Z33)),IF($Q$1=$P$6,INDEX(prem_analysis!$BU$1:$CF$67,ROWS(prem_analysis!$N$2:W32),COLUMNS(prem_analysis!$N$2:W32)),IF($Q$1=$P$4,INDEX(Table24[[#All],[Year]:[Details]],ROWS(prem_analysis!$M$420:V450),COLUMNS(Data!$Q$3:Z33)))))),"")</f>
        <v/>
      </c>
      <c r="AB32" s="1" t="str">
        <f>IFERROR(IF($Q$1=$P$3,INDEX(prem_analysis!$P$2:$Q$441,ROWS(Data!$P$2:AA32),COLUMNS(Data!$P$3:Z33)),IF($Q$1=$P$5,INDEX(prem_analysis!$BH$1:$BS$23,ROWS(Data!$Q$3:AA33),COLUMNS(Data!$Q$3:AA33)),IF($Q$1=$P$6,INDEX(prem_analysis!$BU$1:$CF$67,ROWS(prem_analysis!$N$2:X32),COLUMNS(prem_analysis!$N$2:X32)),IF($Q$1=$P$4,INDEX(Table24[[#All],[Year]:[Details]],ROWS(prem_analysis!$M$420:W450),COLUMNS(Data!$Q$3:AA33)))))),"")</f>
        <v/>
      </c>
      <c r="AC32" s="1" t="str">
        <f>IFERROR(IF($Q$1=$P$3,INDEX(prem_analysis!$P$2:$Q$441,ROWS(Data!$P$2:AB32),COLUMNS(Data!$P$3:AA33)),IF($Q$1=$P$5,INDEX(prem_analysis!$BH$1:$BS$23,ROWS(Data!$Q$3:AB33),COLUMNS(Data!$Q$3:AB33)),IF($Q$1=$P$6,INDEX(prem_analysis!$BU$1:$CF$67,ROWS(prem_analysis!$N$2:Y32),COLUMNS(prem_analysis!$N$2:Y32)),IF($Q$1=$P$4,INDEX(Table24[[#All],[Year]:[Details]],ROWS(prem_analysis!$M$420:X450),COLUMNS(Data!$Q$3:AB33)))))),"")</f>
        <v/>
      </c>
    </row>
    <row r="33" spans="1:29" x14ac:dyDescent="0.2">
      <c r="A33" s="5">
        <v>2001</v>
      </c>
      <c r="B33" s="5">
        <v>12</v>
      </c>
      <c r="C33" s="6" t="s">
        <v>24</v>
      </c>
      <c r="D33" s="5">
        <v>38</v>
      </c>
      <c r="E33" s="5">
        <v>12</v>
      </c>
      <c r="F33" s="5">
        <v>9</v>
      </c>
      <c r="G33" s="5">
        <v>17</v>
      </c>
      <c r="H33" s="5">
        <v>35</v>
      </c>
      <c r="I33" s="5">
        <v>47</v>
      </c>
      <c r="J33" s="5">
        <v>-12</v>
      </c>
      <c r="K33" s="5">
        <v>45</v>
      </c>
      <c r="L33" s="5">
        <f>IF(Table24[[#This Row],['#]]=1,"Champion", IF(Table24[[#This Row],['#]]&gt;=18,"Relegated",Table24[[#This Row],['#]]))</f>
        <v>12</v>
      </c>
      <c r="M33" s="5" t="str">
        <f>IF(Table24[[#This Row],[Details]]=2,K32-Table24[[#This Row],[Pts]],IF(Table24[[#This Row],[Details]]=17,Table24[[#This Row],[Pts]]-K34,""))</f>
        <v/>
      </c>
      <c r="R33" s="1" t="str">
        <f>IFERROR(IF($Q$1=$P$3,INDEX(prem_analysis!$P$2:$Q$441,ROWS(Data!$P$2:Q33),COLUMNS(Data!$P$3:P34)),IF($Q$1=$P$5,INDEX(prem_analysis!$BH$1:$BS$23,ROWS(Data!$Q$3:Q34),COLUMNS(Data!$Q$3:Q34)),IF($Q$1=$P$6,INDEX(prem_analysis!$BU$1:$CF$67,ROWS(prem_analysis!$N$2:N33),COLUMNS(prem_analysis!$N$2:N33)),IF($Q$1=$P$4,INDEX(Table24[[#All],[Year]:[Details]],ROWS(prem_analysis!$M$420:M451),COLUMNS(Data!$Q$3:Q34)))))),"")</f>
        <v/>
      </c>
      <c r="S33" s="1" t="str">
        <f>IFERROR(IF($Q$1=$P$3,INDEX(prem_analysis!$P$2:$Q$441,ROWS(Data!$P$2:R33),COLUMNS(Data!$P$3:Q34)),IF($Q$1=$P$5,INDEX(prem_analysis!$BH$1:$BS$23,ROWS(Data!$Q$3:R34),COLUMNS(Data!$Q$3:R34)),IF($Q$1=$P$6,INDEX(prem_analysis!$BU$1:$CF$67,ROWS(prem_analysis!$N$2:O33),COLUMNS(prem_analysis!$N$2:O33)),IF($Q$1=$P$4,INDEX(Table24[[#All],[Year]:[Details]],ROWS(prem_analysis!$M$420:N451),COLUMNS(Data!$Q$3:R34)))))),"")</f>
        <v/>
      </c>
      <c r="T33" s="1" t="str">
        <f>IFERROR(IF($Q$1=$P$3,INDEX(prem_analysis!$P$2:$Q$441,ROWS(Data!$P$2:S33),COLUMNS(Data!$P$3:R34)),IF($Q$1=$P$5,INDEX(prem_analysis!$BH$1:$BS$23,ROWS(Data!$Q$3:S34),COLUMNS(Data!$Q$3:S34)),IF($Q$1=$P$6,INDEX(prem_analysis!$BU$1:$CF$67,ROWS(prem_analysis!$N$2:P33),COLUMNS(prem_analysis!$N$2:P33)),IF($Q$1=$P$4,INDEX(Table24[[#All],[Year]:[Details]],ROWS(prem_analysis!$M$420:O451),COLUMNS(Data!$Q$3:S34)))))),"")</f>
        <v/>
      </c>
      <c r="U33" s="1" t="str">
        <f>IFERROR(IF($Q$1=$P$3,INDEX(prem_analysis!$P$2:$Q$441,ROWS(Data!$P$2:T33),COLUMNS(Data!$P$3:S34)),IF($Q$1=$P$5,INDEX(prem_analysis!$BH$1:$BS$23,ROWS(Data!$Q$3:T34),COLUMNS(Data!$Q$3:T34)),IF($Q$1=$P$6,INDEX(prem_analysis!$BU$1:$CF$67,ROWS(prem_analysis!$N$2:Q33),COLUMNS(prem_analysis!$N$2:Q33)),IF($Q$1=$P$4,INDEX(Table24[[#All],[Year]:[Details]],ROWS(prem_analysis!$M$420:P451),COLUMNS(Data!$Q$3:T34)))))),"")</f>
        <v/>
      </c>
      <c r="V33" s="1" t="str">
        <f>IFERROR(IF($Q$1=$P$3,INDEX(prem_analysis!$P$2:$Q$441,ROWS(Data!$P$2:U33),COLUMNS(Data!$P$3:T34)),IF($Q$1=$P$5,INDEX(prem_analysis!$BH$1:$BS$23,ROWS(Data!$Q$3:U34),COLUMNS(Data!$Q$3:U34)),IF($Q$1=$P$6,INDEX(prem_analysis!$BU$1:$CF$67,ROWS(prem_analysis!$N$2:R33),COLUMNS(prem_analysis!$N$2:R33)),IF($Q$1=$P$4,INDEX(Table24[[#All],[Year]:[Details]],ROWS(prem_analysis!$M$420:Q451),COLUMNS(Data!$Q$3:U34)))))),"")</f>
        <v/>
      </c>
      <c r="W33" s="1" t="str">
        <f>IFERROR(IF($Q$1=$P$3,INDEX(prem_analysis!$P$2:$Q$441,ROWS(Data!$P$2:V33),COLUMNS(Data!$P$3:U34)),IF($Q$1=$P$5,INDEX(prem_analysis!$BH$1:$BS$23,ROWS(Data!$Q$3:V34),COLUMNS(Data!$Q$3:V34)),IF($Q$1=$P$6,INDEX(prem_analysis!$BU$1:$CF$67,ROWS(prem_analysis!$N$2:S33),COLUMNS(prem_analysis!$N$2:S33)),IF($Q$1=$P$4,INDEX(Table24[[#All],[Year]:[Details]],ROWS(prem_analysis!$M$420:R451),COLUMNS(Data!$Q$3:V34)))))),"")</f>
        <v/>
      </c>
      <c r="X33" s="1" t="str">
        <f>IFERROR(IF($Q$1=$P$3,INDEX(prem_analysis!$P$2:$Q$441,ROWS(Data!$P$2:W33),COLUMNS(Data!$P$3:V34)),IF($Q$1=$P$5,INDEX(prem_analysis!$BH$1:$BS$23,ROWS(Data!$Q$3:W34),COLUMNS(Data!$Q$3:W34)),IF($Q$1=$P$6,INDEX(prem_analysis!$BU$1:$CF$67,ROWS(prem_analysis!$N$2:T33),COLUMNS(prem_analysis!$N$2:T33)),IF($Q$1=$P$4,INDEX(Table24[[#All],[Year]:[Details]],ROWS(prem_analysis!$M$420:S451),COLUMNS(Data!$Q$3:W34)))))),"")</f>
        <v/>
      </c>
      <c r="Y33" s="1" t="str">
        <f>IFERROR(IF($Q$1=$P$3,INDEX(prem_analysis!$P$2:$Q$441,ROWS(Data!$P$2:X33),COLUMNS(Data!$P$3:W34)),IF($Q$1=$P$5,INDEX(prem_analysis!$BH$1:$BS$23,ROWS(Data!$Q$3:X34),COLUMNS(Data!$Q$3:X34)),IF($Q$1=$P$6,INDEX(prem_analysis!$BU$1:$CF$67,ROWS(prem_analysis!$N$2:U33),COLUMNS(prem_analysis!$N$2:U33)),IF($Q$1=$P$4,INDEX(Table24[[#All],[Year]:[Details]],ROWS(prem_analysis!$M$420:T451),COLUMNS(Data!$Q$3:X34)))))),"")</f>
        <v/>
      </c>
      <c r="Z33" s="1" t="str">
        <f>IFERROR(IF($Q$1=$P$3,INDEX(prem_analysis!$P$2:$Q$441,ROWS(Data!$P$2:Y33),COLUMNS(Data!$P$3:X34)),IF($Q$1=$P$5,INDEX(prem_analysis!$BH$1:$BS$23,ROWS(Data!$Q$3:Y34),COLUMNS(Data!$Q$3:Y34)),IF($Q$1=$P$6,INDEX(prem_analysis!$BU$1:$CF$67,ROWS(prem_analysis!$N$2:V33),COLUMNS(prem_analysis!$N$2:V33)),IF($Q$1=$P$4,INDEX(Table24[[#All],[Year]:[Details]],ROWS(prem_analysis!$M$420:U451),COLUMNS(Data!$Q$3:Y34)))))),"")</f>
        <v/>
      </c>
      <c r="AA33" s="1" t="str">
        <f>IFERROR(IF($Q$1=$P$3,INDEX(prem_analysis!$P$2:$Q$441,ROWS(Data!$P$2:Z33),COLUMNS(Data!$P$3:Y34)),IF($Q$1=$P$5,INDEX(prem_analysis!$BH$1:$BS$23,ROWS(Data!$Q$3:Z34),COLUMNS(Data!$Q$3:Z34)),IF($Q$1=$P$6,INDEX(prem_analysis!$BU$1:$CF$67,ROWS(prem_analysis!$N$2:W33),COLUMNS(prem_analysis!$N$2:W33)),IF($Q$1=$P$4,INDEX(Table24[[#All],[Year]:[Details]],ROWS(prem_analysis!$M$420:V451),COLUMNS(Data!$Q$3:Z34)))))),"")</f>
        <v/>
      </c>
      <c r="AB33" s="1" t="str">
        <f>IFERROR(IF($Q$1=$P$3,INDEX(prem_analysis!$P$2:$Q$441,ROWS(Data!$P$2:AA33),COLUMNS(Data!$P$3:Z34)),IF($Q$1=$P$5,INDEX(prem_analysis!$BH$1:$BS$23,ROWS(Data!$Q$3:AA34),COLUMNS(Data!$Q$3:AA34)),IF($Q$1=$P$6,INDEX(prem_analysis!$BU$1:$CF$67,ROWS(prem_analysis!$N$2:X33),COLUMNS(prem_analysis!$N$2:X33)),IF($Q$1=$P$4,INDEX(Table24[[#All],[Year]:[Details]],ROWS(prem_analysis!$M$420:W451),COLUMNS(Data!$Q$3:AA34)))))),"")</f>
        <v/>
      </c>
      <c r="AC33" s="1" t="str">
        <f>IFERROR(IF($Q$1=$P$3,INDEX(prem_analysis!$P$2:$Q$441,ROWS(Data!$P$2:AB33),COLUMNS(Data!$P$3:AA34)),IF($Q$1=$P$5,INDEX(prem_analysis!$BH$1:$BS$23,ROWS(Data!$Q$3:AB34),COLUMNS(Data!$Q$3:AB34)),IF($Q$1=$P$6,INDEX(prem_analysis!$BU$1:$CF$67,ROWS(prem_analysis!$N$2:Y33),COLUMNS(prem_analysis!$N$2:Y33)),IF($Q$1=$P$4,INDEX(Table24[[#All],[Year]:[Details]],ROWS(prem_analysis!$M$420:X451),COLUMNS(Data!$Q$3:AB34)))))),"")</f>
        <v/>
      </c>
    </row>
    <row r="34" spans="1:29" x14ac:dyDescent="0.2">
      <c r="A34" s="3">
        <v>2001</v>
      </c>
      <c r="B34" s="3">
        <v>13</v>
      </c>
      <c r="C34" s="4" t="s">
        <v>32</v>
      </c>
      <c r="D34" s="3">
        <v>38</v>
      </c>
      <c r="E34" s="3">
        <v>10</v>
      </c>
      <c r="F34" s="3">
        <v>14</v>
      </c>
      <c r="G34" s="3">
        <v>14</v>
      </c>
      <c r="H34" s="3">
        <v>36</v>
      </c>
      <c r="I34" s="3">
        <v>44</v>
      </c>
      <c r="J34" s="3">
        <v>-8</v>
      </c>
      <c r="K34" s="3">
        <v>44</v>
      </c>
      <c r="L34" s="5">
        <f>IF(Table24[[#This Row],['#]]=1,"Champion", IF(Table24[[#This Row],['#]]&gt;=18,"Relegated",Table24[[#This Row],['#]]))</f>
        <v>13</v>
      </c>
      <c r="M34" s="5" t="str">
        <f>IF(Table24[[#This Row],[Details]]=2,K33-Table24[[#This Row],[Pts]],IF(Table24[[#This Row],[Details]]=17,Table24[[#This Row],[Pts]]-K35,""))</f>
        <v/>
      </c>
      <c r="R34" s="1" t="str">
        <f>IFERROR(IF($Q$1=$P$3,INDEX(prem_analysis!$P$2:$Q$441,ROWS(Data!$P$2:Q34),COLUMNS(Data!$P$3:P35)),IF($Q$1=$P$5,INDEX(prem_analysis!$BH$1:$BS$23,ROWS(Data!$Q$3:Q35),COLUMNS(Data!$Q$3:Q35)),IF($Q$1=$P$6,INDEX(prem_analysis!$BU$1:$CF$67,ROWS(prem_analysis!$N$2:N34),COLUMNS(prem_analysis!$N$2:N34)),IF($Q$1=$P$4,INDEX(Table24[[#All],[Year]:[Details]],ROWS(prem_analysis!$M$420:M452),COLUMNS(Data!$Q$3:Q35)))))),"")</f>
        <v/>
      </c>
      <c r="S34" s="1" t="str">
        <f>IFERROR(IF($Q$1=$P$3,INDEX(prem_analysis!$P$2:$Q$441,ROWS(Data!$P$2:R34),COLUMNS(Data!$P$3:Q35)),IF($Q$1=$P$5,INDEX(prem_analysis!$BH$1:$BS$23,ROWS(Data!$Q$3:R35),COLUMNS(Data!$Q$3:R35)),IF($Q$1=$P$6,INDEX(prem_analysis!$BU$1:$CF$67,ROWS(prem_analysis!$N$2:O34),COLUMNS(prem_analysis!$N$2:O34)),IF($Q$1=$P$4,INDEX(Table24[[#All],[Year]:[Details]],ROWS(prem_analysis!$M$420:N452),COLUMNS(Data!$Q$3:R35)))))),"")</f>
        <v/>
      </c>
      <c r="T34" s="1" t="str">
        <f>IFERROR(IF($Q$1=$P$3,INDEX(prem_analysis!$P$2:$Q$441,ROWS(Data!$P$2:S34),COLUMNS(Data!$P$3:R35)),IF($Q$1=$P$5,INDEX(prem_analysis!$BH$1:$BS$23,ROWS(Data!$Q$3:S35),COLUMNS(Data!$Q$3:S35)),IF($Q$1=$P$6,INDEX(prem_analysis!$BU$1:$CF$67,ROWS(prem_analysis!$N$2:P34),COLUMNS(prem_analysis!$N$2:P34)),IF($Q$1=$P$4,INDEX(Table24[[#All],[Year]:[Details]],ROWS(prem_analysis!$M$420:O452),COLUMNS(Data!$Q$3:S35)))))),"")</f>
        <v/>
      </c>
      <c r="U34" s="1" t="str">
        <f>IFERROR(IF($Q$1=$P$3,INDEX(prem_analysis!$P$2:$Q$441,ROWS(Data!$P$2:T34),COLUMNS(Data!$P$3:S35)),IF($Q$1=$P$5,INDEX(prem_analysis!$BH$1:$BS$23,ROWS(Data!$Q$3:T35),COLUMNS(Data!$Q$3:T35)),IF($Q$1=$P$6,INDEX(prem_analysis!$BU$1:$CF$67,ROWS(prem_analysis!$N$2:Q34),COLUMNS(prem_analysis!$N$2:Q34)),IF($Q$1=$P$4,INDEX(Table24[[#All],[Year]:[Details]],ROWS(prem_analysis!$M$420:P452),COLUMNS(Data!$Q$3:T35)))))),"")</f>
        <v/>
      </c>
      <c r="V34" s="1" t="str">
        <f>IFERROR(IF($Q$1=$P$3,INDEX(prem_analysis!$P$2:$Q$441,ROWS(Data!$P$2:U34),COLUMNS(Data!$P$3:T35)),IF($Q$1=$P$5,INDEX(prem_analysis!$BH$1:$BS$23,ROWS(Data!$Q$3:U35),COLUMNS(Data!$Q$3:U35)),IF($Q$1=$P$6,INDEX(prem_analysis!$BU$1:$CF$67,ROWS(prem_analysis!$N$2:R34),COLUMNS(prem_analysis!$N$2:R34)),IF($Q$1=$P$4,INDEX(Table24[[#All],[Year]:[Details]],ROWS(prem_analysis!$M$420:Q452),COLUMNS(Data!$Q$3:U35)))))),"")</f>
        <v/>
      </c>
      <c r="W34" s="1" t="str">
        <f>IFERROR(IF($Q$1=$P$3,INDEX(prem_analysis!$P$2:$Q$441,ROWS(Data!$P$2:V34),COLUMNS(Data!$P$3:U35)),IF($Q$1=$P$5,INDEX(prem_analysis!$BH$1:$BS$23,ROWS(Data!$Q$3:V35),COLUMNS(Data!$Q$3:V35)),IF($Q$1=$P$6,INDEX(prem_analysis!$BU$1:$CF$67,ROWS(prem_analysis!$N$2:S34),COLUMNS(prem_analysis!$N$2:S34)),IF($Q$1=$P$4,INDEX(Table24[[#All],[Year]:[Details]],ROWS(prem_analysis!$M$420:R452),COLUMNS(Data!$Q$3:V35)))))),"")</f>
        <v/>
      </c>
      <c r="X34" s="1" t="str">
        <f>IFERROR(IF($Q$1=$P$3,INDEX(prem_analysis!$P$2:$Q$441,ROWS(Data!$P$2:W34),COLUMNS(Data!$P$3:V35)),IF($Q$1=$P$5,INDEX(prem_analysis!$BH$1:$BS$23,ROWS(Data!$Q$3:W35),COLUMNS(Data!$Q$3:W35)),IF($Q$1=$P$6,INDEX(prem_analysis!$BU$1:$CF$67,ROWS(prem_analysis!$N$2:T34),COLUMNS(prem_analysis!$N$2:T34)),IF($Q$1=$P$4,INDEX(Table24[[#All],[Year]:[Details]],ROWS(prem_analysis!$M$420:S452),COLUMNS(Data!$Q$3:W35)))))),"")</f>
        <v/>
      </c>
      <c r="Y34" s="1" t="str">
        <f>IFERROR(IF($Q$1=$P$3,INDEX(prem_analysis!$P$2:$Q$441,ROWS(Data!$P$2:X34),COLUMNS(Data!$P$3:W35)),IF($Q$1=$P$5,INDEX(prem_analysis!$BH$1:$BS$23,ROWS(Data!$Q$3:X35),COLUMNS(Data!$Q$3:X35)),IF($Q$1=$P$6,INDEX(prem_analysis!$BU$1:$CF$67,ROWS(prem_analysis!$N$2:U34),COLUMNS(prem_analysis!$N$2:U34)),IF($Q$1=$P$4,INDEX(Table24[[#All],[Year]:[Details]],ROWS(prem_analysis!$M$420:T452),COLUMNS(Data!$Q$3:X35)))))),"")</f>
        <v/>
      </c>
      <c r="Z34" s="1" t="str">
        <f>IFERROR(IF($Q$1=$P$3,INDEX(prem_analysis!$P$2:$Q$441,ROWS(Data!$P$2:Y34),COLUMNS(Data!$P$3:X35)),IF($Q$1=$P$5,INDEX(prem_analysis!$BH$1:$BS$23,ROWS(Data!$Q$3:Y35),COLUMNS(Data!$Q$3:Y35)),IF($Q$1=$P$6,INDEX(prem_analysis!$BU$1:$CF$67,ROWS(prem_analysis!$N$2:V34),COLUMNS(prem_analysis!$N$2:V34)),IF($Q$1=$P$4,INDEX(Table24[[#All],[Year]:[Details]],ROWS(prem_analysis!$M$420:U452),COLUMNS(Data!$Q$3:Y35)))))),"")</f>
        <v/>
      </c>
      <c r="AA34" s="1" t="str">
        <f>IFERROR(IF($Q$1=$P$3,INDEX(prem_analysis!$P$2:$Q$441,ROWS(Data!$P$2:Z34),COLUMNS(Data!$P$3:Y35)),IF($Q$1=$P$5,INDEX(prem_analysis!$BH$1:$BS$23,ROWS(Data!$Q$3:Z35),COLUMNS(Data!$Q$3:Z35)),IF($Q$1=$P$6,INDEX(prem_analysis!$BU$1:$CF$67,ROWS(prem_analysis!$N$2:W34),COLUMNS(prem_analysis!$N$2:W34)),IF($Q$1=$P$4,INDEX(Table24[[#All],[Year]:[Details]],ROWS(prem_analysis!$M$420:V452),COLUMNS(Data!$Q$3:Z35)))))),"")</f>
        <v/>
      </c>
      <c r="AB34" s="1" t="str">
        <f>IFERROR(IF($Q$1=$P$3,INDEX(prem_analysis!$P$2:$Q$441,ROWS(Data!$P$2:AA34),COLUMNS(Data!$P$3:Z35)),IF($Q$1=$P$5,INDEX(prem_analysis!$BH$1:$BS$23,ROWS(Data!$Q$3:AA35),COLUMNS(Data!$Q$3:AA35)),IF($Q$1=$P$6,INDEX(prem_analysis!$BU$1:$CF$67,ROWS(prem_analysis!$N$2:X34),COLUMNS(prem_analysis!$N$2:X34)),IF($Q$1=$P$4,INDEX(Table24[[#All],[Year]:[Details]],ROWS(prem_analysis!$M$420:W452),COLUMNS(Data!$Q$3:AA35)))))),"")</f>
        <v/>
      </c>
      <c r="AC34" s="1" t="str">
        <f>IFERROR(IF($Q$1=$P$3,INDEX(prem_analysis!$P$2:$Q$441,ROWS(Data!$P$2:AB34),COLUMNS(Data!$P$3:AA35)),IF($Q$1=$P$5,INDEX(prem_analysis!$BH$1:$BS$23,ROWS(Data!$Q$3:AB35),COLUMNS(Data!$Q$3:AB35)),IF($Q$1=$P$6,INDEX(prem_analysis!$BU$1:$CF$67,ROWS(prem_analysis!$N$2:Y34),COLUMNS(prem_analysis!$N$2:Y34)),IF($Q$1=$P$4,INDEX(Table24[[#All],[Year]:[Details]],ROWS(prem_analysis!$M$420:X452),COLUMNS(Data!$Q$3:AB35)))))),"")</f>
        <v/>
      </c>
    </row>
    <row r="35" spans="1:29" x14ac:dyDescent="0.2">
      <c r="A35" s="5">
        <v>2001</v>
      </c>
      <c r="B35" s="5">
        <v>14</v>
      </c>
      <c r="C35" s="6" t="s">
        <v>19</v>
      </c>
      <c r="D35" s="5">
        <v>38</v>
      </c>
      <c r="E35" s="5">
        <v>10</v>
      </c>
      <c r="F35" s="5">
        <v>14</v>
      </c>
      <c r="G35" s="5">
        <v>14</v>
      </c>
      <c r="H35" s="5">
        <v>38</v>
      </c>
      <c r="I35" s="5">
        <v>49</v>
      </c>
      <c r="J35" s="5">
        <v>-11</v>
      </c>
      <c r="K35" s="5">
        <v>44</v>
      </c>
      <c r="L35" s="5">
        <f>IF(Table24[[#This Row],['#]]=1,"Champion", IF(Table24[[#This Row],['#]]&gt;=18,"Relegated",Table24[[#This Row],['#]]))</f>
        <v>14</v>
      </c>
      <c r="M35" s="5" t="str">
        <f>IF(Table24[[#This Row],[Details]]=2,K34-Table24[[#This Row],[Pts]],IF(Table24[[#This Row],[Details]]=17,Table24[[#This Row],[Pts]]-K36,""))</f>
        <v/>
      </c>
      <c r="R35" s="1" t="str">
        <f>IFERROR(IF($Q$1=$P$3,INDEX(prem_analysis!$P$2:$Q$441,ROWS(Data!$P$2:Q35),COLUMNS(Data!$P$3:P36)),IF($Q$1=$P$5,INDEX(prem_analysis!$BH$1:$BS$23,ROWS(Data!$Q$3:Q36),COLUMNS(Data!$Q$3:Q36)),IF($Q$1=$P$6,INDEX(prem_analysis!$BU$1:$CF$67,ROWS(prem_analysis!$N$2:N35),COLUMNS(prem_analysis!$N$2:N35)),IF($Q$1=$P$4,INDEX(Table24[[#All],[Year]:[Details]],ROWS(prem_analysis!$M$420:M453),COLUMNS(Data!$Q$3:Q36)))))),"")</f>
        <v/>
      </c>
      <c r="S35" s="1" t="str">
        <f>IFERROR(IF($Q$1=$P$3,INDEX(prem_analysis!$P$2:$Q$441,ROWS(Data!$P$2:R35),COLUMNS(Data!$P$3:Q36)),IF($Q$1=$P$5,INDEX(prem_analysis!$BH$1:$BS$23,ROWS(Data!$Q$3:R36),COLUMNS(Data!$Q$3:R36)),IF($Q$1=$P$6,INDEX(prem_analysis!$BU$1:$CF$67,ROWS(prem_analysis!$N$2:O35),COLUMNS(prem_analysis!$N$2:O35)),IF($Q$1=$P$4,INDEX(Table24[[#All],[Year]:[Details]],ROWS(prem_analysis!$M$420:N453),COLUMNS(Data!$Q$3:R36)))))),"")</f>
        <v/>
      </c>
      <c r="T35" s="1" t="str">
        <f>IFERROR(IF($Q$1=$P$3,INDEX(prem_analysis!$P$2:$Q$441,ROWS(Data!$P$2:S35),COLUMNS(Data!$P$3:R36)),IF($Q$1=$P$5,INDEX(prem_analysis!$BH$1:$BS$23,ROWS(Data!$Q$3:S36),COLUMNS(Data!$Q$3:S36)),IF($Q$1=$P$6,INDEX(prem_analysis!$BU$1:$CF$67,ROWS(prem_analysis!$N$2:P35),COLUMNS(prem_analysis!$N$2:P35)),IF($Q$1=$P$4,INDEX(Table24[[#All],[Year]:[Details]],ROWS(prem_analysis!$M$420:O453),COLUMNS(Data!$Q$3:S36)))))),"")</f>
        <v/>
      </c>
      <c r="U35" s="1" t="str">
        <f>IFERROR(IF($Q$1=$P$3,INDEX(prem_analysis!$P$2:$Q$441,ROWS(Data!$P$2:T35),COLUMNS(Data!$P$3:S36)),IF($Q$1=$P$5,INDEX(prem_analysis!$BH$1:$BS$23,ROWS(Data!$Q$3:T36),COLUMNS(Data!$Q$3:T36)),IF($Q$1=$P$6,INDEX(prem_analysis!$BU$1:$CF$67,ROWS(prem_analysis!$N$2:Q35),COLUMNS(prem_analysis!$N$2:Q35)),IF($Q$1=$P$4,INDEX(Table24[[#All],[Year]:[Details]],ROWS(prem_analysis!$M$420:P453),COLUMNS(Data!$Q$3:T36)))))),"")</f>
        <v/>
      </c>
      <c r="V35" s="1" t="str">
        <f>IFERROR(IF($Q$1=$P$3,INDEX(prem_analysis!$P$2:$Q$441,ROWS(Data!$P$2:U35),COLUMNS(Data!$P$3:T36)),IF($Q$1=$P$5,INDEX(prem_analysis!$BH$1:$BS$23,ROWS(Data!$Q$3:U36),COLUMNS(Data!$Q$3:U36)),IF($Q$1=$P$6,INDEX(prem_analysis!$BU$1:$CF$67,ROWS(prem_analysis!$N$2:R35),COLUMNS(prem_analysis!$N$2:R35)),IF($Q$1=$P$4,INDEX(Table24[[#All],[Year]:[Details]],ROWS(prem_analysis!$M$420:Q453),COLUMNS(Data!$Q$3:U36)))))),"")</f>
        <v/>
      </c>
      <c r="W35" s="1" t="str">
        <f>IFERROR(IF($Q$1=$P$3,INDEX(prem_analysis!$P$2:$Q$441,ROWS(Data!$P$2:V35),COLUMNS(Data!$P$3:U36)),IF($Q$1=$P$5,INDEX(prem_analysis!$BH$1:$BS$23,ROWS(Data!$Q$3:V36),COLUMNS(Data!$Q$3:V36)),IF($Q$1=$P$6,INDEX(prem_analysis!$BU$1:$CF$67,ROWS(prem_analysis!$N$2:S35),COLUMNS(prem_analysis!$N$2:S35)),IF($Q$1=$P$4,INDEX(Table24[[#All],[Year]:[Details]],ROWS(prem_analysis!$M$420:R453),COLUMNS(Data!$Q$3:V36)))))),"")</f>
        <v/>
      </c>
      <c r="X35" s="1" t="str">
        <f>IFERROR(IF($Q$1=$P$3,INDEX(prem_analysis!$P$2:$Q$441,ROWS(Data!$P$2:W35),COLUMNS(Data!$P$3:V36)),IF($Q$1=$P$5,INDEX(prem_analysis!$BH$1:$BS$23,ROWS(Data!$Q$3:W36),COLUMNS(Data!$Q$3:W36)),IF($Q$1=$P$6,INDEX(prem_analysis!$BU$1:$CF$67,ROWS(prem_analysis!$N$2:T35),COLUMNS(prem_analysis!$N$2:T35)),IF($Q$1=$P$4,INDEX(Table24[[#All],[Year]:[Details]],ROWS(prem_analysis!$M$420:S453),COLUMNS(Data!$Q$3:W36)))))),"")</f>
        <v/>
      </c>
      <c r="Y35" s="1" t="str">
        <f>IFERROR(IF($Q$1=$P$3,INDEX(prem_analysis!$P$2:$Q$441,ROWS(Data!$P$2:X35),COLUMNS(Data!$P$3:W36)),IF($Q$1=$P$5,INDEX(prem_analysis!$BH$1:$BS$23,ROWS(Data!$Q$3:X36),COLUMNS(Data!$Q$3:X36)),IF($Q$1=$P$6,INDEX(prem_analysis!$BU$1:$CF$67,ROWS(prem_analysis!$N$2:U35),COLUMNS(prem_analysis!$N$2:U35)),IF($Q$1=$P$4,INDEX(Table24[[#All],[Year]:[Details]],ROWS(prem_analysis!$M$420:T453),COLUMNS(Data!$Q$3:X36)))))),"")</f>
        <v/>
      </c>
      <c r="Z35" s="1" t="str">
        <f>IFERROR(IF($Q$1=$P$3,INDEX(prem_analysis!$P$2:$Q$441,ROWS(Data!$P$2:Y35),COLUMNS(Data!$P$3:X36)),IF($Q$1=$P$5,INDEX(prem_analysis!$BH$1:$BS$23,ROWS(Data!$Q$3:Y36),COLUMNS(Data!$Q$3:Y36)),IF($Q$1=$P$6,INDEX(prem_analysis!$BU$1:$CF$67,ROWS(prem_analysis!$N$2:V35),COLUMNS(prem_analysis!$N$2:V35)),IF($Q$1=$P$4,INDEX(Table24[[#All],[Year]:[Details]],ROWS(prem_analysis!$M$420:U453),COLUMNS(Data!$Q$3:Y36)))))),"")</f>
        <v/>
      </c>
      <c r="AA35" s="1" t="str">
        <f>IFERROR(IF($Q$1=$P$3,INDEX(prem_analysis!$P$2:$Q$441,ROWS(Data!$P$2:Z35),COLUMNS(Data!$P$3:Y36)),IF($Q$1=$P$5,INDEX(prem_analysis!$BH$1:$BS$23,ROWS(Data!$Q$3:Z36),COLUMNS(Data!$Q$3:Z36)),IF($Q$1=$P$6,INDEX(prem_analysis!$BU$1:$CF$67,ROWS(prem_analysis!$N$2:W35),COLUMNS(prem_analysis!$N$2:W35)),IF($Q$1=$P$4,INDEX(Table24[[#All],[Year]:[Details]],ROWS(prem_analysis!$M$420:V453),COLUMNS(Data!$Q$3:Z36)))))),"")</f>
        <v/>
      </c>
      <c r="AB35" s="1" t="str">
        <f>IFERROR(IF($Q$1=$P$3,INDEX(prem_analysis!$P$2:$Q$441,ROWS(Data!$P$2:AA35),COLUMNS(Data!$P$3:Z36)),IF($Q$1=$P$5,INDEX(prem_analysis!$BH$1:$BS$23,ROWS(Data!$Q$3:AA36),COLUMNS(Data!$Q$3:AA36)),IF($Q$1=$P$6,INDEX(prem_analysis!$BU$1:$CF$67,ROWS(prem_analysis!$N$2:X35),COLUMNS(prem_analysis!$N$2:X35)),IF($Q$1=$P$4,INDEX(Table24[[#All],[Year]:[Details]],ROWS(prem_analysis!$M$420:W453),COLUMNS(Data!$Q$3:AA36)))))),"")</f>
        <v/>
      </c>
      <c r="AC35" s="1" t="str">
        <f>IFERROR(IF($Q$1=$P$3,INDEX(prem_analysis!$P$2:$Q$441,ROWS(Data!$P$2:AB35),COLUMNS(Data!$P$3:AA36)),IF($Q$1=$P$5,INDEX(prem_analysis!$BH$1:$BS$23,ROWS(Data!$Q$3:AB36),COLUMNS(Data!$Q$3:AB36)),IF($Q$1=$P$6,INDEX(prem_analysis!$BU$1:$CF$67,ROWS(prem_analysis!$N$2:Y35),COLUMNS(prem_analysis!$N$2:Y35)),IF($Q$1=$P$4,INDEX(Table24[[#All],[Year]:[Details]],ROWS(prem_analysis!$M$420:X453),COLUMNS(Data!$Q$3:AB36)))))),"")</f>
        <v/>
      </c>
    </row>
    <row r="36" spans="1:29" x14ac:dyDescent="0.2">
      <c r="A36" s="3">
        <v>2001</v>
      </c>
      <c r="B36" s="3">
        <v>15</v>
      </c>
      <c r="C36" s="4" t="s">
        <v>26</v>
      </c>
      <c r="D36" s="3">
        <v>38</v>
      </c>
      <c r="E36" s="3">
        <v>11</v>
      </c>
      <c r="F36" s="3">
        <v>10</v>
      </c>
      <c r="G36" s="3">
        <v>17</v>
      </c>
      <c r="H36" s="3">
        <v>45</v>
      </c>
      <c r="I36" s="3">
        <v>57</v>
      </c>
      <c r="J36" s="3">
        <v>-12</v>
      </c>
      <c r="K36" s="3">
        <v>43</v>
      </c>
      <c r="L36" s="5">
        <f>IF(Table24[[#This Row],['#]]=1,"Champion", IF(Table24[[#This Row],['#]]&gt;=18,"Relegated",Table24[[#This Row],['#]]))</f>
        <v>15</v>
      </c>
      <c r="M36" s="5" t="str">
        <f>IF(Table24[[#This Row],[Details]]=2,K35-Table24[[#This Row],[Pts]],IF(Table24[[#This Row],[Details]]=17,Table24[[#This Row],[Pts]]-K37,""))</f>
        <v/>
      </c>
      <c r="R36" s="1" t="str">
        <f>IFERROR(IF($Q$1=$P$3,INDEX(prem_analysis!$P$2:$Q$441,ROWS(Data!$P$2:Q36),COLUMNS(Data!$P$3:P37)),IF($Q$1=$P$5,INDEX(prem_analysis!$BH$1:$BS$23,ROWS(Data!$Q$3:Q37),COLUMNS(Data!$Q$3:Q37)),IF($Q$1=$P$6,INDEX(prem_analysis!$BU$1:$CF$67,ROWS(prem_analysis!$N$2:N36),COLUMNS(prem_analysis!$N$2:N36)),IF($Q$1=$P$4,INDEX(Table24[[#All],[Year]:[Details]],ROWS(prem_analysis!$M$420:M454),COLUMNS(Data!$Q$3:Q37)))))),"")</f>
        <v/>
      </c>
      <c r="S36" s="1" t="str">
        <f>IFERROR(IF($Q$1=$P$3,INDEX(prem_analysis!$P$2:$Q$441,ROWS(Data!$P$2:R36),COLUMNS(Data!$P$3:Q37)),IF($Q$1=$P$5,INDEX(prem_analysis!$BH$1:$BS$23,ROWS(Data!$Q$3:R37),COLUMNS(Data!$Q$3:R37)),IF($Q$1=$P$6,INDEX(prem_analysis!$BU$1:$CF$67,ROWS(prem_analysis!$N$2:O36),COLUMNS(prem_analysis!$N$2:O36)),IF($Q$1=$P$4,INDEX(Table24[[#All],[Year]:[Details]],ROWS(prem_analysis!$M$420:N454),COLUMNS(Data!$Q$3:R37)))))),"")</f>
        <v/>
      </c>
      <c r="T36" s="1" t="str">
        <f>IFERROR(IF($Q$1=$P$3,INDEX(prem_analysis!$P$2:$Q$441,ROWS(Data!$P$2:S36),COLUMNS(Data!$P$3:R37)),IF($Q$1=$P$5,INDEX(prem_analysis!$BH$1:$BS$23,ROWS(Data!$Q$3:S37),COLUMNS(Data!$Q$3:S37)),IF($Q$1=$P$6,INDEX(prem_analysis!$BU$1:$CF$67,ROWS(prem_analysis!$N$2:P36),COLUMNS(prem_analysis!$N$2:P36)),IF($Q$1=$P$4,INDEX(Table24[[#All],[Year]:[Details]],ROWS(prem_analysis!$M$420:O454),COLUMNS(Data!$Q$3:S37)))))),"")</f>
        <v/>
      </c>
      <c r="U36" s="1" t="str">
        <f>IFERROR(IF($Q$1=$P$3,INDEX(prem_analysis!$P$2:$Q$441,ROWS(Data!$P$2:T36),COLUMNS(Data!$P$3:S37)),IF($Q$1=$P$5,INDEX(prem_analysis!$BH$1:$BS$23,ROWS(Data!$Q$3:T37),COLUMNS(Data!$Q$3:T37)),IF($Q$1=$P$6,INDEX(prem_analysis!$BU$1:$CF$67,ROWS(prem_analysis!$N$2:Q36),COLUMNS(prem_analysis!$N$2:Q36)),IF($Q$1=$P$4,INDEX(Table24[[#All],[Year]:[Details]],ROWS(prem_analysis!$M$420:P454),COLUMNS(Data!$Q$3:T37)))))),"")</f>
        <v/>
      </c>
      <c r="V36" s="1" t="str">
        <f>IFERROR(IF($Q$1=$P$3,INDEX(prem_analysis!$P$2:$Q$441,ROWS(Data!$P$2:U36),COLUMNS(Data!$P$3:T37)),IF($Q$1=$P$5,INDEX(prem_analysis!$BH$1:$BS$23,ROWS(Data!$Q$3:U37),COLUMNS(Data!$Q$3:U37)),IF($Q$1=$P$6,INDEX(prem_analysis!$BU$1:$CF$67,ROWS(prem_analysis!$N$2:R36),COLUMNS(prem_analysis!$N$2:R36)),IF($Q$1=$P$4,INDEX(Table24[[#All],[Year]:[Details]],ROWS(prem_analysis!$M$420:Q454),COLUMNS(Data!$Q$3:U37)))))),"")</f>
        <v/>
      </c>
      <c r="W36" s="1" t="str">
        <f>IFERROR(IF($Q$1=$P$3,INDEX(prem_analysis!$P$2:$Q$441,ROWS(Data!$P$2:V36),COLUMNS(Data!$P$3:U37)),IF($Q$1=$P$5,INDEX(prem_analysis!$BH$1:$BS$23,ROWS(Data!$Q$3:V37),COLUMNS(Data!$Q$3:V37)),IF($Q$1=$P$6,INDEX(prem_analysis!$BU$1:$CF$67,ROWS(prem_analysis!$N$2:S36),COLUMNS(prem_analysis!$N$2:S36)),IF($Q$1=$P$4,INDEX(Table24[[#All],[Year]:[Details]],ROWS(prem_analysis!$M$420:R454),COLUMNS(Data!$Q$3:V37)))))),"")</f>
        <v/>
      </c>
      <c r="X36" s="1" t="str">
        <f>IFERROR(IF($Q$1=$P$3,INDEX(prem_analysis!$P$2:$Q$441,ROWS(Data!$P$2:W36),COLUMNS(Data!$P$3:V37)),IF($Q$1=$P$5,INDEX(prem_analysis!$BH$1:$BS$23,ROWS(Data!$Q$3:W37),COLUMNS(Data!$Q$3:W37)),IF($Q$1=$P$6,INDEX(prem_analysis!$BU$1:$CF$67,ROWS(prem_analysis!$N$2:T36),COLUMNS(prem_analysis!$N$2:T36)),IF($Q$1=$P$4,INDEX(Table24[[#All],[Year]:[Details]],ROWS(prem_analysis!$M$420:S454),COLUMNS(Data!$Q$3:W37)))))),"")</f>
        <v/>
      </c>
      <c r="Y36" s="1" t="str">
        <f>IFERROR(IF($Q$1=$P$3,INDEX(prem_analysis!$P$2:$Q$441,ROWS(Data!$P$2:X36),COLUMNS(Data!$P$3:W37)),IF($Q$1=$P$5,INDEX(prem_analysis!$BH$1:$BS$23,ROWS(Data!$Q$3:X37),COLUMNS(Data!$Q$3:X37)),IF($Q$1=$P$6,INDEX(prem_analysis!$BU$1:$CF$67,ROWS(prem_analysis!$N$2:U36),COLUMNS(prem_analysis!$N$2:U36)),IF($Q$1=$P$4,INDEX(Table24[[#All],[Year]:[Details]],ROWS(prem_analysis!$M$420:T454),COLUMNS(Data!$Q$3:X37)))))),"")</f>
        <v/>
      </c>
      <c r="Z36" s="1" t="str">
        <f>IFERROR(IF($Q$1=$P$3,INDEX(prem_analysis!$P$2:$Q$441,ROWS(Data!$P$2:Y36),COLUMNS(Data!$P$3:X37)),IF($Q$1=$P$5,INDEX(prem_analysis!$BH$1:$BS$23,ROWS(Data!$Q$3:Y37),COLUMNS(Data!$Q$3:Y37)),IF($Q$1=$P$6,INDEX(prem_analysis!$BU$1:$CF$67,ROWS(prem_analysis!$N$2:V36),COLUMNS(prem_analysis!$N$2:V36)),IF($Q$1=$P$4,INDEX(Table24[[#All],[Year]:[Details]],ROWS(prem_analysis!$M$420:U454),COLUMNS(Data!$Q$3:Y37)))))),"")</f>
        <v/>
      </c>
      <c r="AA36" s="1" t="str">
        <f>IFERROR(IF($Q$1=$P$3,INDEX(prem_analysis!$P$2:$Q$441,ROWS(Data!$P$2:Z36),COLUMNS(Data!$P$3:Y37)),IF($Q$1=$P$5,INDEX(prem_analysis!$BH$1:$BS$23,ROWS(Data!$Q$3:Z37),COLUMNS(Data!$Q$3:Z37)),IF($Q$1=$P$6,INDEX(prem_analysis!$BU$1:$CF$67,ROWS(prem_analysis!$N$2:W36),COLUMNS(prem_analysis!$N$2:W36)),IF($Q$1=$P$4,INDEX(Table24[[#All],[Year]:[Details]],ROWS(prem_analysis!$M$420:V454),COLUMNS(Data!$Q$3:Z37)))))),"")</f>
        <v/>
      </c>
      <c r="AB36" s="1" t="str">
        <f>IFERROR(IF($Q$1=$P$3,INDEX(prem_analysis!$P$2:$Q$441,ROWS(Data!$P$2:AA36),COLUMNS(Data!$P$3:Z37)),IF($Q$1=$P$5,INDEX(prem_analysis!$BH$1:$BS$23,ROWS(Data!$Q$3:AA37),COLUMNS(Data!$Q$3:AA37)),IF($Q$1=$P$6,INDEX(prem_analysis!$BU$1:$CF$67,ROWS(prem_analysis!$N$2:X36),COLUMNS(prem_analysis!$N$2:X36)),IF($Q$1=$P$4,INDEX(Table24[[#All],[Year]:[Details]],ROWS(prem_analysis!$M$420:W454),COLUMNS(Data!$Q$3:AA37)))))),"")</f>
        <v/>
      </c>
      <c r="AC36" s="1" t="str">
        <f>IFERROR(IF($Q$1=$P$3,INDEX(prem_analysis!$P$2:$Q$441,ROWS(Data!$P$2:AB36),COLUMNS(Data!$P$3:AA37)),IF($Q$1=$P$5,INDEX(prem_analysis!$BH$1:$BS$23,ROWS(Data!$Q$3:AB37),COLUMNS(Data!$Q$3:AB37)),IF($Q$1=$P$6,INDEX(prem_analysis!$BU$1:$CF$67,ROWS(prem_analysis!$N$2:Y36),COLUMNS(prem_analysis!$N$2:Y36)),IF($Q$1=$P$4,INDEX(Table24[[#All],[Year]:[Details]],ROWS(prem_analysis!$M$420:X454),COLUMNS(Data!$Q$3:AB37)))))),"")</f>
        <v/>
      </c>
    </row>
    <row r="37" spans="1:29" x14ac:dyDescent="0.2">
      <c r="A37" s="5">
        <v>2001</v>
      </c>
      <c r="B37" s="5">
        <v>16</v>
      </c>
      <c r="C37" s="6" t="s">
        <v>33</v>
      </c>
      <c r="D37" s="5">
        <v>38</v>
      </c>
      <c r="E37" s="5">
        <v>9</v>
      </c>
      <c r="F37" s="5">
        <v>13</v>
      </c>
      <c r="G37" s="5">
        <v>16</v>
      </c>
      <c r="H37" s="5">
        <v>44</v>
      </c>
      <c r="I37" s="5">
        <v>62</v>
      </c>
      <c r="J37" s="5">
        <v>-18</v>
      </c>
      <c r="K37" s="5">
        <v>40</v>
      </c>
      <c r="L37" s="5">
        <f>IF(Table24[[#This Row],['#]]=1,"Champion", IF(Table24[[#This Row],['#]]&gt;=18,"Relegated",Table24[[#This Row],['#]]))</f>
        <v>16</v>
      </c>
      <c r="M37" s="5" t="str">
        <f>IF(Table24[[#This Row],[Details]]=2,K36-Table24[[#This Row],[Pts]],IF(Table24[[#This Row],[Details]]=17,Table24[[#This Row],[Pts]]-K38,""))</f>
        <v/>
      </c>
      <c r="R37" s="1" t="str">
        <f>IFERROR(IF($Q$1=$P$3,INDEX(prem_analysis!$P$2:$Q$441,ROWS(Data!$P$2:Q37),COLUMNS(Data!$P$3:P38)),IF($Q$1=$P$5,INDEX(prem_analysis!$BH$1:$BS$23,ROWS(Data!$Q$3:Q38),COLUMNS(Data!$Q$3:Q38)),IF($Q$1=$P$6,INDEX(prem_analysis!$BU$1:$CF$67,ROWS(prem_analysis!$N$2:N37),COLUMNS(prem_analysis!$N$2:N37)),IF($Q$1=$P$4,INDEX(Table24[[#All],[Year]:[Details]],ROWS(prem_analysis!$M$420:M455),COLUMNS(Data!$Q$3:Q38)))))),"")</f>
        <v/>
      </c>
      <c r="S37" s="1" t="str">
        <f>IFERROR(IF($Q$1=$P$3,INDEX(prem_analysis!$P$2:$Q$441,ROWS(Data!$P$2:R37),COLUMNS(Data!$P$3:Q38)),IF($Q$1=$P$5,INDEX(prem_analysis!$BH$1:$BS$23,ROWS(Data!$Q$3:R38),COLUMNS(Data!$Q$3:R38)),IF($Q$1=$P$6,INDEX(prem_analysis!$BU$1:$CF$67,ROWS(prem_analysis!$N$2:O37),COLUMNS(prem_analysis!$N$2:O37)),IF($Q$1=$P$4,INDEX(Table24[[#All],[Year]:[Details]],ROWS(prem_analysis!$M$420:N455),COLUMNS(Data!$Q$3:R38)))))),"")</f>
        <v/>
      </c>
      <c r="T37" s="1" t="str">
        <f>IFERROR(IF($Q$1=$P$3,INDEX(prem_analysis!$P$2:$Q$441,ROWS(Data!$P$2:S37),COLUMNS(Data!$P$3:R38)),IF($Q$1=$P$5,INDEX(prem_analysis!$BH$1:$BS$23,ROWS(Data!$Q$3:S38),COLUMNS(Data!$Q$3:S38)),IF($Q$1=$P$6,INDEX(prem_analysis!$BU$1:$CF$67,ROWS(prem_analysis!$N$2:P37),COLUMNS(prem_analysis!$N$2:P37)),IF($Q$1=$P$4,INDEX(Table24[[#All],[Year]:[Details]],ROWS(prem_analysis!$M$420:O455),COLUMNS(Data!$Q$3:S38)))))),"")</f>
        <v/>
      </c>
      <c r="U37" s="1" t="str">
        <f>IFERROR(IF($Q$1=$P$3,INDEX(prem_analysis!$P$2:$Q$441,ROWS(Data!$P$2:T37),COLUMNS(Data!$P$3:S38)),IF($Q$1=$P$5,INDEX(prem_analysis!$BH$1:$BS$23,ROWS(Data!$Q$3:T38),COLUMNS(Data!$Q$3:T38)),IF($Q$1=$P$6,INDEX(prem_analysis!$BU$1:$CF$67,ROWS(prem_analysis!$N$2:Q37),COLUMNS(prem_analysis!$N$2:Q37)),IF($Q$1=$P$4,INDEX(Table24[[#All],[Year]:[Details]],ROWS(prem_analysis!$M$420:P455),COLUMNS(Data!$Q$3:T38)))))),"")</f>
        <v/>
      </c>
      <c r="V37" s="1" t="str">
        <f>IFERROR(IF($Q$1=$P$3,INDEX(prem_analysis!$P$2:$Q$441,ROWS(Data!$P$2:U37),COLUMNS(Data!$P$3:T38)),IF($Q$1=$P$5,INDEX(prem_analysis!$BH$1:$BS$23,ROWS(Data!$Q$3:U38),COLUMNS(Data!$Q$3:U38)),IF($Q$1=$P$6,INDEX(prem_analysis!$BU$1:$CF$67,ROWS(prem_analysis!$N$2:R37),COLUMNS(prem_analysis!$N$2:R37)),IF($Q$1=$P$4,INDEX(Table24[[#All],[Year]:[Details]],ROWS(prem_analysis!$M$420:Q455),COLUMNS(Data!$Q$3:U38)))))),"")</f>
        <v/>
      </c>
      <c r="W37" s="1" t="str">
        <f>IFERROR(IF($Q$1=$P$3,INDEX(prem_analysis!$P$2:$Q$441,ROWS(Data!$P$2:V37),COLUMNS(Data!$P$3:U38)),IF($Q$1=$P$5,INDEX(prem_analysis!$BH$1:$BS$23,ROWS(Data!$Q$3:V38),COLUMNS(Data!$Q$3:V38)),IF($Q$1=$P$6,INDEX(prem_analysis!$BU$1:$CF$67,ROWS(prem_analysis!$N$2:S37),COLUMNS(prem_analysis!$N$2:S37)),IF($Q$1=$P$4,INDEX(Table24[[#All],[Year]:[Details]],ROWS(prem_analysis!$M$420:R455),COLUMNS(Data!$Q$3:V38)))))),"")</f>
        <v/>
      </c>
      <c r="X37" s="1" t="str">
        <f>IFERROR(IF($Q$1=$P$3,INDEX(prem_analysis!$P$2:$Q$441,ROWS(Data!$P$2:W37),COLUMNS(Data!$P$3:V38)),IF($Q$1=$P$5,INDEX(prem_analysis!$BH$1:$BS$23,ROWS(Data!$Q$3:W38),COLUMNS(Data!$Q$3:W38)),IF($Q$1=$P$6,INDEX(prem_analysis!$BU$1:$CF$67,ROWS(prem_analysis!$N$2:T37),COLUMNS(prem_analysis!$N$2:T37)),IF($Q$1=$P$4,INDEX(Table24[[#All],[Year]:[Details]],ROWS(prem_analysis!$M$420:S455),COLUMNS(Data!$Q$3:W38)))))),"")</f>
        <v/>
      </c>
      <c r="Y37" s="1" t="str">
        <f>IFERROR(IF($Q$1=$P$3,INDEX(prem_analysis!$P$2:$Q$441,ROWS(Data!$P$2:X37),COLUMNS(Data!$P$3:W38)),IF($Q$1=$P$5,INDEX(prem_analysis!$BH$1:$BS$23,ROWS(Data!$Q$3:X38),COLUMNS(Data!$Q$3:X38)),IF($Q$1=$P$6,INDEX(prem_analysis!$BU$1:$CF$67,ROWS(prem_analysis!$N$2:U37),COLUMNS(prem_analysis!$N$2:U37)),IF($Q$1=$P$4,INDEX(Table24[[#All],[Year]:[Details]],ROWS(prem_analysis!$M$420:T455),COLUMNS(Data!$Q$3:X38)))))),"")</f>
        <v/>
      </c>
      <c r="Z37" s="1" t="str">
        <f>IFERROR(IF($Q$1=$P$3,INDEX(prem_analysis!$P$2:$Q$441,ROWS(Data!$P$2:Y37),COLUMNS(Data!$P$3:X38)),IF($Q$1=$P$5,INDEX(prem_analysis!$BH$1:$BS$23,ROWS(Data!$Q$3:Y38),COLUMNS(Data!$Q$3:Y38)),IF($Q$1=$P$6,INDEX(prem_analysis!$BU$1:$CF$67,ROWS(prem_analysis!$N$2:V37),COLUMNS(prem_analysis!$N$2:V37)),IF($Q$1=$P$4,INDEX(Table24[[#All],[Year]:[Details]],ROWS(prem_analysis!$M$420:U455),COLUMNS(Data!$Q$3:Y38)))))),"")</f>
        <v/>
      </c>
      <c r="AA37" s="1" t="str">
        <f>IFERROR(IF($Q$1=$P$3,INDEX(prem_analysis!$P$2:$Q$441,ROWS(Data!$P$2:Z37),COLUMNS(Data!$P$3:Y38)),IF($Q$1=$P$5,INDEX(prem_analysis!$BH$1:$BS$23,ROWS(Data!$Q$3:Z38),COLUMNS(Data!$Q$3:Z38)),IF($Q$1=$P$6,INDEX(prem_analysis!$BU$1:$CF$67,ROWS(prem_analysis!$N$2:W37),COLUMNS(prem_analysis!$N$2:W37)),IF($Q$1=$P$4,INDEX(Table24[[#All],[Year]:[Details]],ROWS(prem_analysis!$M$420:V455),COLUMNS(Data!$Q$3:Z38)))))),"")</f>
        <v/>
      </c>
      <c r="AB37" s="1" t="str">
        <f>IFERROR(IF($Q$1=$P$3,INDEX(prem_analysis!$P$2:$Q$441,ROWS(Data!$P$2:AA37),COLUMNS(Data!$P$3:Z38)),IF($Q$1=$P$5,INDEX(prem_analysis!$BH$1:$BS$23,ROWS(Data!$Q$3:AA38),COLUMNS(Data!$Q$3:AA38)),IF($Q$1=$P$6,INDEX(prem_analysis!$BU$1:$CF$67,ROWS(prem_analysis!$N$2:X37),COLUMNS(prem_analysis!$N$2:X37)),IF($Q$1=$P$4,INDEX(Table24[[#All],[Year]:[Details]],ROWS(prem_analysis!$M$420:W455),COLUMNS(Data!$Q$3:AA38)))))),"")</f>
        <v/>
      </c>
      <c r="AC37" s="1" t="str">
        <f>IFERROR(IF($Q$1=$P$3,INDEX(prem_analysis!$P$2:$Q$441,ROWS(Data!$P$2:AB37),COLUMNS(Data!$P$3:AA38)),IF($Q$1=$P$5,INDEX(prem_analysis!$BH$1:$BS$23,ROWS(Data!$Q$3:AB38),COLUMNS(Data!$Q$3:AB38)),IF($Q$1=$P$6,INDEX(prem_analysis!$BU$1:$CF$67,ROWS(prem_analysis!$N$2:Y37),COLUMNS(prem_analysis!$N$2:Y37)),IF($Q$1=$P$4,INDEX(Table24[[#All],[Year]:[Details]],ROWS(prem_analysis!$M$420:X455),COLUMNS(Data!$Q$3:AB38)))))),"")</f>
        <v/>
      </c>
    </row>
    <row r="38" spans="1:29" x14ac:dyDescent="0.2">
      <c r="A38" s="3">
        <v>2001</v>
      </c>
      <c r="B38" s="3">
        <v>17</v>
      </c>
      <c r="C38" s="4" t="s">
        <v>17</v>
      </c>
      <c r="D38" s="3">
        <v>38</v>
      </c>
      <c r="E38" s="3">
        <v>10</v>
      </c>
      <c r="F38" s="3">
        <v>10</v>
      </c>
      <c r="G38" s="3">
        <v>18</v>
      </c>
      <c r="H38" s="3">
        <v>29</v>
      </c>
      <c r="I38" s="3">
        <v>51</v>
      </c>
      <c r="J38" s="3">
        <v>-22</v>
      </c>
      <c r="K38" s="3">
        <v>40</v>
      </c>
      <c r="L38" s="5">
        <f>IF(Table24[[#This Row],['#]]=1,"Champion", IF(Table24[[#This Row],['#]]&gt;=18,"Relegated",Table24[[#This Row],['#]]))</f>
        <v>17</v>
      </c>
      <c r="M38" s="5">
        <f>IF(Table24[[#This Row],[Details]]=2,K37-Table24[[#This Row],[Pts]],IF(Table24[[#This Row],[Details]]=17,Table24[[#This Row],[Pts]]-K39,""))</f>
        <v>4</v>
      </c>
      <c r="R38" s="1" t="str">
        <f>IFERROR(IF($Q$1=$P$3,INDEX(prem_analysis!$P$2:$Q$441,ROWS(Data!$P$2:Q38),COLUMNS(Data!$P$3:P39)),IF($Q$1=$P$5,INDEX(prem_analysis!$BH$1:$BS$23,ROWS(Data!$Q$3:Q39),COLUMNS(Data!$Q$3:Q39)),IF($Q$1=$P$6,INDEX(prem_analysis!$BU$1:$CF$67,ROWS(prem_analysis!$N$2:N38),COLUMNS(prem_analysis!$N$2:N38)),IF($Q$1=$P$4,INDEX(Table24[[#All],[Year]:[Details]],ROWS(prem_analysis!$M$420:M456),COLUMNS(Data!$Q$3:Q39)))))),"")</f>
        <v/>
      </c>
      <c r="S38" s="1" t="str">
        <f>IFERROR(IF($Q$1=$P$3,INDEX(prem_analysis!$P$2:$Q$441,ROWS(Data!$P$2:R38),COLUMNS(Data!$P$3:Q39)),IF($Q$1=$P$5,INDEX(prem_analysis!$BH$1:$BS$23,ROWS(Data!$Q$3:R39),COLUMNS(Data!$Q$3:R39)),IF($Q$1=$P$6,INDEX(prem_analysis!$BU$1:$CF$67,ROWS(prem_analysis!$N$2:O38),COLUMNS(prem_analysis!$N$2:O38)),IF($Q$1=$P$4,INDEX(Table24[[#All],[Year]:[Details]],ROWS(prem_analysis!$M$420:N456),COLUMNS(Data!$Q$3:R39)))))),"")</f>
        <v/>
      </c>
      <c r="T38" s="1" t="str">
        <f>IFERROR(IF($Q$1=$P$3,INDEX(prem_analysis!$P$2:$Q$441,ROWS(Data!$P$2:S38),COLUMNS(Data!$P$3:R39)),IF($Q$1=$P$5,INDEX(prem_analysis!$BH$1:$BS$23,ROWS(Data!$Q$3:S39),COLUMNS(Data!$Q$3:S39)),IF($Q$1=$P$6,INDEX(prem_analysis!$BU$1:$CF$67,ROWS(prem_analysis!$N$2:P38),COLUMNS(prem_analysis!$N$2:P38)),IF($Q$1=$P$4,INDEX(Table24[[#All],[Year]:[Details]],ROWS(prem_analysis!$M$420:O456),COLUMNS(Data!$Q$3:S39)))))),"")</f>
        <v/>
      </c>
      <c r="U38" s="1" t="str">
        <f>IFERROR(IF($Q$1=$P$3,INDEX(prem_analysis!$P$2:$Q$441,ROWS(Data!$P$2:T38),COLUMNS(Data!$P$3:S39)),IF($Q$1=$P$5,INDEX(prem_analysis!$BH$1:$BS$23,ROWS(Data!$Q$3:T39),COLUMNS(Data!$Q$3:T39)),IF($Q$1=$P$6,INDEX(prem_analysis!$BU$1:$CF$67,ROWS(prem_analysis!$N$2:Q38),COLUMNS(prem_analysis!$N$2:Q38)),IF($Q$1=$P$4,INDEX(Table24[[#All],[Year]:[Details]],ROWS(prem_analysis!$M$420:P456),COLUMNS(Data!$Q$3:T39)))))),"")</f>
        <v/>
      </c>
      <c r="V38" s="1" t="str">
        <f>IFERROR(IF($Q$1=$P$3,INDEX(prem_analysis!$P$2:$Q$441,ROWS(Data!$P$2:U38),COLUMNS(Data!$P$3:T39)),IF($Q$1=$P$5,INDEX(prem_analysis!$BH$1:$BS$23,ROWS(Data!$Q$3:U39),COLUMNS(Data!$Q$3:U39)),IF($Q$1=$P$6,INDEX(prem_analysis!$BU$1:$CF$67,ROWS(prem_analysis!$N$2:R38),COLUMNS(prem_analysis!$N$2:R38)),IF($Q$1=$P$4,INDEX(Table24[[#All],[Year]:[Details]],ROWS(prem_analysis!$M$420:Q456),COLUMNS(Data!$Q$3:U39)))))),"")</f>
        <v/>
      </c>
      <c r="W38" s="1" t="str">
        <f>IFERROR(IF($Q$1=$P$3,INDEX(prem_analysis!$P$2:$Q$441,ROWS(Data!$P$2:V38),COLUMNS(Data!$P$3:U39)),IF($Q$1=$P$5,INDEX(prem_analysis!$BH$1:$BS$23,ROWS(Data!$Q$3:V39),COLUMNS(Data!$Q$3:V39)),IF($Q$1=$P$6,INDEX(prem_analysis!$BU$1:$CF$67,ROWS(prem_analysis!$N$2:S38),COLUMNS(prem_analysis!$N$2:S38)),IF($Q$1=$P$4,INDEX(Table24[[#All],[Year]:[Details]],ROWS(prem_analysis!$M$420:R456),COLUMNS(Data!$Q$3:V39)))))),"")</f>
        <v/>
      </c>
      <c r="X38" s="1" t="str">
        <f>IFERROR(IF($Q$1=$P$3,INDEX(prem_analysis!$P$2:$Q$441,ROWS(Data!$P$2:W38),COLUMNS(Data!$P$3:V39)),IF($Q$1=$P$5,INDEX(prem_analysis!$BH$1:$BS$23,ROWS(Data!$Q$3:W39),COLUMNS(Data!$Q$3:W39)),IF($Q$1=$P$6,INDEX(prem_analysis!$BU$1:$CF$67,ROWS(prem_analysis!$N$2:T38),COLUMNS(prem_analysis!$N$2:T38)),IF($Q$1=$P$4,INDEX(Table24[[#All],[Year]:[Details]],ROWS(prem_analysis!$M$420:S456),COLUMNS(Data!$Q$3:W39)))))),"")</f>
        <v/>
      </c>
      <c r="Y38" s="1" t="str">
        <f>IFERROR(IF($Q$1=$P$3,INDEX(prem_analysis!$P$2:$Q$441,ROWS(Data!$P$2:X38),COLUMNS(Data!$P$3:W39)),IF($Q$1=$P$5,INDEX(prem_analysis!$BH$1:$BS$23,ROWS(Data!$Q$3:X39),COLUMNS(Data!$Q$3:X39)),IF($Q$1=$P$6,INDEX(prem_analysis!$BU$1:$CF$67,ROWS(prem_analysis!$N$2:U38),COLUMNS(prem_analysis!$N$2:U38)),IF($Q$1=$P$4,INDEX(Table24[[#All],[Year]:[Details]],ROWS(prem_analysis!$M$420:T456),COLUMNS(Data!$Q$3:X39)))))),"")</f>
        <v/>
      </c>
      <c r="Z38" s="1" t="str">
        <f>IFERROR(IF($Q$1=$P$3,INDEX(prem_analysis!$P$2:$Q$441,ROWS(Data!$P$2:Y38),COLUMNS(Data!$P$3:X39)),IF($Q$1=$P$5,INDEX(prem_analysis!$BH$1:$BS$23,ROWS(Data!$Q$3:Y39),COLUMNS(Data!$Q$3:Y39)),IF($Q$1=$P$6,INDEX(prem_analysis!$BU$1:$CF$67,ROWS(prem_analysis!$N$2:V38),COLUMNS(prem_analysis!$N$2:V38)),IF($Q$1=$P$4,INDEX(Table24[[#All],[Year]:[Details]],ROWS(prem_analysis!$M$420:U456),COLUMNS(Data!$Q$3:Y39)))))),"")</f>
        <v/>
      </c>
      <c r="AA38" s="1" t="str">
        <f>IFERROR(IF($Q$1=$P$3,INDEX(prem_analysis!$P$2:$Q$441,ROWS(Data!$P$2:Z38),COLUMNS(Data!$P$3:Y39)),IF($Q$1=$P$5,INDEX(prem_analysis!$BH$1:$BS$23,ROWS(Data!$Q$3:Z39),COLUMNS(Data!$Q$3:Z39)),IF($Q$1=$P$6,INDEX(prem_analysis!$BU$1:$CF$67,ROWS(prem_analysis!$N$2:W38),COLUMNS(prem_analysis!$N$2:W38)),IF($Q$1=$P$4,INDEX(Table24[[#All],[Year]:[Details]],ROWS(prem_analysis!$M$420:V456),COLUMNS(Data!$Q$3:Z39)))))),"")</f>
        <v/>
      </c>
      <c r="AB38" s="1" t="str">
        <f>IFERROR(IF($Q$1=$P$3,INDEX(prem_analysis!$P$2:$Q$441,ROWS(Data!$P$2:AA38),COLUMNS(Data!$P$3:Z39)),IF($Q$1=$P$5,INDEX(prem_analysis!$BH$1:$BS$23,ROWS(Data!$Q$3:AA39),COLUMNS(Data!$Q$3:AA39)),IF($Q$1=$P$6,INDEX(prem_analysis!$BU$1:$CF$67,ROWS(prem_analysis!$N$2:X38),COLUMNS(prem_analysis!$N$2:X38)),IF($Q$1=$P$4,INDEX(Table24[[#All],[Year]:[Details]],ROWS(prem_analysis!$M$420:W456),COLUMNS(Data!$Q$3:AA39)))))),"")</f>
        <v/>
      </c>
      <c r="AC38" s="1" t="str">
        <f>IFERROR(IF($Q$1=$P$3,INDEX(prem_analysis!$P$2:$Q$441,ROWS(Data!$P$2:AB38),COLUMNS(Data!$P$3:AA39)),IF($Q$1=$P$5,INDEX(prem_analysis!$BH$1:$BS$23,ROWS(Data!$Q$3:AB39),COLUMNS(Data!$Q$3:AB39)),IF($Q$1=$P$6,INDEX(prem_analysis!$BU$1:$CF$67,ROWS(prem_analysis!$N$2:Y38),COLUMNS(prem_analysis!$N$2:Y38)),IF($Q$1=$P$4,INDEX(Table24[[#All],[Year]:[Details]],ROWS(prem_analysis!$M$420:X456),COLUMNS(Data!$Q$3:AB39)))))),"")</f>
        <v/>
      </c>
    </row>
    <row r="39" spans="1:29" x14ac:dyDescent="0.2">
      <c r="A39" s="5">
        <v>2001</v>
      </c>
      <c r="B39" s="5">
        <v>18</v>
      </c>
      <c r="C39" s="6" t="s">
        <v>15</v>
      </c>
      <c r="D39" s="5">
        <v>38</v>
      </c>
      <c r="E39" s="5">
        <v>9</v>
      </c>
      <c r="F39" s="5">
        <v>9</v>
      </c>
      <c r="G39" s="5">
        <v>20</v>
      </c>
      <c r="H39" s="5">
        <v>41</v>
      </c>
      <c r="I39" s="5">
        <v>64</v>
      </c>
      <c r="J39" s="5">
        <v>-23</v>
      </c>
      <c r="K39" s="5">
        <v>36</v>
      </c>
      <c r="L39" s="5" t="str">
        <f>IF(Table24[[#This Row],['#]]=1,"Champion", IF(Table24[[#This Row],['#]]&gt;=18,"Relegated",Table24[[#This Row],['#]]))</f>
        <v>Relegated</v>
      </c>
      <c r="M39" s="5" t="str">
        <f>IF(Table24[[#This Row],[Details]]=2,K38-Table24[[#This Row],[Pts]],IF(Table24[[#This Row],[Details]]=17,Table24[[#This Row],[Pts]]-K40,""))</f>
        <v/>
      </c>
      <c r="R39" s="1" t="str">
        <f>IFERROR(IF($Q$1=$P$3,INDEX(prem_analysis!$P$2:$Q$441,ROWS(Data!$P$2:Q39),COLUMNS(Data!$P$3:P40)),IF($Q$1=$P$5,INDEX(prem_analysis!$BH$1:$BS$23,ROWS(Data!$Q$3:Q40),COLUMNS(Data!$Q$3:Q40)),IF($Q$1=$P$6,INDEX(prem_analysis!$BU$1:$CF$67,ROWS(prem_analysis!$N$2:N39),COLUMNS(prem_analysis!$N$2:N39)),IF($Q$1=$P$4,INDEX(Table24[[#All],[Year]:[Details]],ROWS(prem_analysis!$M$420:M457),COLUMNS(Data!$Q$3:Q40)))))),"")</f>
        <v/>
      </c>
      <c r="S39" s="1" t="str">
        <f>IFERROR(IF($Q$1=$P$3,INDEX(prem_analysis!$P$2:$Q$441,ROWS(Data!$P$2:R39),COLUMNS(Data!$P$3:Q40)),IF($Q$1=$P$5,INDEX(prem_analysis!$BH$1:$BS$23,ROWS(Data!$Q$3:R40),COLUMNS(Data!$Q$3:R40)),IF($Q$1=$P$6,INDEX(prem_analysis!$BU$1:$CF$67,ROWS(prem_analysis!$N$2:O39),COLUMNS(prem_analysis!$N$2:O39)),IF($Q$1=$P$4,INDEX(Table24[[#All],[Year]:[Details]],ROWS(prem_analysis!$M$420:N457),COLUMNS(Data!$Q$3:R40)))))),"")</f>
        <v/>
      </c>
      <c r="T39" s="1" t="str">
        <f>IFERROR(IF($Q$1=$P$3,INDEX(prem_analysis!$P$2:$Q$441,ROWS(Data!$P$2:S39),COLUMNS(Data!$P$3:R40)),IF($Q$1=$P$5,INDEX(prem_analysis!$BH$1:$BS$23,ROWS(Data!$Q$3:S40),COLUMNS(Data!$Q$3:S40)),IF($Q$1=$P$6,INDEX(prem_analysis!$BU$1:$CF$67,ROWS(prem_analysis!$N$2:P39),COLUMNS(prem_analysis!$N$2:P39)),IF($Q$1=$P$4,INDEX(Table24[[#All],[Year]:[Details]],ROWS(prem_analysis!$M$420:O457),COLUMNS(Data!$Q$3:S40)))))),"")</f>
        <v/>
      </c>
      <c r="U39" s="1" t="str">
        <f>IFERROR(IF($Q$1=$P$3,INDEX(prem_analysis!$P$2:$Q$441,ROWS(Data!$P$2:T39),COLUMNS(Data!$P$3:S40)),IF($Q$1=$P$5,INDEX(prem_analysis!$BH$1:$BS$23,ROWS(Data!$Q$3:T40),COLUMNS(Data!$Q$3:T40)),IF($Q$1=$P$6,INDEX(prem_analysis!$BU$1:$CF$67,ROWS(prem_analysis!$N$2:Q39),COLUMNS(prem_analysis!$N$2:Q39)),IF($Q$1=$P$4,INDEX(Table24[[#All],[Year]:[Details]],ROWS(prem_analysis!$M$420:P457),COLUMNS(Data!$Q$3:T40)))))),"")</f>
        <v/>
      </c>
      <c r="V39" s="1" t="str">
        <f>IFERROR(IF($Q$1=$P$3,INDEX(prem_analysis!$P$2:$Q$441,ROWS(Data!$P$2:U39),COLUMNS(Data!$P$3:T40)),IF($Q$1=$P$5,INDEX(prem_analysis!$BH$1:$BS$23,ROWS(Data!$Q$3:U40),COLUMNS(Data!$Q$3:U40)),IF($Q$1=$P$6,INDEX(prem_analysis!$BU$1:$CF$67,ROWS(prem_analysis!$N$2:R39),COLUMNS(prem_analysis!$N$2:R39)),IF($Q$1=$P$4,INDEX(Table24[[#All],[Year]:[Details]],ROWS(prem_analysis!$M$420:Q457),COLUMNS(Data!$Q$3:U40)))))),"")</f>
        <v/>
      </c>
      <c r="W39" s="1" t="str">
        <f>IFERROR(IF($Q$1=$P$3,INDEX(prem_analysis!$P$2:$Q$441,ROWS(Data!$P$2:V39),COLUMNS(Data!$P$3:U40)),IF($Q$1=$P$5,INDEX(prem_analysis!$BH$1:$BS$23,ROWS(Data!$Q$3:V40),COLUMNS(Data!$Q$3:V40)),IF($Q$1=$P$6,INDEX(prem_analysis!$BU$1:$CF$67,ROWS(prem_analysis!$N$2:S39),COLUMNS(prem_analysis!$N$2:S39)),IF($Q$1=$P$4,INDEX(Table24[[#All],[Year]:[Details]],ROWS(prem_analysis!$M$420:R457),COLUMNS(Data!$Q$3:V40)))))),"")</f>
        <v/>
      </c>
      <c r="X39" s="1" t="str">
        <f>IFERROR(IF($Q$1=$P$3,INDEX(prem_analysis!$P$2:$Q$441,ROWS(Data!$P$2:W39),COLUMNS(Data!$P$3:V40)),IF($Q$1=$P$5,INDEX(prem_analysis!$BH$1:$BS$23,ROWS(Data!$Q$3:W40),COLUMNS(Data!$Q$3:W40)),IF($Q$1=$P$6,INDEX(prem_analysis!$BU$1:$CF$67,ROWS(prem_analysis!$N$2:T39),COLUMNS(prem_analysis!$N$2:T39)),IF($Q$1=$P$4,INDEX(Table24[[#All],[Year]:[Details]],ROWS(prem_analysis!$M$420:S457),COLUMNS(Data!$Q$3:W40)))))),"")</f>
        <v/>
      </c>
      <c r="Y39" s="1" t="str">
        <f>IFERROR(IF($Q$1=$P$3,INDEX(prem_analysis!$P$2:$Q$441,ROWS(Data!$P$2:X39),COLUMNS(Data!$P$3:W40)),IF($Q$1=$P$5,INDEX(prem_analysis!$BH$1:$BS$23,ROWS(Data!$Q$3:X40),COLUMNS(Data!$Q$3:X40)),IF($Q$1=$P$6,INDEX(prem_analysis!$BU$1:$CF$67,ROWS(prem_analysis!$N$2:U39),COLUMNS(prem_analysis!$N$2:U39)),IF($Q$1=$P$4,INDEX(Table24[[#All],[Year]:[Details]],ROWS(prem_analysis!$M$420:T457),COLUMNS(Data!$Q$3:X40)))))),"")</f>
        <v/>
      </c>
      <c r="Z39" s="1" t="str">
        <f>IFERROR(IF($Q$1=$P$3,INDEX(prem_analysis!$P$2:$Q$441,ROWS(Data!$P$2:Y39),COLUMNS(Data!$P$3:X40)),IF($Q$1=$P$5,INDEX(prem_analysis!$BH$1:$BS$23,ROWS(Data!$Q$3:Y40),COLUMNS(Data!$Q$3:Y40)),IF($Q$1=$P$6,INDEX(prem_analysis!$BU$1:$CF$67,ROWS(prem_analysis!$N$2:V39),COLUMNS(prem_analysis!$N$2:V39)),IF($Q$1=$P$4,INDEX(Table24[[#All],[Year]:[Details]],ROWS(prem_analysis!$M$420:U457),COLUMNS(Data!$Q$3:Y40)))))),"")</f>
        <v/>
      </c>
      <c r="AA39" s="1" t="str">
        <f>IFERROR(IF($Q$1=$P$3,INDEX(prem_analysis!$P$2:$Q$441,ROWS(Data!$P$2:Z39),COLUMNS(Data!$P$3:Y40)),IF($Q$1=$P$5,INDEX(prem_analysis!$BH$1:$BS$23,ROWS(Data!$Q$3:Z40),COLUMNS(Data!$Q$3:Z40)),IF($Q$1=$P$6,INDEX(prem_analysis!$BU$1:$CF$67,ROWS(prem_analysis!$N$2:W39),COLUMNS(prem_analysis!$N$2:W39)),IF($Q$1=$P$4,INDEX(Table24[[#All],[Year]:[Details]],ROWS(prem_analysis!$M$420:V457),COLUMNS(Data!$Q$3:Z40)))))),"")</f>
        <v/>
      </c>
      <c r="AB39" s="1" t="str">
        <f>IFERROR(IF($Q$1=$P$3,INDEX(prem_analysis!$P$2:$Q$441,ROWS(Data!$P$2:AA39),COLUMNS(Data!$P$3:Z40)),IF($Q$1=$P$5,INDEX(prem_analysis!$BH$1:$BS$23,ROWS(Data!$Q$3:AA40),COLUMNS(Data!$Q$3:AA40)),IF($Q$1=$P$6,INDEX(prem_analysis!$BU$1:$CF$67,ROWS(prem_analysis!$N$2:X39),COLUMNS(prem_analysis!$N$2:X39)),IF($Q$1=$P$4,INDEX(Table24[[#All],[Year]:[Details]],ROWS(prem_analysis!$M$420:W457),COLUMNS(Data!$Q$3:AA40)))))),"")</f>
        <v/>
      </c>
      <c r="AC39" s="1" t="str">
        <f>IFERROR(IF($Q$1=$P$3,INDEX(prem_analysis!$P$2:$Q$441,ROWS(Data!$P$2:AB39),COLUMNS(Data!$P$3:AA40)),IF($Q$1=$P$5,INDEX(prem_analysis!$BH$1:$BS$23,ROWS(Data!$Q$3:AB40),COLUMNS(Data!$Q$3:AB40)),IF($Q$1=$P$6,INDEX(prem_analysis!$BU$1:$CF$67,ROWS(prem_analysis!$N$2:Y39),COLUMNS(prem_analysis!$N$2:Y39)),IF($Q$1=$P$4,INDEX(Table24[[#All],[Year]:[Details]],ROWS(prem_analysis!$M$420:X457),COLUMNS(Data!$Q$3:AB40)))))),"")</f>
        <v/>
      </c>
    </row>
    <row r="40" spans="1:29" x14ac:dyDescent="0.2">
      <c r="A40" s="3">
        <v>2001</v>
      </c>
      <c r="B40" s="3">
        <v>19</v>
      </c>
      <c r="C40" s="4" t="s">
        <v>27</v>
      </c>
      <c r="D40" s="3">
        <v>38</v>
      </c>
      <c r="E40" s="3">
        <v>8</v>
      </c>
      <c r="F40" s="3">
        <v>6</v>
      </c>
      <c r="G40" s="3">
        <v>24</v>
      </c>
      <c r="H40" s="3">
        <v>33</v>
      </c>
      <c r="I40" s="3">
        <v>63</v>
      </c>
      <c r="J40" s="3">
        <v>-30</v>
      </c>
      <c r="K40" s="3">
        <v>30</v>
      </c>
      <c r="L40" s="5" t="str">
        <f>IF(Table24[[#This Row],['#]]=1,"Champion", IF(Table24[[#This Row],['#]]&gt;=18,"Relegated",Table24[[#This Row],['#]]))</f>
        <v>Relegated</v>
      </c>
      <c r="M40" s="5" t="str">
        <f>IF(Table24[[#This Row],[Details]]=2,K39-Table24[[#This Row],[Pts]],IF(Table24[[#This Row],[Details]]=17,Table24[[#This Row],[Pts]]-K41,""))</f>
        <v/>
      </c>
      <c r="R40" s="1" t="str">
        <f>IFERROR(IF($Q$1=$P$3,INDEX(prem_analysis!$P$2:$Q$441,ROWS(Data!$P$2:Q40),COLUMNS(Data!$P$3:P41)),IF($Q$1=$P$5,INDEX(prem_analysis!$BH$1:$BS$23,ROWS(Data!$Q$3:Q41),COLUMNS(Data!$Q$3:Q41)),IF($Q$1=$P$6,INDEX(prem_analysis!$BU$1:$CF$67,ROWS(prem_analysis!$N$2:N40),COLUMNS(prem_analysis!$N$2:N40)),IF($Q$1=$P$4,INDEX(Table24[[#All],[Year]:[Details]],ROWS(prem_analysis!$M$420:M458),COLUMNS(Data!$Q$3:Q41)))))),"")</f>
        <v/>
      </c>
      <c r="S40" s="1" t="str">
        <f>IFERROR(IF($Q$1=$P$3,INDEX(prem_analysis!$P$2:$Q$441,ROWS(Data!$P$2:R40),COLUMNS(Data!$P$3:Q41)),IF($Q$1=$P$5,INDEX(prem_analysis!$BH$1:$BS$23,ROWS(Data!$Q$3:R41),COLUMNS(Data!$Q$3:R41)),IF($Q$1=$P$6,INDEX(prem_analysis!$BU$1:$CF$67,ROWS(prem_analysis!$N$2:O40),COLUMNS(prem_analysis!$N$2:O40)),IF($Q$1=$P$4,INDEX(Table24[[#All],[Year]:[Details]],ROWS(prem_analysis!$M$420:N458),COLUMNS(Data!$Q$3:R41)))))),"")</f>
        <v/>
      </c>
      <c r="T40" s="1" t="str">
        <f>IFERROR(IF($Q$1=$P$3,INDEX(prem_analysis!$P$2:$Q$441,ROWS(Data!$P$2:S40),COLUMNS(Data!$P$3:R41)),IF($Q$1=$P$5,INDEX(prem_analysis!$BH$1:$BS$23,ROWS(Data!$Q$3:S41),COLUMNS(Data!$Q$3:S41)),IF($Q$1=$P$6,INDEX(prem_analysis!$BU$1:$CF$67,ROWS(prem_analysis!$N$2:P40),COLUMNS(prem_analysis!$N$2:P40)),IF($Q$1=$P$4,INDEX(Table24[[#All],[Year]:[Details]],ROWS(prem_analysis!$M$420:O458),COLUMNS(Data!$Q$3:S41)))))),"")</f>
        <v/>
      </c>
      <c r="U40" s="1" t="str">
        <f>IFERROR(IF($Q$1=$P$3,INDEX(prem_analysis!$P$2:$Q$441,ROWS(Data!$P$2:T40),COLUMNS(Data!$P$3:S41)),IF($Q$1=$P$5,INDEX(prem_analysis!$BH$1:$BS$23,ROWS(Data!$Q$3:T41),COLUMNS(Data!$Q$3:T41)),IF($Q$1=$P$6,INDEX(prem_analysis!$BU$1:$CF$67,ROWS(prem_analysis!$N$2:Q40),COLUMNS(prem_analysis!$N$2:Q40)),IF($Q$1=$P$4,INDEX(Table24[[#All],[Year]:[Details]],ROWS(prem_analysis!$M$420:P458),COLUMNS(Data!$Q$3:T41)))))),"")</f>
        <v/>
      </c>
      <c r="V40" s="1" t="str">
        <f>IFERROR(IF($Q$1=$P$3,INDEX(prem_analysis!$P$2:$Q$441,ROWS(Data!$P$2:U40),COLUMNS(Data!$P$3:T41)),IF($Q$1=$P$5,INDEX(prem_analysis!$BH$1:$BS$23,ROWS(Data!$Q$3:U41),COLUMNS(Data!$Q$3:U41)),IF($Q$1=$P$6,INDEX(prem_analysis!$BU$1:$CF$67,ROWS(prem_analysis!$N$2:R40),COLUMNS(prem_analysis!$N$2:R40)),IF($Q$1=$P$4,INDEX(Table24[[#All],[Year]:[Details]],ROWS(prem_analysis!$M$420:Q458),COLUMNS(Data!$Q$3:U41)))))),"")</f>
        <v/>
      </c>
      <c r="W40" s="1" t="str">
        <f>IFERROR(IF($Q$1=$P$3,INDEX(prem_analysis!$P$2:$Q$441,ROWS(Data!$P$2:V40),COLUMNS(Data!$P$3:U41)),IF($Q$1=$P$5,INDEX(prem_analysis!$BH$1:$BS$23,ROWS(Data!$Q$3:V41),COLUMNS(Data!$Q$3:V41)),IF($Q$1=$P$6,INDEX(prem_analysis!$BU$1:$CF$67,ROWS(prem_analysis!$N$2:S40),COLUMNS(prem_analysis!$N$2:S40)),IF($Q$1=$P$4,INDEX(Table24[[#All],[Year]:[Details]],ROWS(prem_analysis!$M$420:R458),COLUMNS(Data!$Q$3:V41)))))),"")</f>
        <v/>
      </c>
      <c r="X40" s="1" t="str">
        <f>IFERROR(IF($Q$1=$P$3,INDEX(prem_analysis!$P$2:$Q$441,ROWS(Data!$P$2:W40),COLUMNS(Data!$P$3:V41)),IF($Q$1=$P$5,INDEX(prem_analysis!$BH$1:$BS$23,ROWS(Data!$Q$3:W41),COLUMNS(Data!$Q$3:W41)),IF($Q$1=$P$6,INDEX(prem_analysis!$BU$1:$CF$67,ROWS(prem_analysis!$N$2:T40),COLUMNS(prem_analysis!$N$2:T40)),IF($Q$1=$P$4,INDEX(Table24[[#All],[Year]:[Details]],ROWS(prem_analysis!$M$420:S458),COLUMNS(Data!$Q$3:W41)))))),"")</f>
        <v/>
      </c>
      <c r="Y40" s="1" t="str">
        <f>IFERROR(IF($Q$1=$P$3,INDEX(prem_analysis!$P$2:$Q$441,ROWS(Data!$P$2:X40),COLUMNS(Data!$P$3:W41)),IF($Q$1=$P$5,INDEX(prem_analysis!$BH$1:$BS$23,ROWS(Data!$Q$3:X41),COLUMNS(Data!$Q$3:X41)),IF($Q$1=$P$6,INDEX(prem_analysis!$BU$1:$CF$67,ROWS(prem_analysis!$N$2:U40),COLUMNS(prem_analysis!$N$2:U40)),IF($Q$1=$P$4,INDEX(Table24[[#All],[Year]:[Details]],ROWS(prem_analysis!$M$420:T458),COLUMNS(Data!$Q$3:X41)))))),"")</f>
        <v/>
      </c>
      <c r="Z40" s="1" t="str">
        <f>IFERROR(IF($Q$1=$P$3,INDEX(prem_analysis!$P$2:$Q$441,ROWS(Data!$P$2:Y40),COLUMNS(Data!$P$3:X41)),IF($Q$1=$P$5,INDEX(prem_analysis!$BH$1:$BS$23,ROWS(Data!$Q$3:Y41),COLUMNS(Data!$Q$3:Y41)),IF($Q$1=$P$6,INDEX(prem_analysis!$BU$1:$CF$67,ROWS(prem_analysis!$N$2:V40),COLUMNS(prem_analysis!$N$2:V40)),IF($Q$1=$P$4,INDEX(Table24[[#All],[Year]:[Details]],ROWS(prem_analysis!$M$420:U458),COLUMNS(Data!$Q$3:Y41)))))),"")</f>
        <v/>
      </c>
      <c r="AA40" s="1" t="str">
        <f>IFERROR(IF($Q$1=$P$3,INDEX(prem_analysis!$P$2:$Q$441,ROWS(Data!$P$2:Z40),COLUMNS(Data!$P$3:Y41)),IF($Q$1=$P$5,INDEX(prem_analysis!$BH$1:$BS$23,ROWS(Data!$Q$3:Z41),COLUMNS(Data!$Q$3:Z41)),IF($Q$1=$P$6,INDEX(prem_analysis!$BU$1:$CF$67,ROWS(prem_analysis!$N$2:W40),COLUMNS(prem_analysis!$N$2:W40)),IF($Q$1=$P$4,INDEX(Table24[[#All],[Year]:[Details]],ROWS(prem_analysis!$M$420:V458),COLUMNS(Data!$Q$3:Z41)))))),"")</f>
        <v/>
      </c>
      <c r="AB40" s="1" t="str">
        <f>IFERROR(IF($Q$1=$P$3,INDEX(prem_analysis!$P$2:$Q$441,ROWS(Data!$P$2:AA40),COLUMNS(Data!$P$3:Z41)),IF($Q$1=$P$5,INDEX(prem_analysis!$BH$1:$BS$23,ROWS(Data!$Q$3:AA41),COLUMNS(Data!$Q$3:AA41)),IF($Q$1=$P$6,INDEX(prem_analysis!$BU$1:$CF$67,ROWS(prem_analysis!$N$2:X40),COLUMNS(prem_analysis!$N$2:X40)),IF($Q$1=$P$4,INDEX(Table24[[#All],[Year]:[Details]],ROWS(prem_analysis!$M$420:W458),COLUMNS(Data!$Q$3:AA41)))))),"")</f>
        <v/>
      </c>
      <c r="AC40" s="1" t="str">
        <f>IFERROR(IF($Q$1=$P$3,INDEX(prem_analysis!$P$2:$Q$441,ROWS(Data!$P$2:AB40),COLUMNS(Data!$P$3:AA41)),IF($Q$1=$P$5,INDEX(prem_analysis!$BH$1:$BS$23,ROWS(Data!$Q$3:AB41),COLUMNS(Data!$Q$3:AB41)),IF($Q$1=$P$6,INDEX(prem_analysis!$BU$1:$CF$67,ROWS(prem_analysis!$N$2:Y40),COLUMNS(prem_analysis!$N$2:Y40)),IF($Q$1=$P$4,INDEX(Table24[[#All],[Year]:[Details]],ROWS(prem_analysis!$M$420:X458),COLUMNS(Data!$Q$3:AB41)))))),"")</f>
        <v/>
      </c>
    </row>
    <row r="41" spans="1:29" x14ac:dyDescent="0.2">
      <c r="A41" s="5">
        <v>2001</v>
      </c>
      <c r="B41" s="5">
        <v>20</v>
      </c>
      <c r="C41" s="6" t="s">
        <v>23</v>
      </c>
      <c r="D41" s="5">
        <v>38</v>
      </c>
      <c r="E41" s="5">
        <v>5</v>
      </c>
      <c r="F41" s="5">
        <v>13</v>
      </c>
      <c r="G41" s="5">
        <v>20</v>
      </c>
      <c r="H41" s="5">
        <v>30</v>
      </c>
      <c r="I41" s="5">
        <v>64</v>
      </c>
      <c r="J41" s="5">
        <v>-34</v>
      </c>
      <c r="K41" s="5">
        <v>28</v>
      </c>
      <c r="L41" s="5" t="str">
        <f>IF(Table24[[#This Row],['#]]=1,"Champion", IF(Table24[[#This Row],['#]]&gt;=18,"Relegated",Table24[[#This Row],['#]]))</f>
        <v>Relegated</v>
      </c>
      <c r="M41" s="5" t="str">
        <f>IF(Table24[[#This Row],[Details]]=2,K40-Table24[[#This Row],[Pts]],IF(Table24[[#This Row],[Details]]=17,Table24[[#This Row],[Pts]]-K42,""))</f>
        <v/>
      </c>
      <c r="R41" s="1" t="str">
        <f>IFERROR(IF($Q$1=$P$3,INDEX(prem_analysis!$P$2:$Q$441,ROWS(Data!$P$2:Q41),COLUMNS(Data!$P$3:P42)),IF($Q$1=$P$5,INDEX(prem_analysis!$BH$1:$BS$23,ROWS(Data!$Q$3:Q42),COLUMNS(Data!$Q$3:Q42)),IF($Q$1=$P$6,INDEX(prem_analysis!$BU$1:$CF$67,ROWS(prem_analysis!$N$2:N41),COLUMNS(prem_analysis!$N$2:N41)),IF($Q$1=$P$4,INDEX(Table24[[#All],[Year]:[Details]],ROWS(prem_analysis!$M$420:M459),COLUMNS(Data!$Q$3:Q42)))))),"")</f>
        <v/>
      </c>
      <c r="S41" s="1" t="str">
        <f>IFERROR(IF($Q$1=$P$3,INDEX(prem_analysis!$P$2:$Q$441,ROWS(Data!$P$2:R41),COLUMNS(Data!$P$3:Q42)),IF($Q$1=$P$5,INDEX(prem_analysis!$BH$1:$BS$23,ROWS(Data!$Q$3:R42),COLUMNS(Data!$Q$3:R42)),IF($Q$1=$P$6,INDEX(prem_analysis!$BU$1:$CF$67,ROWS(prem_analysis!$N$2:O41),COLUMNS(prem_analysis!$N$2:O41)),IF($Q$1=$P$4,INDEX(Table24[[#All],[Year]:[Details]],ROWS(prem_analysis!$M$420:N459),COLUMNS(Data!$Q$3:R42)))))),"")</f>
        <v/>
      </c>
      <c r="T41" s="1" t="str">
        <f>IFERROR(IF($Q$1=$P$3,INDEX(prem_analysis!$P$2:$Q$441,ROWS(Data!$P$2:S41),COLUMNS(Data!$P$3:R42)),IF($Q$1=$P$5,INDEX(prem_analysis!$BH$1:$BS$23,ROWS(Data!$Q$3:S42),COLUMNS(Data!$Q$3:S42)),IF($Q$1=$P$6,INDEX(prem_analysis!$BU$1:$CF$67,ROWS(prem_analysis!$N$2:P41),COLUMNS(prem_analysis!$N$2:P41)),IF($Q$1=$P$4,INDEX(Table24[[#All],[Year]:[Details]],ROWS(prem_analysis!$M$420:O459),COLUMNS(Data!$Q$3:S42)))))),"")</f>
        <v/>
      </c>
      <c r="U41" s="1" t="str">
        <f>IFERROR(IF($Q$1=$P$3,INDEX(prem_analysis!$P$2:$Q$441,ROWS(Data!$P$2:T41),COLUMNS(Data!$P$3:S42)),IF($Q$1=$P$5,INDEX(prem_analysis!$BH$1:$BS$23,ROWS(Data!$Q$3:T42),COLUMNS(Data!$Q$3:T42)),IF($Q$1=$P$6,INDEX(prem_analysis!$BU$1:$CF$67,ROWS(prem_analysis!$N$2:Q41),COLUMNS(prem_analysis!$N$2:Q41)),IF($Q$1=$P$4,INDEX(Table24[[#All],[Year]:[Details]],ROWS(prem_analysis!$M$420:P459),COLUMNS(Data!$Q$3:T42)))))),"")</f>
        <v/>
      </c>
      <c r="V41" s="1" t="str">
        <f>IFERROR(IF($Q$1=$P$3,INDEX(prem_analysis!$P$2:$Q$441,ROWS(Data!$P$2:U41),COLUMNS(Data!$P$3:T42)),IF($Q$1=$P$5,INDEX(prem_analysis!$BH$1:$BS$23,ROWS(Data!$Q$3:U42),COLUMNS(Data!$Q$3:U42)),IF($Q$1=$P$6,INDEX(prem_analysis!$BU$1:$CF$67,ROWS(prem_analysis!$N$2:R41),COLUMNS(prem_analysis!$N$2:R41)),IF($Q$1=$P$4,INDEX(Table24[[#All],[Year]:[Details]],ROWS(prem_analysis!$M$420:Q459),COLUMNS(Data!$Q$3:U42)))))),"")</f>
        <v/>
      </c>
      <c r="W41" s="1" t="str">
        <f>IFERROR(IF($Q$1=$P$3,INDEX(prem_analysis!$P$2:$Q$441,ROWS(Data!$P$2:V41),COLUMNS(Data!$P$3:U42)),IF($Q$1=$P$5,INDEX(prem_analysis!$BH$1:$BS$23,ROWS(Data!$Q$3:V42),COLUMNS(Data!$Q$3:V42)),IF($Q$1=$P$6,INDEX(prem_analysis!$BU$1:$CF$67,ROWS(prem_analysis!$N$2:S41),COLUMNS(prem_analysis!$N$2:S41)),IF($Q$1=$P$4,INDEX(Table24[[#All],[Year]:[Details]],ROWS(prem_analysis!$M$420:R459),COLUMNS(Data!$Q$3:V42)))))),"")</f>
        <v/>
      </c>
      <c r="X41" s="1" t="str">
        <f>IFERROR(IF($Q$1=$P$3,INDEX(prem_analysis!$P$2:$Q$441,ROWS(Data!$P$2:W41),COLUMNS(Data!$P$3:V42)),IF($Q$1=$P$5,INDEX(prem_analysis!$BH$1:$BS$23,ROWS(Data!$Q$3:W42),COLUMNS(Data!$Q$3:W42)),IF($Q$1=$P$6,INDEX(prem_analysis!$BU$1:$CF$67,ROWS(prem_analysis!$N$2:T41),COLUMNS(prem_analysis!$N$2:T41)),IF($Q$1=$P$4,INDEX(Table24[[#All],[Year]:[Details]],ROWS(prem_analysis!$M$420:S459),COLUMNS(Data!$Q$3:W42)))))),"")</f>
        <v/>
      </c>
      <c r="Y41" s="1" t="str">
        <f>IFERROR(IF($Q$1=$P$3,INDEX(prem_analysis!$P$2:$Q$441,ROWS(Data!$P$2:X41),COLUMNS(Data!$P$3:W42)),IF($Q$1=$P$5,INDEX(prem_analysis!$BH$1:$BS$23,ROWS(Data!$Q$3:X42),COLUMNS(Data!$Q$3:X42)),IF($Q$1=$P$6,INDEX(prem_analysis!$BU$1:$CF$67,ROWS(prem_analysis!$N$2:U41),COLUMNS(prem_analysis!$N$2:U41)),IF($Q$1=$P$4,INDEX(Table24[[#All],[Year]:[Details]],ROWS(prem_analysis!$M$420:T459),COLUMNS(Data!$Q$3:X42)))))),"")</f>
        <v/>
      </c>
      <c r="Z41" s="1" t="str">
        <f>IFERROR(IF($Q$1=$P$3,INDEX(prem_analysis!$P$2:$Q$441,ROWS(Data!$P$2:Y41),COLUMNS(Data!$P$3:X42)),IF($Q$1=$P$5,INDEX(prem_analysis!$BH$1:$BS$23,ROWS(Data!$Q$3:Y42),COLUMNS(Data!$Q$3:Y42)),IF($Q$1=$P$6,INDEX(prem_analysis!$BU$1:$CF$67,ROWS(prem_analysis!$N$2:V41),COLUMNS(prem_analysis!$N$2:V41)),IF($Q$1=$P$4,INDEX(Table24[[#All],[Year]:[Details]],ROWS(prem_analysis!$M$420:U459),COLUMNS(Data!$Q$3:Y42)))))),"")</f>
        <v/>
      </c>
      <c r="AA41" s="1" t="str">
        <f>IFERROR(IF($Q$1=$P$3,INDEX(prem_analysis!$P$2:$Q$441,ROWS(Data!$P$2:Z41),COLUMNS(Data!$P$3:Y42)),IF($Q$1=$P$5,INDEX(prem_analysis!$BH$1:$BS$23,ROWS(Data!$Q$3:Z42),COLUMNS(Data!$Q$3:Z42)),IF($Q$1=$P$6,INDEX(prem_analysis!$BU$1:$CF$67,ROWS(prem_analysis!$N$2:W41),COLUMNS(prem_analysis!$N$2:W41)),IF($Q$1=$P$4,INDEX(Table24[[#All],[Year]:[Details]],ROWS(prem_analysis!$M$420:V459),COLUMNS(Data!$Q$3:Z42)))))),"")</f>
        <v/>
      </c>
      <c r="AB41" s="1" t="str">
        <f>IFERROR(IF($Q$1=$P$3,INDEX(prem_analysis!$P$2:$Q$441,ROWS(Data!$P$2:AA41),COLUMNS(Data!$P$3:Z42)),IF($Q$1=$P$5,INDEX(prem_analysis!$BH$1:$BS$23,ROWS(Data!$Q$3:AA42),COLUMNS(Data!$Q$3:AA42)),IF($Q$1=$P$6,INDEX(prem_analysis!$BU$1:$CF$67,ROWS(prem_analysis!$N$2:X41),COLUMNS(prem_analysis!$N$2:X41)),IF($Q$1=$P$4,INDEX(Table24[[#All],[Year]:[Details]],ROWS(prem_analysis!$M$420:W459),COLUMNS(Data!$Q$3:AA42)))))),"")</f>
        <v/>
      </c>
      <c r="AC41" s="1" t="str">
        <f>IFERROR(IF($Q$1=$P$3,INDEX(prem_analysis!$P$2:$Q$441,ROWS(Data!$P$2:AB41),COLUMNS(Data!$P$3:AA42)),IF($Q$1=$P$5,INDEX(prem_analysis!$BH$1:$BS$23,ROWS(Data!$Q$3:AB42),COLUMNS(Data!$Q$3:AB42)),IF($Q$1=$P$6,INDEX(prem_analysis!$BU$1:$CF$67,ROWS(prem_analysis!$N$2:Y41),COLUMNS(prem_analysis!$N$2:Y41)),IF($Q$1=$P$4,INDEX(Table24[[#All],[Year]:[Details]],ROWS(prem_analysis!$M$420:X459),COLUMNS(Data!$Q$3:AB42)))))),"")</f>
        <v/>
      </c>
    </row>
    <row r="42" spans="1:29" x14ac:dyDescent="0.2">
      <c r="A42" s="3">
        <v>2002</v>
      </c>
      <c r="B42" s="3">
        <v>1</v>
      </c>
      <c r="C42" s="4" t="s">
        <v>11</v>
      </c>
      <c r="D42" s="3">
        <v>38</v>
      </c>
      <c r="E42" s="3">
        <v>25</v>
      </c>
      <c r="F42" s="3">
        <v>8</v>
      </c>
      <c r="G42" s="3">
        <v>5</v>
      </c>
      <c r="H42" s="3">
        <v>74</v>
      </c>
      <c r="I42" s="3">
        <v>34</v>
      </c>
      <c r="J42" s="3">
        <v>40</v>
      </c>
      <c r="K42" s="3">
        <v>83</v>
      </c>
      <c r="L42" s="5" t="str">
        <f>IF(Table24[[#This Row],['#]]=1,"Champion", IF(Table24[[#This Row],['#]]&gt;=18,"Relegated",Table24[[#This Row],['#]]))</f>
        <v>Champion</v>
      </c>
      <c r="M42" s="5" t="str">
        <f>IF(Table24[[#This Row],[Details]]=2,K41-Table24[[#This Row],[Pts]],IF(Table24[[#This Row],[Details]]=17,Table24[[#This Row],[Pts]]-K43,""))</f>
        <v/>
      </c>
      <c r="R42" s="1" t="str">
        <f>IFERROR(IF($Q$1=$P$3,INDEX(prem_analysis!$P$2:$Q$441,ROWS(Data!$P$2:Q42),COLUMNS(Data!$P$3:P43)),IF($Q$1=$P$5,INDEX(prem_analysis!$BH$1:$BS$23,ROWS(Data!$Q$3:Q43),COLUMNS(Data!$Q$3:Q43)),IF($Q$1=$P$6,INDEX(prem_analysis!$BU$1:$CF$67,ROWS(prem_analysis!$N$2:N42),COLUMNS(prem_analysis!$N$2:N42)),IF($Q$1=$P$4,INDEX(Table24[[#All],[Year]:[Details]],ROWS(prem_analysis!$M$420:M460),COLUMNS(Data!$Q$3:Q43)))))),"")</f>
        <v/>
      </c>
      <c r="S42" s="1" t="str">
        <f>IFERROR(IF($Q$1=$P$3,INDEX(prem_analysis!$P$2:$Q$441,ROWS(Data!$P$2:R42),COLUMNS(Data!$P$3:Q43)),IF($Q$1=$P$5,INDEX(prem_analysis!$BH$1:$BS$23,ROWS(Data!$Q$3:R43),COLUMNS(Data!$Q$3:R43)),IF($Q$1=$P$6,INDEX(prem_analysis!$BU$1:$CF$67,ROWS(prem_analysis!$N$2:O42),COLUMNS(prem_analysis!$N$2:O42)),IF($Q$1=$P$4,INDEX(Table24[[#All],[Year]:[Details]],ROWS(prem_analysis!$M$420:N460),COLUMNS(Data!$Q$3:R43)))))),"")</f>
        <v/>
      </c>
      <c r="T42" s="1" t="str">
        <f>IFERROR(IF($Q$1=$P$3,INDEX(prem_analysis!$P$2:$Q$441,ROWS(Data!$P$2:S42),COLUMNS(Data!$P$3:R43)),IF($Q$1=$P$5,INDEX(prem_analysis!$BH$1:$BS$23,ROWS(Data!$Q$3:S43),COLUMNS(Data!$Q$3:S43)),IF($Q$1=$P$6,INDEX(prem_analysis!$BU$1:$CF$67,ROWS(prem_analysis!$N$2:P42),COLUMNS(prem_analysis!$N$2:P42)),IF($Q$1=$P$4,INDEX(Table24[[#All],[Year]:[Details]],ROWS(prem_analysis!$M$420:O460),COLUMNS(Data!$Q$3:S43)))))),"")</f>
        <v/>
      </c>
      <c r="U42" s="1" t="str">
        <f>IFERROR(IF($Q$1=$P$3,INDEX(prem_analysis!$P$2:$Q$441,ROWS(Data!$P$2:T42),COLUMNS(Data!$P$3:S43)),IF($Q$1=$P$5,INDEX(prem_analysis!$BH$1:$BS$23,ROWS(Data!$Q$3:T43),COLUMNS(Data!$Q$3:T43)),IF($Q$1=$P$6,INDEX(prem_analysis!$BU$1:$CF$67,ROWS(prem_analysis!$N$2:Q42),COLUMNS(prem_analysis!$N$2:Q42)),IF($Q$1=$P$4,INDEX(Table24[[#All],[Year]:[Details]],ROWS(prem_analysis!$M$420:P460),COLUMNS(Data!$Q$3:T43)))))),"")</f>
        <v/>
      </c>
      <c r="V42" s="1" t="str">
        <f>IFERROR(IF($Q$1=$P$3,INDEX(prem_analysis!$P$2:$Q$441,ROWS(Data!$P$2:U42),COLUMNS(Data!$P$3:T43)),IF($Q$1=$P$5,INDEX(prem_analysis!$BH$1:$BS$23,ROWS(Data!$Q$3:U43),COLUMNS(Data!$Q$3:U43)),IF($Q$1=$P$6,INDEX(prem_analysis!$BU$1:$CF$67,ROWS(prem_analysis!$N$2:R42),COLUMNS(prem_analysis!$N$2:R42)),IF($Q$1=$P$4,INDEX(Table24[[#All],[Year]:[Details]],ROWS(prem_analysis!$M$420:Q460),COLUMNS(Data!$Q$3:U43)))))),"")</f>
        <v/>
      </c>
      <c r="W42" s="1" t="str">
        <f>IFERROR(IF($Q$1=$P$3,INDEX(prem_analysis!$P$2:$Q$441,ROWS(Data!$P$2:V42),COLUMNS(Data!$P$3:U43)),IF($Q$1=$P$5,INDEX(prem_analysis!$BH$1:$BS$23,ROWS(Data!$Q$3:V43),COLUMNS(Data!$Q$3:V43)),IF($Q$1=$P$6,INDEX(prem_analysis!$BU$1:$CF$67,ROWS(prem_analysis!$N$2:S42),COLUMNS(prem_analysis!$N$2:S42)),IF($Q$1=$P$4,INDEX(Table24[[#All],[Year]:[Details]],ROWS(prem_analysis!$M$420:R460),COLUMNS(Data!$Q$3:V43)))))),"")</f>
        <v/>
      </c>
      <c r="X42" s="1" t="str">
        <f>IFERROR(IF($Q$1=$P$3,INDEX(prem_analysis!$P$2:$Q$441,ROWS(Data!$P$2:W42),COLUMNS(Data!$P$3:V43)),IF($Q$1=$P$5,INDEX(prem_analysis!$BH$1:$BS$23,ROWS(Data!$Q$3:W43),COLUMNS(Data!$Q$3:W43)),IF($Q$1=$P$6,INDEX(prem_analysis!$BU$1:$CF$67,ROWS(prem_analysis!$N$2:T42),COLUMNS(prem_analysis!$N$2:T42)),IF($Q$1=$P$4,INDEX(Table24[[#All],[Year]:[Details]],ROWS(prem_analysis!$M$420:S460),COLUMNS(Data!$Q$3:W43)))))),"")</f>
        <v/>
      </c>
      <c r="Y42" s="1" t="str">
        <f>IFERROR(IF($Q$1=$P$3,INDEX(prem_analysis!$P$2:$Q$441,ROWS(Data!$P$2:X42),COLUMNS(Data!$P$3:W43)),IF($Q$1=$P$5,INDEX(prem_analysis!$BH$1:$BS$23,ROWS(Data!$Q$3:X43),COLUMNS(Data!$Q$3:X43)),IF($Q$1=$P$6,INDEX(prem_analysis!$BU$1:$CF$67,ROWS(prem_analysis!$N$2:U42),COLUMNS(prem_analysis!$N$2:U42)),IF($Q$1=$P$4,INDEX(Table24[[#All],[Year]:[Details]],ROWS(prem_analysis!$M$420:T460),COLUMNS(Data!$Q$3:X43)))))),"")</f>
        <v/>
      </c>
      <c r="Z42" s="1" t="str">
        <f>IFERROR(IF($Q$1=$P$3,INDEX(prem_analysis!$P$2:$Q$441,ROWS(Data!$P$2:Y42),COLUMNS(Data!$P$3:X43)),IF($Q$1=$P$5,INDEX(prem_analysis!$BH$1:$BS$23,ROWS(Data!$Q$3:Y43),COLUMNS(Data!$Q$3:Y43)),IF($Q$1=$P$6,INDEX(prem_analysis!$BU$1:$CF$67,ROWS(prem_analysis!$N$2:V42),COLUMNS(prem_analysis!$N$2:V42)),IF($Q$1=$P$4,INDEX(Table24[[#All],[Year]:[Details]],ROWS(prem_analysis!$M$420:U460),COLUMNS(Data!$Q$3:Y43)))))),"")</f>
        <v/>
      </c>
      <c r="AA42" s="1" t="str">
        <f>IFERROR(IF($Q$1=$P$3,INDEX(prem_analysis!$P$2:$Q$441,ROWS(Data!$P$2:Z42),COLUMNS(Data!$P$3:Y43)),IF($Q$1=$P$5,INDEX(prem_analysis!$BH$1:$BS$23,ROWS(Data!$Q$3:Z43),COLUMNS(Data!$Q$3:Z43)),IF($Q$1=$P$6,INDEX(prem_analysis!$BU$1:$CF$67,ROWS(prem_analysis!$N$2:W42),COLUMNS(prem_analysis!$N$2:W42)),IF($Q$1=$P$4,INDEX(Table24[[#All],[Year]:[Details]],ROWS(prem_analysis!$M$420:V460),COLUMNS(Data!$Q$3:Z43)))))),"")</f>
        <v/>
      </c>
      <c r="AB42" s="1" t="str">
        <f>IFERROR(IF($Q$1=$P$3,INDEX(prem_analysis!$P$2:$Q$441,ROWS(Data!$P$2:AA42),COLUMNS(Data!$P$3:Z43)),IF($Q$1=$P$5,INDEX(prem_analysis!$BH$1:$BS$23,ROWS(Data!$Q$3:AA43),COLUMNS(Data!$Q$3:AA43)),IF($Q$1=$P$6,INDEX(prem_analysis!$BU$1:$CF$67,ROWS(prem_analysis!$N$2:X42),COLUMNS(prem_analysis!$N$2:X42)),IF($Q$1=$P$4,INDEX(Table24[[#All],[Year]:[Details]],ROWS(prem_analysis!$M$420:W460),COLUMNS(Data!$Q$3:AA43)))))),"")</f>
        <v/>
      </c>
      <c r="AC42" s="1" t="str">
        <f>IFERROR(IF($Q$1=$P$3,INDEX(prem_analysis!$P$2:$Q$441,ROWS(Data!$P$2:AB42),COLUMNS(Data!$P$3:AA43)),IF($Q$1=$P$5,INDEX(prem_analysis!$BH$1:$BS$23,ROWS(Data!$Q$3:AB43),COLUMNS(Data!$Q$3:AB43)),IF($Q$1=$P$6,INDEX(prem_analysis!$BU$1:$CF$67,ROWS(prem_analysis!$N$2:Y42),COLUMNS(prem_analysis!$N$2:Y42)),IF($Q$1=$P$4,INDEX(Table24[[#All],[Year]:[Details]],ROWS(prem_analysis!$M$420:X460),COLUMNS(Data!$Q$3:AB43)))))),"")</f>
        <v/>
      </c>
    </row>
    <row r="43" spans="1:29" x14ac:dyDescent="0.2">
      <c r="A43" s="5">
        <v>2002</v>
      </c>
      <c r="B43" s="5">
        <v>2</v>
      </c>
      <c r="C43" s="6" t="s">
        <v>12</v>
      </c>
      <c r="D43" s="5">
        <v>38</v>
      </c>
      <c r="E43" s="5">
        <v>23</v>
      </c>
      <c r="F43" s="5">
        <v>9</v>
      </c>
      <c r="G43" s="5">
        <v>6</v>
      </c>
      <c r="H43" s="5">
        <v>85</v>
      </c>
      <c r="I43" s="5">
        <v>42</v>
      </c>
      <c r="J43" s="5">
        <v>43</v>
      </c>
      <c r="K43" s="5">
        <v>78</v>
      </c>
      <c r="L43" s="5">
        <f>IF(Table24[[#This Row],['#]]=1,"Champion", IF(Table24[[#This Row],['#]]&gt;=18,"Relegated",Table24[[#This Row],['#]]))</f>
        <v>2</v>
      </c>
      <c r="M43" s="5">
        <f>IF(Table24[[#This Row],[Details]]=2,K42-Table24[[#This Row],[Pts]],IF(Table24[[#This Row],[Details]]=17,Table24[[#This Row],[Pts]]-K44,""))</f>
        <v>5</v>
      </c>
      <c r="R43" s="1" t="str">
        <f>IFERROR(IF($Q$1=$P$3,INDEX(prem_analysis!$P$2:$Q$441,ROWS(Data!$P$2:Q43),COLUMNS(Data!$P$3:P44)),IF($Q$1=$P$5,INDEX(prem_analysis!$BH$1:$BS$23,ROWS(Data!$Q$3:Q44),COLUMNS(Data!$Q$3:Q44)),IF($Q$1=$P$6,INDEX(prem_analysis!$BU$1:$CF$67,ROWS(prem_analysis!$N$2:N43),COLUMNS(prem_analysis!$N$2:N43)),IF($Q$1=$P$4,INDEX(Table24[[#All],[Year]:[Details]],ROWS(prem_analysis!$M$420:M461),COLUMNS(Data!$Q$3:Q44)))))),"")</f>
        <v/>
      </c>
      <c r="S43" s="1" t="str">
        <f>IFERROR(IF($Q$1=$P$3,INDEX(prem_analysis!$P$2:$Q$441,ROWS(Data!$P$2:R43),COLUMNS(Data!$P$3:Q44)),IF($Q$1=$P$5,INDEX(prem_analysis!$BH$1:$BS$23,ROWS(Data!$Q$3:R44),COLUMNS(Data!$Q$3:R44)),IF($Q$1=$P$6,INDEX(prem_analysis!$BU$1:$CF$67,ROWS(prem_analysis!$N$2:O43),COLUMNS(prem_analysis!$N$2:O43)),IF($Q$1=$P$4,INDEX(Table24[[#All],[Year]:[Details]],ROWS(prem_analysis!$M$420:N461),COLUMNS(Data!$Q$3:R44)))))),"")</f>
        <v/>
      </c>
      <c r="T43" s="1" t="str">
        <f>IFERROR(IF($Q$1=$P$3,INDEX(prem_analysis!$P$2:$Q$441,ROWS(Data!$P$2:S43),COLUMNS(Data!$P$3:R44)),IF($Q$1=$P$5,INDEX(prem_analysis!$BH$1:$BS$23,ROWS(Data!$Q$3:S44),COLUMNS(Data!$Q$3:S44)),IF($Q$1=$P$6,INDEX(prem_analysis!$BU$1:$CF$67,ROWS(prem_analysis!$N$2:P43),COLUMNS(prem_analysis!$N$2:P43)),IF($Q$1=$P$4,INDEX(Table24[[#All],[Year]:[Details]],ROWS(prem_analysis!$M$420:O461),COLUMNS(Data!$Q$3:S44)))))),"")</f>
        <v/>
      </c>
      <c r="U43" s="1" t="str">
        <f>IFERROR(IF($Q$1=$P$3,INDEX(prem_analysis!$P$2:$Q$441,ROWS(Data!$P$2:T43),COLUMNS(Data!$P$3:S44)),IF($Q$1=$P$5,INDEX(prem_analysis!$BH$1:$BS$23,ROWS(Data!$Q$3:T44),COLUMNS(Data!$Q$3:T44)),IF($Q$1=$P$6,INDEX(prem_analysis!$BU$1:$CF$67,ROWS(prem_analysis!$N$2:Q43),COLUMNS(prem_analysis!$N$2:Q43)),IF($Q$1=$P$4,INDEX(Table24[[#All],[Year]:[Details]],ROWS(prem_analysis!$M$420:P461),COLUMNS(Data!$Q$3:T44)))))),"")</f>
        <v/>
      </c>
      <c r="V43" s="1" t="str">
        <f>IFERROR(IF($Q$1=$P$3,INDEX(prem_analysis!$P$2:$Q$441,ROWS(Data!$P$2:U43),COLUMNS(Data!$P$3:T44)),IF($Q$1=$P$5,INDEX(prem_analysis!$BH$1:$BS$23,ROWS(Data!$Q$3:U44),COLUMNS(Data!$Q$3:U44)),IF($Q$1=$P$6,INDEX(prem_analysis!$BU$1:$CF$67,ROWS(prem_analysis!$N$2:R43),COLUMNS(prem_analysis!$N$2:R43)),IF($Q$1=$P$4,INDEX(Table24[[#All],[Year]:[Details]],ROWS(prem_analysis!$M$420:Q461),COLUMNS(Data!$Q$3:U44)))))),"")</f>
        <v/>
      </c>
      <c r="W43" s="1" t="str">
        <f>IFERROR(IF($Q$1=$P$3,INDEX(prem_analysis!$P$2:$Q$441,ROWS(Data!$P$2:V43),COLUMNS(Data!$P$3:U44)),IF($Q$1=$P$5,INDEX(prem_analysis!$BH$1:$BS$23,ROWS(Data!$Q$3:V44),COLUMNS(Data!$Q$3:V44)),IF($Q$1=$P$6,INDEX(prem_analysis!$BU$1:$CF$67,ROWS(prem_analysis!$N$2:S43),COLUMNS(prem_analysis!$N$2:S43)),IF($Q$1=$P$4,INDEX(Table24[[#All],[Year]:[Details]],ROWS(prem_analysis!$M$420:R461),COLUMNS(Data!$Q$3:V44)))))),"")</f>
        <v/>
      </c>
      <c r="X43" s="1" t="str">
        <f>IFERROR(IF($Q$1=$P$3,INDEX(prem_analysis!$P$2:$Q$441,ROWS(Data!$P$2:W43),COLUMNS(Data!$P$3:V44)),IF($Q$1=$P$5,INDEX(prem_analysis!$BH$1:$BS$23,ROWS(Data!$Q$3:W44),COLUMNS(Data!$Q$3:W44)),IF($Q$1=$P$6,INDEX(prem_analysis!$BU$1:$CF$67,ROWS(prem_analysis!$N$2:T43),COLUMNS(prem_analysis!$N$2:T43)),IF($Q$1=$P$4,INDEX(Table24[[#All],[Year]:[Details]],ROWS(prem_analysis!$M$420:S461),COLUMNS(Data!$Q$3:W44)))))),"")</f>
        <v/>
      </c>
      <c r="Y43" s="1" t="str">
        <f>IFERROR(IF($Q$1=$P$3,INDEX(prem_analysis!$P$2:$Q$441,ROWS(Data!$P$2:X43),COLUMNS(Data!$P$3:W44)),IF($Q$1=$P$5,INDEX(prem_analysis!$BH$1:$BS$23,ROWS(Data!$Q$3:X44),COLUMNS(Data!$Q$3:X44)),IF($Q$1=$P$6,INDEX(prem_analysis!$BU$1:$CF$67,ROWS(prem_analysis!$N$2:U43),COLUMNS(prem_analysis!$N$2:U43)),IF($Q$1=$P$4,INDEX(Table24[[#All],[Year]:[Details]],ROWS(prem_analysis!$M$420:T461),COLUMNS(Data!$Q$3:X44)))))),"")</f>
        <v/>
      </c>
      <c r="Z43" s="1" t="str">
        <f>IFERROR(IF($Q$1=$P$3,INDEX(prem_analysis!$P$2:$Q$441,ROWS(Data!$P$2:Y43),COLUMNS(Data!$P$3:X44)),IF($Q$1=$P$5,INDEX(prem_analysis!$BH$1:$BS$23,ROWS(Data!$Q$3:Y44),COLUMNS(Data!$Q$3:Y44)),IF($Q$1=$P$6,INDEX(prem_analysis!$BU$1:$CF$67,ROWS(prem_analysis!$N$2:V43),COLUMNS(prem_analysis!$N$2:V43)),IF($Q$1=$P$4,INDEX(Table24[[#All],[Year]:[Details]],ROWS(prem_analysis!$M$420:U461),COLUMNS(Data!$Q$3:Y44)))))),"")</f>
        <v/>
      </c>
      <c r="AA43" s="1" t="str">
        <f>IFERROR(IF($Q$1=$P$3,INDEX(prem_analysis!$P$2:$Q$441,ROWS(Data!$P$2:Z43),COLUMNS(Data!$P$3:Y44)),IF($Q$1=$P$5,INDEX(prem_analysis!$BH$1:$BS$23,ROWS(Data!$Q$3:Z44),COLUMNS(Data!$Q$3:Z44)),IF($Q$1=$P$6,INDEX(prem_analysis!$BU$1:$CF$67,ROWS(prem_analysis!$N$2:W43),COLUMNS(prem_analysis!$N$2:W43)),IF($Q$1=$P$4,INDEX(Table24[[#All],[Year]:[Details]],ROWS(prem_analysis!$M$420:V461),COLUMNS(Data!$Q$3:Z44)))))),"")</f>
        <v/>
      </c>
      <c r="AB43" s="1" t="str">
        <f>IFERROR(IF($Q$1=$P$3,INDEX(prem_analysis!$P$2:$Q$441,ROWS(Data!$P$2:AA43),COLUMNS(Data!$P$3:Z44)),IF($Q$1=$P$5,INDEX(prem_analysis!$BH$1:$BS$23,ROWS(Data!$Q$3:AA44),COLUMNS(Data!$Q$3:AA44)),IF($Q$1=$P$6,INDEX(prem_analysis!$BU$1:$CF$67,ROWS(prem_analysis!$N$2:X43),COLUMNS(prem_analysis!$N$2:X43)),IF($Q$1=$P$4,INDEX(Table24[[#All],[Year]:[Details]],ROWS(prem_analysis!$M$420:W461),COLUMNS(Data!$Q$3:AA44)))))),"")</f>
        <v/>
      </c>
      <c r="AC43" s="1" t="str">
        <f>IFERROR(IF($Q$1=$P$3,INDEX(prem_analysis!$P$2:$Q$441,ROWS(Data!$P$2:AB43),COLUMNS(Data!$P$3:AA44)),IF($Q$1=$P$5,INDEX(prem_analysis!$BH$1:$BS$23,ROWS(Data!$Q$3:AB44),COLUMNS(Data!$Q$3:AB44)),IF($Q$1=$P$6,INDEX(prem_analysis!$BU$1:$CF$67,ROWS(prem_analysis!$N$2:Y43),COLUMNS(prem_analysis!$N$2:Y43)),IF($Q$1=$P$4,INDEX(Table24[[#All],[Year]:[Details]],ROWS(prem_analysis!$M$420:X461),COLUMNS(Data!$Q$3:AB44)))))),"")</f>
        <v/>
      </c>
    </row>
    <row r="44" spans="1:29" x14ac:dyDescent="0.2">
      <c r="A44" s="3">
        <v>2002</v>
      </c>
      <c r="B44" s="3">
        <v>3</v>
      </c>
      <c r="C44" s="4" t="s">
        <v>21</v>
      </c>
      <c r="D44" s="3">
        <v>38</v>
      </c>
      <c r="E44" s="3">
        <v>21</v>
      </c>
      <c r="F44" s="3">
        <v>6</v>
      </c>
      <c r="G44" s="3">
        <v>11</v>
      </c>
      <c r="H44" s="3">
        <v>63</v>
      </c>
      <c r="I44" s="3">
        <v>48</v>
      </c>
      <c r="J44" s="3">
        <v>15</v>
      </c>
      <c r="K44" s="3">
        <v>69</v>
      </c>
      <c r="L44" s="5">
        <f>IF(Table24[[#This Row],['#]]=1,"Champion", IF(Table24[[#This Row],['#]]&gt;=18,"Relegated",Table24[[#This Row],['#]]))</f>
        <v>3</v>
      </c>
      <c r="M44" s="5" t="str">
        <f>IF(Table24[[#This Row],[Details]]=2,K43-Table24[[#This Row],[Pts]],IF(Table24[[#This Row],[Details]]=17,Table24[[#This Row],[Pts]]-K45,""))</f>
        <v/>
      </c>
      <c r="R44" s="1" t="str">
        <f>IFERROR(IF($Q$1=$P$3,INDEX(prem_analysis!$P$2:$Q$441,ROWS(Data!$P$2:Q44),COLUMNS(Data!$P$3:P45)),IF($Q$1=$P$5,INDEX(prem_analysis!$BH$1:$BS$23,ROWS(Data!$Q$3:Q45),COLUMNS(Data!$Q$3:Q45)),IF($Q$1=$P$6,INDEX(prem_analysis!$BU$1:$CF$67,ROWS(prem_analysis!$N$2:N44),COLUMNS(prem_analysis!$N$2:N44)),IF($Q$1=$P$4,INDEX(Table24[[#All],[Year]:[Details]],ROWS(prem_analysis!$M$420:M462),COLUMNS(Data!$Q$3:Q45)))))),"")</f>
        <v/>
      </c>
      <c r="S44" s="1" t="str">
        <f>IFERROR(IF($Q$1=$P$3,INDEX(prem_analysis!$P$2:$Q$441,ROWS(Data!$P$2:R44),COLUMNS(Data!$P$3:Q45)),IF($Q$1=$P$5,INDEX(prem_analysis!$BH$1:$BS$23,ROWS(Data!$Q$3:R45),COLUMNS(Data!$Q$3:R45)),IF($Q$1=$P$6,INDEX(prem_analysis!$BU$1:$CF$67,ROWS(prem_analysis!$N$2:O44),COLUMNS(prem_analysis!$N$2:O44)),IF($Q$1=$P$4,INDEX(Table24[[#All],[Year]:[Details]],ROWS(prem_analysis!$M$420:N462),COLUMNS(Data!$Q$3:R45)))))),"")</f>
        <v/>
      </c>
      <c r="T44" s="1" t="str">
        <f>IFERROR(IF($Q$1=$P$3,INDEX(prem_analysis!$P$2:$Q$441,ROWS(Data!$P$2:S44),COLUMNS(Data!$P$3:R45)),IF($Q$1=$P$5,INDEX(prem_analysis!$BH$1:$BS$23,ROWS(Data!$Q$3:S45),COLUMNS(Data!$Q$3:S45)),IF($Q$1=$P$6,INDEX(prem_analysis!$BU$1:$CF$67,ROWS(prem_analysis!$N$2:P44),COLUMNS(prem_analysis!$N$2:P44)),IF($Q$1=$P$4,INDEX(Table24[[#All],[Year]:[Details]],ROWS(prem_analysis!$M$420:O462),COLUMNS(Data!$Q$3:S45)))))),"")</f>
        <v/>
      </c>
      <c r="U44" s="1" t="str">
        <f>IFERROR(IF($Q$1=$P$3,INDEX(prem_analysis!$P$2:$Q$441,ROWS(Data!$P$2:T44),COLUMNS(Data!$P$3:S45)),IF($Q$1=$P$5,INDEX(prem_analysis!$BH$1:$BS$23,ROWS(Data!$Q$3:T45),COLUMNS(Data!$Q$3:T45)),IF($Q$1=$P$6,INDEX(prem_analysis!$BU$1:$CF$67,ROWS(prem_analysis!$N$2:Q44),COLUMNS(prem_analysis!$N$2:Q44)),IF($Q$1=$P$4,INDEX(Table24[[#All],[Year]:[Details]],ROWS(prem_analysis!$M$420:P462),COLUMNS(Data!$Q$3:T45)))))),"")</f>
        <v/>
      </c>
      <c r="V44" s="1" t="str">
        <f>IFERROR(IF($Q$1=$P$3,INDEX(prem_analysis!$P$2:$Q$441,ROWS(Data!$P$2:U44),COLUMNS(Data!$P$3:T45)),IF($Q$1=$P$5,INDEX(prem_analysis!$BH$1:$BS$23,ROWS(Data!$Q$3:U45),COLUMNS(Data!$Q$3:U45)),IF($Q$1=$P$6,INDEX(prem_analysis!$BU$1:$CF$67,ROWS(prem_analysis!$N$2:R44),COLUMNS(prem_analysis!$N$2:R44)),IF($Q$1=$P$4,INDEX(Table24[[#All],[Year]:[Details]],ROWS(prem_analysis!$M$420:Q462),COLUMNS(Data!$Q$3:U45)))))),"")</f>
        <v/>
      </c>
      <c r="W44" s="1" t="str">
        <f>IFERROR(IF($Q$1=$P$3,INDEX(prem_analysis!$P$2:$Q$441,ROWS(Data!$P$2:V44),COLUMNS(Data!$P$3:U45)),IF($Q$1=$P$5,INDEX(prem_analysis!$BH$1:$BS$23,ROWS(Data!$Q$3:V45),COLUMNS(Data!$Q$3:V45)),IF($Q$1=$P$6,INDEX(prem_analysis!$BU$1:$CF$67,ROWS(prem_analysis!$N$2:S44),COLUMNS(prem_analysis!$N$2:S44)),IF($Q$1=$P$4,INDEX(Table24[[#All],[Year]:[Details]],ROWS(prem_analysis!$M$420:R462),COLUMNS(Data!$Q$3:V45)))))),"")</f>
        <v/>
      </c>
      <c r="X44" s="1" t="str">
        <f>IFERROR(IF($Q$1=$P$3,INDEX(prem_analysis!$P$2:$Q$441,ROWS(Data!$P$2:W44),COLUMNS(Data!$P$3:V45)),IF($Q$1=$P$5,INDEX(prem_analysis!$BH$1:$BS$23,ROWS(Data!$Q$3:W45),COLUMNS(Data!$Q$3:W45)),IF($Q$1=$P$6,INDEX(prem_analysis!$BU$1:$CF$67,ROWS(prem_analysis!$N$2:T44),COLUMNS(prem_analysis!$N$2:T44)),IF($Q$1=$P$4,INDEX(Table24[[#All],[Year]:[Details]],ROWS(prem_analysis!$M$420:S462),COLUMNS(Data!$Q$3:W45)))))),"")</f>
        <v/>
      </c>
      <c r="Y44" s="1" t="str">
        <f>IFERROR(IF($Q$1=$P$3,INDEX(prem_analysis!$P$2:$Q$441,ROWS(Data!$P$2:X44),COLUMNS(Data!$P$3:W45)),IF($Q$1=$P$5,INDEX(prem_analysis!$BH$1:$BS$23,ROWS(Data!$Q$3:X45),COLUMNS(Data!$Q$3:X45)),IF($Q$1=$P$6,INDEX(prem_analysis!$BU$1:$CF$67,ROWS(prem_analysis!$N$2:U44),COLUMNS(prem_analysis!$N$2:U44)),IF($Q$1=$P$4,INDEX(Table24[[#All],[Year]:[Details]],ROWS(prem_analysis!$M$420:T462),COLUMNS(Data!$Q$3:X45)))))),"")</f>
        <v/>
      </c>
      <c r="Z44" s="1" t="str">
        <f>IFERROR(IF($Q$1=$P$3,INDEX(prem_analysis!$P$2:$Q$441,ROWS(Data!$P$2:Y44),COLUMNS(Data!$P$3:X45)),IF($Q$1=$P$5,INDEX(prem_analysis!$BH$1:$BS$23,ROWS(Data!$Q$3:Y45),COLUMNS(Data!$Q$3:Y45)),IF($Q$1=$P$6,INDEX(prem_analysis!$BU$1:$CF$67,ROWS(prem_analysis!$N$2:V44),COLUMNS(prem_analysis!$N$2:V44)),IF($Q$1=$P$4,INDEX(Table24[[#All],[Year]:[Details]],ROWS(prem_analysis!$M$420:U462),COLUMNS(Data!$Q$3:Y45)))))),"")</f>
        <v/>
      </c>
      <c r="AA44" s="1" t="str">
        <f>IFERROR(IF($Q$1=$P$3,INDEX(prem_analysis!$P$2:$Q$441,ROWS(Data!$P$2:Z44),COLUMNS(Data!$P$3:Y45)),IF($Q$1=$P$5,INDEX(prem_analysis!$BH$1:$BS$23,ROWS(Data!$Q$3:Z45),COLUMNS(Data!$Q$3:Z45)),IF($Q$1=$P$6,INDEX(prem_analysis!$BU$1:$CF$67,ROWS(prem_analysis!$N$2:W44),COLUMNS(prem_analysis!$N$2:W44)),IF($Q$1=$P$4,INDEX(Table24[[#All],[Year]:[Details]],ROWS(prem_analysis!$M$420:V462),COLUMNS(Data!$Q$3:Z45)))))),"")</f>
        <v/>
      </c>
      <c r="AB44" s="1" t="str">
        <f>IFERROR(IF($Q$1=$P$3,INDEX(prem_analysis!$P$2:$Q$441,ROWS(Data!$P$2:AA44),COLUMNS(Data!$P$3:Z45)),IF($Q$1=$P$5,INDEX(prem_analysis!$BH$1:$BS$23,ROWS(Data!$Q$3:AA45),COLUMNS(Data!$Q$3:AA45)),IF($Q$1=$P$6,INDEX(prem_analysis!$BU$1:$CF$67,ROWS(prem_analysis!$N$2:X44),COLUMNS(prem_analysis!$N$2:X44)),IF($Q$1=$P$4,INDEX(Table24[[#All],[Year]:[Details]],ROWS(prem_analysis!$M$420:W462),COLUMNS(Data!$Q$3:AA45)))))),"")</f>
        <v/>
      </c>
      <c r="AC44" s="1" t="str">
        <f>IFERROR(IF($Q$1=$P$3,INDEX(prem_analysis!$P$2:$Q$441,ROWS(Data!$P$2:AB44),COLUMNS(Data!$P$3:AA45)),IF($Q$1=$P$5,INDEX(prem_analysis!$BH$1:$BS$23,ROWS(Data!$Q$3:AB45),COLUMNS(Data!$Q$3:AB45)),IF($Q$1=$P$6,INDEX(prem_analysis!$BU$1:$CF$67,ROWS(prem_analysis!$N$2:Y44),COLUMNS(prem_analysis!$N$2:Y44)),IF($Q$1=$P$4,INDEX(Table24[[#All],[Year]:[Details]],ROWS(prem_analysis!$M$420:X462),COLUMNS(Data!$Q$3:AB45)))))),"")</f>
        <v/>
      </c>
    </row>
    <row r="45" spans="1:29" x14ac:dyDescent="0.2">
      <c r="A45" s="5">
        <v>2002</v>
      </c>
      <c r="B45" s="5">
        <v>4</v>
      </c>
      <c r="C45" s="6" t="s">
        <v>16</v>
      </c>
      <c r="D45" s="5">
        <v>38</v>
      </c>
      <c r="E45" s="5">
        <v>19</v>
      </c>
      <c r="F45" s="5">
        <v>10</v>
      </c>
      <c r="G45" s="5">
        <v>9</v>
      </c>
      <c r="H45" s="5">
        <v>68</v>
      </c>
      <c r="I45" s="5">
        <v>38</v>
      </c>
      <c r="J45" s="5">
        <v>30</v>
      </c>
      <c r="K45" s="5">
        <v>67</v>
      </c>
      <c r="L45" s="5">
        <f>IF(Table24[[#This Row],['#]]=1,"Champion", IF(Table24[[#This Row],['#]]&gt;=18,"Relegated",Table24[[#This Row],['#]]))</f>
        <v>4</v>
      </c>
      <c r="M45" s="5" t="str">
        <f>IF(Table24[[#This Row],[Details]]=2,K44-Table24[[#This Row],[Pts]],IF(Table24[[#This Row],[Details]]=17,Table24[[#This Row],[Pts]]-K46,""))</f>
        <v/>
      </c>
      <c r="R45" s="1" t="str">
        <f>IFERROR(IF($Q$1=$P$3,INDEX(prem_analysis!$P$2:$Q$441,ROWS(Data!$P$2:Q45),COLUMNS(Data!$P$3:P46)),IF($Q$1=$P$5,INDEX(prem_analysis!$BH$1:$BS$23,ROWS(Data!$Q$3:Q46),COLUMNS(Data!$Q$3:Q46)),IF($Q$1=$P$6,INDEX(prem_analysis!$BU$1:$CF$67,ROWS(prem_analysis!$N$2:N45),COLUMNS(prem_analysis!$N$2:N45)),IF($Q$1=$P$4,INDEX(Table24[[#All],[Year]:[Details]],ROWS(prem_analysis!$M$420:M463),COLUMNS(Data!$Q$3:Q46)))))),"")</f>
        <v/>
      </c>
      <c r="S45" s="1" t="str">
        <f>IFERROR(IF($Q$1=$P$3,INDEX(prem_analysis!$P$2:$Q$441,ROWS(Data!$P$2:R45),COLUMNS(Data!$P$3:Q46)),IF($Q$1=$P$5,INDEX(prem_analysis!$BH$1:$BS$23,ROWS(Data!$Q$3:R46),COLUMNS(Data!$Q$3:R46)),IF($Q$1=$P$6,INDEX(prem_analysis!$BU$1:$CF$67,ROWS(prem_analysis!$N$2:O45),COLUMNS(prem_analysis!$N$2:O45)),IF($Q$1=$P$4,INDEX(Table24[[#All],[Year]:[Details]],ROWS(prem_analysis!$M$420:N463),COLUMNS(Data!$Q$3:R46)))))),"")</f>
        <v/>
      </c>
      <c r="T45" s="1" t="str">
        <f>IFERROR(IF($Q$1=$P$3,INDEX(prem_analysis!$P$2:$Q$441,ROWS(Data!$P$2:S45),COLUMNS(Data!$P$3:R46)),IF($Q$1=$P$5,INDEX(prem_analysis!$BH$1:$BS$23,ROWS(Data!$Q$3:S46),COLUMNS(Data!$Q$3:S46)),IF($Q$1=$P$6,INDEX(prem_analysis!$BU$1:$CF$67,ROWS(prem_analysis!$N$2:P45),COLUMNS(prem_analysis!$N$2:P45)),IF($Q$1=$P$4,INDEX(Table24[[#All],[Year]:[Details]],ROWS(prem_analysis!$M$420:O463),COLUMNS(Data!$Q$3:S46)))))),"")</f>
        <v/>
      </c>
      <c r="U45" s="1" t="str">
        <f>IFERROR(IF($Q$1=$P$3,INDEX(prem_analysis!$P$2:$Q$441,ROWS(Data!$P$2:T45),COLUMNS(Data!$P$3:S46)),IF($Q$1=$P$5,INDEX(prem_analysis!$BH$1:$BS$23,ROWS(Data!$Q$3:T46),COLUMNS(Data!$Q$3:T46)),IF($Q$1=$P$6,INDEX(prem_analysis!$BU$1:$CF$67,ROWS(prem_analysis!$N$2:Q45),COLUMNS(prem_analysis!$N$2:Q45)),IF($Q$1=$P$4,INDEX(Table24[[#All],[Year]:[Details]],ROWS(prem_analysis!$M$420:P463),COLUMNS(Data!$Q$3:T46)))))),"")</f>
        <v/>
      </c>
      <c r="V45" s="1" t="str">
        <f>IFERROR(IF($Q$1=$P$3,INDEX(prem_analysis!$P$2:$Q$441,ROWS(Data!$P$2:U45),COLUMNS(Data!$P$3:T46)),IF($Q$1=$P$5,INDEX(prem_analysis!$BH$1:$BS$23,ROWS(Data!$Q$3:U46),COLUMNS(Data!$Q$3:U46)),IF($Q$1=$P$6,INDEX(prem_analysis!$BU$1:$CF$67,ROWS(prem_analysis!$N$2:R45),COLUMNS(prem_analysis!$N$2:R45)),IF($Q$1=$P$4,INDEX(Table24[[#All],[Year]:[Details]],ROWS(prem_analysis!$M$420:Q463),COLUMNS(Data!$Q$3:U46)))))),"")</f>
        <v/>
      </c>
      <c r="W45" s="1" t="str">
        <f>IFERROR(IF($Q$1=$P$3,INDEX(prem_analysis!$P$2:$Q$441,ROWS(Data!$P$2:V45),COLUMNS(Data!$P$3:U46)),IF($Q$1=$P$5,INDEX(prem_analysis!$BH$1:$BS$23,ROWS(Data!$Q$3:V46),COLUMNS(Data!$Q$3:V46)),IF($Q$1=$P$6,INDEX(prem_analysis!$BU$1:$CF$67,ROWS(prem_analysis!$N$2:S45),COLUMNS(prem_analysis!$N$2:S45)),IF($Q$1=$P$4,INDEX(Table24[[#All],[Year]:[Details]],ROWS(prem_analysis!$M$420:R463),COLUMNS(Data!$Q$3:V46)))))),"")</f>
        <v/>
      </c>
      <c r="X45" s="1" t="str">
        <f>IFERROR(IF($Q$1=$P$3,INDEX(prem_analysis!$P$2:$Q$441,ROWS(Data!$P$2:W45),COLUMNS(Data!$P$3:V46)),IF($Q$1=$P$5,INDEX(prem_analysis!$BH$1:$BS$23,ROWS(Data!$Q$3:W46),COLUMNS(Data!$Q$3:W46)),IF($Q$1=$P$6,INDEX(prem_analysis!$BU$1:$CF$67,ROWS(prem_analysis!$N$2:T45),COLUMNS(prem_analysis!$N$2:T45)),IF($Q$1=$P$4,INDEX(Table24[[#All],[Year]:[Details]],ROWS(prem_analysis!$M$420:S463),COLUMNS(Data!$Q$3:W46)))))),"")</f>
        <v/>
      </c>
      <c r="Y45" s="1" t="str">
        <f>IFERROR(IF($Q$1=$P$3,INDEX(prem_analysis!$P$2:$Q$441,ROWS(Data!$P$2:X45),COLUMNS(Data!$P$3:W46)),IF($Q$1=$P$5,INDEX(prem_analysis!$BH$1:$BS$23,ROWS(Data!$Q$3:X46),COLUMNS(Data!$Q$3:X46)),IF($Q$1=$P$6,INDEX(prem_analysis!$BU$1:$CF$67,ROWS(prem_analysis!$N$2:U45),COLUMNS(prem_analysis!$N$2:U45)),IF($Q$1=$P$4,INDEX(Table24[[#All],[Year]:[Details]],ROWS(prem_analysis!$M$420:T463),COLUMNS(Data!$Q$3:X46)))))),"")</f>
        <v/>
      </c>
      <c r="Z45" s="1" t="str">
        <f>IFERROR(IF($Q$1=$P$3,INDEX(prem_analysis!$P$2:$Q$441,ROWS(Data!$P$2:Y45),COLUMNS(Data!$P$3:X46)),IF($Q$1=$P$5,INDEX(prem_analysis!$BH$1:$BS$23,ROWS(Data!$Q$3:Y46),COLUMNS(Data!$Q$3:Y46)),IF($Q$1=$P$6,INDEX(prem_analysis!$BU$1:$CF$67,ROWS(prem_analysis!$N$2:V45),COLUMNS(prem_analysis!$N$2:V45)),IF($Q$1=$P$4,INDEX(Table24[[#All],[Year]:[Details]],ROWS(prem_analysis!$M$420:U463),COLUMNS(Data!$Q$3:Y46)))))),"")</f>
        <v/>
      </c>
      <c r="AA45" s="1" t="str">
        <f>IFERROR(IF($Q$1=$P$3,INDEX(prem_analysis!$P$2:$Q$441,ROWS(Data!$P$2:Z45),COLUMNS(Data!$P$3:Y46)),IF($Q$1=$P$5,INDEX(prem_analysis!$BH$1:$BS$23,ROWS(Data!$Q$3:Z46),COLUMNS(Data!$Q$3:Z46)),IF($Q$1=$P$6,INDEX(prem_analysis!$BU$1:$CF$67,ROWS(prem_analysis!$N$2:W45),COLUMNS(prem_analysis!$N$2:W45)),IF($Q$1=$P$4,INDEX(Table24[[#All],[Year]:[Details]],ROWS(prem_analysis!$M$420:V463),COLUMNS(Data!$Q$3:Z46)))))),"")</f>
        <v/>
      </c>
      <c r="AB45" s="1" t="str">
        <f>IFERROR(IF($Q$1=$P$3,INDEX(prem_analysis!$P$2:$Q$441,ROWS(Data!$P$2:AA45),COLUMNS(Data!$P$3:Z46)),IF($Q$1=$P$5,INDEX(prem_analysis!$BH$1:$BS$23,ROWS(Data!$Q$3:AA46),COLUMNS(Data!$Q$3:AA46)),IF($Q$1=$P$6,INDEX(prem_analysis!$BU$1:$CF$67,ROWS(prem_analysis!$N$2:X45),COLUMNS(prem_analysis!$N$2:X45)),IF($Q$1=$P$4,INDEX(Table24[[#All],[Year]:[Details]],ROWS(prem_analysis!$M$420:W463),COLUMNS(Data!$Q$3:AA46)))))),"")</f>
        <v/>
      </c>
      <c r="AC45" s="1" t="str">
        <f>IFERROR(IF($Q$1=$P$3,INDEX(prem_analysis!$P$2:$Q$441,ROWS(Data!$P$2:AB45),COLUMNS(Data!$P$3:AA46)),IF($Q$1=$P$5,INDEX(prem_analysis!$BH$1:$BS$23,ROWS(Data!$Q$3:AB46),COLUMNS(Data!$Q$3:AB46)),IF($Q$1=$P$6,INDEX(prem_analysis!$BU$1:$CF$67,ROWS(prem_analysis!$N$2:Y45),COLUMNS(prem_analysis!$N$2:Y45)),IF($Q$1=$P$4,INDEX(Table24[[#All],[Year]:[Details]],ROWS(prem_analysis!$M$420:X463),COLUMNS(Data!$Q$3:AB46)))))),"")</f>
        <v/>
      </c>
    </row>
    <row r="46" spans="1:29" x14ac:dyDescent="0.2">
      <c r="A46" s="3">
        <v>2002</v>
      </c>
      <c r="B46" s="3">
        <v>5</v>
      </c>
      <c r="C46" s="4" t="s">
        <v>13</v>
      </c>
      <c r="D46" s="3">
        <v>38</v>
      </c>
      <c r="E46" s="3">
        <v>18</v>
      </c>
      <c r="F46" s="3">
        <v>10</v>
      </c>
      <c r="G46" s="3">
        <v>10</v>
      </c>
      <c r="H46" s="3">
        <v>61</v>
      </c>
      <c r="I46" s="3">
        <v>41</v>
      </c>
      <c r="J46" s="3">
        <v>20</v>
      </c>
      <c r="K46" s="3">
        <v>64</v>
      </c>
      <c r="L46" s="5">
        <f>IF(Table24[[#This Row],['#]]=1,"Champion", IF(Table24[[#This Row],['#]]&gt;=18,"Relegated",Table24[[#This Row],['#]]))</f>
        <v>5</v>
      </c>
      <c r="M46" s="5" t="str">
        <f>IF(Table24[[#This Row],[Details]]=2,K45-Table24[[#This Row],[Pts]],IF(Table24[[#This Row],[Details]]=17,Table24[[#This Row],[Pts]]-K47,""))</f>
        <v/>
      </c>
      <c r="R46" s="1" t="str">
        <f>IFERROR(IF($Q$1=$P$3,INDEX(prem_analysis!$P$2:$Q$441,ROWS(Data!$P$2:Q46),COLUMNS(Data!$P$3:P47)),IF($Q$1=$P$5,INDEX(prem_analysis!$BH$1:$BS$23,ROWS(Data!$Q$3:Q47),COLUMNS(Data!$Q$3:Q47)),IF($Q$1=$P$6,INDEX(prem_analysis!$BU$1:$CF$67,ROWS(prem_analysis!$N$2:N46),COLUMNS(prem_analysis!$N$2:N46)),IF($Q$1=$P$4,INDEX(Table24[[#All],[Year]:[Details]],ROWS(prem_analysis!$M$420:M464),COLUMNS(Data!$Q$3:Q47)))))),"")</f>
        <v/>
      </c>
      <c r="S46" s="1" t="str">
        <f>IFERROR(IF($Q$1=$P$3,INDEX(prem_analysis!$P$2:$Q$441,ROWS(Data!$P$2:R46),COLUMNS(Data!$P$3:Q47)),IF($Q$1=$P$5,INDEX(prem_analysis!$BH$1:$BS$23,ROWS(Data!$Q$3:R47),COLUMNS(Data!$Q$3:R47)),IF($Q$1=$P$6,INDEX(prem_analysis!$BU$1:$CF$67,ROWS(prem_analysis!$N$2:O46),COLUMNS(prem_analysis!$N$2:O46)),IF($Q$1=$P$4,INDEX(Table24[[#All],[Year]:[Details]],ROWS(prem_analysis!$M$420:N464),COLUMNS(Data!$Q$3:R47)))))),"")</f>
        <v/>
      </c>
      <c r="T46" s="1" t="str">
        <f>IFERROR(IF($Q$1=$P$3,INDEX(prem_analysis!$P$2:$Q$441,ROWS(Data!$P$2:S46),COLUMNS(Data!$P$3:R47)),IF($Q$1=$P$5,INDEX(prem_analysis!$BH$1:$BS$23,ROWS(Data!$Q$3:S47),COLUMNS(Data!$Q$3:S47)),IF($Q$1=$P$6,INDEX(prem_analysis!$BU$1:$CF$67,ROWS(prem_analysis!$N$2:P46),COLUMNS(prem_analysis!$N$2:P46)),IF($Q$1=$P$4,INDEX(Table24[[#All],[Year]:[Details]],ROWS(prem_analysis!$M$420:O464),COLUMNS(Data!$Q$3:S47)))))),"")</f>
        <v/>
      </c>
      <c r="U46" s="1" t="str">
        <f>IFERROR(IF($Q$1=$P$3,INDEX(prem_analysis!$P$2:$Q$441,ROWS(Data!$P$2:T46),COLUMNS(Data!$P$3:S47)),IF($Q$1=$P$5,INDEX(prem_analysis!$BH$1:$BS$23,ROWS(Data!$Q$3:T47),COLUMNS(Data!$Q$3:T47)),IF($Q$1=$P$6,INDEX(prem_analysis!$BU$1:$CF$67,ROWS(prem_analysis!$N$2:Q46),COLUMNS(prem_analysis!$N$2:Q46)),IF($Q$1=$P$4,INDEX(Table24[[#All],[Year]:[Details]],ROWS(prem_analysis!$M$420:P464),COLUMNS(Data!$Q$3:T47)))))),"")</f>
        <v/>
      </c>
      <c r="V46" s="1" t="str">
        <f>IFERROR(IF($Q$1=$P$3,INDEX(prem_analysis!$P$2:$Q$441,ROWS(Data!$P$2:U46),COLUMNS(Data!$P$3:T47)),IF($Q$1=$P$5,INDEX(prem_analysis!$BH$1:$BS$23,ROWS(Data!$Q$3:U47),COLUMNS(Data!$Q$3:U47)),IF($Q$1=$P$6,INDEX(prem_analysis!$BU$1:$CF$67,ROWS(prem_analysis!$N$2:R46),COLUMNS(prem_analysis!$N$2:R46)),IF($Q$1=$P$4,INDEX(Table24[[#All],[Year]:[Details]],ROWS(prem_analysis!$M$420:Q464),COLUMNS(Data!$Q$3:U47)))))),"")</f>
        <v/>
      </c>
      <c r="W46" s="1" t="str">
        <f>IFERROR(IF($Q$1=$P$3,INDEX(prem_analysis!$P$2:$Q$441,ROWS(Data!$P$2:V46),COLUMNS(Data!$P$3:U47)),IF($Q$1=$P$5,INDEX(prem_analysis!$BH$1:$BS$23,ROWS(Data!$Q$3:V47),COLUMNS(Data!$Q$3:V47)),IF($Q$1=$P$6,INDEX(prem_analysis!$BU$1:$CF$67,ROWS(prem_analysis!$N$2:S46),COLUMNS(prem_analysis!$N$2:S46)),IF($Q$1=$P$4,INDEX(Table24[[#All],[Year]:[Details]],ROWS(prem_analysis!$M$420:R464),COLUMNS(Data!$Q$3:V47)))))),"")</f>
        <v/>
      </c>
      <c r="X46" s="1" t="str">
        <f>IFERROR(IF($Q$1=$P$3,INDEX(prem_analysis!$P$2:$Q$441,ROWS(Data!$P$2:W46),COLUMNS(Data!$P$3:V47)),IF($Q$1=$P$5,INDEX(prem_analysis!$BH$1:$BS$23,ROWS(Data!$Q$3:W47),COLUMNS(Data!$Q$3:W47)),IF($Q$1=$P$6,INDEX(prem_analysis!$BU$1:$CF$67,ROWS(prem_analysis!$N$2:T46),COLUMNS(prem_analysis!$N$2:T46)),IF($Q$1=$P$4,INDEX(Table24[[#All],[Year]:[Details]],ROWS(prem_analysis!$M$420:S464),COLUMNS(Data!$Q$3:W47)))))),"")</f>
        <v/>
      </c>
      <c r="Y46" s="1" t="str">
        <f>IFERROR(IF($Q$1=$P$3,INDEX(prem_analysis!$P$2:$Q$441,ROWS(Data!$P$2:X46),COLUMNS(Data!$P$3:W47)),IF($Q$1=$P$5,INDEX(prem_analysis!$BH$1:$BS$23,ROWS(Data!$Q$3:X47),COLUMNS(Data!$Q$3:X47)),IF($Q$1=$P$6,INDEX(prem_analysis!$BU$1:$CF$67,ROWS(prem_analysis!$N$2:U46),COLUMNS(prem_analysis!$N$2:U46)),IF($Q$1=$P$4,INDEX(Table24[[#All],[Year]:[Details]],ROWS(prem_analysis!$M$420:T464),COLUMNS(Data!$Q$3:X47)))))),"")</f>
        <v/>
      </c>
      <c r="Z46" s="1" t="str">
        <f>IFERROR(IF($Q$1=$P$3,INDEX(prem_analysis!$P$2:$Q$441,ROWS(Data!$P$2:Y46),COLUMNS(Data!$P$3:X47)),IF($Q$1=$P$5,INDEX(prem_analysis!$BH$1:$BS$23,ROWS(Data!$Q$3:Y47),COLUMNS(Data!$Q$3:Y47)),IF($Q$1=$P$6,INDEX(prem_analysis!$BU$1:$CF$67,ROWS(prem_analysis!$N$2:V46),COLUMNS(prem_analysis!$N$2:V46)),IF($Q$1=$P$4,INDEX(Table24[[#All],[Year]:[Details]],ROWS(prem_analysis!$M$420:U464),COLUMNS(Data!$Q$3:Y47)))))),"")</f>
        <v/>
      </c>
      <c r="AA46" s="1" t="str">
        <f>IFERROR(IF($Q$1=$P$3,INDEX(prem_analysis!$P$2:$Q$441,ROWS(Data!$P$2:Z46),COLUMNS(Data!$P$3:Y47)),IF($Q$1=$P$5,INDEX(prem_analysis!$BH$1:$BS$23,ROWS(Data!$Q$3:Z47),COLUMNS(Data!$Q$3:Z47)),IF($Q$1=$P$6,INDEX(prem_analysis!$BU$1:$CF$67,ROWS(prem_analysis!$N$2:W46),COLUMNS(prem_analysis!$N$2:W46)),IF($Q$1=$P$4,INDEX(Table24[[#All],[Year]:[Details]],ROWS(prem_analysis!$M$420:V464),COLUMNS(Data!$Q$3:Z47)))))),"")</f>
        <v/>
      </c>
      <c r="AB46" s="1" t="str">
        <f>IFERROR(IF($Q$1=$P$3,INDEX(prem_analysis!$P$2:$Q$441,ROWS(Data!$P$2:AA46),COLUMNS(Data!$P$3:Z47)),IF($Q$1=$P$5,INDEX(prem_analysis!$BH$1:$BS$23,ROWS(Data!$Q$3:AA47),COLUMNS(Data!$Q$3:AA47)),IF($Q$1=$P$6,INDEX(prem_analysis!$BU$1:$CF$67,ROWS(prem_analysis!$N$2:X46),COLUMNS(prem_analysis!$N$2:X46)),IF($Q$1=$P$4,INDEX(Table24[[#All],[Year]:[Details]],ROWS(prem_analysis!$M$420:W464),COLUMNS(Data!$Q$3:AA47)))))),"")</f>
        <v/>
      </c>
      <c r="AC46" s="1" t="str">
        <f>IFERROR(IF($Q$1=$P$3,INDEX(prem_analysis!$P$2:$Q$441,ROWS(Data!$P$2:AB46),COLUMNS(Data!$P$3:AA47)),IF($Q$1=$P$5,INDEX(prem_analysis!$BH$1:$BS$23,ROWS(Data!$Q$3:AB47),COLUMNS(Data!$Q$3:AB47)),IF($Q$1=$P$6,INDEX(prem_analysis!$BU$1:$CF$67,ROWS(prem_analysis!$N$2:Y46),COLUMNS(prem_analysis!$N$2:Y46)),IF($Q$1=$P$4,INDEX(Table24[[#All],[Year]:[Details]],ROWS(prem_analysis!$M$420:X464),COLUMNS(Data!$Q$3:AB47)))))),"")</f>
        <v/>
      </c>
    </row>
    <row r="47" spans="1:29" x14ac:dyDescent="0.2">
      <c r="A47" s="5">
        <v>2002</v>
      </c>
      <c r="B47" s="5">
        <v>6</v>
      </c>
      <c r="C47" s="6" t="s">
        <v>31</v>
      </c>
      <c r="D47" s="5">
        <v>38</v>
      </c>
      <c r="E47" s="5">
        <v>16</v>
      </c>
      <c r="F47" s="5">
        <v>12</v>
      </c>
      <c r="G47" s="5">
        <v>10</v>
      </c>
      <c r="H47" s="5">
        <v>52</v>
      </c>
      <c r="I47" s="5">
        <v>43</v>
      </c>
      <c r="J47" s="5">
        <v>9</v>
      </c>
      <c r="K47" s="5">
        <v>60</v>
      </c>
      <c r="L47" s="5">
        <f>IF(Table24[[#This Row],['#]]=1,"Champion", IF(Table24[[#This Row],['#]]&gt;=18,"Relegated",Table24[[#This Row],['#]]))</f>
        <v>6</v>
      </c>
      <c r="M47" s="5" t="str">
        <f>IF(Table24[[#This Row],[Details]]=2,K46-Table24[[#This Row],[Pts]],IF(Table24[[#This Row],[Details]]=17,Table24[[#This Row],[Pts]]-K48,""))</f>
        <v/>
      </c>
      <c r="R47" s="1" t="str">
        <f>IFERROR(IF($Q$1=$P$3,INDEX(prem_analysis!$P$2:$Q$441,ROWS(Data!$P$2:Q47),COLUMNS(Data!$P$3:P48)),IF($Q$1=$P$5,INDEX(prem_analysis!$BH$1:$BS$23,ROWS(Data!$Q$3:Q48),COLUMNS(Data!$Q$3:Q48)),IF($Q$1=$P$6,INDEX(prem_analysis!$BU$1:$CF$67,ROWS(prem_analysis!$N$2:N47),COLUMNS(prem_analysis!$N$2:N47)),IF($Q$1=$P$4,INDEX(Table24[[#All],[Year]:[Details]],ROWS(prem_analysis!$M$420:M465),COLUMNS(Data!$Q$3:Q48)))))),"")</f>
        <v/>
      </c>
      <c r="S47" s="1" t="str">
        <f>IFERROR(IF($Q$1=$P$3,INDEX(prem_analysis!$P$2:$Q$441,ROWS(Data!$P$2:R47),COLUMNS(Data!$P$3:Q48)),IF($Q$1=$P$5,INDEX(prem_analysis!$BH$1:$BS$23,ROWS(Data!$Q$3:R48),COLUMNS(Data!$Q$3:R48)),IF($Q$1=$P$6,INDEX(prem_analysis!$BU$1:$CF$67,ROWS(prem_analysis!$N$2:O47),COLUMNS(prem_analysis!$N$2:O47)),IF($Q$1=$P$4,INDEX(Table24[[#All],[Year]:[Details]],ROWS(prem_analysis!$M$420:N465),COLUMNS(Data!$Q$3:R48)))))),"")</f>
        <v/>
      </c>
      <c r="T47" s="1" t="str">
        <f>IFERROR(IF($Q$1=$P$3,INDEX(prem_analysis!$P$2:$Q$441,ROWS(Data!$P$2:S47),COLUMNS(Data!$P$3:R48)),IF($Q$1=$P$5,INDEX(prem_analysis!$BH$1:$BS$23,ROWS(Data!$Q$3:S48),COLUMNS(Data!$Q$3:S48)),IF($Q$1=$P$6,INDEX(prem_analysis!$BU$1:$CF$67,ROWS(prem_analysis!$N$2:P47),COLUMNS(prem_analysis!$N$2:P47)),IF($Q$1=$P$4,INDEX(Table24[[#All],[Year]:[Details]],ROWS(prem_analysis!$M$420:O465),COLUMNS(Data!$Q$3:S48)))))),"")</f>
        <v/>
      </c>
      <c r="U47" s="1" t="str">
        <f>IFERROR(IF($Q$1=$P$3,INDEX(prem_analysis!$P$2:$Q$441,ROWS(Data!$P$2:T47),COLUMNS(Data!$P$3:S48)),IF($Q$1=$P$5,INDEX(prem_analysis!$BH$1:$BS$23,ROWS(Data!$Q$3:T48),COLUMNS(Data!$Q$3:T48)),IF($Q$1=$P$6,INDEX(prem_analysis!$BU$1:$CF$67,ROWS(prem_analysis!$N$2:Q47),COLUMNS(prem_analysis!$N$2:Q47)),IF($Q$1=$P$4,INDEX(Table24[[#All],[Year]:[Details]],ROWS(prem_analysis!$M$420:P465),COLUMNS(Data!$Q$3:T48)))))),"")</f>
        <v/>
      </c>
      <c r="V47" s="1" t="str">
        <f>IFERROR(IF($Q$1=$P$3,INDEX(prem_analysis!$P$2:$Q$441,ROWS(Data!$P$2:U47),COLUMNS(Data!$P$3:T48)),IF($Q$1=$P$5,INDEX(prem_analysis!$BH$1:$BS$23,ROWS(Data!$Q$3:U48),COLUMNS(Data!$Q$3:U48)),IF($Q$1=$P$6,INDEX(prem_analysis!$BU$1:$CF$67,ROWS(prem_analysis!$N$2:R47),COLUMNS(prem_analysis!$N$2:R47)),IF($Q$1=$P$4,INDEX(Table24[[#All],[Year]:[Details]],ROWS(prem_analysis!$M$420:Q465),COLUMNS(Data!$Q$3:U48)))))),"")</f>
        <v/>
      </c>
      <c r="W47" s="1" t="str">
        <f>IFERROR(IF($Q$1=$P$3,INDEX(prem_analysis!$P$2:$Q$441,ROWS(Data!$P$2:V47),COLUMNS(Data!$P$3:U48)),IF($Q$1=$P$5,INDEX(prem_analysis!$BH$1:$BS$23,ROWS(Data!$Q$3:V48),COLUMNS(Data!$Q$3:V48)),IF($Q$1=$P$6,INDEX(prem_analysis!$BU$1:$CF$67,ROWS(prem_analysis!$N$2:S47),COLUMNS(prem_analysis!$N$2:S47)),IF($Q$1=$P$4,INDEX(Table24[[#All],[Year]:[Details]],ROWS(prem_analysis!$M$420:R465),COLUMNS(Data!$Q$3:V48)))))),"")</f>
        <v/>
      </c>
      <c r="X47" s="1" t="str">
        <f>IFERROR(IF($Q$1=$P$3,INDEX(prem_analysis!$P$2:$Q$441,ROWS(Data!$P$2:W47),COLUMNS(Data!$P$3:V48)),IF($Q$1=$P$5,INDEX(prem_analysis!$BH$1:$BS$23,ROWS(Data!$Q$3:W48),COLUMNS(Data!$Q$3:W48)),IF($Q$1=$P$6,INDEX(prem_analysis!$BU$1:$CF$67,ROWS(prem_analysis!$N$2:T47),COLUMNS(prem_analysis!$N$2:T47)),IF($Q$1=$P$4,INDEX(Table24[[#All],[Year]:[Details]],ROWS(prem_analysis!$M$420:S465),COLUMNS(Data!$Q$3:W48)))))),"")</f>
        <v/>
      </c>
      <c r="Y47" s="1" t="str">
        <f>IFERROR(IF($Q$1=$P$3,INDEX(prem_analysis!$P$2:$Q$441,ROWS(Data!$P$2:X47),COLUMNS(Data!$P$3:W48)),IF($Q$1=$P$5,INDEX(prem_analysis!$BH$1:$BS$23,ROWS(Data!$Q$3:X48),COLUMNS(Data!$Q$3:X48)),IF($Q$1=$P$6,INDEX(prem_analysis!$BU$1:$CF$67,ROWS(prem_analysis!$N$2:U47),COLUMNS(prem_analysis!$N$2:U47)),IF($Q$1=$P$4,INDEX(Table24[[#All],[Year]:[Details]],ROWS(prem_analysis!$M$420:T465),COLUMNS(Data!$Q$3:X48)))))),"")</f>
        <v/>
      </c>
      <c r="Z47" s="1" t="str">
        <f>IFERROR(IF($Q$1=$P$3,INDEX(prem_analysis!$P$2:$Q$441,ROWS(Data!$P$2:Y47),COLUMNS(Data!$P$3:X48)),IF($Q$1=$P$5,INDEX(prem_analysis!$BH$1:$BS$23,ROWS(Data!$Q$3:Y48),COLUMNS(Data!$Q$3:Y48)),IF($Q$1=$P$6,INDEX(prem_analysis!$BU$1:$CF$67,ROWS(prem_analysis!$N$2:V47),COLUMNS(prem_analysis!$N$2:V47)),IF($Q$1=$P$4,INDEX(Table24[[#All],[Year]:[Details]],ROWS(prem_analysis!$M$420:U465),COLUMNS(Data!$Q$3:Y48)))))),"")</f>
        <v/>
      </c>
      <c r="AA47" s="1" t="str">
        <f>IFERROR(IF($Q$1=$P$3,INDEX(prem_analysis!$P$2:$Q$441,ROWS(Data!$P$2:Z47),COLUMNS(Data!$P$3:Y48)),IF($Q$1=$P$5,INDEX(prem_analysis!$BH$1:$BS$23,ROWS(Data!$Q$3:Z48),COLUMNS(Data!$Q$3:Z48)),IF($Q$1=$P$6,INDEX(prem_analysis!$BU$1:$CF$67,ROWS(prem_analysis!$N$2:W47),COLUMNS(prem_analysis!$N$2:W47)),IF($Q$1=$P$4,INDEX(Table24[[#All],[Year]:[Details]],ROWS(prem_analysis!$M$420:V465),COLUMNS(Data!$Q$3:Z48)))))),"")</f>
        <v/>
      </c>
      <c r="AB47" s="1" t="str">
        <f>IFERROR(IF($Q$1=$P$3,INDEX(prem_analysis!$P$2:$Q$441,ROWS(Data!$P$2:AA47),COLUMNS(Data!$P$3:Z48)),IF($Q$1=$P$5,INDEX(prem_analysis!$BH$1:$BS$23,ROWS(Data!$Q$3:AA48),COLUMNS(Data!$Q$3:AA48)),IF($Q$1=$P$6,INDEX(prem_analysis!$BU$1:$CF$67,ROWS(prem_analysis!$N$2:X47),COLUMNS(prem_analysis!$N$2:X47)),IF($Q$1=$P$4,INDEX(Table24[[#All],[Year]:[Details]],ROWS(prem_analysis!$M$420:W465),COLUMNS(Data!$Q$3:AA48)))))),"")</f>
        <v/>
      </c>
      <c r="AC47" s="1" t="str">
        <f>IFERROR(IF($Q$1=$P$3,INDEX(prem_analysis!$P$2:$Q$441,ROWS(Data!$P$2:AB47),COLUMNS(Data!$P$3:AA48)),IF($Q$1=$P$5,INDEX(prem_analysis!$BH$1:$BS$23,ROWS(Data!$Q$3:AB48),COLUMNS(Data!$Q$3:AB48)),IF($Q$1=$P$6,INDEX(prem_analysis!$BU$1:$CF$67,ROWS(prem_analysis!$N$2:Y47),COLUMNS(prem_analysis!$N$2:Y47)),IF($Q$1=$P$4,INDEX(Table24[[#All],[Year]:[Details]],ROWS(prem_analysis!$M$420:X465),COLUMNS(Data!$Q$3:AB48)))))),"")</f>
        <v/>
      </c>
    </row>
    <row r="48" spans="1:29" x14ac:dyDescent="0.2">
      <c r="A48" s="3">
        <v>2002</v>
      </c>
      <c r="B48" s="3">
        <v>7</v>
      </c>
      <c r="C48" s="4" t="s">
        <v>26</v>
      </c>
      <c r="D48" s="3">
        <v>38</v>
      </c>
      <c r="E48" s="3">
        <v>17</v>
      </c>
      <c r="F48" s="3">
        <v>8</v>
      </c>
      <c r="G48" s="3">
        <v>13</v>
      </c>
      <c r="H48" s="3">
        <v>48</v>
      </c>
      <c r="I48" s="3">
        <v>49</v>
      </c>
      <c r="J48" s="3">
        <v>-1</v>
      </c>
      <c r="K48" s="3">
        <v>59</v>
      </c>
      <c r="L48" s="5">
        <f>IF(Table24[[#This Row],['#]]=1,"Champion", IF(Table24[[#This Row],['#]]&gt;=18,"Relegated",Table24[[#This Row],['#]]))</f>
        <v>7</v>
      </c>
      <c r="M48" s="5" t="str">
        <f>IF(Table24[[#This Row],[Details]]=2,K47-Table24[[#This Row],[Pts]],IF(Table24[[#This Row],[Details]]=17,Table24[[#This Row],[Pts]]-K49,""))</f>
        <v/>
      </c>
      <c r="R48" s="1" t="str">
        <f>IFERROR(IF($Q$1=$P$3,INDEX(prem_analysis!$P$2:$Q$441,ROWS(Data!$P$2:Q48),COLUMNS(Data!$P$3:P49)),IF($Q$1=$P$5,INDEX(prem_analysis!$BH$1:$BS$23,ROWS(Data!$Q$3:Q49),COLUMNS(Data!$Q$3:Q49)),IF($Q$1=$P$6,INDEX(prem_analysis!$BU$1:$CF$67,ROWS(prem_analysis!$N$2:N48),COLUMNS(prem_analysis!$N$2:N48)),IF($Q$1=$P$4,INDEX(Table24[[#All],[Year]:[Details]],ROWS(prem_analysis!$M$420:M466),COLUMNS(Data!$Q$3:Q49)))))),"")</f>
        <v/>
      </c>
      <c r="S48" s="1" t="str">
        <f>IFERROR(IF($Q$1=$P$3,INDEX(prem_analysis!$P$2:$Q$441,ROWS(Data!$P$2:R48),COLUMNS(Data!$P$3:Q49)),IF($Q$1=$P$5,INDEX(prem_analysis!$BH$1:$BS$23,ROWS(Data!$Q$3:R49),COLUMNS(Data!$Q$3:R49)),IF($Q$1=$P$6,INDEX(prem_analysis!$BU$1:$CF$67,ROWS(prem_analysis!$N$2:O48),COLUMNS(prem_analysis!$N$2:O48)),IF($Q$1=$P$4,INDEX(Table24[[#All],[Year]:[Details]],ROWS(prem_analysis!$M$420:N466),COLUMNS(Data!$Q$3:R49)))))),"")</f>
        <v/>
      </c>
      <c r="T48" s="1" t="str">
        <f>IFERROR(IF($Q$1=$P$3,INDEX(prem_analysis!$P$2:$Q$441,ROWS(Data!$P$2:S48),COLUMNS(Data!$P$3:R49)),IF($Q$1=$P$5,INDEX(prem_analysis!$BH$1:$BS$23,ROWS(Data!$Q$3:S49),COLUMNS(Data!$Q$3:S49)),IF($Q$1=$P$6,INDEX(prem_analysis!$BU$1:$CF$67,ROWS(prem_analysis!$N$2:P48),COLUMNS(prem_analysis!$N$2:P48)),IF($Q$1=$P$4,INDEX(Table24[[#All],[Year]:[Details]],ROWS(prem_analysis!$M$420:O466),COLUMNS(Data!$Q$3:S49)))))),"")</f>
        <v/>
      </c>
      <c r="U48" s="1" t="str">
        <f>IFERROR(IF($Q$1=$P$3,INDEX(prem_analysis!$P$2:$Q$441,ROWS(Data!$P$2:T48),COLUMNS(Data!$P$3:S49)),IF($Q$1=$P$5,INDEX(prem_analysis!$BH$1:$BS$23,ROWS(Data!$Q$3:T49),COLUMNS(Data!$Q$3:T49)),IF($Q$1=$P$6,INDEX(prem_analysis!$BU$1:$CF$67,ROWS(prem_analysis!$N$2:Q48),COLUMNS(prem_analysis!$N$2:Q48)),IF($Q$1=$P$4,INDEX(Table24[[#All],[Year]:[Details]],ROWS(prem_analysis!$M$420:P466),COLUMNS(Data!$Q$3:T49)))))),"")</f>
        <v/>
      </c>
      <c r="V48" s="1" t="str">
        <f>IFERROR(IF($Q$1=$P$3,INDEX(prem_analysis!$P$2:$Q$441,ROWS(Data!$P$2:U48),COLUMNS(Data!$P$3:T49)),IF($Q$1=$P$5,INDEX(prem_analysis!$BH$1:$BS$23,ROWS(Data!$Q$3:U49),COLUMNS(Data!$Q$3:U49)),IF($Q$1=$P$6,INDEX(prem_analysis!$BU$1:$CF$67,ROWS(prem_analysis!$N$2:R48),COLUMNS(prem_analysis!$N$2:R48)),IF($Q$1=$P$4,INDEX(Table24[[#All],[Year]:[Details]],ROWS(prem_analysis!$M$420:Q466),COLUMNS(Data!$Q$3:U49)))))),"")</f>
        <v/>
      </c>
      <c r="W48" s="1" t="str">
        <f>IFERROR(IF($Q$1=$P$3,INDEX(prem_analysis!$P$2:$Q$441,ROWS(Data!$P$2:V48),COLUMNS(Data!$P$3:U49)),IF($Q$1=$P$5,INDEX(prem_analysis!$BH$1:$BS$23,ROWS(Data!$Q$3:V49),COLUMNS(Data!$Q$3:V49)),IF($Q$1=$P$6,INDEX(prem_analysis!$BU$1:$CF$67,ROWS(prem_analysis!$N$2:S48),COLUMNS(prem_analysis!$N$2:S48)),IF($Q$1=$P$4,INDEX(Table24[[#All],[Year]:[Details]],ROWS(prem_analysis!$M$420:R466),COLUMNS(Data!$Q$3:V49)))))),"")</f>
        <v/>
      </c>
      <c r="X48" s="1" t="str">
        <f>IFERROR(IF($Q$1=$P$3,INDEX(prem_analysis!$P$2:$Q$441,ROWS(Data!$P$2:W48),COLUMNS(Data!$P$3:V49)),IF($Q$1=$P$5,INDEX(prem_analysis!$BH$1:$BS$23,ROWS(Data!$Q$3:W49),COLUMNS(Data!$Q$3:W49)),IF($Q$1=$P$6,INDEX(prem_analysis!$BU$1:$CF$67,ROWS(prem_analysis!$N$2:T48),COLUMNS(prem_analysis!$N$2:T48)),IF($Q$1=$P$4,INDEX(Table24[[#All],[Year]:[Details]],ROWS(prem_analysis!$M$420:S466),COLUMNS(Data!$Q$3:W49)))))),"")</f>
        <v/>
      </c>
      <c r="Y48" s="1" t="str">
        <f>IFERROR(IF($Q$1=$P$3,INDEX(prem_analysis!$P$2:$Q$441,ROWS(Data!$P$2:X48),COLUMNS(Data!$P$3:W49)),IF($Q$1=$P$5,INDEX(prem_analysis!$BH$1:$BS$23,ROWS(Data!$Q$3:X49),COLUMNS(Data!$Q$3:X49)),IF($Q$1=$P$6,INDEX(prem_analysis!$BU$1:$CF$67,ROWS(prem_analysis!$N$2:U48),COLUMNS(prem_analysis!$N$2:U48)),IF($Q$1=$P$4,INDEX(Table24[[#All],[Year]:[Details]],ROWS(prem_analysis!$M$420:T466),COLUMNS(Data!$Q$3:X49)))))),"")</f>
        <v/>
      </c>
      <c r="Z48" s="1" t="str">
        <f>IFERROR(IF($Q$1=$P$3,INDEX(prem_analysis!$P$2:$Q$441,ROWS(Data!$P$2:Y48),COLUMNS(Data!$P$3:X49)),IF($Q$1=$P$5,INDEX(prem_analysis!$BH$1:$BS$23,ROWS(Data!$Q$3:Y49),COLUMNS(Data!$Q$3:Y49)),IF($Q$1=$P$6,INDEX(prem_analysis!$BU$1:$CF$67,ROWS(prem_analysis!$N$2:V48),COLUMNS(prem_analysis!$N$2:V48)),IF($Q$1=$P$4,INDEX(Table24[[#All],[Year]:[Details]],ROWS(prem_analysis!$M$420:U466),COLUMNS(Data!$Q$3:Y49)))))),"")</f>
        <v/>
      </c>
      <c r="AA48" s="1" t="str">
        <f>IFERROR(IF($Q$1=$P$3,INDEX(prem_analysis!$P$2:$Q$441,ROWS(Data!$P$2:Z48),COLUMNS(Data!$P$3:Y49)),IF($Q$1=$P$5,INDEX(prem_analysis!$BH$1:$BS$23,ROWS(Data!$Q$3:Z49),COLUMNS(Data!$Q$3:Z49)),IF($Q$1=$P$6,INDEX(prem_analysis!$BU$1:$CF$67,ROWS(prem_analysis!$N$2:W48),COLUMNS(prem_analysis!$N$2:W48)),IF($Q$1=$P$4,INDEX(Table24[[#All],[Year]:[Details]],ROWS(prem_analysis!$M$420:V466),COLUMNS(Data!$Q$3:Z49)))))),"")</f>
        <v/>
      </c>
      <c r="AB48" s="1" t="str">
        <f>IFERROR(IF($Q$1=$P$3,INDEX(prem_analysis!$P$2:$Q$441,ROWS(Data!$P$2:AA48),COLUMNS(Data!$P$3:Z49)),IF($Q$1=$P$5,INDEX(prem_analysis!$BH$1:$BS$23,ROWS(Data!$Q$3:AA49),COLUMNS(Data!$Q$3:AA49)),IF($Q$1=$P$6,INDEX(prem_analysis!$BU$1:$CF$67,ROWS(prem_analysis!$N$2:X48),COLUMNS(prem_analysis!$N$2:X48)),IF($Q$1=$P$4,INDEX(Table24[[#All],[Year]:[Details]],ROWS(prem_analysis!$M$420:W466),COLUMNS(Data!$Q$3:AA49)))))),"")</f>
        <v/>
      </c>
      <c r="AC48" s="1" t="str">
        <f>IFERROR(IF($Q$1=$P$3,INDEX(prem_analysis!$P$2:$Q$441,ROWS(Data!$P$2:AB48),COLUMNS(Data!$P$3:AA49)),IF($Q$1=$P$5,INDEX(prem_analysis!$BH$1:$BS$23,ROWS(Data!$Q$3:AB49),COLUMNS(Data!$Q$3:AB49)),IF($Q$1=$P$6,INDEX(prem_analysis!$BU$1:$CF$67,ROWS(prem_analysis!$N$2:Y48),COLUMNS(prem_analysis!$N$2:Y48)),IF($Q$1=$P$4,INDEX(Table24[[#All],[Year]:[Details]],ROWS(prem_analysis!$M$420:X466),COLUMNS(Data!$Q$3:AB49)))))),"")</f>
        <v/>
      </c>
    </row>
    <row r="49" spans="1:29" x14ac:dyDescent="0.2">
      <c r="A49" s="5">
        <v>2002</v>
      </c>
      <c r="B49" s="5">
        <v>8</v>
      </c>
      <c r="C49" s="6" t="s">
        <v>20</v>
      </c>
      <c r="D49" s="5">
        <v>38</v>
      </c>
      <c r="E49" s="5">
        <v>13</v>
      </c>
      <c r="F49" s="5">
        <v>13</v>
      </c>
      <c r="G49" s="5">
        <v>12</v>
      </c>
      <c r="H49" s="5">
        <v>43</v>
      </c>
      <c r="I49" s="5">
        <v>46</v>
      </c>
      <c r="J49" s="5">
        <v>-3</v>
      </c>
      <c r="K49" s="5">
        <v>52</v>
      </c>
      <c r="L49" s="5">
        <f>IF(Table24[[#This Row],['#]]=1,"Champion", IF(Table24[[#This Row],['#]]&gt;=18,"Relegated",Table24[[#This Row],['#]]))</f>
        <v>8</v>
      </c>
      <c r="M49" s="5" t="str">
        <f>IF(Table24[[#This Row],[Details]]=2,K48-Table24[[#This Row],[Pts]],IF(Table24[[#This Row],[Details]]=17,Table24[[#This Row],[Pts]]-K50,""))</f>
        <v/>
      </c>
      <c r="R49" s="1" t="str">
        <f>IFERROR(IF($Q$1=$P$3,INDEX(prem_analysis!$P$2:$Q$441,ROWS(Data!$P$2:Q49),COLUMNS(Data!$P$3:P50)),IF($Q$1=$P$5,INDEX(prem_analysis!$BH$1:$BS$23,ROWS(Data!$Q$3:Q50),COLUMNS(Data!$Q$3:Q50)),IF($Q$1=$P$6,INDEX(prem_analysis!$BU$1:$CF$67,ROWS(prem_analysis!$N$2:N49),COLUMNS(prem_analysis!$N$2:N49)),IF($Q$1=$P$4,INDEX(Table24[[#All],[Year]:[Details]],ROWS(prem_analysis!$M$420:M467),COLUMNS(Data!$Q$3:Q50)))))),"")</f>
        <v/>
      </c>
      <c r="S49" s="1" t="str">
        <f>IFERROR(IF($Q$1=$P$3,INDEX(prem_analysis!$P$2:$Q$441,ROWS(Data!$P$2:R49),COLUMNS(Data!$P$3:Q50)),IF($Q$1=$P$5,INDEX(prem_analysis!$BH$1:$BS$23,ROWS(Data!$Q$3:R50),COLUMNS(Data!$Q$3:R50)),IF($Q$1=$P$6,INDEX(prem_analysis!$BU$1:$CF$67,ROWS(prem_analysis!$N$2:O49),COLUMNS(prem_analysis!$N$2:O49)),IF($Q$1=$P$4,INDEX(Table24[[#All],[Year]:[Details]],ROWS(prem_analysis!$M$420:N467),COLUMNS(Data!$Q$3:R50)))))),"")</f>
        <v/>
      </c>
      <c r="T49" s="1" t="str">
        <f>IFERROR(IF($Q$1=$P$3,INDEX(prem_analysis!$P$2:$Q$441,ROWS(Data!$P$2:S49),COLUMNS(Data!$P$3:R50)),IF($Q$1=$P$5,INDEX(prem_analysis!$BH$1:$BS$23,ROWS(Data!$Q$3:S50),COLUMNS(Data!$Q$3:S50)),IF($Q$1=$P$6,INDEX(prem_analysis!$BU$1:$CF$67,ROWS(prem_analysis!$N$2:P49),COLUMNS(prem_analysis!$N$2:P49)),IF($Q$1=$P$4,INDEX(Table24[[#All],[Year]:[Details]],ROWS(prem_analysis!$M$420:O467),COLUMNS(Data!$Q$3:S50)))))),"")</f>
        <v/>
      </c>
      <c r="U49" s="1" t="str">
        <f>IFERROR(IF($Q$1=$P$3,INDEX(prem_analysis!$P$2:$Q$441,ROWS(Data!$P$2:T49),COLUMNS(Data!$P$3:S50)),IF($Q$1=$P$5,INDEX(prem_analysis!$BH$1:$BS$23,ROWS(Data!$Q$3:T50),COLUMNS(Data!$Q$3:T50)),IF($Q$1=$P$6,INDEX(prem_analysis!$BU$1:$CF$67,ROWS(prem_analysis!$N$2:Q49),COLUMNS(prem_analysis!$N$2:Q49)),IF($Q$1=$P$4,INDEX(Table24[[#All],[Year]:[Details]],ROWS(prem_analysis!$M$420:P467),COLUMNS(Data!$Q$3:T50)))))),"")</f>
        <v/>
      </c>
      <c r="V49" s="1" t="str">
        <f>IFERROR(IF($Q$1=$P$3,INDEX(prem_analysis!$P$2:$Q$441,ROWS(Data!$P$2:U49),COLUMNS(Data!$P$3:T50)),IF($Q$1=$P$5,INDEX(prem_analysis!$BH$1:$BS$23,ROWS(Data!$Q$3:U50),COLUMNS(Data!$Q$3:U50)),IF($Q$1=$P$6,INDEX(prem_analysis!$BU$1:$CF$67,ROWS(prem_analysis!$N$2:R49),COLUMNS(prem_analysis!$N$2:R49)),IF($Q$1=$P$4,INDEX(Table24[[#All],[Year]:[Details]],ROWS(prem_analysis!$M$420:Q467),COLUMNS(Data!$Q$3:U50)))))),"")</f>
        <v/>
      </c>
      <c r="W49" s="1" t="str">
        <f>IFERROR(IF($Q$1=$P$3,INDEX(prem_analysis!$P$2:$Q$441,ROWS(Data!$P$2:V49),COLUMNS(Data!$P$3:U50)),IF($Q$1=$P$5,INDEX(prem_analysis!$BH$1:$BS$23,ROWS(Data!$Q$3:V50),COLUMNS(Data!$Q$3:V50)),IF($Q$1=$P$6,INDEX(prem_analysis!$BU$1:$CF$67,ROWS(prem_analysis!$N$2:S49),COLUMNS(prem_analysis!$N$2:S49)),IF($Q$1=$P$4,INDEX(Table24[[#All],[Year]:[Details]],ROWS(prem_analysis!$M$420:R467),COLUMNS(Data!$Q$3:V50)))))),"")</f>
        <v/>
      </c>
      <c r="X49" s="1" t="str">
        <f>IFERROR(IF($Q$1=$P$3,INDEX(prem_analysis!$P$2:$Q$441,ROWS(Data!$P$2:W49),COLUMNS(Data!$P$3:V50)),IF($Q$1=$P$5,INDEX(prem_analysis!$BH$1:$BS$23,ROWS(Data!$Q$3:W50),COLUMNS(Data!$Q$3:W50)),IF($Q$1=$P$6,INDEX(prem_analysis!$BU$1:$CF$67,ROWS(prem_analysis!$N$2:T49),COLUMNS(prem_analysis!$N$2:T49)),IF($Q$1=$P$4,INDEX(Table24[[#All],[Year]:[Details]],ROWS(prem_analysis!$M$420:S467),COLUMNS(Data!$Q$3:W50)))))),"")</f>
        <v/>
      </c>
      <c r="Y49" s="1" t="str">
        <f>IFERROR(IF($Q$1=$P$3,INDEX(prem_analysis!$P$2:$Q$441,ROWS(Data!$P$2:X49),COLUMNS(Data!$P$3:W50)),IF($Q$1=$P$5,INDEX(prem_analysis!$BH$1:$BS$23,ROWS(Data!$Q$3:X50),COLUMNS(Data!$Q$3:X50)),IF($Q$1=$P$6,INDEX(prem_analysis!$BU$1:$CF$67,ROWS(prem_analysis!$N$2:U49),COLUMNS(prem_analysis!$N$2:U49)),IF($Q$1=$P$4,INDEX(Table24[[#All],[Year]:[Details]],ROWS(prem_analysis!$M$420:T467),COLUMNS(Data!$Q$3:X50)))))),"")</f>
        <v/>
      </c>
      <c r="Z49" s="1" t="str">
        <f>IFERROR(IF($Q$1=$P$3,INDEX(prem_analysis!$P$2:$Q$441,ROWS(Data!$P$2:Y49),COLUMNS(Data!$P$3:X50)),IF($Q$1=$P$5,INDEX(prem_analysis!$BH$1:$BS$23,ROWS(Data!$Q$3:Y50),COLUMNS(Data!$Q$3:Y50)),IF($Q$1=$P$6,INDEX(prem_analysis!$BU$1:$CF$67,ROWS(prem_analysis!$N$2:V49),COLUMNS(prem_analysis!$N$2:V49)),IF($Q$1=$P$4,INDEX(Table24[[#All],[Year]:[Details]],ROWS(prem_analysis!$M$420:U467),COLUMNS(Data!$Q$3:Y50)))))),"")</f>
        <v/>
      </c>
      <c r="AA49" s="1" t="str">
        <f>IFERROR(IF($Q$1=$P$3,INDEX(prem_analysis!$P$2:$Q$441,ROWS(Data!$P$2:Z49),COLUMNS(Data!$P$3:Y50)),IF($Q$1=$P$5,INDEX(prem_analysis!$BH$1:$BS$23,ROWS(Data!$Q$3:Z50),COLUMNS(Data!$Q$3:Z50)),IF($Q$1=$P$6,INDEX(prem_analysis!$BU$1:$CF$67,ROWS(prem_analysis!$N$2:W49),COLUMNS(prem_analysis!$N$2:W49)),IF($Q$1=$P$4,INDEX(Table24[[#All],[Year]:[Details]],ROWS(prem_analysis!$M$420:V467),COLUMNS(Data!$Q$3:Z50)))))),"")</f>
        <v/>
      </c>
      <c r="AB49" s="1" t="str">
        <f>IFERROR(IF($Q$1=$P$3,INDEX(prem_analysis!$P$2:$Q$441,ROWS(Data!$P$2:AA49),COLUMNS(Data!$P$3:Z50)),IF($Q$1=$P$5,INDEX(prem_analysis!$BH$1:$BS$23,ROWS(Data!$Q$3:AA50),COLUMNS(Data!$Q$3:AA50)),IF($Q$1=$P$6,INDEX(prem_analysis!$BU$1:$CF$67,ROWS(prem_analysis!$N$2:X49),COLUMNS(prem_analysis!$N$2:X49)),IF($Q$1=$P$4,INDEX(Table24[[#All],[Year]:[Details]],ROWS(prem_analysis!$M$420:W467),COLUMNS(Data!$Q$3:AA50)))))),"")</f>
        <v/>
      </c>
      <c r="AC49" s="1" t="str">
        <f>IFERROR(IF($Q$1=$P$3,INDEX(prem_analysis!$P$2:$Q$441,ROWS(Data!$P$2:AB49),COLUMNS(Data!$P$3:AA50)),IF($Q$1=$P$5,INDEX(prem_analysis!$BH$1:$BS$23,ROWS(Data!$Q$3:AB50),COLUMNS(Data!$Q$3:AB50)),IF($Q$1=$P$6,INDEX(prem_analysis!$BU$1:$CF$67,ROWS(prem_analysis!$N$2:Y49),COLUMNS(prem_analysis!$N$2:Y49)),IF($Q$1=$P$4,INDEX(Table24[[#All],[Year]:[Details]],ROWS(prem_analysis!$M$420:X467),COLUMNS(Data!$Q$3:AB50)))))),"")</f>
        <v/>
      </c>
    </row>
    <row r="50" spans="1:29" x14ac:dyDescent="0.2">
      <c r="A50" s="3">
        <v>2002</v>
      </c>
      <c r="B50" s="3">
        <v>9</v>
      </c>
      <c r="C50" s="4" t="s">
        <v>28</v>
      </c>
      <c r="D50" s="3">
        <v>38</v>
      </c>
      <c r="E50" s="3">
        <v>15</v>
      </c>
      <c r="F50" s="3">
        <v>6</v>
      </c>
      <c r="G50" s="3">
        <v>17</v>
      </c>
      <c r="H50" s="3">
        <v>47</v>
      </c>
      <c r="I50" s="3">
        <v>54</v>
      </c>
      <c r="J50" s="3">
        <v>-7</v>
      </c>
      <c r="K50" s="3">
        <v>51</v>
      </c>
      <c r="L50" s="5">
        <f>IF(Table24[[#This Row],['#]]=1,"Champion", IF(Table24[[#This Row],['#]]&gt;=18,"Relegated",Table24[[#This Row],['#]]))</f>
        <v>9</v>
      </c>
      <c r="M50" s="5" t="str">
        <f>IF(Table24[[#This Row],[Details]]=2,K49-Table24[[#This Row],[Pts]],IF(Table24[[#This Row],[Details]]=17,Table24[[#This Row],[Pts]]-K51,""))</f>
        <v/>
      </c>
      <c r="R50" s="1" t="str">
        <f>IFERROR(IF($Q$1=$P$3,INDEX(prem_analysis!$P$2:$Q$441,ROWS(Data!$P$2:Q50),COLUMNS(Data!$P$3:P51)),IF($Q$1=$P$5,INDEX(prem_analysis!$BH$1:$BS$23,ROWS(Data!$Q$3:Q51),COLUMNS(Data!$Q$3:Q51)),IF($Q$1=$P$6,INDEX(prem_analysis!$BU$1:$CF$67,ROWS(prem_analysis!$N$2:N50),COLUMNS(prem_analysis!$N$2:N50)),IF($Q$1=$P$4,INDEX(Table24[[#All],[Year]:[Details]],ROWS(prem_analysis!$M$420:M468),COLUMNS(Data!$Q$3:Q51)))))),"")</f>
        <v/>
      </c>
      <c r="S50" s="1" t="str">
        <f>IFERROR(IF($Q$1=$P$3,INDEX(prem_analysis!$P$2:$Q$441,ROWS(Data!$P$2:R50),COLUMNS(Data!$P$3:Q51)),IF($Q$1=$P$5,INDEX(prem_analysis!$BH$1:$BS$23,ROWS(Data!$Q$3:R51),COLUMNS(Data!$Q$3:R51)),IF($Q$1=$P$6,INDEX(prem_analysis!$BU$1:$CF$67,ROWS(prem_analysis!$N$2:O50),COLUMNS(prem_analysis!$N$2:O50)),IF($Q$1=$P$4,INDEX(Table24[[#All],[Year]:[Details]],ROWS(prem_analysis!$M$420:N468),COLUMNS(Data!$Q$3:R51)))))),"")</f>
        <v/>
      </c>
      <c r="T50" s="1" t="str">
        <f>IFERROR(IF($Q$1=$P$3,INDEX(prem_analysis!$P$2:$Q$441,ROWS(Data!$P$2:S50),COLUMNS(Data!$P$3:R51)),IF($Q$1=$P$5,INDEX(prem_analysis!$BH$1:$BS$23,ROWS(Data!$Q$3:S51),COLUMNS(Data!$Q$3:S51)),IF($Q$1=$P$6,INDEX(prem_analysis!$BU$1:$CF$67,ROWS(prem_analysis!$N$2:P50),COLUMNS(prem_analysis!$N$2:P50)),IF($Q$1=$P$4,INDEX(Table24[[#All],[Year]:[Details]],ROWS(prem_analysis!$M$420:O468),COLUMNS(Data!$Q$3:S51)))))),"")</f>
        <v/>
      </c>
      <c r="U50" s="1" t="str">
        <f>IFERROR(IF($Q$1=$P$3,INDEX(prem_analysis!$P$2:$Q$441,ROWS(Data!$P$2:T50),COLUMNS(Data!$P$3:S51)),IF($Q$1=$P$5,INDEX(prem_analysis!$BH$1:$BS$23,ROWS(Data!$Q$3:T51),COLUMNS(Data!$Q$3:T51)),IF($Q$1=$P$6,INDEX(prem_analysis!$BU$1:$CF$67,ROWS(prem_analysis!$N$2:Q50),COLUMNS(prem_analysis!$N$2:Q50)),IF($Q$1=$P$4,INDEX(Table24[[#All],[Year]:[Details]],ROWS(prem_analysis!$M$420:P468),COLUMNS(Data!$Q$3:T51)))))),"")</f>
        <v/>
      </c>
      <c r="V50" s="1" t="str">
        <f>IFERROR(IF($Q$1=$P$3,INDEX(prem_analysis!$P$2:$Q$441,ROWS(Data!$P$2:U50),COLUMNS(Data!$P$3:T51)),IF($Q$1=$P$5,INDEX(prem_analysis!$BH$1:$BS$23,ROWS(Data!$Q$3:U51),COLUMNS(Data!$Q$3:U51)),IF($Q$1=$P$6,INDEX(prem_analysis!$BU$1:$CF$67,ROWS(prem_analysis!$N$2:R50),COLUMNS(prem_analysis!$N$2:R50)),IF($Q$1=$P$4,INDEX(Table24[[#All],[Year]:[Details]],ROWS(prem_analysis!$M$420:Q468),COLUMNS(Data!$Q$3:U51)))))),"")</f>
        <v/>
      </c>
      <c r="W50" s="1" t="str">
        <f>IFERROR(IF($Q$1=$P$3,INDEX(prem_analysis!$P$2:$Q$441,ROWS(Data!$P$2:V50),COLUMNS(Data!$P$3:U51)),IF($Q$1=$P$5,INDEX(prem_analysis!$BH$1:$BS$23,ROWS(Data!$Q$3:V51),COLUMNS(Data!$Q$3:V51)),IF($Q$1=$P$6,INDEX(prem_analysis!$BU$1:$CF$67,ROWS(prem_analysis!$N$2:S50),COLUMNS(prem_analysis!$N$2:S50)),IF($Q$1=$P$4,INDEX(Table24[[#All],[Year]:[Details]],ROWS(prem_analysis!$M$420:R468),COLUMNS(Data!$Q$3:V51)))))),"")</f>
        <v/>
      </c>
      <c r="X50" s="1" t="str">
        <f>IFERROR(IF($Q$1=$P$3,INDEX(prem_analysis!$P$2:$Q$441,ROWS(Data!$P$2:W50),COLUMNS(Data!$P$3:V51)),IF($Q$1=$P$5,INDEX(prem_analysis!$BH$1:$BS$23,ROWS(Data!$Q$3:W51),COLUMNS(Data!$Q$3:W51)),IF($Q$1=$P$6,INDEX(prem_analysis!$BU$1:$CF$67,ROWS(prem_analysis!$N$2:T50),COLUMNS(prem_analysis!$N$2:T50)),IF($Q$1=$P$4,INDEX(Table24[[#All],[Year]:[Details]],ROWS(prem_analysis!$M$420:S468),COLUMNS(Data!$Q$3:W51)))))),"")</f>
        <v/>
      </c>
      <c r="Y50" s="1" t="str">
        <f>IFERROR(IF($Q$1=$P$3,INDEX(prem_analysis!$P$2:$Q$441,ROWS(Data!$P$2:X50),COLUMNS(Data!$P$3:W51)),IF($Q$1=$P$5,INDEX(prem_analysis!$BH$1:$BS$23,ROWS(Data!$Q$3:X51),COLUMNS(Data!$Q$3:X51)),IF($Q$1=$P$6,INDEX(prem_analysis!$BU$1:$CF$67,ROWS(prem_analysis!$N$2:U50),COLUMNS(prem_analysis!$N$2:U50)),IF($Q$1=$P$4,INDEX(Table24[[#All],[Year]:[Details]],ROWS(prem_analysis!$M$420:T468),COLUMNS(Data!$Q$3:X51)))))),"")</f>
        <v/>
      </c>
      <c r="Z50" s="1" t="str">
        <f>IFERROR(IF($Q$1=$P$3,INDEX(prem_analysis!$P$2:$Q$441,ROWS(Data!$P$2:Y50),COLUMNS(Data!$P$3:X51)),IF($Q$1=$P$5,INDEX(prem_analysis!$BH$1:$BS$23,ROWS(Data!$Q$3:Y51),COLUMNS(Data!$Q$3:Y51)),IF($Q$1=$P$6,INDEX(prem_analysis!$BU$1:$CF$67,ROWS(prem_analysis!$N$2:V50),COLUMNS(prem_analysis!$N$2:V50)),IF($Q$1=$P$4,INDEX(Table24[[#All],[Year]:[Details]],ROWS(prem_analysis!$M$420:U468),COLUMNS(Data!$Q$3:Y51)))))),"")</f>
        <v/>
      </c>
      <c r="AA50" s="1" t="str">
        <f>IFERROR(IF($Q$1=$P$3,INDEX(prem_analysis!$P$2:$Q$441,ROWS(Data!$P$2:Z50),COLUMNS(Data!$P$3:Y51)),IF($Q$1=$P$5,INDEX(prem_analysis!$BH$1:$BS$23,ROWS(Data!$Q$3:Z51),COLUMNS(Data!$Q$3:Z51)),IF($Q$1=$P$6,INDEX(prem_analysis!$BU$1:$CF$67,ROWS(prem_analysis!$N$2:W50),COLUMNS(prem_analysis!$N$2:W50)),IF($Q$1=$P$4,INDEX(Table24[[#All],[Year]:[Details]],ROWS(prem_analysis!$M$420:V468),COLUMNS(Data!$Q$3:Z51)))))),"")</f>
        <v/>
      </c>
      <c r="AB50" s="1" t="str">
        <f>IFERROR(IF($Q$1=$P$3,INDEX(prem_analysis!$P$2:$Q$441,ROWS(Data!$P$2:AA50),COLUMNS(Data!$P$3:Z51)),IF($Q$1=$P$5,INDEX(prem_analysis!$BH$1:$BS$23,ROWS(Data!$Q$3:AA51),COLUMNS(Data!$Q$3:AA51)),IF($Q$1=$P$6,INDEX(prem_analysis!$BU$1:$CF$67,ROWS(prem_analysis!$N$2:X50),COLUMNS(prem_analysis!$N$2:X50)),IF($Q$1=$P$4,INDEX(Table24[[#All],[Year]:[Details]],ROWS(prem_analysis!$M$420:W468),COLUMNS(Data!$Q$3:AA51)))))),"")</f>
        <v/>
      </c>
      <c r="AC50" s="1" t="str">
        <f>IFERROR(IF($Q$1=$P$3,INDEX(prem_analysis!$P$2:$Q$441,ROWS(Data!$P$2:AB50),COLUMNS(Data!$P$3:AA51)),IF($Q$1=$P$5,INDEX(prem_analysis!$BH$1:$BS$23,ROWS(Data!$Q$3:AB51),COLUMNS(Data!$Q$3:AB51)),IF($Q$1=$P$6,INDEX(prem_analysis!$BU$1:$CF$67,ROWS(prem_analysis!$N$2:Y50),COLUMNS(prem_analysis!$N$2:Y50)),IF($Q$1=$P$4,INDEX(Table24[[#All],[Year]:[Details]],ROWS(prem_analysis!$M$420:X468),COLUMNS(Data!$Q$3:AB51)))))),"")</f>
        <v/>
      </c>
    </row>
    <row r="51" spans="1:29" x14ac:dyDescent="0.2">
      <c r="A51" s="5">
        <v>2002</v>
      </c>
      <c r="B51" s="5">
        <v>10</v>
      </c>
      <c r="C51" s="6" t="s">
        <v>22</v>
      </c>
      <c r="D51" s="5">
        <v>38</v>
      </c>
      <c r="E51" s="5">
        <v>14</v>
      </c>
      <c r="F51" s="5">
        <v>8</v>
      </c>
      <c r="G51" s="5">
        <v>16</v>
      </c>
      <c r="H51" s="5">
        <v>51</v>
      </c>
      <c r="I51" s="5">
        <v>62</v>
      </c>
      <c r="J51" s="5">
        <v>-11</v>
      </c>
      <c r="K51" s="5">
        <v>50</v>
      </c>
      <c r="L51" s="5">
        <f>IF(Table24[[#This Row],['#]]=1,"Champion", IF(Table24[[#This Row],['#]]&gt;=18,"Relegated",Table24[[#This Row],['#]]))</f>
        <v>10</v>
      </c>
      <c r="M51" s="5" t="str">
        <f>IF(Table24[[#This Row],[Details]]=2,K50-Table24[[#This Row],[Pts]],IF(Table24[[#This Row],[Details]]=17,Table24[[#This Row],[Pts]]-K52,""))</f>
        <v/>
      </c>
      <c r="R51" s="1" t="str">
        <f>IFERROR(IF($Q$1=$P$3,INDEX(prem_analysis!$P$2:$Q$441,ROWS(Data!$P$2:Q51),COLUMNS(Data!$P$3:P52)),IF($Q$1=$P$5,INDEX(prem_analysis!$BH$1:$BS$23,ROWS(Data!$Q$3:Q52),COLUMNS(Data!$Q$3:Q52)),IF($Q$1=$P$6,INDEX(prem_analysis!$BU$1:$CF$67,ROWS(prem_analysis!$N$2:N51),COLUMNS(prem_analysis!$N$2:N51)),IF($Q$1=$P$4,INDEX(Table24[[#All],[Year]:[Details]],ROWS(prem_analysis!$M$420:M469),COLUMNS(Data!$Q$3:Q52)))))),"")</f>
        <v/>
      </c>
      <c r="S51" s="1" t="str">
        <f>IFERROR(IF($Q$1=$P$3,INDEX(prem_analysis!$P$2:$Q$441,ROWS(Data!$P$2:R51),COLUMNS(Data!$P$3:Q52)),IF($Q$1=$P$5,INDEX(prem_analysis!$BH$1:$BS$23,ROWS(Data!$Q$3:R52),COLUMNS(Data!$Q$3:R52)),IF($Q$1=$P$6,INDEX(prem_analysis!$BU$1:$CF$67,ROWS(prem_analysis!$N$2:O51),COLUMNS(prem_analysis!$N$2:O51)),IF($Q$1=$P$4,INDEX(Table24[[#All],[Year]:[Details]],ROWS(prem_analysis!$M$420:N469),COLUMNS(Data!$Q$3:R52)))))),"")</f>
        <v/>
      </c>
      <c r="T51" s="1" t="str">
        <f>IFERROR(IF($Q$1=$P$3,INDEX(prem_analysis!$P$2:$Q$441,ROWS(Data!$P$2:S51),COLUMNS(Data!$P$3:R52)),IF($Q$1=$P$5,INDEX(prem_analysis!$BH$1:$BS$23,ROWS(Data!$Q$3:S52),COLUMNS(Data!$Q$3:S52)),IF($Q$1=$P$6,INDEX(prem_analysis!$BU$1:$CF$67,ROWS(prem_analysis!$N$2:P51),COLUMNS(prem_analysis!$N$2:P51)),IF($Q$1=$P$4,INDEX(Table24[[#All],[Year]:[Details]],ROWS(prem_analysis!$M$420:O469),COLUMNS(Data!$Q$3:S52)))))),"")</f>
        <v/>
      </c>
      <c r="U51" s="1" t="str">
        <f>IFERROR(IF($Q$1=$P$3,INDEX(prem_analysis!$P$2:$Q$441,ROWS(Data!$P$2:T51),COLUMNS(Data!$P$3:S52)),IF($Q$1=$P$5,INDEX(prem_analysis!$BH$1:$BS$23,ROWS(Data!$Q$3:T52),COLUMNS(Data!$Q$3:T52)),IF($Q$1=$P$6,INDEX(prem_analysis!$BU$1:$CF$67,ROWS(prem_analysis!$N$2:Q51),COLUMNS(prem_analysis!$N$2:Q51)),IF($Q$1=$P$4,INDEX(Table24[[#All],[Year]:[Details]],ROWS(prem_analysis!$M$420:P469),COLUMNS(Data!$Q$3:T52)))))),"")</f>
        <v/>
      </c>
      <c r="V51" s="1" t="str">
        <f>IFERROR(IF($Q$1=$P$3,INDEX(prem_analysis!$P$2:$Q$441,ROWS(Data!$P$2:U51),COLUMNS(Data!$P$3:T52)),IF($Q$1=$P$5,INDEX(prem_analysis!$BH$1:$BS$23,ROWS(Data!$Q$3:U52),COLUMNS(Data!$Q$3:U52)),IF($Q$1=$P$6,INDEX(prem_analysis!$BU$1:$CF$67,ROWS(prem_analysis!$N$2:R51),COLUMNS(prem_analysis!$N$2:R51)),IF($Q$1=$P$4,INDEX(Table24[[#All],[Year]:[Details]],ROWS(prem_analysis!$M$420:Q469),COLUMNS(Data!$Q$3:U52)))))),"")</f>
        <v/>
      </c>
      <c r="W51" s="1" t="str">
        <f>IFERROR(IF($Q$1=$P$3,INDEX(prem_analysis!$P$2:$Q$441,ROWS(Data!$P$2:V51),COLUMNS(Data!$P$3:U52)),IF($Q$1=$P$5,INDEX(prem_analysis!$BH$1:$BS$23,ROWS(Data!$Q$3:V52),COLUMNS(Data!$Q$3:V52)),IF($Q$1=$P$6,INDEX(prem_analysis!$BU$1:$CF$67,ROWS(prem_analysis!$N$2:S51),COLUMNS(prem_analysis!$N$2:S51)),IF($Q$1=$P$4,INDEX(Table24[[#All],[Year]:[Details]],ROWS(prem_analysis!$M$420:R469),COLUMNS(Data!$Q$3:V52)))))),"")</f>
        <v/>
      </c>
      <c r="X51" s="1" t="str">
        <f>IFERROR(IF($Q$1=$P$3,INDEX(prem_analysis!$P$2:$Q$441,ROWS(Data!$P$2:W51),COLUMNS(Data!$P$3:V52)),IF($Q$1=$P$5,INDEX(prem_analysis!$BH$1:$BS$23,ROWS(Data!$Q$3:W52),COLUMNS(Data!$Q$3:W52)),IF($Q$1=$P$6,INDEX(prem_analysis!$BU$1:$CF$67,ROWS(prem_analysis!$N$2:T51),COLUMNS(prem_analysis!$N$2:T51)),IF($Q$1=$P$4,INDEX(Table24[[#All],[Year]:[Details]],ROWS(prem_analysis!$M$420:S469),COLUMNS(Data!$Q$3:W52)))))),"")</f>
        <v/>
      </c>
      <c r="Y51" s="1" t="str">
        <f>IFERROR(IF($Q$1=$P$3,INDEX(prem_analysis!$P$2:$Q$441,ROWS(Data!$P$2:X51),COLUMNS(Data!$P$3:W52)),IF($Q$1=$P$5,INDEX(prem_analysis!$BH$1:$BS$23,ROWS(Data!$Q$3:X52),COLUMNS(Data!$Q$3:X52)),IF($Q$1=$P$6,INDEX(prem_analysis!$BU$1:$CF$67,ROWS(prem_analysis!$N$2:U51),COLUMNS(prem_analysis!$N$2:U51)),IF($Q$1=$P$4,INDEX(Table24[[#All],[Year]:[Details]],ROWS(prem_analysis!$M$420:T469),COLUMNS(Data!$Q$3:X52)))))),"")</f>
        <v/>
      </c>
      <c r="Z51" s="1" t="str">
        <f>IFERROR(IF($Q$1=$P$3,INDEX(prem_analysis!$P$2:$Q$441,ROWS(Data!$P$2:Y51),COLUMNS(Data!$P$3:X52)),IF($Q$1=$P$5,INDEX(prem_analysis!$BH$1:$BS$23,ROWS(Data!$Q$3:Y52),COLUMNS(Data!$Q$3:Y52)),IF($Q$1=$P$6,INDEX(prem_analysis!$BU$1:$CF$67,ROWS(prem_analysis!$N$2:V51),COLUMNS(prem_analysis!$N$2:V51)),IF($Q$1=$P$4,INDEX(Table24[[#All],[Year]:[Details]],ROWS(prem_analysis!$M$420:U469),COLUMNS(Data!$Q$3:Y52)))))),"")</f>
        <v/>
      </c>
      <c r="AA51" s="1" t="str">
        <f>IFERROR(IF($Q$1=$P$3,INDEX(prem_analysis!$P$2:$Q$441,ROWS(Data!$P$2:Z51),COLUMNS(Data!$P$3:Y52)),IF($Q$1=$P$5,INDEX(prem_analysis!$BH$1:$BS$23,ROWS(Data!$Q$3:Z52),COLUMNS(Data!$Q$3:Z52)),IF($Q$1=$P$6,INDEX(prem_analysis!$BU$1:$CF$67,ROWS(prem_analysis!$N$2:W51),COLUMNS(prem_analysis!$N$2:W51)),IF($Q$1=$P$4,INDEX(Table24[[#All],[Year]:[Details]],ROWS(prem_analysis!$M$420:V469),COLUMNS(Data!$Q$3:Z52)))))),"")</f>
        <v/>
      </c>
      <c r="AB51" s="1" t="str">
        <f>IFERROR(IF($Q$1=$P$3,INDEX(prem_analysis!$P$2:$Q$441,ROWS(Data!$P$2:AA51),COLUMNS(Data!$P$3:Z52)),IF($Q$1=$P$5,INDEX(prem_analysis!$BH$1:$BS$23,ROWS(Data!$Q$3:AA52),COLUMNS(Data!$Q$3:AA52)),IF($Q$1=$P$6,INDEX(prem_analysis!$BU$1:$CF$67,ROWS(prem_analysis!$N$2:X51),COLUMNS(prem_analysis!$N$2:X51)),IF($Q$1=$P$4,INDEX(Table24[[#All],[Year]:[Details]],ROWS(prem_analysis!$M$420:W469),COLUMNS(Data!$Q$3:AA52)))))),"")</f>
        <v/>
      </c>
      <c r="AC51" s="1" t="str">
        <f>IFERROR(IF($Q$1=$P$3,INDEX(prem_analysis!$P$2:$Q$441,ROWS(Data!$P$2:AB51),COLUMNS(Data!$P$3:AA52)),IF($Q$1=$P$5,INDEX(prem_analysis!$BH$1:$BS$23,ROWS(Data!$Q$3:AB52),COLUMNS(Data!$Q$3:AB52)),IF($Q$1=$P$6,INDEX(prem_analysis!$BU$1:$CF$67,ROWS(prem_analysis!$N$2:Y51),COLUMNS(prem_analysis!$N$2:Y51)),IF($Q$1=$P$4,INDEX(Table24[[#All],[Year]:[Details]],ROWS(prem_analysis!$M$420:X469),COLUMNS(Data!$Q$3:AB52)))))),"")</f>
        <v/>
      </c>
    </row>
    <row r="52" spans="1:29" x14ac:dyDescent="0.2">
      <c r="A52" s="3">
        <v>2002</v>
      </c>
      <c r="B52" s="3">
        <v>11</v>
      </c>
      <c r="C52" s="4" t="s">
        <v>24</v>
      </c>
      <c r="D52" s="3">
        <v>38</v>
      </c>
      <c r="E52" s="3">
        <v>13</v>
      </c>
      <c r="F52" s="3">
        <v>10</v>
      </c>
      <c r="G52" s="3">
        <v>15</v>
      </c>
      <c r="H52" s="3">
        <v>48</v>
      </c>
      <c r="I52" s="3">
        <v>44</v>
      </c>
      <c r="J52" s="3">
        <v>4</v>
      </c>
      <c r="K52" s="3">
        <v>49</v>
      </c>
      <c r="L52" s="5">
        <f>IF(Table24[[#This Row],['#]]=1,"Champion", IF(Table24[[#This Row],['#]]&gt;=18,"Relegated",Table24[[#This Row],['#]]))</f>
        <v>11</v>
      </c>
      <c r="M52" s="5" t="str">
        <f>IF(Table24[[#This Row],[Details]]=2,K51-Table24[[#This Row],[Pts]],IF(Table24[[#This Row],[Details]]=17,Table24[[#This Row],[Pts]]-K53,""))</f>
        <v/>
      </c>
      <c r="R52" s="1" t="str">
        <f>IFERROR(IF($Q$1=$P$3,INDEX(prem_analysis!$P$2:$Q$441,ROWS(Data!$P$2:Q52),COLUMNS(Data!$P$3:P53)),IF($Q$1=$P$5,INDEX(prem_analysis!$BH$1:$BS$23,ROWS(Data!$Q$3:Q53),COLUMNS(Data!$Q$3:Q53)),IF($Q$1=$P$6,INDEX(prem_analysis!$BU$1:$CF$67,ROWS(prem_analysis!$N$2:N52),COLUMNS(prem_analysis!$N$2:N52)),IF($Q$1=$P$4,INDEX(Table24[[#All],[Year]:[Details]],ROWS(prem_analysis!$M$420:M470),COLUMNS(Data!$Q$3:Q53)))))),"")</f>
        <v/>
      </c>
      <c r="S52" s="1" t="str">
        <f>IFERROR(IF($Q$1=$P$3,INDEX(prem_analysis!$P$2:$Q$441,ROWS(Data!$P$2:R52),COLUMNS(Data!$P$3:Q53)),IF($Q$1=$P$5,INDEX(prem_analysis!$BH$1:$BS$23,ROWS(Data!$Q$3:R53),COLUMNS(Data!$Q$3:R53)),IF($Q$1=$P$6,INDEX(prem_analysis!$BU$1:$CF$67,ROWS(prem_analysis!$N$2:O52),COLUMNS(prem_analysis!$N$2:O52)),IF($Q$1=$P$4,INDEX(Table24[[#All],[Year]:[Details]],ROWS(prem_analysis!$M$420:N470),COLUMNS(Data!$Q$3:R53)))))),"")</f>
        <v/>
      </c>
      <c r="T52" s="1" t="str">
        <f>IFERROR(IF($Q$1=$P$3,INDEX(prem_analysis!$P$2:$Q$441,ROWS(Data!$P$2:S52),COLUMNS(Data!$P$3:R53)),IF($Q$1=$P$5,INDEX(prem_analysis!$BH$1:$BS$23,ROWS(Data!$Q$3:S53),COLUMNS(Data!$Q$3:S53)),IF($Q$1=$P$6,INDEX(prem_analysis!$BU$1:$CF$67,ROWS(prem_analysis!$N$2:P52),COLUMNS(prem_analysis!$N$2:P52)),IF($Q$1=$P$4,INDEX(Table24[[#All],[Year]:[Details]],ROWS(prem_analysis!$M$420:O470),COLUMNS(Data!$Q$3:S53)))))),"")</f>
        <v/>
      </c>
      <c r="U52" s="1" t="str">
        <f>IFERROR(IF($Q$1=$P$3,INDEX(prem_analysis!$P$2:$Q$441,ROWS(Data!$P$2:T52),COLUMNS(Data!$P$3:S53)),IF($Q$1=$P$5,INDEX(prem_analysis!$BH$1:$BS$23,ROWS(Data!$Q$3:T53),COLUMNS(Data!$Q$3:T53)),IF($Q$1=$P$6,INDEX(prem_analysis!$BU$1:$CF$67,ROWS(prem_analysis!$N$2:Q52),COLUMNS(prem_analysis!$N$2:Q52)),IF($Q$1=$P$4,INDEX(Table24[[#All],[Year]:[Details]],ROWS(prem_analysis!$M$420:P470),COLUMNS(Data!$Q$3:T53)))))),"")</f>
        <v/>
      </c>
      <c r="V52" s="1" t="str">
        <f>IFERROR(IF($Q$1=$P$3,INDEX(prem_analysis!$P$2:$Q$441,ROWS(Data!$P$2:U52),COLUMNS(Data!$P$3:T53)),IF($Q$1=$P$5,INDEX(prem_analysis!$BH$1:$BS$23,ROWS(Data!$Q$3:U53),COLUMNS(Data!$Q$3:U53)),IF($Q$1=$P$6,INDEX(prem_analysis!$BU$1:$CF$67,ROWS(prem_analysis!$N$2:R52),COLUMNS(prem_analysis!$N$2:R52)),IF($Q$1=$P$4,INDEX(Table24[[#All],[Year]:[Details]],ROWS(prem_analysis!$M$420:Q470),COLUMNS(Data!$Q$3:U53)))))),"")</f>
        <v/>
      </c>
      <c r="W52" s="1" t="str">
        <f>IFERROR(IF($Q$1=$P$3,INDEX(prem_analysis!$P$2:$Q$441,ROWS(Data!$P$2:V52),COLUMNS(Data!$P$3:U53)),IF($Q$1=$P$5,INDEX(prem_analysis!$BH$1:$BS$23,ROWS(Data!$Q$3:V53),COLUMNS(Data!$Q$3:V53)),IF($Q$1=$P$6,INDEX(prem_analysis!$BU$1:$CF$67,ROWS(prem_analysis!$N$2:S52),COLUMNS(prem_analysis!$N$2:S52)),IF($Q$1=$P$4,INDEX(Table24[[#All],[Year]:[Details]],ROWS(prem_analysis!$M$420:R470),COLUMNS(Data!$Q$3:V53)))))),"")</f>
        <v/>
      </c>
      <c r="X52" s="1" t="str">
        <f>IFERROR(IF($Q$1=$P$3,INDEX(prem_analysis!$P$2:$Q$441,ROWS(Data!$P$2:W52),COLUMNS(Data!$P$3:V53)),IF($Q$1=$P$5,INDEX(prem_analysis!$BH$1:$BS$23,ROWS(Data!$Q$3:W53),COLUMNS(Data!$Q$3:W53)),IF($Q$1=$P$6,INDEX(prem_analysis!$BU$1:$CF$67,ROWS(prem_analysis!$N$2:T52),COLUMNS(prem_analysis!$N$2:T52)),IF($Q$1=$P$4,INDEX(Table24[[#All],[Year]:[Details]],ROWS(prem_analysis!$M$420:S470),COLUMNS(Data!$Q$3:W53)))))),"")</f>
        <v/>
      </c>
      <c r="Y52" s="1" t="str">
        <f>IFERROR(IF($Q$1=$P$3,INDEX(prem_analysis!$P$2:$Q$441,ROWS(Data!$P$2:X52),COLUMNS(Data!$P$3:W53)),IF($Q$1=$P$5,INDEX(prem_analysis!$BH$1:$BS$23,ROWS(Data!$Q$3:X53),COLUMNS(Data!$Q$3:X53)),IF($Q$1=$P$6,INDEX(prem_analysis!$BU$1:$CF$67,ROWS(prem_analysis!$N$2:U52),COLUMNS(prem_analysis!$N$2:U52)),IF($Q$1=$P$4,INDEX(Table24[[#All],[Year]:[Details]],ROWS(prem_analysis!$M$420:T470),COLUMNS(Data!$Q$3:X53)))))),"")</f>
        <v/>
      </c>
      <c r="Z52" s="1" t="str">
        <f>IFERROR(IF($Q$1=$P$3,INDEX(prem_analysis!$P$2:$Q$441,ROWS(Data!$P$2:Y52),COLUMNS(Data!$P$3:X53)),IF($Q$1=$P$5,INDEX(prem_analysis!$BH$1:$BS$23,ROWS(Data!$Q$3:Y53),COLUMNS(Data!$Q$3:Y53)),IF($Q$1=$P$6,INDEX(prem_analysis!$BU$1:$CF$67,ROWS(prem_analysis!$N$2:V52),COLUMNS(prem_analysis!$N$2:V52)),IF($Q$1=$P$4,INDEX(Table24[[#All],[Year]:[Details]],ROWS(prem_analysis!$M$420:U470),COLUMNS(Data!$Q$3:Y53)))))),"")</f>
        <v/>
      </c>
      <c r="AA52" s="1" t="str">
        <f>IFERROR(IF($Q$1=$P$3,INDEX(prem_analysis!$P$2:$Q$441,ROWS(Data!$P$2:Z52),COLUMNS(Data!$P$3:Y53)),IF($Q$1=$P$5,INDEX(prem_analysis!$BH$1:$BS$23,ROWS(Data!$Q$3:Z53),COLUMNS(Data!$Q$3:Z53)),IF($Q$1=$P$6,INDEX(prem_analysis!$BU$1:$CF$67,ROWS(prem_analysis!$N$2:W52),COLUMNS(prem_analysis!$N$2:W52)),IF($Q$1=$P$4,INDEX(Table24[[#All],[Year]:[Details]],ROWS(prem_analysis!$M$420:V470),COLUMNS(Data!$Q$3:Z53)))))),"")</f>
        <v/>
      </c>
      <c r="AB52" s="1" t="str">
        <f>IFERROR(IF($Q$1=$P$3,INDEX(prem_analysis!$P$2:$Q$441,ROWS(Data!$P$2:AA52),COLUMNS(Data!$P$3:Z53)),IF($Q$1=$P$5,INDEX(prem_analysis!$BH$1:$BS$23,ROWS(Data!$Q$3:AA53),COLUMNS(Data!$Q$3:AA53)),IF($Q$1=$P$6,INDEX(prem_analysis!$BU$1:$CF$67,ROWS(prem_analysis!$N$2:X52),COLUMNS(prem_analysis!$N$2:X52)),IF($Q$1=$P$4,INDEX(Table24[[#All],[Year]:[Details]],ROWS(prem_analysis!$M$420:W470),COLUMNS(Data!$Q$3:AA53)))))),"")</f>
        <v/>
      </c>
      <c r="AC52" s="1" t="str">
        <f>IFERROR(IF($Q$1=$P$3,INDEX(prem_analysis!$P$2:$Q$441,ROWS(Data!$P$2:AB52),COLUMNS(Data!$P$3:AA53)),IF($Q$1=$P$5,INDEX(prem_analysis!$BH$1:$BS$23,ROWS(Data!$Q$3:AB53),COLUMNS(Data!$Q$3:AB53)),IF($Q$1=$P$6,INDEX(prem_analysis!$BU$1:$CF$67,ROWS(prem_analysis!$N$2:Y52),COLUMNS(prem_analysis!$N$2:Y52)),IF($Q$1=$P$4,INDEX(Table24[[#All],[Year]:[Details]],ROWS(prem_analysis!$M$420:X470),COLUMNS(Data!$Q$3:AB53)))))),"")</f>
        <v/>
      </c>
    </row>
    <row r="53" spans="1:29" x14ac:dyDescent="0.2">
      <c r="A53" s="5">
        <v>2002</v>
      </c>
      <c r="B53" s="5">
        <v>12</v>
      </c>
      <c r="C53" s="6" t="s">
        <v>19</v>
      </c>
      <c r="D53" s="5">
        <v>38</v>
      </c>
      <c r="E53" s="5">
        <v>14</v>
      </c>
      <c r="F53" s="5">
        <v>7</v>
      </c>
      <c r="G53" s="5">
        <v>17</v>
      </c>
      <c r="H53" s="5">
        <v>45</v>
      </c>
      <c r="I53" s="5">
        <v>56</v>
      </c>
      <c r="J53" s="5">
        <v>-11</v>
      </c>
      <c r="K53" s="5">
        <v>49</v>
      </c>
      <c r="L53" s="5">
        <f>IF(Table24[[#This Row],['#]]=1,"Champion", IF(Table24[[#This Row],['#]]&gt;=18,"Relegated",Table24[[#This Row],['#]]))</f>
        <v>12</v>
      </c>
      <c r="M53" s="5" t="str">
        <f>IF(Table24[[#This Row],[Details]]=2,K52-Table24[[#This Row],[Pts]],IF(Table24[[#This Row],[Details]]=17,Table24[[#This Row],[Pts]]-K54,""))</f>
        <v/>
      </c>
      <c r="R53" s="1" t="str">
        <f>IFERROR(IF($Q$1=$P$3,INDEX(prem_analysis!$P$2:$Q$441,ROWS(Data!$P$2:Q53),COLUMNS(Data!$P$3:P54)),IF($Q$1=$P$5,INDEX(prem_analysis!$BH$1:$BS$23,ROWS(Data!$Q$3:Q54),COLUMNS(Data!$Q$3:Q54)),IF($Q$1=$P$6,INDEX(prem_analysis!$BU$1:$CF$67,ROWS(prem_analysis!$N$2:N53),COLUMNS(prem_analysis!$N$2:N53)),IF($Q$1=$P$4,INDEX(Table24[[#All],[Year]:[Details]],ROWS(prem_analysis!$M$420:M471),COLUMNS(Data!$Q$3:Q54)))))),"")</f>
        <v/>
      </c>
      <c r="S53" s="1" t="str">
        <f>IFERROR(IF($Q$1=$P$3,INDEX(prem_analysis!$P$2:$Q$441,ROWS(Data!$P$2:R53),COLUMNS(Data!$P$3:Q54)),IF($Q$1=$P$5,INDEX(prem_analysis!$BH$1:$BS$23,ROWS(Data!$Q$3:R54),COLUMNS(Data!$Q$3:R54)),IF($Q$1=$P$6,INDEX(prem_analysis!$BU$1:$CF$67,ROWS(prem_analysis!$N$2:O53),COLUMNS(prem_analysis!$N$2:O53)),IF($Q$1=$P$4,INDEX(Table24[[#All],[Year]:[Details]],ROWS(prem_analysis!$M$420:N471),COLUMNS(Data!$Q$3:R54)))))),"")</f>
        <v/>
      </c>
      <c r="T53" s="1" t="str">
        <f>IFERROR(IF($Q$1=$P$3,INDEX(prem_analysis!$P$2:$Q$441,ROWS(Data!$P$2:S53),COLUMNS(Data!$P$3:R54)),IF($Q$1=$P$5,INDEX(prem_analysis!$BH$1:$BS$23,ROWS(Data!$Q$3:S54),COLUMNS(Data!$Q$3:S54)),IF($Q$1=$P$6,INDEX(prem_analysis!$BU$1:$CF$67,ROWS(prem_analysis!$N$2:P53),COLUMNS(prem_analysis!$N$2:P53)),IF($Q$1=$P$4,INDEX(Table24[[#All],[Year]:[Details]],ROWS(prem_analysis!$M$420:O471),COLUMNS(Data!$Q$3:S54)))))),"")</f>
        <v/>
      </c>
      <c r="U53" s="1" t="str">
        <f>IFERROR(IF($Q$1=$P$3,INDEX(prem_analysis!$P$2:$Q$441,ROWS(Data!$P$2:T53),COLUMNS(Data!$P$3:S54)),IF($Q$1=$P$5,INDEX(prem_analysis!$BH$1:$BS$23,ROWS(Data!$Q$3:T54),COLUMNS(Data!$Q$3:T54)),IF($Q$1=$P$6,INDEX(prem_analysis!$BU$1:$CF$67,ROWS(prem_analysis!$N$2:Q53),COLUMNS(prem_analysis!$N$2:Q53)),IF($Q$1=$P$4,INDEX(Table24[[#All],[Year]:[Details]],ROWS(prem_analysis!$M$420:P471),COLUMNS(Data!$Q$3:T54)))))),"")</f>
        <v/>
      </c>
      <c r="V53" s="1" t="str">
        <f>IFERROR(IF($Q$1=$P$3,INDEX(prem_analysis!$P$2:$Q$441,ROWS(Data!$P$2:U53),COLUMNS(Data!$P$3:T54)),IF($Q$1=$P$5,INDEX(prem_analysis!$BH$1:$BS$23,ROWS(Data!$Q$3:U54),COLUMNS(Data!$Q$3:U54)),IF($Q$1=$P$6,INDEX(prem_analysis!$BU$1:$CF$67,ROWS(prem_analysis!$N$2:R53),COLUMNS(prem_analysis!$N$2:R53)),IF($Q$1=$P$4,INDEX(Table24[[#All],[Year]:[Details]],ROWS(prem_analysis!$M$420:Q471),COLUMNS(Data!$Q$3:U54)))))),"")</f>
        <v/>
      </c>
      <c r="W53" s="1" t="str">
        <f>IFERROR(IF($Q$1=$P$3,INDEX(prem_analysis!$P$2:$Q$441,ROWS(Data!$P$2:V53),COLUMNS(Data!$P$3:U54)),IF($Q$1=$P$5,INDEX(prem_analysis!$BH$1:$BS$23,ROWS(Data!$Q$3:V54),COLUMNS(Data!$Q$3:V54)),IF($Q$1=$P$6,INDEX(prem_analysis!$BU$1:$CF$67,ROWS(prem_analysis!$N$2:S53),COLUMNS(prem_analysis!$N$2:S53)),IF($Q$1=$P$4,INDEX(Table24[[#All],[Year]:[Details]],ROWS(prem_analysis!$M$420:R471),COLUMNS(Data!$Q$3:V54)))))),"")</f>
        <v/>
      </c>
      <c r="X53" s="1" t="str">
        <f>IFERROR(IF($Q$1=$P$3,INDEX(prem_analysis!$P$2:$Q$441,ROWS(Data!$P$2:W53),COLUMNS(Data!$P$3:V54)),IF($Q$1=$P$5,INDEX(prem_analysis!$BH$1:$BS$23,ROWS(Data!$Q$3:W54),COLUMNS(Data!$Q$3:W54)),IF($Q$1=$P$6,INDEX(prem_analysis!$BU$1:$CF$67,ROWS(prem_analysis!$N$2:T53),COLUMNS(prem_analysis!$N$2:T53)),IF($Q$1=$P$4,INDEX(Table24[[#All],[Year]:[Details]],ROWS(prem_analysis!$M$420:S471),COLUMNS(Data!$Q$3:W54)))))),"")</f>
        <v/>
      </c>
      <c r="Y53" s="1" t="str">
        <f>IFERROR(IF($Q$1=$P$3,INDEX(prem_analysis!$P$2:$Q$441,ROWS(Data!$P$2:X53),COLUMNS(Data!$P$3:W54)),IF($Q$1=$P$5,INDEX(prem_analysis!$BH$1:$BS$23,ROWS(Data!$Q$3:X54),COLUMNS(Data!$Q$3:X54)),IF($Q$1=$P$6,INDEX(prem_analysis!$BU$1:$CF$67,ROWS(prem_analysis!$N$2:U53),COLUMNS(prem_analysis!$N$2:U53)),IF($Q$1=$P$4,INDEX(Table24[[#All],[Year]:[Details]],ROWS(prem_analysis!$M$420:T471),COLUMNS(Data!$Q$3:X54)))))),"")</f>
        <v/>
      </c>
      <c r="Z53" s="1" t="str">
        <f>IFERROR(IF($Q$1=$P$3,INDEX(prem_analysis!$P$2:$Q$441,ROWS(Data!$P$2:Y53),COLUMNS(Data!$P$3:X54)),IF($Q$1=$P$5,INDEX(prem_analysis!$BH$1:$BS$23,ROWS(Data!$Q$3:Y54),COLUMNS(Data!$Q$3:Y54)),IF($Q$1=$P$6,INDEX(prem_analysis!$BU$1:$CF$67,ROWS(prem_analysis!$N$2:V53),COLUMNS(prem_analysis!$N$2:V53)),IF($Q$1=$P$4,INDEX(Table24[[#All],[Year]:[Details]],ROWS(prem_analysis!$M$420:U471),COLUMNS(Data!$Q$3:Y54)))))),"")</f>
        <v/>
      </c>
      <c r="AA53" s="1" t="str">
        <f>IFERROR(IF($Q$1=$P$3,INDEX(prem_analysis!$P$2:$Q$441,ROWS(Data!$P$2:Z53),COLUMNS(Data!$P$3:Y54)),IF($Q$1=$P$5,INDEX(prem_analysis!$BH$1:$BS$23,ROWS(Data!$Q$3:Z54),COLUMNS(Data!$Q$3:Z54)),IF($Q$1=$P$6,INDEX(prem_analysis!$BU$1:$CF$67,ROWS(prem_analysis!$N$2:W53),COLUMNS(prem_analysis!$N$2:W53)),IF($Q$1=$P$4,INDEX(Table24[[#All],[Year]:[Details]],ROWS(prem_analysis!$M$420:V471),COLUMNS(Data!$Q$3:Z54)))))),"")</f>
        <v/>
      </c>
      <c r="AB53" s="1" t="str">
        <f>IFERROR(IF($Q$1=$P$3,INDEX(prem_analysis!$P$2:$Q$441,ROWS(Data!$P$2:AA53),COLUMNS(Data!$P$3:Z54)),IF($Q$1=$P$5,INDEX(prem_analysis!$BH$1:$BS$23,ROWS(Data!$Q$3:AA54),COLUMNS(Data!$Q$3:AA54)),IF($Q$1=$P$6,INDEX(prem_analysis!$BU$1:$CF$67,ROWS(prem_analysis!$N$2:X53),COLUMNS(prem_analysis!$N$2:X53)),IF($Q$1=$P$4,INDEX(Table24[[#All],[Year]:[Details]],ROWS(prem_analysis!$M$420:W471),COLUMNS(Data!$Q$3:AA54)))))),"")</f>
        <v/>
      </c>
      <c r="AC53" s="1" t="str">
        <f>IFERROR(IF($Q$1=$P$3,INDEX(prem_analysis!$P$2:$Q$441,ROWS(Data!$P$2:AB53),COLUMNS(Data!$P$3:AA54)),IF($Q$1=$P$5,INDEX(prem_analysis!$BH$1:$BS$23,ROWS(Data!$Q$3:AB54),COLUMNS(Data!$Q$3:AB54)),IF($Q$1=$P$6,INDEX(prem_analysis!$BU$1:$CF$67,ROWS(prem_analysis!$N$2:Y53),COLUMNS(prem_analysis!$N$2:Y53)),IF($Q$1=$P$4,INDEX(Table24[[#All],[Year]:[Details]],ROWS(prem_analysis!$M$420:X471),COLUMNS(Data!$Q$3:AB54)))))),"")</f>
        <v/>
      </c>
    </row>
    <row r="54" spans="1:29" x14ac:dyDescent="0.2">
      <c r="A54" s="3">
        <v>2002</v>
      </c>
      <c r="B54" s="3">
        <v>13</v>
      </c>
      <c r="C54" s="4" t="s">
        <v>34</v>
      </c>
      <c r="D54" s="3">
        <v>38</v>
      </c>
      <c r="E54" s="3">
        <v>13</v>
      </c>
      <c r="F54" s="3">
        <v>9</v>
      </c>
      <c r="G54" s="3">
        <v>16</v>
      </c>
      <c r="H54" s="3">
        <v>41</v>
      </c>
      <c r="I54" s="3">
        <v>49</v>
      </c>
      <c r="J54" s="3">
        <v>-8</v>
      </c>
      <c r="K54" s="3">
        <v>48</v>
      </c>
      <c r="L54" s="5">
        <f>IF(Table24[[#This Row],['#]]=1,"Champion", IF(Table24[[#This Row],['#]]&gt;=18,"Relegated",Table24[[#This Row],['#]]))</f>
        <v>13</v>
      </c>
      <c r="M54" s="5" t="str">
        <f>IF(Table24[[#This Row],[Details]]=2,K53-Table24[[#This Row],[Pts]],IF(Table24[[#This Row],[Details]]=17,Table24[[#This Row],[Pts]]-K55,""))</f>
        <v/>
      </c>
      <c r="R54" s="1" t="str">
        <f>IFERROR(IF($Q$1=$P$3,INDEX(prem_analysis!$P$2:$Q$441,ROWS(Data!$P$2:Q54),COLUMNS(Data!$P$3:P55)),IF($Q$1=$P$5,INDEX(prem_analysis!$BH$1:$BS$23,ROWS(Data!$Q$3:Q55),COLUMNS(Data!$Q$3:Q55)),IF($Q$1=$P$6,INDEX(prem_analysis!$BU$1:$CF$67,ROWS(prem_analysis!$N$2:N54),COLUMNS(prem_analysis!$N$2:N54)),IF($Q$1=$P$4,INDEX(Table24[[#All],[Year]:[Details]],ROWS(prem_analysis!$M$420:M472),COLUMNS(Data!$Q$3:Q55)))))),"")</f>
        <v/>
      </c>
      <c r="S54" s="1" t="str">
        <f>IFERROR(IF($Q$1=$P$3,INDEX(prem_analysis!$P$2:$Q$441,ROWS(Data!$P$2:R54),COLUMNS(Data!$P$3:Q55)),IF($Q$1=$P$5,INDEX(prem_analysis!$BH$1:$BS$23,ROWS(Data!$Q$3:R55),COLUMNS(Data!$Q$3:R55)),IF($Q$1=$P$6,INDEX(prem_analysis!$BU$1:$CF$67,ROWS(prem_analysis!$N$2:O54),COLUMNS(prem_analysis!$N$2:O54)),IF($Q$1=$P$4,INDEX(Table24[[#All],[Year]:[Details]],ROWS(prem_analysis!$M$420:N472),COLUMNS(Data!$Q$3:R55)))))),"")</f>
        <v/>
      </c>
      <c r="T54" s="1" t="str">
        <f>IFERROR(IF($Q$1=$P$3,INDEX(prem_analysis!$P$2:$Q$441,ROWS(Data!$P$2:S54),COLUMNS(Data!$P$3:R55)),IF($Q$1=$P$5,INDEX(prem_analysis!$BH$1:$BS$23,ROWS(Data!$Q$3:S55),COLUMNS(Data!$Q$3:S55)),IF($Q$1=$P$6,INDEX(prem_analysis!$BU$1:$CF$67,ROWS(prem_analysis!$N$2:P54),COLUMNS(prem_analysis!$N$2:P54)),IF($Q$1=$P$4,INDEX(Table24[[#All],[Year]:[Details]],ROWS(prem_analysis!$M$420:O472),COLUMNS(Data!$Q$3:S55)))))),"")</f>
        <v/>
      </c>
      <c r="U54" s="1" t="str">
        <f>IFERROR(IF($Q$1=$P$3,INDEX(prem_analysis!$P$2:$Q$441,ROWS(Data!$P$2:T54),COLUMNS(Data!$P$3:S55)),IF($Q$1=$P$5,INDEX(prem_analysis!$BH$1:$BS$23,ROWS(Data!$Q$3:T55),COLUMNS(Data!$Q$3:T55)),IF($Q$1=$P$6,INDEX(prem_analysis!$BU$1:$CF$67,ROWS(prem_analysis!$N$2:Q54),COLUMNS(prem_analysis!$N$2:Q54)),IF($Q$1=$P$4,INDEX(Table24[[#All],[Year]:[Details]],ROWS(prem_analysis!$M$420:P472),COLUMNS(Data!$Q$3:T55)))))),"")</f>
        <v/>
      </c>
      <c r="V54" s="1" t="str">
        <f>IFERROR(IF($Q$1=$P$3,INDEX(prem_analysis!$P$2:$Q$441,ROWS(Data!$P$2:U54),COLUMNS(Data!$P$3:T55)),IF($Q$1=$P$5,INDEX(prem_analysis!$BH$1:$BS$23,ROWS(Data!$Q$3:U55),COLUMNS(Data!$Q$3:U55)),IF($Q$1=$P$6,INDEX(prem_analysis!$BU$1:$CF$67,ROWS(prem_analysis!$N$2:R54),COLUMNS(prem_analysis!$N$2:R54)),IF($Q$1=$P$4,INDEX(Table24[[#All],[Year]:[Details]],ROWS(prem_analysis!$M$420:Q472),COLUMNS(Data!$Q$3:U55)))))),"")</f>
        <v/>
      </c>
      <c r="W54" s="1" t="str">
        <f>IFERROR(IF($Q$1=$P$3,INDEX(prem_analysis!$P$2:$Q$441,ROWS(Data!$P$2:V54),COLUMNS(Data!$P$3:U55)),IF($Q$1=$P$5,INDEX(prem_analysis!$BH$1:$BS$23,ROWS(Data!$Q$3:V55),COLUMNS(Data!$Q$3:V55)),IF($Q$1=$P$6,INDEX(prem_analysis!$BU$1:$CF$67,ROWS(prem_analysis!$N$2:S54),COLUMNS(prem_analysis!$N$2:S54)),IF($Q$1=$P$4,INDEX(Table24[[#All],[Year]:[Details]],ROWS(prem_analysis!$M$420:R472),COLUMNS(Data!$Q$3:V55)))))),"")</f>
        <v/>
      </c>
      <c r="X54" s="1" t="str">
        <f>IFERROR(IF($Q$1=$P$3,INDEX(prem_analysis!$P$2:$Q$441,ROWS(Data!$P$2:W54),COLUMNS(Data!$P$3:V55)),IF($Q$1=$P$5,INDEX(prem_analysis!$BH$1:$BS$23,ROWS(Data!$Q$3:W55),COLUMNS(Data!$Q$3:W55)),IF($Q$1=$P$6,INDEX(prem_analysis!$BU$1:$CF$67,ROWS(prem_analysis!$N$2:T54),COLUMNS(prem_analysis!$N$2:T54)),IF($Q$1=$P$4,INDEX(Table24[[#All],[Year]:[Details]],ROWS(prem_analysis!$M$420:S472),COLUMNS(Data!$Q$3:W55)))))),"")</f>
        <v/>
      </c>
      <c r="Y54" s="1" t="str">
        <f>IFERROR(IF($Q$1=$P$3,INDEX(prem_analysis!$P$2:$Q$441,ROWS(Data!$P$2:X54),COLUMNS(Data!$P$3:W55)),IF($Q$1=$P$5,INDEX(prem_analysis!$BH$1:$BS$23,ROWS(Data!$Q$3:X55),COLUMNS(Data!$Q$3:X55)),IF($Q$1=$P$6,INDEX(prem_analysis!$BU$1:$CF$67,ROWS(prem_analysis!$N$2:U54),COLUMNS(prem_analysis!$N$2:U54)),IF($Q$1=$P$4,INDEX(Table24[[#All],[Year]:[Details]],ROWS(prem_analysis!$M$420:T472),COLUMNS(Data!$Q$3:X55)))))),"")</f>
        <v/>
      </c>
      <c r="Z54" s="1" t="str">
        <f>IFERROR(IF($Q$1=$P$3,INDEX(prem_analysis!$P$2:$Q$441,ROWS(Data!$P$2:Y54),COLUMNS(Data!$P$3:X55)),IF($Q$1=$P$5,INDEX(prem_analysis!$BH$1:$BS$23,ROWS(Data!$Q$3:Y55),COLUMNS(Data!$Q$3:Y55)),IF($Q$1=$P$6,INDEX(prem_analysis!$BU$1:$CF$67,ROWS(prem_analysis!$N$2:V54),COLUMNS(prem_analysis!$N$2:V54)),IF($Q$1=$P$4,INDEX(Table24[[#All],[Year]:[Details]],ROWS(prem_analysis!$M$420:U472),COLUMNS(Data!$Q$3:Y55)))))),"")</f>
        <v/>
      </c>
      <c r="AA54" s="1" t="str">
        <f>IFERROR(IF($Q$1=$P$3,INDEX(prem_analysis!$P$2:$Q$441,ROWS(Data!$P$2:Z54),COLUMNS(Data!$P$3:Y55)),IF($Q$1=$P$5,INDEX(prem_analysis!$BH$1:$BS$23,ROWS(Data!$Q$3:Z55),COLUMNS(Data!$Q$3:Z55)),IF($Q$1=$P$6,INDEX(prem_analysis!$BU$1:$CF$67,ROWS(prem_analysis!$N$2:W54),COLUMNS(prem_analysis!$N$2:W54)),IF($Q$1=$P$4,INDEX(Table24[[#All],[Year]:[Details]],ROWS(prem_analysis!$M$420:V472),COLUMNS(Data!$Q$3:Z55)))))),"")</f>
        <v/>
      </c>
      <c r="AB54" s="1" t="str">
        <f>IFERROR(IF($Q$1=$P$3,INDEX(prem_analysis!$P$2:$Q$441,ROWS(Data!$P$2:AA54),COLUMNS(Data!$P$3:Z55)),IF($Q$1=$P$5,INDEX(prem_analysis!$BH$1:$BS$23,ROWS(Data!$Q$3:AA55),COLUMNS(Data!$Q$3:AA55)),IF($Q$1=$P$6,INDEX(prem_analysis!$BU$1:$CF$67,ROWS(prem_analysis!$N$2:X54),COLUMNS(prem_analysis!$N$2:X54)),IF($Q$1=$P$4,INDEX(Table24[[#All],[Year]:[Details]],ROWS(prem_analysis!$M$420:W472),COLUMNS(Data!$Q$3:AA55)))))),"")</f>
        <v/>
      </c>
      <c r="AC54" s="1" t="str">
        <f>IFERROR(IF($Q$1=$P$3,INDEX(prem_analysis!$P$2:$Q$441,ROWS(Data!$P$2:AB54),COLUMNS(Data!$P$3:AA55)),IF($Q$1=$P$5,INDEX(prem_analysis!$BH$1:$BS$23,ROWS(Data!$Q$3:AB55),COLUMNS(Data!$Q$3:AB55)),IF($Q$1=$P$6,INDEX(prem_analysis!$BU$1:$CF$67,ROWS(prem_analysis!$N$2:Y54),COLUMNS(prem_analysis!$N$2:Y54)),IF($Q$1=$P$4,INDEX(Table24[[#All],[Year]:[Details]],ROWS(prem_analysis!$M$420:X472),COLUMNS(Data!$Q$3:AB55)))))),"")</f>
        <v/>
      </c>
    </row>
    <row r="55" spans="1:29" x14ac:dyDescent="0.2">
      <c r="A55" s="5">
        <v>2002</v>
      </c>
      <c r="B55" s="5">
        <v>14</v>
      </c>
      <c r="C55" s="6" t="s">
        <v>32</v>
      </c>
      <c r="D55" s="5">
        <v>38</v>
      </c>
      <c r="E55" s="5">
        <v>13</v>
      </c>
      <c r="F55" s="5">
        <v>9</v>
      </c>
      <c r="G55" s="5">
        <v>16</v>
      </c>
      <c r="H55" s="5">
        <v>41</v>
      </c>
      <c r="I55" s="5">
        <v>50</v>
      </c>
      <c r="J55" s="5">
        <v>-9</v>
      </c>
      <c r="K55" s="5">
        <v>48</v>
      </c>
      <c r="L55" s="5">
        <f>IF(Table24[[#This Row],['#]]=1,"Champion", IF(Table24[[#This Row],['#]]&gt;=18,"Relegated",Table24[[#This Row],['#]]))</f>
        <v>14</v>
      </c>
      <c r="M55" s="5" t="str">
        <f>IF(Table24[[#This Row],[Details]]=2,K54-Table24[[#This Row],[Pts]],IF(Table24[[#This Row],[Details]]=17,Table24[[#This Row],[Pts]]-K56,""))</f>
        <v/>
      </c>
      <c r="R55" s="1" t="str">
        <f>IFERROR(IF($Q$1=$P$3,INDEX(prem_analysis!$P$2:$Q$441,ROWS(Data!$P$2:Q55),COLUMNS(Data!$P$3:P56)),IF($Q$1=$P$5,INDEX(prem_analysis!$BH$1:$BS$23,ROWS(Data!$Q$3:Q56),COLUMNS(Data!$Q$3:Q56)),IF($Q$1=$P$6,INDEX(prem_analysis!$BU$1:$CF$67,ROWS(prem_analysis!$N$2:N55),COLUMNS(prem_analysis!$N$2:N55)),IF($Q$1=$P$4,INDEX(Table24[[#All],[Year]:[Details]],ROWS(prem_analysis!$M$420:M473),COLUMNS(Data!$Q$3:Q56)))))),"")</f>
        <v/>
      </c>
      <c r="S55" s="1" t="str">
        <f>IFERROR(IF($Q$1=$P$3,INDEX(prem_analysis!$P$2:$Q$441,ROWS(Data!$P$2:R55),COLUMNS(Data!$P$3:Q56)),IF($Q$1=$P$5,INDEX(prem_analysis!$BH$1:$BS$23,ROWS(Data!$Q$3:R56),COLUMNS(Data!$Q$3:R56)),IF($Q$1=$P$6,INDEX(prem_analysis!$BU$1:$CF$67,ROWS(prem_analysis!$N$2:O55),COLUMNS(prem_analysis!$N$2:O55)),IF($Q$1=$P$4,INDEX(Table24[[#All],[Year]:[Details]],ROWS(prem_analysis!$M$420:N473),COLUMNS(Data!$Q$3:R56)))))),"")</f>
        <v/>
      </c>
      <c r="T55" s="1" t="str">
        <f>IFERROR(IF($Q$1=$P$3,INDEX(prem_analysis!$P$2:$Q$441,ROWS(Data!$P$2:S55),COLUMNS(Data!$P$3:R56)),IF($Q$1=$P$5,INDEX(prem_analysis!$BH$1:$BS$23,ROWS(Data!$Q$3:S56),COLUMNS(Data!$Q$3:S56)),IF($Q$1=$P$6,INDEX(prem_analysis!$BU$1:$CF$67,ROWS(prem_analysis!$N$2:P55),COLUMNS(prem_analysis!$N$2:P55)),IF($Q$1=$P$4,INDEX(Table24[[#All],[Year]:[Details]],ROWS(prem_analysis!$M$420:O473),COLUMNS(Data!$Q$3:S56)))))),"")</f>
        <v/>
      </c>
      <c r="U55" s="1" t="str">
        <f>IFERROR(IF($Q$1=$P$3,INDEX(prem_analysis!$P$2:$Q$441,ROWS(Data!$P$2:T55),COLUMNS(Data!$P$3:S56)),IF($Q$1=$P$5,INDEX(prem_analysis!$BH$1:$BS$23,ROWS(Data!$Q$3:T56),COLUMNS(Data!$Q$3:T56)),IF($Q$1=$P$6,INDEX(prem_analysis!$BU$1:$CF$67,ROWS(prem_analysis!$N$2:Q55),COLUMNS(prem_analysis!$N$2:Q55)),IF($Q$1=$P$4,INDEX(Table24[[#All],[Year]:[Details]],ROWS(prem_analysis!$M$420:P473),COLUMNS(Data!$Q$3:T56)))))),"")</f>
        <v/>
      </c>
      <c r="V55" s="1" t="str">
        <f>IFERROR(IF($Q$1=$P$3,INDEX(prem_analysis!$P$2:$Q$441,ROWS(Data!$P$2:U55),COLUMNS(Data!$P$3:T56)),IF($Q$1=$P$5,INDEX(prem_analysis!$BH$1:$BS$23,ROWS(Data!$Q$3:U56),COLUMNS(Data!$Q$3:U56)),IF($Q$1=$P$6,INDEX(prem_analysis!$BU$1:$CF$67,ROWS(prem_analysis!$N$2:R55),COLUMNS(prem_analysis!$N$2:R55)),IF($Q$1=$P$4,INDEX(Table24[[#All],[Year]:[Details]],ROWS(prem_analysis!$M$420:Q473),COLUMNS(Data!$Q$3:U56)))))),"")</f>
        <v/>
      </c>
      <c r="W55" s="1" t="str">
        <f>IFERROR(IF($Q$1=$P$3,INDEX(prem_analysis!$P$2:$Q$441,ROWS(Data!$P$2:V55),COLUMNS(Data!$P$3:U56)),IF($Q$1=$P$5,INDEX(prem_analysis!$BH$1:$BS$23,ROWS(Data!$Q$3:V56),COLUMNS(Data!$Q$3:V56)),IF($Q$1=$P$6,INDEX(prem_analysis!$BU$1:$CF$67,ROWS(prem_analysis!$N$2:S55),COLUMNS(prem_analysis!$N$2:S55)),IF($Q$1=$P$4,INDEX(Table24[[#All],[Year]:[Details]],ROWS(prem_analysis!$M$420:R473),COLUMNS(Data!$Q$3:V56)))))),"")</f>
        <v/>
      </c>
      <c r="X55" s="1" t="str">
        <f>IFERROR(IF($Q$1=$P$3,INDEX(prem_analysis!$P$2:$Q$441,ROWS(Data!$P$2:W55),COLUMNS(Data!$P$3:V56)),IF($Q$1=$P$5,INDEX(prem_analysis!$BH$1:$BS$23,ROWS(Data!$Q$3:W56),COLUMNS(Data!$Q$3:W56)),IF($Q$1=$P$6,INDEX(prem_analysis!$BU$1:$CF$67,ROWS(prem_analysis!$N$2:T55),COLUMNS(prem_analysis!$N$2:T55)),IF($Q$1=$P$4,INDEX(Table24[[#All],[Year]:[Details]],ROWS(prem_analysis!$M$420:S473),COLUMNS(Data!$Q$3:W56)))))),"")</f>
        <v/>
      </c>
      <c r="Y55" s="1" t="str">
        <f>IFERROR(IF($Q$1=$P$3,INDEX(prem_analysis!$P$2:$Q$441,ROWS(Data!$P$2:X55),COLUMNS(Data!$P$3:W56)),IF($Q$1=$P$5,INDEX(prem_analysis!$BH$1:$BS$23,ROWS(Data!$Q$3:X56),COLUMNS(Data!$Q$3:X56)),IF($Q$1=$P$6,INDEX(prem_analysis!$BU$1:$CF$67,ROWS(prem_analysis!$N$2:U55),COLUMNS(prem_analysis!$N$2:U55)),IF($Q$1=$P$4,INDEX(Table24[[#All],[Year]:[Details]],ROWS(prem_analysis!$M$420:T473),COLUMNS(Data!$Q$3:X56)))))),"")</f>
        <v/>
      </c>
      <c r="Z55" s="1" t="str">
        <f>IFERROR(IF($Q$1=$P$3,INDEX(prem_analysis!$P$2:$Q$441,ROWS(Data!$P$2:Y55),COLUMNS(Data!$P$3:X56)),IF($Q$1=$P$5,INDEX(prem_analysis!$BH$1:$BS$23,ROWS(Data!$Q$3:Y56),COLUMNS(Data!$Q$3:Y56)),IF($Q$1=$P$6,INDEX(prem_analysis!$BU$1:$CF$67,ROWS(prem_analysis!$N$2:V55),COLUMNS(prem_analysis!$N$2:V55)),IF($Q$1=$P$4,INDEX(Table24[[#All],[Year]:[Details]],ROWS(prem_analysis!$M$420:U473),COLUMNS(Data!$Q$3:Y56)))))),"")</f>
        <v/>
      </c>
      <c r="AA55" s="1" t="str">
        <f>IFERROR(IF($Q$1=$P$3,INDEX(prem_analysis!$P$2:$Q$441,ROWS(Data!$P$2:Z55),COLUMNS(Data!$P$3:Y56)),IF($Q$1=$P$5,INDEX(prem_analysis!$BH$1:$BS$23,ROWS(Data!$Q$3:Z56),COLUMNS(Data!$Q$3:Z56)),IF($Q$1=$P$6,INDEX(prem_analysis!$BU$1:$CF$67,ROWS(prem_analysis!$N$2:W55),COLUMNS(prem_analysis!$N$2:W55)),IF($Q$1=$P$4,INDEX(Table24[[#All],[Year]:[Details]],ROWS(prem_analysis!$M$420:V473),COLUMNS(Data!$Q$3:Z56)))))),"")</f>
        <v/>
      </c>
      <c r="AB55" s="1" t="str">
        <f>IFERROR(IF($Q$1=$P$3,INDEX(prem_analysis!$P$2:$Q$441,ROWS(Data!$P$2:AA55),COLUMNS(Data!$P$3:Z56)),IF($Q$1=$P$5,INDEX(prem_analysis!$BH$1:$BS$23,ROWS(Data!$Q$3:AA56),COLUMNS(Data!$Q$3:AA56)),IF($Q$1=$P$6,INDEX(prem_analysis!$BU$1:$CF$67,ROWS(prem_analysis!$N$2:X55),COLUMNS(prem_analysis!$N$2:X55)),IF($Q$1=$P$4,INDEX(Table24[[#All],[Year]:[Details]],ROWS(prem_analysis!$M$420:W473),COLUMNS(Data!$Q$3:AA56)))))),"")</f>
        <v/>
      </c>
      <c r="AC55" s="1" t="str">
        <f>IFERROR(IF($Q$1=$P$3,INDEX(prem_analysis!$P$2:$Q$441,ROWS(Data!$P$2:AB55),COLUMNS(Data!$P$3:AA56)),IF($Q$1=$P$5,INDEX(prem_analysis!$BH$1:$BS$23,ROWS(Data!$Q$3:AB56),COLUMNS(Data!$Q$3:AB56)),IF($Q$1=$P$6,INDEX(prem_analysis!$BU$1:$CF$67,ROWS(prem_analysis!$N$2:Y55),COLUMNS(prem_analysis!$N$2:Y55)),IF($Q$1=$P$4,INDEX(Table24[[#All],[Year]:[Details]],ROWS(prem_analysis!$M$420:X473),COLUMNS(Data!$Q$3:AB56)))))),"")</f>
        <v/>
      </c>
    </row>
    <row r="56" spans="1:29" x14ac:dyDescent="0.2">
      <c r="A56" s="3">
        <v>2002</v>
      </c>
      <c r="B56" s="3">
        <v>15</v>
      </c>
      <c r="C56" s="4" t="s">
        <v>14</v>
      </c>
      <c r="D56" s="3">
        <v>38</v>
      </c>
      <c r="E56" s="3">
        <v>14</v>
      </c>
      <c r="F56" s="3">
        <v>5</v>
      </c>
      <c r="G56" s="3">
        <v>19</v>
      </c>
      <c r="H56" s="3">
        <v>58</v>
      </c>
      <c r="I56" s="3">
        <v>57</v>
      </c>
      <c r="J56" s="3">
        <v>1</v>
      </c>
      <c r="K56" s="3">
        <v>47</v>
      </c>
      <c r="L56" s="5">
        <f>IF(Table24[[#This Row],['#]]=1,"Champion", IF(Table24[[#This Row],['#]]&gt;=18,"Relegated",Table24[[#This Row],['#]]))</f>
        <v>15</v>
      </c>
      <c r="M56" s="5" t="str">
        <f>IF(Table24[[#This Row],[Details]]=2,K55-Table24[[#This Row],[Pts]],IF(Table24[[#This Row],[Details]]=17,Table24[[#This Row],[Pts]]-K57,""))</f>
        <v/>
      </c>
      <c r="R56" s="1" t="str">
        <f>IFERROR(IF($Q$1=$P$3,INDEX(prem_analysis!$P$2:$Q$441,ROWS(Data!$P$2:Q56),COLUMNS(Data!$P$3:P57)),IF($Q$1=$P$5,INDEX(prem_analysis!$BH$1:$BS$23,ROWS(Data!$Q$3:Q57),COLUMNS(Data!$Q$3:Q57)),IF($Q$1=$P$6,INDEX(prem_analysis!$BU$1:$CF$67,ROWS(prem_analysis!$N$2:N56),COLUMNS(prem_analysis!$N$2:N56)),IF($Q$1=$P$4,INDEX(Table24[[#All],[Year]:[Details]],ROWS(prem_analysis!$M$420:M474),COLUMNS(Data!$Q$3:Q57)))))),"")</f>
        <v/>
      </c>
      <c r="S56" s="1" t="str">
        <f>IFERROR(IF($Q$1=$P$3,INDEX(prem_analysis!$P$2:$Q$441,ROWS(Data!$P$2:R56),COLUMNS(Data!$P$3:Q57)),IF($Q$1=$P$5,INDEX(prem_analysis!$BH$1:$BS$23,ROWS(Data!$Q$3:R57),COLUMNS(Data!$Q$3:R57)),IF($Q$1=$P$6,INDEX(prem_analysis!$BU$1:$CF$67,ROWS(prem_analysis!$N$2:O56),COLUMNS(prem_analysis!$N$2:O56)),IF($Q$1=$P$4,INDEX(Table24[[#All],[Year]:[Details]],ROWS(prem_analysis!$M$420:N474),COLUMNS(Data!$Q$3:R57)))))),"")</f>
        <v/>
      </c>
      <c r="T56" s="1" t="str">
        <f>IFERROR(IF($Q$1=$P$3,INDEX(prem_analysis!$P$2:$Q$441,ROWS(Data!$P$2:S56),COLUMNS(Data!$P$3:R57)),IF($Q$1=$P$5,INDEX(prem_analysis!$BH$1:$BS$23,ROWS(Data!$Q$3:S57),COLUMNS(Data!$Q$3:S57)),IF($Q$1=$P$6,INDEX(prem_analysis!$BU$1:$CF$67,ROWS(prem_analysis!$N$2:P56),COLUMNS(prem_analysis!$N$2:P56)),IF($Q$1=$P$4,INDEX(Table24[[#All],[Year]:[Details]],ROWS(prem_analysis!$M$420:O474),COLUMNS(Data!$Q$3:S57)))))),"")</f>
        <v/>
      </c>
      <c r="U56" s="1" t="str">
        <f>IFERROR(IF($Q$1=$P$3,INDEX(prem_analysis!$P$2:$Q$441,ROWS(Data!$P$2:T56),COLUMNS(Data!$P$3:S57)),IF($Q$1=$P$5,INDEX(prem_analysis!$BH$1:$BS$23,ROWS(Data!$Q$3:T57),COLUMNS(Data!$Q$3:T57)),IF($Q$1=$P$6,INDEX(prem_analysis!$BU$1:$CF$67,ROWS(prem_analysis!$N$2:Q56),COLUMNS(prem_analysis!$N$2:Q56)),IF($Q$1=$P$4,INDEX(Table24[[#All],[Year]:[Details]],ROWS(prem_analysis!$M$420:P474),COLUMNS(Data!$Q$3:T57)))))),"")</f>
        <v/>
      </c>
      <c r="V56" s="1" t="str">
        <f>IFERROR(IF($Q$1=$P$3,INDEX(prem_analysis!$P$2:$Q$441,ROWS(Data!$P$2:U56),COLUMNS(Data!$P$3:T57)),IF($Q$1=$P$5,INDEX(prem_analysis!$BH$1:$BS$23,ROWS(Data!$Q$3:U57),COLUMNS(Data!$Q$3:U57)),IF($Q$1=$P$6,INDEX(prem_analysis!$BU$1:$CF$67,ROWS(prem_analysis!$N$2:R56),COLUMNS(prem_analysis!$N$2:R56)),IF($Q$1=$P$4,INDEX(Table24[[#All],[Year]:[Details]],ROWS(prem_analysis!$M$420:Q474),COLUMNS(Data!$Q$3:U57)))))),"")</f>
        <v/>
      </c>
      <c r="W56" s="1" t="str">
        <f>IFERROR(IF($Q$1=$P$3,INDEX(prem_analysis!$P$2:$Q$441,ROWS(Data!$P$2:V56),COLUMNS(Data!$P$3:U57)),IF($Q$1=$P$5,INDEX(prem_analysis!$BH$1:$BS$23,ROWS(Data!$Q$3:V57),COLUMNS(Data!$Q$3:V57)),IF($Q$1=$P$6,INDEX(prem_analysis!$BU$1:$CF$67,ROWS(prem_analysis!$N$2:S56),COLUMNS(prem_analysis!$N$2:S56)),IF($Q$1=$P$4,INDEX(Table24[[#All],[Year]:[Details]],ROWS(prem_analysis!$M$420:R474),COLUMNS(Data!$Q$3:V57)))))),"")</f>
        <v/>
      </c>
      <c r="X56" s="1" t="str">
        <f>IFERROR(IF($Q$1=$P$3,INDEX(prem_analysis!$P$2:$Q$441,ROWS(Data!$P$2:W56),COLUMNS(Data!$P$3:V57)),IF($Q$1=$P$5,INDEX(prem_analysis!$BH$1:$BS$23,ROWS(Data!$Q$3:W57),COLUMNS(Data!$Q$3:W57)),IF($Q$1=$P$6,INDEX(prem_analysis!$BU$1:$CF$67,ROWS(prem_analysis!$N$2:T56),COLUMNS(prem_analysis!$N$2:T56)),IF($Q$1=$P$4,INDEX(Table24[[#All],[Year]:[Details]],ROWS(prem_analysis!$M$420:S474),COLUMNS(Data!$Q$3:W57)))))),"")</f>
        <v/>
      </c>
      <c r="Y56" s="1" t="str">
        <f>IFERROR(IF($Q$1=$P$3,INDEX(prem_analysis!$P$2:$Q$441,ROWS(Data!$P$2:X56),COLUMNS(Data!$P$3:W57)),IF($Q$1=$P$5,INDEX(prem_analysis!$BH$1:$BS$23,ROWS(Data!$Q$3:X57),COLUMNS(Data!$Q$3:X57)),IF($Q$1=$P$6,INDEX(prem_analysis!$BU$1:$CF$67,ROWS(prem_analysis!$N$2:U56),COLUMNS(prem_analysis!$N$2:U56)),IF($Q$1=$P$4,INDEX(Table24[[#All],[Year]:[Details]],ROWS(prem_analysis!$M$420:T474),COLUMNS(Data!$Q$3:X57)))))),"")</f>
        <v/>
      </c>
      <c r="Z56" s="1" t="str">
        <f>IFERROR(IF($Q$1=$P$3,INDEX(prem_analysis!$P$2:$Q$441,ROWS(Data!$P$2:Y56),COLUMNS(Data!$P$3:X57)),IF($Q$1=$P$5,INDEX(prem_analysis!$BH$1:$BS$23,ROWS(Data!$Q$3:Y57),COLUMNS(Data!$Q$3:Y57)),IF($Q$1=$P$6,INDEX(prem_analysis!$BU$1:$CF$67,ROWS(prem_analysis!$N$2:V56),COLUMNS(prem_analysis!$N$2:V56)),IF($Q$1=$P$4,INDEX(Table24[[#All],[Year]:[Details]],ROWS(prem_analysis!$M$420:U474),COLUMNS(Data!$Q$3:Y57)))))),"")</f>
        <v/>
      </c>
      <c r="AA56" s="1" t="str">
        <f>IFERROR(IF($Q$1=$P$3,INDEX(prem_analysis!$P$2:$Q$441,ROWS(Data!$P$2:Z56),COLUMNS(Data!$P$3:Y57)),IF($Q$1=$P$5,INDEX(prem_analysis!$BH$1:$BS$23,ROWS(Data!$Q$3:Z57),COLUMNS(Data!$Q$3:Z57)),IF($Q$1=$P$6,INDEX(prem_analysis!$BU$1:$CF$67,ROWS(prem_analysis!$N$2:W56),COLUMNS(prem_analysis!$N$2:W56)),IF($Q$1=$P$4,INDEX(Table24[[#All],[Year]:[Details]],ROWS(prem_analysis!$M$420:V474),COLUMNS(Data!$Q$3:Z57)))))),"")</f>
        <v/>
      </c>
      <c r="AB56" s="1" t="str">
        <f>IFERROR(IF($Q$1=$P$3,INDEX(prem_analysis!$P$2:$Q$441,ROWS(Data!$P$2:AA56),COLUMNS(Data!$P$3:Z57)),IF($Q$1=$P$5,INDEX(prem_analysis!$BH$1:$BS$23,ROWS(Data!$Q$3:AA57),COLUMNS(Data!$Q$3:AA57)),IF($Q$1=$P$6,INDEX(prem_analysis!$BU$1:$CF$67,ROWS(prem_analysis!$N$2:X56),COLUMNS(prem_analysis!$N$2:X56)),IF($Q$1=$P$4,INDEX(Table24[[#All],[Year]:[Details]],ROWS(prem_analysis!$M$420:W474),COLUMNS(Data!$Q$3:AA57)))))),"")</f>
        <v/>
      </c>
      <c r="AC56" s="1" t="str">
        <f>IFERROR(IF($Q$1=$P$3,INDEX(prem_analysis!$P$2:$Q$441,ROWS(Data!$P$2:AB56),COLUMNS(Data!$P$3:AA57)),IF($Q$1=$P$5,INDEX(prem_analysis!$BH$1:$BS$23,ROWS(Data!$Q$3:AB57),COLUMNS(Data!$Q$3:AB57)),IF($Q$1=$P$6,INDEX(prem_analysis!$BU$1:$CF$67,ROWS(prem_analysis!$N$2:Y56),COLUMNS(prem_analysis!$N$2:Y56)),IF($Q$1=$P$4,INDEX(Table24[[#All],[Year]:[Details]],ROWS(prem_analysis!$M$420:X474),COLUMNS(Data!$Q$3:AB57)))))),"")</f>
        <v/>
      </c>
    </row>
    <row r="57" spans="1:29" x14ac:dyDescent="0.2">
      <c r="A57" s="5">
        <v>2002</v>
      </c>
      <c r="B57" s="5">
        <v>16</v>
      </c>
      <c r="C57" s="6" t="s">
        <v>18</v>
      </c>
      <c r="D57" s="5">
        <v>38</v>
      </c>
      <c r="E57" s="5">
        <v>12</v>
      </c>
      <c r="F57" s="5">
        <v>9</v>
      </c>
      <c r="G57" s="5">
        <v>17</v>
      </c>
      <c r="H57" s="5">
        <v>42</v>
      </c>
      <c r="I57" s="5">
        <v>47</v>
      </c>
      <c r="J57" s="5">
        <v>-5</v>
      </c>
      <c r="K57" s="5">
        <v>45</v>
      </c>
      <c r="L57" s="5">
        <f>IF(Table24[[#This Row],['#]]=1,"Champion", IF(Table24[[#This Row],['#]]&gt;=18,"Relegated",Table24[[#This Row],['#]]))</f>
        <v>16</v>
      </c>
      <c r="M57" s="5" t="str">
        <f>IF(Table24[[#This Row],[Details]]=2,K56-Table24[[#This Row],[Pts]],IF(Table24[[#This Row],[Details]]=17,Table24[[#This Row],[Pts]]-K58,""))</f>
        <v/>
      </c>
      <c r="R57" s="1" t="str">
        <f>IFERROR(IF($Q$1=$P$3,INDEX(prem_analysis!$P$2:$Q$441,ROWS(Data!$P$2:Q57),COLUMNS(Data!$P$3:P58)),IF($Q$1=$P$5,INDEX(prem_analysis!$BH$1:$BS$23,ROWS(Data!$Q$3:Q58),COLUMNS(Data!$Q$3:Q58)),IF($Q$1=$P$6,INDEX(prem_analysis!$BU$1:$CF$67,ROWS(prem_analysis!$N$2:N57),COLUMNS(prem_analysis!$N$2:N57)),IF($Q$1=$P$4,INDEX(Table24[[#All],[Year]:[Details]],ROWS(prem_analysis!$M$420:M475),COLUMNS(Data!$Q$3:Q58)))))),"")</f>
        <v/>
      </c>
      <c r="S57" s="1" t="str">
        <f>IFERROR(IF($Q$1=$P$3,INDEX(prem_analysis!$P$2:$Q$441,ROWS(Data!$P$2:R57),COLUMNS(Data!$P$3:Q58)),IF($Q$1=$P$5,INDEX(prem_analysis!$BH$1:$BS$23,ROWS(Data!$Q$3:R58),COLUMNS(Data!$Q$3:R58)),IF($Q$1=$P$6,INDEX(prem_analysis!$BU$1:$CF$67,ROWS(prem_analysis!$N$2:O57),COLUMNS(prem_analysis!$N$2:O57)),IF($Q$1=$P$4,INDEX(Table24[[#All],[Year]:[Details]],ROWS(prem_analysis!$M$420:N475),COLUMNS(Data!$Q$3:R58)))))),"")</f>
        <v/>
      </c>
      <c r="T57" s="1" t="str">
        <f>IFERROR(IF($Q$1=$P$3,INDEX(prem_analysis!$P$2:$Q$441,ROWS(Data!$P$2:S57),COLUMNS(Data!$P$3:R58)),IF($Q$1=$P$5,INDEX(prem_analysis!$BH$1:$BS$23,ROWS(Data!$Q$3:S58),COLUMNS(Data!$Q$3:S58)),IF($Q$1=$P$6,INDEX(prem_analysis!$BU$1:$CF$67,ROWS(prem_analysis!$N$2:P57),COLUMNS(prem_analysis!$N$2:P57)),IF($Q$1=$P$4,INDEX(Table24[[#All],[Year]:[Details]],ROWS(prem_analysis!$M$420:O475),COLUMNS(Data!$Q$3:S58)))))),"")</f>
        <v/>
      </c>
      <c r="U57" s="1" t="str">
        <f>IFERROR(IF($Q$1=$P$3,INDEX(prem_analysis!$P$2:$Q$441,ROWS(Data!$P$2:T57),COLUMNS(Data!$P$3:S58)),IF($Q$1=$P$5,INDEX(prem_analysis!$BH$1:$BS$23,ROWS(Data!$Q$3:T58),COLUMNS(Data!$Q$3:T58)),IF($Q$1=$P$6,INDEX(prem_analysis!$BU$1:$CF$67,ROWS(prem_analysis!$N$2:Q57),COLUMNS(prem_analysis!$N$2:Q57)),IF($Q$1=$P$4,INDEX(Table24[[#All],[Year]:[Details]],ROWS(prem_analysis!$M$420:P475),COLUMNS(Data!$Q$3:T58)))))),"")</f>
        <v/>
      </c>
      <c r="V57" s="1" t="str">
        <f>IFERROR(IF($Q$1=$P$3,INDEX(prem_analysis!$P$2:$Q$441,ROWS(Data!$P$2:U57),COLUMNS(Data!$P$3:T58)),IF($Q$1=$P$5,INDEX(prem_analysis!$BH$1:$BS$23,ROWS(Data!$Q$3:U58),COLUMNS(Data!$Q$3:U58)),IF($Q$1=$P$6,INDEX(prem_analysis!$BU$1:$CF$67,ROWS(prem_analysis!$N$2:R57),COLUMNS(prem_analysis!$N$2:R57)),IF($Q$1=$P$4,INDEX(Table24[[#All],[Year]:[Details]],ROWS(prem_analysis!$M$420:Q475),COLUMNS(Data!$Q$3:U58)))))),"")</f>
        <v/>
      </c>
      <c r="W57" s="1" t="str">
        <f>IFERROR(IF($Q$1=$P$3,INDEX(prem_analysis!$P$2:$Q$441,ROWS(Data!$P$2:V57),COLUMNS(Data!$P$3:U58)),IF($Q$1=$P$5,INDEX(prem_analysis!$BH$1:$BS$23,ROWS(Data!$Q$3:V58),COLUMNS(Data!$Q$3:V58)),IF($Q$1=$P$6,INDEX(prem_analysis!$BU$1:$CF$67,ROWS(prem_analysis!$N$2:S57),COLUMNS(prem_analysis!$N$2:S57)),IF($Q$1=$P$4,INDEX(Table24[[#All],[Year]:[Details]],ROWS(prem_analysis!$M$420:R475),COLUMNS(Data!$Q$3:V58)))))),"")</f>
        <v/>
      </c>
      <c r="X57" s="1" t="str">
        <f>IFERROR(IF($Q$1=$P$3,INDEX(prem_analysis!$P$2:$Q$441,ROWS(Data!$P$2:W57),COLUMNS(Data!$P$3:V58)),IF($Q$1=$P$5,INDEX(prem_analysis!$BH$1:$BS$23,ROWS(Data!$Q$3:W58),COLUMNS(Data!$Q$3:W58)),IF($Q$1=$P$6,INDEX(prem_analysis!$BU$1:$CF$67,ROWS(prem_analysis!$N$2:T57),COLUMNS(prem_analysis!$N$2:T57)),IF($Q$1=$P$4,INDEX(Table24[[#All],[Year]:[Details]],ROWS(prem_analysis!$M$420:S475),COLUMNS(Data!$Q$3:W58)))))),"")</f>
        <v/>
      </c>
      <c r="Y57" s="1" t="str">
        <f>IFERROR(IF($Q$1=$P$3,INDEX(prem_analysis!$P$2:$Q$441,ROWS(Data!$P$2:X57),COLUMNS(Data!$P$3:W58)),IF($Q$1=$P$5,INDEX(prem_analysis!$BH$1:$BS$23,ROWS(Data!$Q$3:X58),COLUMNS(Data!$Q$3:X58)),IF($Q$1=$P$6,INDEX(prem_analysis!$BU$1:$CF$67,ROWS(prem_analysis!$N$2:U57),COLUMNS(prem_analysis!$N$2:U57)),IF($Q$1=$P$4,INDEX(Table24[[#All],[Year]:[Details]],ROWS(prem_analysis!$M$420:T475),COLUMNS(Data!$Q$3:X58)))))),"")</f>
        <v/>
      </c>
      <c r="Z57" s="1" t="str">
        <f>IFERROR(IF($Q$1=$P$3,INDEX(prem_analysis!$P$2:$Q$441,ROWS(Data!$P$2:Y57),COLUMNS(Data!$P$3:X58)),IF($Q$1=$P$5,INDEX(prem_analysis!$BH$1:$BS$23,ROWS(Data!$Q$3:Y58),COLUMNS(Data!$Q$3:Y58)),IF($Q$1=$P$6,INDEX(prem_analysis!$BU$1:$CF$67,ROWS(prem_analysis!$N$2:V57),COLUMNS(prem_analysis!$N$2:V57)),IF($Q$1=$P$4,INDEX(Table24[[#All],[Year]:[Details]],ROWS(prem_analysis!$M$420:U475),COLUMNS(Data!$Q$3:Y58)))))),"")</f>
        <v/>
      </c>
      <c r="AA57" s="1" t="str">
        <f>IFERROR(IF($Q$1=$P$3,INDEX(prem_analysis!$P$2:$Q$441,ROWS(Data!$P$2:Z57),COLUMNS(Data!$P$3:Y58)),IF($Q$1=$P$5,INDEX(prem_analysis!$BH$1:$BS$23,ROWS(Data!$Q$3:Z58),COLUMNS(Data!$Q$3:Z58)),IF($Q$1=$P$6,INDEX(prem_analysis!$BU$1:$CF$67,ROWS(prem_analysis!$N$2:W57),COLUMNS(prem_analysis!$N$2:W57)),IF($Q$1=$P$4,INDEX(Table24[[#All],[Year]:[Details]],ROWS(prem_analysis!$M$420:V475),COLUMNS(Data!$Q$3:Z58)))))),"")</f>
        <v/>
      </c>
      <c r="AB57" s="1" t="str">
        <f>IFERROR(IF($Q$1=$P$3,INDEX(prem_analysis!$P$2:$Q$441,ROWS(Data!$P$2:AA57),COLUMNS(Data!$P$3:Z58)),IF($Q$1=$P$5,INDEX(prem_analysis!$BH$1:$BS$23,ROWS(Data!$Q$3:AA58),COLUMNS(Data!$Q$3:AA58)),IF($Q$1=$P$6,INDEX(prem_analysis!$BU$1:$CF$67,ROWS(prem_analysis!$N$2:X57),COLUMNS(prem_analysis!$N$2:X57)),IF($Q$1=$P$4,INDEX(Table24[[#All],[Year]:[Details]],ROWS(prem_analysis!$M$420:W475),COLUMNS(Data!$Q$3:AA58)))))),"")</f>
        <v/>
      </c>
      <c r="AC57" s="1" t="str">
        <f>IFERROR(IF($Q$1=$P$3,INDEX(prem_analysis!$P$2:$Q$441,ROWS(Data!$P$2:AB57),COLUMNS(Data!$P$3:AA58)),IF($Q$1=$P$5,INDEX(prem_analysis!$BH$1:$BS$23,ROWS(Data!$Q$3:AB58),COLUMNS(Data!$Q$3:AB58)),IF($Q$1=$P$6,INDEX(prem_analysis!$BU$1:$CF$67,ROWS(prem_analysis!$N$2:Y57),COLUMNS(prem_analysis!$N$2:Y57)),IF($Q$1=$P$4,INDEX(Table24[[#All],[Year]:[Details]],ROWS(prem_analysis!$M$420:X475),COLUMNS(Data!$Q$3:AB58)))))),"")</f>
        <v/>
      </c>
    </row>
    <row r="58" spans="1:29" x14ac:dyDescent="0.2">
      <c r="A58" s="3">
        <v>2002</v>
      </c>
      <c r="B58" s="3">
        <v>17</v>
      </c>
      <c r="C58" s="4" t="s">
        <v>33</v>
      </c>
      <c r="D58" s="3">
        <v>38</v>
      </c>
      <c r="E58" s="3">
        <v>10</v>
      </c>
      <c r="F58" s="3">
        <v>14</v>
      </c>
      <c r="G58" s="3">
        <v>14</v>
      </c>
      <c r="H58" s="3">
        <v>41</v>
      </c>
      <c r="I58" s="3">
        <v>51</v>
      </c>
      <c r="J58" s="3">
        <v>-10</v>
      </c>
      <c r="K58" s="3">
        <v>44</v>
      </c>
      <c r="L58" s="5">
        <f>IF(Table24[[#This Row],['#]]=1,"Champion", IF(Table24[[#This Row],['#]]&gt;=18,"Relegated",Table24[[#This Row],['#]]))</f>
        <v>17</v>
      </c>
      <c r="M58" s="5">
        <f>IF(Table24[[#This Row],[Details]]=2,K57-Table24[[#This Row],[Pts]],IF(Table24[[#This Row],[Details]]=17,Table24[[#This Row],[Pts]]-K59,""))</f>
        <v>2</v>
      </c>
      <c r="R58" s="1" t="str">
        <f>IFERROR(IF($Q$1=$P$3,INDEX(prem_analysis!$P$2:$Q$441,ROWS(Data!$P$2:Q58),COLUMNS(Data!$P$3:P59)),IF($Q$1=$P$5,INDEX(prem_analysis!$BH$1:$BS$23,ROWS(Data!$Q$3:Q59),COLUMNS(Data!$Q$3:Q59)),IF($Q$1=$P$6,INDEX(prem_analysis!$BU$1:$CF$67,ROWS(prem_analysis!$N$2:N58),COLUMNS(prem_analysis!$N$2:N58)),IF($Q$1=$P$4,INDEX(Table24[[#All],[Year]:[Details]],ROWS(prem_analysis!$M$420:M476),COLUMNS(Data!$Q$3:Q59)))))),"")</f>
        <v/>
      </c>
      <c r="S58" s="1" t="str">
        <f>IFERROR(IF($Q$1=$P$3,INDEX(prem_analysis!$P$2:$Q$441,ROWS(Data!$P$2:R58),COLUMNS(Data!$P$3:Q59)),IF($Q$1=$P$5,INDEX(prem_analysis!$BH$1:$BS$23,ROWS(Data!$Q$3:R59),COLUMNS(Data!$Q$3:R59)),IF($Q$1=$P$6,INDEX(prem_analysis!$BU$1:$CF$67,ROWS(prem_analysis!$N$2:O58),COLUMNS(prem_analysis!$N$2:O58)),IF($Q$1=$P$4,INDEX(Table24[[#All],[Year]:[Details]],ROWS(prem_analysis!$M$420:N476),COLUMNS(Data!$Q$3:R59)))))),"")</f>
        <v/>
      </c>
      <c r="T58" s="1" t="str">
        <f>IFERROR(IF($Q$1=$P$3,INDEX(prem_analysis!$P$2:$Q$441,ROWS(Data!$P$2:S58),COLUMNS(Data!$P$3:R59)),IF($Q$1=$P$5,INDEX(prem_analysis!$BH$1:$BS$23,ROWS(Data!$Q$3:S59),COLUMNS(Data!$Q$3:S59)),IF($Q$1=$P$6,INDEX(prem_analysis!$BU$1:$CF$67,ROWS(prem_analysis!$N$2:P58),COLUMNS(prem_analysis!$N$2:P58)),IF($Q$1=$P$4,INDEX(Table24[[#All],[Year]:[Details]],ROWS(prem_analysis!$M$420:O476),COLUMNS(Data!$Q$3:S59)))))),"")</f>
        <v/>
      </c>
      <c r="U58" s="1" t="str">
        <f>IFERROR(IF($Q$1=$P$3,INDEX(prem_analysis!$P$2:$Q$441,ROWS(Data!$P$2:T58),COLUMNS(Data!$P$3:S59)),IF($Q$1=$P$5,INDEX(prem_analysis!$BH$1:$BS$23,ROWS(Data!$Q$3:T59),COLUMNS(Data!$Q$3:T59)),IF($Q$1=$P$6,INDEX(prem_analysis!$BU$1:$CF$67,ROWS(prem_analysis!$N$2:Q58),COLUMNS(prem_analysis!$N$2:Q58)),IF($Q$1=$P$4,INDEX(Table24[[#All],[Year]:[Details]],ROWS(prem_analysis!$M$420:P476),COLUMNS(Data!$Q$3:T59)))))),"")</f>
        <v/>
      </c>
      <c r="V58" s="1" t="str">
        <f>IFERROR(IF($Q$1=$P$3,INDEX(prem_analysis!$P$2:$Q$441,ROWS(Data!$P$2:U58),COLUMNS(Data!$P$3:T59)),IF($Q$1=$P$5,INDEX(prem_analysis!$BH$1:$BS$23,ROWS(Data!$Q$3:U59),COLUMNS(Data!$Q$3:U59)),IF($Q$1=$P$6,INDEX(prem_analysis!$BU$1:$CF$67,ROWS(prem_analysis!$N$2:R58),COLUMNS(prem_analysis!$N$2:R58)),IF($Q$1=$P$4,INDEX(Table24[[#All],[Year]:[Details]],ROWS(prem_analysis!$M$420:Q476),COLUMNS(Data!$Q$3:U59)))))),"")</f>
        <v/>
      </c>
      <c r="W58" s="1" t="str">
        <f>IFERROR(IF($Q$1=$P$3,INDEX(prem_analysis!$P$2:$Q$441,ROWS(Data!$P$2:V58),COLUMNS(Data!$P$3:U59)),IF($Q$1=$P$5,INDEX(prem_analysis!$BH$1:$BS$23,ROWS(Data!$Q$3:V59),COLUMNS(Data!$Q$3:V59)),IF($Q$1=$P$6,INDEX(prem_analysis!$BU$1:$CF$67,ROWS(prem_analysis!$N$2:S58),COLUMNS(prem_analysis!$N$2:S58)),IF($Q$1=$P$4,INDEX(Table24[[#All],[Year]:[Details]],ROWS(prem_analysis!$M$420:R476),COLUMNS(Data!$Q$3:V59)))))),"")</f>
        <v/>
      </c>
      <c r="X58" s="1" t="str">
        <f>IFERROR(IF($Q$1=$P$3,INDEX(prem_analysis!$P$2:$Q$441,ROWS(Data!$P$2:W58),COLUMNS(Data!$P$3:V59)),IF($Q$1=$P$5,INDEX(prem_analysis!$BH$1:$BS$23,ROWS(Data!$Q$3:W59),COLUMNS(Data!$Q$3:W59)),IF($Q$1=$P$6,INDEX(prem_analysis!$BU$1:$CF$67,ROWS(prem_analysis!$N$2:T58),COLUMNS(prem_analysis!$N$2:T58)),IF($Q$1=$P$4,INDEX(Table24[[#All],[Year]:[Details]],ROWS(prem_analysis!$M$420:S476),COLUMNS(Data!$Q$3:W59)))))),"")</f>
        <v/>
      </c>
      <c r="Y58" s="1" t="str">
        <f>IFERROR(IF($Q$1=$P$3,INDEX(prem_analysis!$P$2:$Q$441,ROWS(Data!$P$2:X58),COLUMNS(Data!$P$3:W59)),IF($Q$1=$P$5,INDEX(prem_analysis!$BH$1:$BS$23,ROWS(Data!$Q$3:X59),COLUMNS(Data!$Q$3:X59)),IF($Q$1=$P$6,INDEX(prem_analysis!$BU$1:$CF$67,ROWS(prem_analysis!$N$2:U58),COLUMNS(prem_analysis!$N$2:U58)),IF($Q$1=$P$4,INDEX(Table24[[#All],[Year]:[Details]],ROWS(prem_analysis!$M$420:T476),COLUMNS(Data!$Q$3:X59)))))),"")</f>
        <v/>
      </c>
      <c r="Z58" s="1" t="str">
        <f>IFERROR(IF($Q$1=$P$3,INDEX(prem_analysis!$P$2:$Q$441,ROWS(Data!$P$2:Y58),COLUMNS(Data!$P$3:X59)),IF($Q$1=$P$5,INDEX(prem_analysis!$BH$1:$BS$23,ROWS(Data!$Q$3:Y59),COLUMNS(Data!$Q$3:Y59)),IF($Q$1=$P$6,INDEX(prem_analysis!$BU$1:$CF$67,ROWS(prem_analysis!$N$2:V58),COLUMNS(prem_analysis!$N$2:V58)),IF($Q$1=$P$4,INDEX(Table24[[#All],[Year]:[Details]],ROWS(prem_analysis!$M$420:U476),COLUMNS(Data!$Q$3:Y59)))))),"")</f>
        <v/>
      </c>
      <c r="AA58" s="1" t="str">
        <f>IFERROR(IF($Q$1=$P$3,INDEX(prem_analysis!$P$2:$Q$441,ROWS(Data!$P$2:Z58),COLUMNS(Data!$P$3:Y59)),IF($Q$1=$P$5,INDEX(prem_analysis!$BH$1:$BS$23,ROWS(Data!$Q$3:Z59),COLUMNS(Data!$Q$3:Z59)),IF($Q$1=$P$6,INDEX(prem_analysis!$BU$1:$CF$67,ROWS(prem_analysis!$N$2:W58),COLUMNS(prem_analysis!$N$2:W58)),IF($Q$1=$P$4,INDEX(Table24[[#All],[Year]:[Details]],ROWS(prem_analysis!$M$420:V476),COLUMNS(Data!$Q$3:Z59)))))),"")</f>
        <v/>
      </c>
      <c r="AB58" s="1" t="str">
        <f>IFERROR(IF($Q$1=$P$3,INDEX(prem_analysis!$P$2:$Q$441,ROWS(Data!$P$2:AA58),COLUMNS(Data!$P$3:Z59)),IF($Q$1=$P$5,INDEX(prem_analysis!$BH$1:$BS$23,ROWS(Data!$Q$3:AA59),COLUMNS(Data!$Q$3:AA59)),IF($Q$1=$P$6,INDEX(prem_analysis!$BU$1:$CF$67,ROWS(prem_analysis!$N$2:X58),COLUMNS(prem_analysis!$N$2:X58)),IF($Q$1=$P$4,INDEX(Table24[[#All],[Year]:[Details]],ROWS(prem_analysis!$M$420:W476),COLUMNS(Data!$Q$3:AA59)))))),"")</f>
        <v/>
      </c>
      <c r="AC58" s="1" t="str">
        <f>IFERROR(IF($Q$1=$P$3,INDEX(prem_analysis!$P$2:$Q$441,ROWS(Data!$P$2:AB58),COLUMNS(Data!$P$3:AA59)),IF($Q$1=$P$5,INDEX(prem_analysis!$BH$1:$BS$23,ROWS(Data!$Q$3:AB59),COLUMNS(Data!$Q$3:AB59)),IF($Q$1=$P$6,INDEX(prem_analysis!$BU$1:$CF$67,ROWS(prem_analysis!$N$2:Y58),COLUMNS(prem_analysis!$N$2:Y58)),IF($Q$1=$P$4,INDEX(Table24[[#All],[Year]:[Details]],ROWS(prem_analysis!$M$420:X476),COLUMNS(Data!$Q$3:AB59)))))),"")</f>
        <v/>
      </c>
    </row>
    <row r="59" spans="1:29" x14ac:dyDescent="0.2">
      <c r="A59" s="5">
        <v>2002</v>
      </c>
      <c r="B59" s="5">
        <v>18</v>
      </c>
      <c r="C59" s="6" t="s">
        <v>25</v>
      </c>
      <c r="D59" s="5">
        <v>38</v>
      </c>
      <c r="E59" s="5">
        <v>10</v>
      </c>
      <c r="F59" s="5">
        <v>12</v>
      </c>
      <c r="G59" s="5">
        <v>16</v>
      </c>
      <c r="H59" s="5">
        <v>42</v>
      </c>
      <c r="I59" s="5">
        <v>59</v>
      </c>
      <c r="J59" s="5">
        <v>-17</v>
      </c>
      <c r="K59" s="5">
        <v>42</v>
      </c>
      <c r="L59" s="5" t="str">
        <f>IF(Table24[[#This Row],['#]]=1,"Champion", IF(Table24[[#This Row],['#]]&gt;=18,"Relegated",Table24[[#This Row],['#]]))</f>
        <v>Relegated</v>
      </c>
      <c r="M59" s="5" t="str">
        <f>IF(Table24[[#This Row],[Details]]=2,K58-Table24[[#This Row],[Pts]],IF(Table24[[#This Row],[Details]]=17,Table24[[#This Row],[Pts]]-K60,""))</f>
        <v/>
      </c>
      <c r="R59" s="1" t="str">
        <f>IFERROR(IF($Q$1=$P$3,INDEX(prem_analysis!$P$2:$Q$441,ROWS(Data!$P$2:Q59),COLUMNS(Data!$P$3:P60)),IF($Q$1=$P$5,INDEX(prem_analysis!$BH$1:$BS$23,ROWS(Data!$Q$3:Q60),COLUMNS(Data!$Q$3:Q60)),IF($Q$1=$P$6,INDEX(prem_analysis!$BU$1:$CF$67,ROWS(prem_analysis!$N$2:N59),COLUMNS(prem_analysis!$N$2:N59)),IF($Q$1=$P$4,INDEX(Table24[[#All],[Year]:[Details]],ROWS(prem_analysis!$M$420:M477),COLUMNS(Data!$Q$3:Q60)))))),"")</f>
        <v/>
      </c>
      <c r="S59" s="1" t="str">
        <f>IFERROR(IF($Q$1=$P$3,INDEX(prem_analysis!$P$2:$Q$441,ROWS(Data!$P$2:R59),COLUMNS(Data!$P$3:Q60)),IF($Q$1=$P$5,INDEX(prem_analysis!$BH$1:$BS$23,ROWS(Data!$Q$3:R60),COLUMNS(Data!$Q$3:R60)),IF($Q$1=$P$6,INDEX(prem_analysis!$BU$1:$CF$67,ROWS(prem_analysis!$N$2:O59),COLUMNS(prem_analysis!$N$2:O59)),IF($Q$1=$P$4,INDEX(Table24[[#All],[Year]:[Details]],ROWS(prem_analysis!$M$420:N477),COLUMNS(Data!$Q$3:R60)))))),"")</f>
        <v/>
      </c>
      <c r="T59" s="1" t="str">
        <f>IFERROR(IF($Q$1=$P$3,INDEX(prem_analysis!$P$2:$Q$441,ROWS(Data!$P$2:S59),COLUMNS(Data!$P$3:R60)),IF($Q$1=$P$5,INDEX(prem_analysis!$BH$1:$BS$23,ROWS(Data!$Q$3:S60),COLUMNS(Data!$Q$3:S60)),IF($Q$1=$P$6,INDEX(prem_analysis!$BU$1:$CF$67,ROWS(prem_analysis!$N$2:P59),COLUMNS(prem_analysis!$N$2:P59)),IF($Q$1=$P$4,INDEX(Table24[[#All],[Year]:[Details]],ROWS(prem_analysis!$M$420:O477),COLUMNS(Data!$Q$3:S60)))))),"")</f>
        <v/>
      </c>
      <c r="U59" s="1" t="str">
        <f>IFERROR(IF($Q$1=$P$3,INDEX(prem_analysis!$P$2:$Q$441,ROWS(Data!$P$2:T59),COLUMNS(Data!$P$3:S60)),IF($Q$1=$P$5,INDEX(prem_analysis!$BH$1:$BS$23,ROWS(Data!$Q$3:T60),COLUMNS(Data!$Q$3:T60)),IF($Q$1=$P$6,INDEX(prem_analysis!$BU$1:$CF$67,ROWS(prem_analysis!$N$2:Q59),COLUMNS(prem_analysis!$N$2:Q59)),IF($Q$1=$P$4,INDEX(Table24[[#All],[Year]:[Details]],ROWS(prem_analysis!$M$420:P477),COLUMNS(Data!$Q$3:T60)))))),"")</f>
        <v/>
      </c>
      <c r="V59" s="1" t="str">
        <f>IFERROR(IF($Q$1=$P$3,INDEX(prem_analysis!$P$2:$Q$441,ROWS(Data!$P$2:U59),COLUMNS(Data!$P$3:T60)),IF($Q$1=$P$5,INDEX(prem_analysis!$BH$1:$BS$23,ROWS(Data!$Q$3:U60),COLUMNS(Data!$Q$3:U60)),IF($Q$1=$P$6,INDEX(prem_analysis!$BU$1:$CF$67,ROWS(prem_analysis!$N$2:R59),COLUMNS(prem_analysis!$N$2:R59)),IF($Q$1=$P$4,INDEX(Table24[[#All],[Year]:[Details]],ROWS(prem_analysis!$M$420:Q477),COLUMNS(Data!$Q$3:U60)))))),"")</f>
        <v/>
      </c>
      <c r="W59" s="1" t="str">
        <f>IFERROR(IF($Q$1=$P$3,INDEX(prem_analysis!$P$2:$Q$441,ROWS(Data!$P$2:V59),COLUMNS(Data!$P$3:U60)),IF($Q$1=$P$5,INDEX(prem_analysis!$BH$1:$BS$23,ROWS(Data!$Q$3:V60),COLUMNS(Data!$Q$3:V60)),IF($Q$1=$P$6,INDEX(prem_analysis!$BU$1:$CF$67,ROWS(prem_analysis!$N$2:S59),COLUMNS(prem_analysis!$N$2:S59)),IF($Q$1=$P$4,INDEX(Table24[[#All],[Year]:[Details]],ROWS(prem_analysis!$M$420:R477),COLUMNS(Data!$Q$3:V60)))))),"")</f>
        <v/>
      </c>
      <c r="X59" s="1" t="str">
        <f>IFERROR(IF($Q$1=$P$3,INDEX(prem_analysis!$P$2:$Q$441,ROWS(Data!$P$2:W59),COLUMNS(Data!$P$3:V60)),IF($Q$1=$P$5,INDEX(prem_analysis!$BH$1:$BS$23,ROWS(Data!$Q$3:W60),COLUMNS(Data!$Q$3:W60)),IF($Q$1=$P$6,INDEX(prem_analysis!$BU$1:$CF$67,ROWS(prem_analysis!$N$2:T59),COLUMNS(prem_analysis!$N$2:T59)),IF($Q$1=$P$4,INDEX(Table24[[#All],[Year]:[Details]],ROWS(prem_analysis!$M$420:S477),COLUMNS(Data!$Q$3:W60)))))),"")</f>
        <v/>
      </c>
      <c r="Y59" s="1" t="str">
        <f>IFERROR(IF($Q$1=$P$3,INDEX(prem_analysis!$P$2:$Q$441,ROWS(Data!$P$2:X59),COLUMNS(Data!$P$3:W60)),IF($Q$1=$P$5,INDEX(prem_analysis!$BH$1:$BS$23,ROWS(Data!$Q$3:X60),COLUMNS(Data!$Q$3:X60)),IF($Q$1=$P$6,INDEX(prem_analysis!$BU$1:$CF$67,ROWS(prem_analysis!$N$2:U59),COLUMNS(prem_analysis!$N$2:U59)),IF($Q$1=$P$4,INDEX(Table24[[#All],[Year]:[Details]],ROWS(prem_analysis!$M$420:T477),COLUMNS(Data!$Q$3:X60)))))),"")</f>
        <v/>
      </c>
      <c r="Z59" s="1" t="str">
        <f>IFERROR(IF($Q$1=$P$3,INDEX(prem_analysis!$P$2:$Q$441,ROWS(Data!$P$2:Y59),COLUMNS(Data!$P$3:X60)),IF($Q$1=$P$5,INDEX(prem_analysis!$BH$1:$BS$23,ROWS(Data!$Q$3:Y60),COLUMNS(Data!$Q$3:Y60)),IF($Q$1=$P$6,INDEX(prem_analysis!$BU$1:$CF$67,ROWS(prem_analysis!$N$2:V59),COLUMNS(prem_analysis!$N$2:V59)),IF($Q$1=$P$4,INDEX(Table24[[#All],[Year]:[Details]],ROWS(prem_analysis!$M$420:U477),COLUMNS(Data!$Q$3:Y60)))))),"")</f>
        <v/>
      </c>
      <c r="AA59" s="1" t="str">
        <f>IFERROR(IF($Q$1=$P$3,INDEX(prem_analysis!$P$2:$Q$441,ROWS(Data!$P$2:Z59),COLUMNS(Data!$P$3:Y60)),IF($Q$1=$P$5,INDEX(prem_analysis!$BH$1:$BS$23,ROWS(Data!$Q$3:Z60),COLUMNS(Data!$Q$3:Z60)),IF($Q$1=$P$6,INDEX(prem_analysis!$BU$1:$CF$67,ROWS(prem_analysis!$N$2:W59),COLUMNS(prem_analysis!$N$2:W59)),IF($Q$1=$P$4,INDEX(Table24[[#All],[Year]:[Details]],ROWS(prem_analysis!$M$420:V477),COLUMNS(Data!$Q$3:Z60)))))),"")</f>
        <v/>
      </c>
      <c r="AB59" s="1" t="str">
        <f>IFERROR(IF($Q$1=$P$3,INDEX(prem_analysis!$P$2:$Q$441,ROWS(Data!$P$2:AA59),COLUMNS(Data!$P$3:Z60)),IF($Q$1=$P$5,INDEX(prem_analysis!$BH$1:$BS$23,ROWS(Data!$Q$3:AA60),COLUMNS(Data!$Q$3:AA60)),IF($Q$1=$P$6,INDEX(prem_analysis!$BU$1:$CF$67,ROWS(prem_analysis!$N$2:X59),COLUMNS(prem_analysis!$N$2:X59)),IF($Q$1=$P$4,INDEX(Table24[[#All],[Year]:[Details]],ROWS(prem_analysis!$M$420:W477),COLUMNS(Data!$Q$3:AA60)))))),"")</f>
        <v/>
      </c>
      <c r="AC59" s="1" t="str">
        <f>IFERROR(IF($Q$1=$P$3,INDEX(prem_analysis!$P$2:$Q$441,ROWS(Data!$P$2:AB59),COLUMNS(Data!$P$3:AA60)),IF($Q$1=$P$5,INDEX(prem_analysis!$BH$1:$BS$23,ROWS(Data!$Q$3:AB60),COLUMNS(Data!$Q$3:AB60)),IF($Q$1=$P$6,INDEX(prem_analysis!$BU$1:$CF$67,ROWS(prem_analysis!$N$2:Y59),COLUMNS(prem_analysis!$N$2:Y59)),IF($Q$1=$P$4,INDEX(Table24[[#All],[Year]:[Details]],ROWS(prem_analysis!$M$420:X477),COLUMNS(Data!$Q$3:AB60)))))),"")</f>
        <v/>
      </c>
    </row>
    <row r="60" spans="1:29" x14ac:dyDescent="0.2">
      <c r="A60" s="3">
        <v>2002</v>
      </c>
      <c r="B60" s="3">
        <v>19</v>
      </c>
      <c r="C60" s="4" t="s">
        <v>35</v>
      </c>
      <c r="D60" s="3">
        <v>38</v>
      </c>
      <c r="E60" s="3">
        <v>6</v>
      </c>
      <c r="F60" s="3">
        <v>8</v>
      </c>
      <c r="G60" s="3">
        <v>24</v>
      </c>
      <c r="H60" s="3">
        <v>29</v>
      </c>
      <c r="I60" s="3">
        <v>65</v>
      </c>
      <c r="J60" s="3">
        <v>-36</v>
      </c>
      <c r="K60" s="3">
        <v>26</v>
      </c>
      <c r="L60" s="5" t="str">
        <f>IF(Table24[[#This Row],['#]]=1,"Champion", IF(Table24[[#This Row],['#]]&gt;=18,"Relegated",Table24[[#This Row],['#]]))</f>
        <v>Relegated</v>
      </c>
      <c r="M60" s="5" t="str">
        <f>IF(Table24[[#This Row],[Details]]=2,K59-Table24[[#This Row],[Pts]],IF(Table24[[#This Row],[Details]]=17,Table24[[#This Row],[Pts]]-K61,""))</f>
        <v/>
      </c>
      <c r="R60" s="1" t="str">
        <f>IFERROR(IF($Q$1=$P$3,INDEX(prem_analysis!$P$2:$Q$441,ROWS(Data!$P$2:Q60),COLUMNS(Data!$P$3:P61)),IF($Q$1=$P$5,INDEX(prem_analysis!$BH$1:$BS$23,ROWS(Data!$Q$3:Q61),COLUMNS(Data!$Q$3:Q61)),IF($Q$1=$P$6,INDEX(prem_analysis!$BU$1:$CF$67,ROWS(prem_analysis!$N$2:N60),COLUMNS(prem_analysis!$N$2:N60)),IF($Q$1=$P$4,INDEX(Table24[[#All],[Year]:[Details]],ROWS(prem_analysis!$M$420:M478),COLUMNS(Data!$Q$3:Q61)))))),"")</f>
        <v/>
      </c>
      <c r="S60" s="1" t="str">
        <f>IFERROR(IF($Q$1=$P$3,INDEX(prem_analysis!$P$2:$Q$441,ROWS(Data!$P$2:R60),COLUMNS(Data!$P$3:Q61)),IF($Q$1=$P$5,INDEX(prem_analysis!$BH$1:$BS$23,ROWS(Data!$Q$3:R61),COLUMNS(Data!$Q$3:R61)),IF($Q$1=$P$6,INDEX(prem_analysis!$BU$1:$CF$67,ROWS(prem_analysis!$N$2:O60),COLUMNS(prem_analysis!$N$2:O60)),IF($Q$1=$P$4,INDEX(Table24[[#All],[Year]:[Details]],ROWS(prem_analysis!$M$420:N478),COLUMNS(Data!$Q$3:R61)))))),"")</f>
        <v/>
      </c>
      <c r="T60" s="1" t="str">
        <f>IFERROR(IF($Q$1=$P$3,INDEX(prem_analysis!$P$2:$Q$441,ROWS(Data!$P$2:S60),COLUMNS(Data!$P$3:R61)),IF($Q$1=$P$5,INDEX(prem_analysis!$BH$1:$BS$23,ROWS(Data!$Q$3:S61),COLUMNS(Data!$Q$3:S61)),IF($Q$1=$P$6,INDEX(prem_analysis!$BU$1:$CF$67,ROWS(prem_analysis!$N$2:P60),COLUMNS(prem_analysis!$N$2:P60)),IF($Q$1=$P$4,INDEX(Table24[[#All],[Year]:[Details]],ROWS(prem_analysis!$M$420:O478),COLUMNS(Data!$Q$3:S61)))))),"")</f>
        <v/>
      </c>
      <c r="U60" s="1" t="str">
        <f>IFERROR(IF($Q$1=$P$3,INDEX(prem_analysis!$P$2:$Q$441,ROWS(Data!$P$2:T60),COLUMNS(Data!$P$3:S61)),IF($Q$1=$P$5,INDEX(prem_analysis!$BH$1:$BS$23,ROWS(Data!$Q$3:T61),COLUMNS(Data!$Q$3:T61)),IF($Q$1=$P$6,INDEX(prem_analysis!$BU$1:$CF$67,ROWS(prem_analysis!$N$2:Q60),COLUMNS(prem_analysis!$N$2:Q60)),IF($Q$1=$P$4,INDEX(Table24[[#All],[Year]:[Details]],ROWS(prem_analysis!$M$420:P478),COLUMNS(Data!$Q$3:T61)))))),"")</f>
        <v/>
      </c>
      <c r="V60" s="1" t="str">
        <f>IFERROR(IF($Q$1=$P$3,INDEX(prem_analysis!$P$2:$Q$441,ROWS(Data!$P$2:U60),COLUMNS(Data!$P$3:T61)),IF($Q$1=$P$5,INDEX(prem_analysis!$BH$1:$BS$23,ROWS(Data!$Q$3:U61),COLUMNS(Data!$Q$3:U61)),IF($Q$1=$P$6,INDEX(prem_analysis!$BU$1:$CF$67,ROWS(prem_analysis!$N$2:R60),COLUMNS(prem_analysis!$N$2:R60)),IF($Q$1=$P$4,INDEX(Table24[[#All],[Year]:[Details]],ROWS(prem_analysis!$M$420:Q478),COLUMNS(Data!$Q$3:U61)))))),"")</f>
        <v/>
      </c>
      <c r="W60" s="1" t="str">
        <f>IFERROR(IF($Q$1=$P$3,INDEX(prem_analysis!$P$2:$Q$441,ROWS(Data!$P$2:V60),COLUMNS(Data!$P$3:U61)),IF($Q$1=$P$5,INDEX(prem_analysis!$BH$1:$BS$23,ROWS(Data!$Q$3:V61),COLUMNS(Data!$Q$3:V61)),IF($Q$1=$P$6,INDEX(prem_analysis!$BU$1:$CF$67,ROWS(prem_analysis!$N$2:S60),COLUMNS(prem_analysis!$N$2:S60)),IF($Q$1=$P$4,INDEX(Table24[[#All],[Year]:[Details]],ROWS(prem_analysis!$M$420:R478),COLUMNS(Data!$Q$3:V61)))))),"")</f>
        <v/>
      </c>
      <c r="X60" s="1" t="str">
        <f>IFERROR(IF($Q$1=$P$3,INDEX(prem_analysis!$P$2:$Q$441,ROWS(Data!$P$2:W60),COLUMNS(Data!$P$3:V61)),IF($Q$1=$P$5,INDEX(prem_analysis!$BH$1:$BS$23,ROWS(Data!$Q$3:W61),COLUMNS(Data!$Q$3:W61)),IF($Q$1=$P$6,INDEX(prem_analysis!$BU$1:$CF$67,ROWS(prem_analysis!$N$2:T60),COLUMNS(prem_analysis!$N$2:T60)),IF($Q$1=$P$4,INDEX(Table24[[#All],[Year]:[Details]],ROWS(prem_analysis!$M$420:S478),COLUMNS(Data!$Q$3:W61)))))),"")</f>
        <v/>
      </c>
      <c r="Y60" s="1" t="str">
        <f>IFERROR(IF($Q$1=$P$3,INDEX(prem_analysis!$P$2:$Q$441,ROWS(Data!$P$2:X60),COLUMNS(Data!$P$3:W61)),IF($Q$1=$P$5,INDEX(prem_analysis!$BH$1:$BS$23,ROWS(Data!$Q$3:X61),COLUMNS(Data!$Q$3:X61)),IF($Q$1=$P$6,INDEX(prem_analysis!$BU$1:$CF$67,ROWS(prem_analysis!$N$2:U60),COLUMNS(prem_analysis!$N$2:U60)),IF($Q$1=$P$4,INDEX(Table24[[#All],[Year]:[Details]],ROWS(prem_analysis!$M$420:T478),COLUMNS(Data!$Q$3:X61)))))),"")</f>
        <v/>
      </c>
      <c r="Z60" s="1" t="str">
        <f>IFERROR(IF($Q$1=$P$3,INDEX(prem_analysis!$P$2:$Q$441,ROWS(Data!$P$2:Y60),COLUMNS(Data!$P$3:X61)),IF($Q$1=$P$5,INDEX(prem_analysis!$BH$1:$BS$23,ROWS(Data!$Q$3:Y61),COLUMNS(Data!$Q$3:Y61)),IF($Q$1=$P$6,INDEX(prem_analysis!$BU$1:$CF$67,ROWS(prem_analysis!$N$2:V60),COLUMNS(prem_analysis!$N$2:V60)),IF($Q$1=$P$4,INDEX(Table24[[#All],[Year]:[Details]],ROWS(prem_analysis!$M$420:U478),COLUMNS(Data!$Q$3:Y61)))))),"")</f>
        <v/>
      </c>
      <c r="AA60" s="1" t="str">
        <f>IFERROR(IF($Q$1=$P$3,INDEX(prem_analysis!$P$2:$Q$441,ROWS(Data!$P$2:Z60),COLUMNS(Data!$P$3:Y61)),IF($Q$1=$P$5,INDEX(prem_analysis!$BH$1:$BS$23,ROWS(Data!$Q$3:Z61),COLUMNS(Data!$Q$3:Z61)),IF($Q$1=$P$6,INDEX(prem_analysis!$BU$1:$CF$67,ROWS(prem_analysis!$N$2:W60),COLUMNS(prem_analysis!$N$2:W60)),IF($Q$1=$P$4,INDEX(Table24[[#All],[Year]:[Details]],ROWS(prem_analysis!$M$420:V478),COLUMNS(Data!$Q$3:Z61)))))),"")</f>
        <v/>
      </c>
      <c r="AB60" s="1" t="str">
        <f>IFERROR(IF($Q$1=$P$3,INDEX(prem_analysis!$P$2:$Q$441,ROWS(Data!$P$2:AA60),COLUMNS(Data!$P$3:Z61)),IF($Q$1=$P$5,INDEX(prem_analysis!$BH$1:$BS$23,ROWS(Data!$Q$3:AA61),COLUMNS(Data!$Q$3:AA61)),IF($Q$1=$P$6,INDEX(prem_analysis!$BU$1:$CF$67,ROWS(prem_analysis!$N$2:X60),COLUMNS(prem_analysis!$N$2:X60)),IF($Q$1=$P$4,INDEX(Table24[[#All],[Year]:[Details]],ROWS(prem_analysis!$M$420:W478),COLUMNS(Data!$Q$3:AA61)))))),"")</f>
        <v/>
      </c>
      <c r="AC60" s="1" t="str">
        <f>IFERROR(IF($Q$1=$P$3,INDEX(prem_analysis!$P$2:$Q$441,ROWS(Data!$P$2:AB60),COLUMNS(Data!$P$3:AA61)),IF($Q$1=$P$5,INDEX(prem_analysis!$BH$1:$BS$23,ROWS(Data!$Q$3:AB61),COLUMNS(Data!$Q$3:AB61)),IF($Q$1=$P$6,INDEX(prem_analysis!$BU$1:$CF$67,ROWS(prem_analysis!$N$2:Y60),COLUMNS(prem_analysis!$N$2:Y60)),IF($Q$1=$P$4,INDEX(Table24[[#All],[Year]:[Details]],ROWS(prem_analysis!$M$420:X478),COLUMNS(Data!$Q$3:AB61)))))),"")</f>
        <v/>
      </c>
    </row>
    <row r="61" spans="1:29" x14ac:dyDescent="0.2">
      <c r="A61" s="5">
        <v>2002</v>
      </c>
      <c r="B61" s="5">
        <v>20</v>
      </c>
      <c r="C61" s="6" t="s">
        <v>17</v>
      </c>
      <c r="D61" s="5">
        <v>38</v>
      </c>
      <c r="E61" s="5">
        <v>4</v>
      </c>
      <c r="F61" s="5">
        <v>7</v>
      </c>
      <c r="G61" s="5">
        <v>27</v>
      </c>
      <c r="H61" s="5">
        <v>21</v>
      </c>
      <c r="I61" s="5">
        <v>65</v>
      </c>
      <c r="J61" s="5">
        <v>-44</v>
      </c>
      <c r="K61" s="5">
        <v>19</v>
      </c>
      <c r="L61" s="5" t="str">
        <f>IF(Table24[[#This Row],['#]]=1,"Champion", IF(Table24[[#This Row],['#]]&gt;=18,"Relegated",Table24[[#This Row],['#]]))</f>
        <v>Relegated</v>
      </c>
      <c r="M61" s="5" t="str">
        <f>IF(Table24[[#This Row],[Details]]=2,K60-Table24[[#This Row],[Pts]],IF(Table24[[#This Row],[Details]]=17,Table24[[#This Row],[Pts]]-K62,""))</f>
        <v/>
      </c>
      <c r="R61" s="1" t="str">
        <f>IFERROR(IF($Q$1=$P$3,INDEX(prem_analysis!$P$2:$Q$441,ROWS(Data!$P$2:Q61),COLUMNS(Data!$P$3:P62)),IF($Q$1=$P$5,INDEX(prem_analysis!$BH$1:$BS$23,ROWS(Data!$Q$3:Q62),COLUMNS(Data!$Q$3:Q62)),IF($Q$1=$P$6,INDEX(prem_analysis!$BU$1:$CF$67,ROWS(prem_analysis!$N$2:N61),COLUMNS(prem_analysis!$N$2:N61)),IF($Q$1=$P$4,INDEX(Table24[[#All],[Year]:[Details]],ROWS(prem_analysis!$M$420:M479),COLUMNS(Data!$Q$3:Q62)))))),"")</f>
        <v/>
      </c>
      <c r="S61" s="1" t="str">
        <f>IFERROR(IF($Q$1=$P$3,INDEX(prem_analysis!$P$2:$Q$441,ROWS(Data!$P$2:R61),COLUMNS(Data!$P$3:Q62)),IF($Q$1=$P$5,INDEX(prem_analysis!$BH$1:$BS$23,ROWS(Data!$Q$3:R62),COLUMNS(Data!$Q$3:R62)),IF($Q$1=$P$6,INDEX(prem_analysis!$BU$1:$CF$67,ROWS(prem_analysis!$N$2:O61),COLUMNS(prem_analysis!$N$2:O61)),IF($Q$1=$P$4,INDEX(Table24[[#All],[Year]:[Details]],ROWS(prem_analysis!$M$420:N479),COLUMNS(Data!$Q$3:R62)))))),"")</f>
        <v/>
      </c>
      <c r="T61" s="1" t="str">
        <f>IFERROR(IF($Q$1=$P$3,INDEX(prem_analysis!$P$2:$Q$441,ROWS(Data!$P$2:S61),COLUMNS(Data!$P$3:R62)),IF($Q$1=$P$5,INDEX(prem_analysis!$BH$1:$BS$23,ROWS(Data!$Q$3:S62),COLUMNS(Data!$Q$3:S62)),IF($Q$1=$P$6,INDEX(prem_analysis!$BU$1:$CF$67,ROWS(prem_analysis!$N$2:P61),COLUMNS(prem_analysis!$N$2:P61)),IF($Q$1=$P$4,INDEX(Table24[[#All],[Year]:[Details]],ROWS(prem_analysis!$M$420:O479),COLUMNS(Data!$Q$3:S62)))))),"")</f>
        <v/>
      </c>
      <c r="U61" s="1" t="str">
        <f>IFERROR(IF($Q$1=$P$3,INDEX(prem_analysis!$P$2:$Q$441,ROWS(Data!$P$2:T61),COLUMNS(Data!$P$3:S62)),IF($Q$1=$P$5,INDEX(prem_analysis!$BH$1:$BS$23,ROWS(Data!$Q$3:T62),COLUMNS(Data!$Q$3:T62)),IF($Q$1=$P$6,INDEX(prem_analysis!$BU$1:$CF$67,ROWS(prem_analysis!$N$2:Q61),COLUMNS(prem_analysis!$N$2:Q61)),IF($Q$1=$P$4,INDEX(Table24[[#All],[Year]:[Details]],ROWS(prem_analysis!$M$420:P479),COLUMNS(Data!$Q$3:T62)))))),"")</f>
        <v/>
      </c>
      <c r="V61" s="1" t="str">
        <f>IFERROR(IF($Q$1=$P$3,INDEX(prem_analysis!$P$2:$Q$441,ROWS(Data!$P$2:U61),COLUMNS(Data!$P$3:T62)),IF($Q$1=$P$5,INDEX(prem_analysis!$BH$1:$BS$23,ROWS(Data!$Q$3:U62),COLUMNS(Data!$Q$3:U62)),IF($Q$1=$P$6,INDEX(prem_analysis!$BU$1:$CF$67,ROWS(prem_analysis!$N$2:R61),COLUMNS(prem_analysis!$N$2:R61)),IF($Q$1=$P$4,INDEX(Table24[[#All],[Year]:[Details]],ROWS(prem_analysis!$M$420:Q479),COLUMNS(Data!$Q$3:U62)))))),"")</f>
        <v/>
      </c>
      <c r="W61" s="1" t="str">
        <f>IFERROR(IF($Q$1=$P$3,INDEX(prem_analysis!$P$2:$Q$441,ROWS(Data!$P$2:V61),COLUMNS(Data!$P$3:U62)),IF($Q$1=$P$5,INDEX(prem_analysis!$BH$1:$BS$23,ROWS(Data!$Q$3:V62),COLUMNS(Data!$Q$3:V62)),IF($Q$1=$P$6,INDEX(prem_analysis!$BU$1:$CF$67,ROWS(prem_analysis!$N$2:S61),COLUMNS(prem_analysis!$N$2:S61)),IF($Q$1=$P$4,INDEX(Table24[[#All],[Year]:[Details]],ROWS(prem_analysis!$M$420:R479),COLUMNS(Data!$Q$3:V62)))))),"")</f>
        <v/>
      </c>
      <c r="X61" s="1" t="str">
        <f>IFERROR(IF($Q$1=$P$3,INDEX(prem_analysis!$P$2:$Q$441,ROWS(Data!$P$2:W61),COLUMNS(Data!$P$3:V62)),IF($Q$1=$P$5,INDEX(prem_analysis!$BH$1:$BS$23,ROWS(Data!$Q$3:W62),COLUMNS(Data!$Q$3:W62)),IF($Q$1=$P$6,INDEX(prem_analysis!$BU$1:$CF$67,ROWS(prem_analysis!$N$2:T61),COLUMNS(prem_analysis!$N$2:T61)),IF($Q$1=$P$4,INDEX(Table24[[#All],[Year]:[Details]],ROWS(prem_analysis!$M$420:S479),COLUMNS(Data!$Q$3:W62)))))),"")</f>
        <v/>
      </c>
      <c r="Y61" s="1" t="str">
        <f>IFERROR(IF($Q$1=$P$3,INDEX(prem_analysis!$P$2:$Q$441,ROWS(Data!$P$2:X61),COLUMNS(Data!$P$3:W62)),IF($Q$1=$P$5,INDEX(prem_analysis!$BH$1:$BS$23,ROWS(Data!$Q$3:X62),COLUMNS(Data!$Q$3:X62)),IF($Q$1=$P$6,INDEX(prem_analysis!$BU$1:$CF$67,ROWS(prem_analysis!$N$2:U61),COLUMNS(prem_analysis!$N$2:U61)),IF($Q$1=$P$4,INDEX(Table24[[#All],[Year]:[Details]],ROWS(prem_analysis!$M$420:T479),COLUMNS(Data!$Q$3:X62)))))),"")</f>
        <v/>
      </c>
      <c r="Z61" s="1" t="str">
        <f>IFERROR(IF($Q$1=$P$3,INDEX(prem_analysis!$P$2:$Q$441,ROWS(Data!$P$2:Y61),COLUMNS(Data!$P$3:X62)),IF($Q$1=$P$5,INDEX(prem_analysis!$BH$1:$BS$23,ROWS(Data!$Q$3:Y62),COLUMNS(Data!$Q$3:Y62)),IF($Q$1=$P$6,INDEX(prem_analysis!$BU$1:$CF$67,ROWS(prem_analysis!$N$2:V61),COLUMNS(prem_analysis!$N$2:V61)),IF($Q$1=$P$4,INDEX(Table24[[#All],[Year]:[Details]],ROWS(prem_analysis!$M$420:U479),COLUMNS(Data!$Q$3:Y62)))))),"")</f>
        <v/>
      </c>
      <c r="AA61" s="1" t="str">
        <f>IFERROR(IF($Q$1=$P$3,INDEX(prem_analysis!$P$2:$Q$441,ROWS(Data!$P$2:Z61),COLUMNS(Data!$P$3:Y62)),IF($Q$1=$P$5,INDEX(prem_analysis!$BH$1:$BS$23,ROWS(Data!$Q$3:Z62),COLUMNS(Data!$Q$3:Z62)),IF($Q$1=$P$6,INDEX(prem_analysis!$BU$1:$CF$67,ROWS(prem_analysis!$N$2:W61),COLUMNS(prem_analysis!$N$2:W61)),IF($Q$1=$P$4,INDEX(Table24[[#All],[Year]:[Details]],ROWS(prem_analysis!$M$420:V479),COLUMNS(Data!$Q$3:Z62)))))),"")</f>
        <v/>
      </c>
      <c r="AB61" s="1" t="str">
        <f>IFERROR(IF($Q$1=$P$3,INDEX(prem_analysis!$P$2:$Q$441,ROWS(Data!$P$2:AA61),COLUMNS(Data!$P$3:Z62)),IF($Q$1=$P$5,INDEX(prem_analysis!$BH$1:$BS$23,ROWS(Data!$Q$3:AA62),COLUMNS(Data!$Q$3:AA62)),IF($Q$1=$P$6,INDEX(prem_analysis!$BU$1:$CF$67,ROWS(prem_analysis!$N$2:X61),COLUMNS(prem_analysis!$N$2:X61)),IF($Q$1=$P$4,INDEX(Table24[[#All],[Year]:[Details]],ROWS(prem_analysis!$M$420:W479),COLUMNS(Data!$Q$3:AA62)))))),"")</f>
        <v/>
      </c>
      <c r="AC61" s="1" t="str">
        <f>IFERROR(IF($Q$1=$P$3,INDEX(prem_analysis!$P$2:$Q$441,ROWS(Data!$P$2:AB61),COLUMNS(Data!$P$3:AA62)),IF($Q$1=$P$5,INDEX(prem_analysis!$BH$1:$BS$23,ROWS(Data!$Q$3:AB62),COLUMNS(Data!$Q$3:AB62)),IF($Q$1=$P$6,INDEX(prem_analysis!$BU$1:$CF$67,ROWS(prem_analysis!$N$2:Y61),COLUMNS(prem_analysis!$N$2:Y61)),IF($Q$1=$P$4,INDEX(Table24[[#All],[Year]:[Details]],ROWS(prem_analysis!$M$420:X479),COLUMNS(Data!$Q$3:AB62)))))),"")</f>
        <v/>
      </c>
    </row>
    <row r="62" spans="1:29" x14ac:dyDescent="0.2">
      <c r="A62" s="3">
        <v>2003</v>
      </c>
      <c r="B62" s="3">
        <v>1</v>
      </c>
      <c r="C62" s="6" t="s">
        <v>12</v>
      </c>
      <c r="D62" s="3">
        <v>38</v>
      </c>
      <c r="E62" s="3">
        <v>26</v>
      </c>
      <c r="F62" s="3">
        <v>12</v>
      </c>
      <c r="G62" s="3">
        <v>0</v>
      </c>
      <c r="H62" s="3">
        <v>73</v>
      </c>
      <c r="I62" s="3">
        <v>26</v>
      </c>
      <c r="J62" s="3">
        <v>47</v>
      </c>
      <c r="K62" s="3">
        <v>90</v>
      </c>
      <c r="L62" s="5" t="str">
        <f>IF(Table24[[#This Row],['#]]=1,"Champion", IF(Table24[[#This Row],['#]]&gt;=18,"Relegated",Table24[[#This Row],['#]]))</f>
        <v>Champion</v>
      </c>
      <c r="M62" s="5" t="str">
        <f>IF(Table24[[#This Row],[Details]]=2,K61-Table24[[#This Row],[Pts]],IF(Table24[[#This Row],[Details]]=17,Table24[[#This Row],[Pts]]-K63,""))</f>
        <v/>
      </c>
      <c r="R62" s="1" t="str">
        <f>IFERROR(IF($Q$1=$P$3,INDEX(prem_analysis!$P$2:$Q$441,ROWS(Data!$P$2:Q62),COLUMNS(Data!$P$3:P63)),IF($Q$1=$P$5,INDEX(prem_analysis!$BH$1:$BS$23,ROWS(Data!$Q$3:Q63),COLUMNS(Data!$Q$3:Q63)),IF($Q$1=$P$6,INDEX(prem_analysis!$BU$1:$CF$67,ROWS(prem_analysis!$N$2:N62),COLUMNS(prem_analysis!$N$2:N62)),IF($Q$1=$P$4,INDEX(Table24[[#All],[Year]:[Details]],ROWS(prem_analysis!$M$420:M480),COLUMNS(Data!$Q$3:Q63)))))),"")</f>
        <v/>
      </c>
      <c r="S62" s="1" t="str">
        <f>IFERROR(IF($Q$1=$P$3,INDEX(prem_analysis!$P$2:$Q$441,ROWS(Data!$P$2:R62),COLUMNS(Data!$P$3:Q63)),IF($Q$1=$P$5,INDEX(prem_analysis!$BH$1:$BS$23,ROWS(Data!$Q$3:R63),COLUMNS(Data!$Q$3:R63)),IF($Q$1=$P$6,INDEX(prem_analysis!$BU$1:$CF$67,ROWS(prem_analysis!$N$2:O62),COLUMNS(prem_analysis!$N$2:O62)),IF($Q$1=$P$4,INDEX(Table24[[#All],[Year]:[Details]],ROWS(prem_analysis!$M$420:N480),COLUMNS(Data!$Q$3:R63)))))),"")</f>
        <v/>
      </c>
      <c r="T62" s="1" t="str">
        <f>IFERROR(IF($Q$1=$P$3,INDEX(prem_analysis!$P$2:$Q$441,ROWS(Data!$P$2:S62),COLUMNS(Data!$P$3:R63)),IF($Q$1=$P$5,INDEX(prem_analysis!$BH$1:$BS$23,ROWS(Data!$Q$3:S63),COLUMNS(Data!$Q$3:S63)),IF($Q$1=$P$6,INDEX(prem_analysis!$BU$1:$CF$67,ROWS(prem_analysis!$N$2:P62),COLUMNS(prem_analysis!$N$2:P62)),IF($Q$1=$P$4,INDEX(Table24[[#All],[Year]:[Details]],ROWS(prem_analysis!$M$420:O480),COLUMNS(Data!$Q$3:S63)))))),"")</f>
        <v/>
      </c>
      <c r="U62" s="1" t="str">
        <f>IFERROR(IF($Q$1=$P$3,INDEX(prem_analysis!$P$2:$Q$441,ROWS(Data!$P$2:T62),COLUMNS(Data!$P$3:S63)),IF($Q$1=$P$5,INDEX(prem_analysis!$BH$1:$BS$23,ROWS(Data!$Q$3:T63),COLUMNS(Data!$Q$3:T63)),IF($Q$1=$P$6,INDEX(prem_analysis!$BU$1:$CF$67,ROWS(prem_analysis!$N$2:Q62),COLUMNS(prem_analysis!$N$2:Q62)),IF($Q$1=$P$4,INDEX(Table24[[#All],[Year]:[Details]],ROWS(prem_analysis!$M$420:P480),COLUMNS(Data!$Q$3:T63)))))),"")</f>
        <v/>
      </c>
      <c r="V62" s="1" t="str">
        <f>IFERROR(IF($Q$1=$P$3,INDEX(prem_analysis!$P$2:$Q$441,ROWS(Data!$P$2:U62),COLUMNS(Data!$P$3:T63)),IF($Q$1=$P$5,INDEX(prem_analysis!$BH$1:$BS$23,ROWS(Data!$Q$3:U63),COLUMNS(Data!$Q$3:U63)),IF($Q$1=$P$6,INDEX(prem_analysis!$BU$1:$CF$67,ROWS(prem_analysis!$N$2:R62),COLUMNS(prem_analysis!$N$2:R62)),IF($Q$1=$P$4,INDEX(Table24[[#All],[Year]:[Details]],ROWS(prem_analysis!$M$420:Q480),COLUMNS(Data!$Q$3:U63)))))),"")</f>
        <v/>
      </c>
      <c r="W62" s="1" t="str">
        <f>IFERROR(IF($Q$1=$P$3,INDEX(prem_analysis!$P$2:$Q$441,ROWS(Data!$P$2:V62),COLUMNS(Data!$P$3:U63)),IF($Q$1=$P$5,INDEX(prem_analysis!$BH$1:$BS$23,ROWS(Data!$Q$3:V63),COLUMNS(Data!$Q$3:V63)),IF($Q$1=$P$6,INDEX(prem_analysis!$BU$1:$CF$67,ROWS(prem_analysis!$N$2:S62),COLUMNS(prem_analysis!$N$2:S62)),IF($Q$1=$P$4,INDEX(Table24[[#All],[Year]:[Details]],ROWS(prem_analysis!$M$420:R480),COLUMNS(Data!$Q$3:V63)))))),"")</f>
        <v/>
      </c>
      <c r="X62" s="1" t="str">
        <f>IFERROR(IF($Q$1=$P$3,INDEX(prem_analysis!$P$2:$Q$441,ROWS(Data!$P$2:W62),COLUMNS(Data!$P$3:V63)),IF($Q$1=$P$5,INDEX(prem_analysis!$BH$1:$BS$23,ROWS(Data!$Q$3:W63),COLUMNS(Data!$Q$3:W63)),IF($Q$1=$P$6,INDEX(prem_analysis!$BU$1:$CF$67,ROWS(prem_analysis!$N$2:T62),COLUMNS(prem_analysis!$N$2:T62)),IF($Q$1=$P$4,INDEX(Table24[[#All],[Year]:[Details]],ROWS(prem_analysis!$M$420:S480),COLUMNS(Data!$Q$3:W63)))))),"")</f>
        <v/>
      </c>
      <c r="Y62" s="1" t="str">
        <f>IFERROR(IF($Q$1=$P$3,INDEX(prem_analysis!$P$2:$Q$441,ROWS(Data!$P$2:X62),COLUMNS(Data!$P$3:W63)),IF($Q$1=$P$5,INDEX(prem_analysis!$BH$1:$BS$23,ROWS(Data!$Q$3:X63),COLUMNS(Data!$Q$3:X63)),IF($Q$1=$P$6,INDEX(prem_analysis!$BU$1:$CF$67,ROWS(prem_analysis!$N$2:U62),COLUMNS(prem_analysis!$N$2:U62)),IF($Q$1=$P$4,INDEX(Table24[[#All],[Year]:[Details]],ROWS(prem_analysis!$M$420:T480),COLUMNS(Data!$Q$3:X63)))))),"")</f>
        <v/>
      </c>
      <c r="Z62" s="1" t="str">
        <f>IFERROR(IF($Q$1=$P$3,INDEX(prem_analysis!$P$2:$Q$441,ROWS(Data!$P$2:Y62),COLUMNS(Data!$P$3:X63)),IF($Q$1=$P$5,INDEX(prem_analysis!$BH$1:$BS$23,ROWS(Data!$Q$3:Y63),COLUMNS(Data!$Q$3:Y63)),IF($Q$1=$P$6,INDEX(prem_analysis!$BU$1:$CF$67,ROWS(prem_analysis!$N$2:V62),COLUMNS(prem_analysis!$N$2:V62)),IF($Q$1=$P$4,INDEX(Table24[[#All],[Year]:[Details]],ROWS(prem_analysis!$M$420:U480),COLUMNS(Data!$Q$3:Y63)))))),"")</f>
        <v/>
      </c>
      <c r="AA62" s="1" t="str">
        <f>IFERROR(IF($Q$1=$P$3,INDEX(prem_analysis!$P$2:$Q$441,ROWS(Data!$P$2:Z62),COLUMNS(Data!$P$3:Y63)),IF($Q$1=$P$5,INDEX(prem_analysis!$BH$1:$BS$23,ROWS(Data!$Q$3:Z63),COLUMNS(Data!$Q$3:Z63)),IF($Q$1=$P$6,INDEX(prem_analysis!$BU$1:$CF$67,ROWS(prem_analysis!$N$2:W62),COLUMNS(prem_analysis!$N$2:W62)),IF($Q$1=$P$4,INDEX(Table24[[#All],[Year]:[Details]],ROWS(prem_analysis!$M$420:V480),COLUMNS(Data!$Q$3:Z63)))))),"")</f>
        <v/>
      </c>
      <c r="AB62" s="1" t="str">
        <f>IFERROR(IF($Q$1=$P$3,INDEX(prem_analysis!$P$2:$Q$441,ROWS(Data!$P$2:AA62),COLUMNS(Data!$P$3:Z63)),IF($Q$1=$P$5,INDEX(prem_analysis!$BH$1:$BS$23,ROWS(Data!$Q$3:AA63),COLUMNS(Data!$Q$3:AA63)),IF($Q$1=$P$6,INDEX(prem_analysis!$BU$1:$CF$67,ROWS(prem_analysis!$N$2:X62),COLUMNS(prem_analysis!$N$2:X62)),IF($Q$1=$P$4,INDEX(Table24[[#All],[Year]:[Details]],ROWS(prem_analysis!$M$420:W480),COLUMNS(Data!$Q$3:AA63)))))),"")</f>
        <v/>
      </c>
      <c r="AC62" s="1" t="str">
        <f>IFERROR(IF($Q$1=$P$3,INDEX(prem_analysis!$P$2:$Q$441,ROWS(Data!$P$2:AB62),COLUMNS(Data!$P$3:AA63)),IF($Q$1=$P$5,INDEX(prem_analysis!$BH$1:$BS$23,ROWS(Data!$Q$3:AB63),COLUMNS(Data!$Q$3:AB63)),IF($Q$1=$P$6,INDEX(prem_analysis!$BU$1:$CF$67,ROWS(prem_analysis!$N$2:Y62),COLUMNS(prem_analysis!$N$2:Y62)),IF($Q$1=$P$4,INDEX(Table24[[#All],[Year]:[Details]],ROWS(prem_analysis!$M$420:X480),COLUMNS(Data!$Q$3:AB63)))))),"")</f>
        <v/>
      </c>
    </row>
    <row r="63" spans="1:29" x14ac:dyDescent="0.2">
      <c r="A63" s="5">
        <v>2003</v>
      </c>
      <c r="B63" s="5">
        <v>2</v>
      </c>
      <c r="C63" s="6" t="s">
        <v>16</v>
      </c>
      <c r="D63" s="5">
        <v>38</v>
      </c>
      <c r="E63" s="5">
        <v>24</v>
      </c>
      <c r="F63" s="5">
        <v>7</v>
      </c>
      <c r="G63" s="5">
        <v>7</v>
      </c>
      <c r="H63" s="5">
        <v>67</v>
      </c>
      <c r="I63" s="5">
        <v>30</v>
      </c>
      <c r="J63" s="5">
        <v>37</v>
      </c>
      <c r="K63" s="5">
        <v>79</v>
      </c>
      <c r="L63" s="5">
        <f>IF(Table24[[#This Row],['#]]=1,"Champion", IF(Table24[[#This Row],['#]]&gt;=18,"Relegated",Table24[[#This Row],['#]]))</f>
        <v>2</v>
      </c>
      <c r="M63" s="5">
        <f>IF(Table24[[#This Row],[Details]]=2,K62-Table24[[#This Row],[Pts]],IF(Table24[[#This Row],[Details]]=17,Table24[[#This Row],[Pts]]-K64,""))</f>
        <v>11</v>
      </c>
      <c r="R63" s="1" t="str">
        <f>IFERROR(IF($Q$1=$P$3,INDEX(prem_analysis!$P$2:$Q$441,ROWS(Data!$P$2:Q63),COLUMNS(Data!$P$3:P64)),IF($Q$1=$P$5,INDEX(prem_analysis!$BH$1:$BS$23,ROWS(Data!$Q$3:Q64),COLUMNS(Data!$Q$3:Q64)),IF($Q$1=$P$6,INDEX(prem_analysis!$BU$1:$CF$67,ROWS(prem_analysis!$N$2:N63),COLUMNS(prem_analysis!$N$2:N63)),IF($Q$1=$P$4,INDEX(Table24[[#All],[Year]:[Details]],ROWS(prem_analysis!$M$420:M481),COLUMNS(Data!$Q$3:Q64)))))),"")</f>
        <v/>
      </c>
      <c r="S63" s="1" t="str">
        <f>IFERROR(IF($Q$1=$P$3,INDEX(prem_analysis!$P$2:$Q$441,ROWS(Data!$P$2:R63),COLUMNS(Data!$P$3:Q64)),IF($Q$1=$P$5,INDEX(prem_analysis!$BH$1:$BS$23,ROWS(Data!$Q$3:R64),COLUMNS(Data!$Q$3:R64)),IF($Q$1=$P$6,INDEX(prem_analysis!$BU$1:$CF$67,ROWS(prem_analysis!$N$2:O63),COLUMNS(prem_analysis!$N$2:O63)),IF($Q$1=$P$4,INDEX(Table24[[#All],[Year]:[Details]],ROWS(prem_analysis!$M$420:N481),COLUMNS(Data!$Q$3:R64)))))),"")</f>
        <v/>
      </c>
      <c r="T63" s="1" t="str">
        <f>IFERROR(IF($Q$1=$P$3,INDEX(prem_analysis!$P$2:$Q$441,ROWS(Data!$P$2:S63),COLUMNS(Data!$P$3:R64)),IF($Q$1=$P$5,INDEX(prem_analysis!$BH$1:$BS$23,ROWS(Data!$Q$3:S64),COLUMNS(Data!$Q$3:S64)),IF($Q$1=$P$6,INDEX(prem_analysis!$BU$1:$CF$67,ROWS(prem_analysis!$N$2:P63),COLUMNS(prem_analysis!$N$2:P63)),IF($Q$1=$P$4,INDEX(Table24[[#All],[Year]:[Details]],ROWS(prem_analysis!$M$420:O481),COLUMNS(Data!$Q$3:S64)))))),"")</f>
        <v/>
      </c>
      <c r="U63" s="1" t="str">
        <f>IFERROR(IF($Q$1=$P$3,INDEX(prem_analysis!$P$2:$Q$441,ROWS(Data!$P$2:T63),COLUMNS(Data!$P$3:S64)),IF($Q$1=$P$5,INDEX(prem_analysis!$BH$1:$BS$23,ROWS(Data!$Q$3:T64),COLUMNS(Data!$Q$3:T64)),IF($Q$1=$P$6,INDEX(prem_analysis!$BU$1:$CF$67,ROWS(prem_analysis!$N$2:Q63),COLUMNS(prem_analysis!$N$2:Q63)),IF($Q$1=$P$4,INDEX(Table24[[#All],[Year]:[Details]],ROWS(prem_analysis!$M$420:P481),COLUMNS(Data!$Q$3:T64)))))),"")</f>
        <v/>
      </c>
      <c r="V63" s="1" t="str">
        <f>IFERROR(IF($Q$1=$P$3,INDEX(prem_analysis!$P$2:$Q$441,ROWS(Data!$P$2:U63),COLUMNS(Data!$P$3:T64)),IF($Q$1=$P$5,INDEX(prem_analysis!$BH$1:$BS$23,ROWS(Data!$Q$3:U64),COLUMNS(Data!$Q$3:U64)),IF($Q$1=$P$6,INDEX(prem_analysis!$BU$1:$CF$67,ROWS(prem_analysis!$N$2:R63),COLUMNS(prem_analysis!$N$2:R63)),IF($Q$1=$P$4,INDEX(Table24[[#All],[Year]:[Details]],ROWS(prem_analysis!$M$420:Q481),COLUMNS(Data!$Q$3:U64)))))),"")</f>
        <v/>
      </c>
      <c r="W63" s="1" t="str">
        <f>IFERROR(IF($Q$1=$P$3,INDEX(prem_analysis!$P$2:$Q$441,ROWS(Data!$P$2:V63),COLUMNS(Data!$P$3:U64)),IF($Q$1=$P$5,INDEX(prem_analysis!$BH$1:$BS$23,ROWS(Data!$Q$3:V64),COLUMNS(Data!$Q$3:V64)),IF($Q$1=$P$6,INDEX(prem_analysis!$BU$1:$CF$67,ROWS(prem_analysis!$N$2:S63),COLUMNS(prem_analysis!$N$2:S63)),IF($Q$1=$P$4,INDEX(Table24[[#All],[Year]:[Details]],ROWS(prem_analysis!$M$420:R481),COLUMNS(Data!$Q$3:V64)))))),"")</f>
        <v/>
      </c>
      <c r="X63" s="1" t="str">
        <f>IFERROR(IF($Q$1=$P$3,INDEX(prem_analysis!$P$2:$Q$441,ROWS(Data!$P$2:W63),COLUMNS(Data!$P$3:V64)),IF($Q$1=$P$5,INDEX(prem_analysis!$BH$1:$BS$23,ROWS(Data!$Q$3:W64),COLUMNS(Data!$Q$3:W64)),IF($Q$1=$P$6,INDEX(prem_analysis!$BU$1:$CF$67,ROWS(prem_analysis!$N$2:T63),COLUMNS(prem_analysis!$N$2:T63)),IF($Q$1=$P$4,INDEX(Table24[[#All],[Year]:[Details]],ROWS(prem_analysis!$M$420:S481),COLUMNS(Data!$Q$3:W64)))))),"")</f>
        <v/>
      </c>
      <c r="Y63" s="1" t="str">
        <f>IFERROR(IF($Q$1=$P$3,INDEX(prem_analysis!$P$2:$Q$441,ROWS(Data!$P$2:X63),COLUMNS(Data!$P$3:W64)),IF($Q$1=$P$5,INDEX(prem_analysis!$BH$1:$BS$23,ROWS(Data!$Q$3:X64),COLUMNS(Data!$Q$3:X64)),IF($Q$1=$P$6,INDEX(prem_analysis!$BU$1:$CF$67,ROWS(prem_analysis!$N$2:U63),COLUMNS(prem_analysis!$N$2:U63)),IF($Q$1=$P$4,INDEX(Table24[[#All],[Year]:[Details]],ROWS(prem_analysis!$M$420:T481),COLUMNS(Data!$Q$3:X64)))))),"")</f>
        <v/>
      </c>
      <c r="Z63" s="1" t="str">
        <f>IFERROR(IF($Q$1=$P$3,INDEX(prem_analysis!$P$2:$Q$441,ROWS(Data!$P$2:Y63),COLUMNS(Data!$P$3:X64)),IF($Q$1=$P$5,INDEX(prem_analysis!$BH$1:$BS$23,ROWS(Data!$Q$3:Y64),COLUMNS(Data!$Q$3:Y64)),IF($Q$1=$P$6,INDEX(prem_analysis!$BU$1:$CF$67,ROWS(prem_analysis!$N$2:V63),COLUMNS(prem_analysis!$N$2:V63)),IF($Q$1=$P$4,INDEX(Table24[[#All],[Year]:[Details]],ROWS(prem_analysis!$M$420:U481),COLUMNS(Data!$Q$3:Y64)))))),"")</f>
        <v/>
      </c>
      <c r="AA63" s="1" t="str">
        <f>IFERROR(IF($Q$1=$P$3,INDEX(prem_analysis!$P$2:$Q$441,ROWS(Data!$P$2:Z63),COLUMNS(Data!$P$3:Y64)),IF($Q$1=$P$5,INDEX(prem_analysis!$BH$1:$BS$23,ROWS(Data!$Q$3:Z64),COLUMNS(Data!$Q$3:Z64)),IF($Q$1=$P$6,INDEX(prem_analysis!$BU$1:$CF$67,ROWS(prem_analysis!$N$2:W63),COLUMNS(prem_analysis!$N$2:W63)),IF($Q$1=$P$4,INDEX(Table24[[#All],[Year]:[Details]],ROWS(prem_analysis!$M$420:V481),COLUMNS(Data!$Q$3:Z64)))))),"")</f>
        <v/>
      </c>
      <c r="AB63" s="1" t="str">
        <f>IFERROR(IF($Q$1=$P$3,INDEX(prem_analysis!$P$2:$Q$441,ROWS(Data!$P$2:AA63),COLUMNS(Data!$P$3:Z64)),IF($Q$1=$P$5,INDEX(prem_analysis!$BH$1:$BS$23,ROWS(Data!$Q$3:AA64),COLUMNS(Data!$Q$3:AA64)),IF($Q$1=$P$6,INDEX(prem_analysis!$BU$1:$CF$67,ROWS(prem_analysis!$N$2:X63),COLUMNS(prem_analysis!$N$2:X63)),IF($Q$1=$P$4,INDEX(Table24[[#All],[Year]:[Details]],ROWS(prem_analysis!$M$420:W481),COLUMNS(Data!$Q$3:AA64)))))),"")</f>
        <v/>
      </c>
      <c r="AC63" s="1" t="str">
        <f>IFERROR(IF($Q$1=$P$3,INDEX(prem_analysis!$P$2:$Q$441,ROWS(Data!$P$2:AB63),COLUMNS(Data!$P$3:AA64)),IF($Q$1=$P$5,INDEX(prem_analysis!$BH$1:$BS$23,ROWS(Data!$Q$3:AB64),COLUMNS(Data!$Q$3:AB64)),IF($Q$1=$P$6,INDEX(prem_analysis!$BU$1:$CF$67,ROWS(prem_analysis!$N$2:Y63),COLUMNS(prem_analysis!$N$2:Y63)),IF($Q$1=$P$4,INDEX(Table24[[#All],[Year]:[Details]],ROWS(prem_analysis!$M$420:X481),COLUMNS(Data!$Q$3:AB64)))))),"")</f>
        <v/>
      </c>
    </row>
    <row r="64" spans="1:29" x14ac:dyDescent="0.2">
      <c r="A64" s="3">
        <v>2003</v>
      </c>
      <c r="B64" s="3">
        <v>3</v>
      </c>
      <c r="C64" s="4" t="s">
        <v>11</v>
      </c>
      <c r="D64" s="3">
        <v>38</v>
      </c>
      <c r="E64" s="3">
        <v>23</v>
      </c>
      <c r="F64" s="3">
        <v>6</v>
      </c>
      <c r="G64" s="3">
        <v>9</v>
      </c>
      <c r="H64" s="3">
        <v>64</v>
      </c>
      <c r="I64" s="3">
        <v>35</v>
      </c>
      <c r="J64" s="3">
        <v>29</v>
      </c>
      <c r="K64" s="3">
        <v>75</v>
      </c>
      <c r="L64" s="5">
        <f>IF(Table24[[#This Row],['#]]=1,"Champion", IF(Table24[[#This Row],['#]]&gt;=18,"Relegated",Table24[[#This Row],['#]]))</f>
        <v>3</v>
      </c>
      <c r="M64" s="5" t="str">
        <f>IF(Table24[[#This Row],[Details]]=2,K63-Table24[[#This Row],[Pts]],IF(Table24[[#This Row],[Details]]=17,Table24[[#This Row],[Pts]]-K65,""))</f>
        <v/>
      </c>
      <c r="R64" s="1" t="str">
        <f>IFERROR(IF($Q$1=$P$3,INDEX(prem_analysis!$P$2:$Q$441,ROWS(Data!$P$2:Q64),COLUMNS(Data!$P$3:P65)),IF($Q$1=$P$5,INDEX(prem_analysis!$BH$1:$BS$23,ROWS(Data!$Q$3:Q65),COLUMNS(Data!$Q$3:Q65)),IF($Q$1=$P$6,INDEX(prem_analysis!$BU$1:$CF$67,ROWS(prem_analysis!$N$2:N64),COLUMNS(prem_analysis!$N$2:N64)),IF($Q$1=$P$4,INDEX(Table24[[#All],[Year]:[Details]],ROWS(prem_analysis!$M$420:M482),COLUMNS(Data!$Q$3:Q65)))))),"")</f>
        <v/>
      </c>
      <c r="S64" s="1" t="str">
        <f>IFERROR(IF($Q$1=$P$3,INDEX(prem_analysis!$P$2:$Q$441,ROWS(Data!$P$2:R64),COLUMNS(Data!$P$3:Q65)),IF($Q$1=$P$5,INDEX(prem_analysis!$BH$1:$BS$23,ROWS(Data!$Q$3:R65),COLUMNS(Data!$Q$3:R65)),IF($Q$1=$P$6,INDEX(prem_analysis!$BU$1:$CF$67,ROWS(prem_analysis!$N$2:O64),COLUMNS(prem_analysis!$N$2:O64)),IF($Q$1=$P$4,INDEX(Table24[[#All],[Year]:[Details]],ROWS(prem_analysis!$M$420:N482),COLUMNS(Data!$Q$3:R65)))))),"")</f>
        <v/>
      </c>
      <c r="T64" s="1" t="str">
        <f>IFERROR(IF($Q$1=$P$3,INDEX(prem_analysis!$P$2:$Q$441,ROWS(Data!$P$2:S64),COLUMNS(Data!$P$3:R65)),IF($Q$1=$P$5,INDEX(prem_analysis!$BH$1:$BS$23,ROWS(Data!$Q$3:S65),COLUMNS(Data!$Q$3:S65)),IF($Q$1=$P$6,INDEX(prem_analysis!$BU$1:$CF$67,ROWS(prem_analysis!$N$2:P64),COLUMNS(prem_analysis!$N$2:P64)),IF($Q$1=$P$4,INDEX(Table24[[#All],[Year]:[Details]],ROWS(prem_analysis!$M$420:O482),COLUMNS(Data!$Q$3:S65)))))),"")</f>
        <v/>
      </c>
      <c r="U64" s="1" t="str">
        <f>IFERROR(IF($Q$1=$P$3,INDEX(prem_analysis!$P$2:$Q$441,ROWS(Data!$P$2:T64),COLUMNS(Data!$P$3:S65)),IF($Q$1=$P$5,INDEX(prem_analysis!$BH$1:$BS$23,ROWS(Data!$Q$3:T65),COLUMNS(Data!$Q$3:T65)),IF($Q$1=$P$6,INDEX(prem_analysis!$BU$1:$CF$67,ROWS(prem_analysis!$N$2:Q64),COLUMNS(prem_analysis!$N$2:Q64)),IF($Q$1=$P$4,INDEX(Table24[[#All],[Year]:[Details]],ROWS(prem_analysis!$M$420:P482),COLUMNS(Data!$Q$3:T65)))))),"")</f>
        <v/>
      </c>
      <c r="V64" s="1" t="str">
        <f>IFERROR(IF($Q$1=$P$3,INDEX(prem_analysis!$P$2:$Q$441,ROWS(Data!$P$2:U64),COLUMNS(Data!$P$3:T65)),IF($Q$1=$P$5,INDEX(prem_analysis!$BH$1:$BS$23,ROWS(Data!$Q$3:U65),COLUMNS(Data!$Q$3:U65)),IF($Q$1=$P$6,INDEX(prem_analysis!$BU$1:$CF$67,ROWS(prem_analysis!$N$2:R64),COLUMNS(prem_analysis!$N$2:R64)),IF($Q$1=$P$4,INDEX(Table24[[#All],[Year]:[Details]],ROWS(prem_analysis!$M$420:Q482),COLUMNS(Data!$Q$3:U65)))))),"")</f>
        <v/>
      </c>
      <c r="W64" s="1" t="str">
        <f>IFERROR(IF($Q$1=$P$3,INDEX(prem_analysis!$P$2:$Q$441,ROWS(Data!$P$2:V64),COLUMNS(Data!$P$3:U65)),IF($Q$1=$P$5,INDEX(prem_analysis!$BH$1:$BS$23,ROWS(Data!$Q$3:V65),COLUMNS(Data!$Q$3:V65)),IF($Q$1=$P$6,INDEX(prem_analysis!$BU$1:$CF$67,ROWS(prem_analysis!$N$2:S64),COLUMNS(prem_analysis!$N$2:S64)),IF($Q$1=$P$4,INDEX(Table24[[#All],[Year]:[Details]],ROWS(prem_analysis!$M$420:R482),COLUMNS(Data!$Q$3:V65)))))),"")</f>
        <v/>
      </c>
      <c r="X64" s="1" t="str">
        <f>IFERROR(IF($Q$1=$P$3,INDEX(prem_analysis!$P$2:$Q$441,ROWS(Data!$P$2:W64),COLUMNS(Data!$P$3:V65)),IF($Q$1=$P$5,INDEX(prem_analysis!$BH$1:$BS$23,ROWS(Data!$Q$3:W65),COLUMNS(Data!$Q$3:W65)),IF($Q$1=$P$6,INDEX(prem_analysis!$BU$1:$CF$67,ROWS(prem_analysis!$N$2:T64),COLUMNS(prem_analysis!$N$2:T64)),IF($Q$1=$P$4,INDEX(Table24[[#All],[Year]:[Details]],ROWS(prem_analysis!$M$420:S482),COLUMNS(Data!$Q$3:W65)))))),"")</f>
        <v/>
      </c>
      <c r="Y64" s="1" t="str">
        <f>IFERROR(IF($Q$1=$P$3,INDEX(prem_analysis!$P$2:$Q$441,ROWS(Data!$P$2:X64),COLUMNS(Data!$P$3:W65)),IF($Q$1=$P$5,INDEX(prem_analysis!$BH$1:$BS$23,ROWS(Data!$Q$3:X65),COLUMNS(Data!$Q$3:X65)),IF($Q$1=$P$6,INDEX(prem_analysis!$BU$1:$CF$67,ROWS(prem_analysis!$N$2:U64),COLUMNS(prem_analysis!$N$2:U64)),IF($Q$1=$P$4,INDEX(Table24[[#All],[Year]:[Details]],ROWS(prem_analysis!$M$420:T482),COLUMNS(Data!$Q$3:X65)))))),"")</f>
        <v/>
      </c>
      <c r="Z64" s="1" t="str">
        <f>IFERROR(IF($Q$1=$P$3,INDEX(prem_analysis!$P$2:$Q$441,ROWS(Data!$P$2:Y64),COLUMNS(Data!$P$3:X65)),IF($Q$1=$P$5,INDEX(prem_analysis!$BH$1:$BS$23,ROWS(Data!$Q$3:Y65),COLUMNS(Data!$Q$3:Y65)),IF($Q$1=$P$6,INDEX(prem_analysis!$BU$1:$CF$67,ROWS(prem_analysis!$N$2:V64),COLUMNS(prem_analysis!$N$2:V64)),IF($Q$1=$P$4,INDEX(Table24[[#All],[Year]:[Details]],ROWS(prem_analysis!$M$420:U482),COLUMNS(Data!$Q$3:Y65)))))),"")</f>
        <v/>
      </c>
      <c r="AA64" s="1" t="str">
        <f>IFERROR(IF($Q$1=$P$3,INDEX(prem_analysis!$P$2:$Q$441,ROWS(Data!$P$2:Z64),COLUMNS(Data!$P$3:Y65)),IF($Q$1=$P$5,INDEX(prem_analysis!$BH$1:$BS$23,ROWS(Data!$Q$3:Z65),COLUMNS(Data!$Q$3:Z65)),IF($Q$1=$P$6,INDEX(prem_analysis!$BU$1:$CF$67,ROWS(prem_analysis!$N$2:W64),COLUMNS(prem_analysis!$N$2:W64)),IF($Q$1=$P$4,INDEX(Table24[[#All],[Year]:[Details]],ROWS(prem_analysis!$M$420:V482),COLUMNS(Data!$Q$3:Z65)))))),"")</f>
        <v/>
      </c>
      <c r="AB64" s="1" t="str">
        <f>IFERROR(IF($Q$1=$P$3,INDEX(prem_analysis!$P$2:$Q$441,ROWS(Data!$P$2:AA64),COLUMNS(Data!$P$3:Z65)),IF($Q$1=$P$5,INDEX(prem_analysis!$BH$1:$BS$23,ROWS(Data!$Q$3:AA65),COLUMNS(Data!$Q$3:AA65)),IF($Q$1=$P$6,INDEX(prem_analysis!$BU$1:$CF$67,ROWS(prem_analysis!$N$2:X64),COLUMNS(prem_analysis!$N$2:X64)),IF($Q$1=$P$4,INDEX(Table24[[#All],[Year]:[Details]],ROWS(prem_analysis!$M$420:W482),COLUMNS(Data!$Q$3:AA65)))))),"")</f>
        <v/>
      </c>
      <c r="AC64" s="1" t="str">
        <f>IFERROR(IF($Q$1=$P$3,INDEX(prem_analysis!$P$2:$Q$441,ROWS(Data!$P$2:AB64),COLUMNS(Data!$P$3:AA65)),IF($Q$1=$P$5,INDEX(prem_analysis!$BH$1:$BS$23,ROWS(Data!$Q$3:AB65),COLUMNS(Data!$Q$3:AB65)),IF($Q$1=$P$6,INDEX(prem_analysis!$BU$1:$CF$67,ROWS(prem_analysis!$N$2:Y64),COLUMNS(prem_analysis!$N$2:Y64)),IF($Q$1=$P$4,INDEX(Table24[[#All],[Year]:[Details]],ROWS(prem_analysis!$M$420:X482),COLUMNS(Data!$Q$3:AB65)))))),"")</f>
        <v/>
      </c>
    </row>
    <row r="65" spans="1:29" x14ac:dyDescent="0.2">
      <c r="A65" s="5">
        <v>2003</v>
      </c>
      <c r="B65" s="5">
        <v>4</v>
      </c>
      <c r="C65" s="4" t="s">
        <v>13</v>
      </c>
      <c r="D65" s="5">
        <v>38</v>
      </c>
      <c r="E65" s="5">
        <v>16</v>
      </c>
      <c r="F65" s="5">
        <v>12</v>
      </c>
      <c r="G65" s="5">
        <v>10</v>
      </c>
      <c r="H65" s="5">
        <v>55</v>
      </c>
      <c r="I65" s="5">
        <v>37</v>
      </c>
      <c r="J65" s="5">
        <v>18</v>
      </c>
      <c r="K65" s="5">
        <v>60</v>
      </c>
      <c r="L65" s="5">
        <f>IF(Table24[[#This Row],['#]]=1,"Champion", IF(Table24[[#This Row],['#]]&gt;=18,"Relegated",Table24[[#This Row],['#]]))</f>
        <v>4</v>
      </c>
      <c r="M65" s="5" t="str">
        <f>IF(Table24[[#This Row],[Details]]=2,K64-Table24[[#This Row],[Pts]],IF(Table24[[#This Row],[Details]]=17,Table24[[#This Row],[Pts]]-K66,""))</f>
        <v/>
      </c>
      <c r="R65" s="1" t="str">
        <f>IFERROR(IF($Q$1=$P$3,INDEX(prem_analysis!$P$2:$Q$441,ROWS(Data!$P$2:Q65),COLUMNS(Data!$P$3:P66)),IF($Q$1=$P$5,INDEX(prem_analysis!$BH$1:$BS$23,ROWS(Data!$Q$3:Q66),COLUMNS(Data!$Q$3:Q66)),IF($Q$1=$P$6,INDEX(prem_analysis!$BU$1:$CF$67,ROWS(prem_analysis!$N$2:N65),COLUMNS(prem_analysis!$N$2:N65)),IF($Q$1=$P$4,INDEX(Table24[[#All],[Year]:[Details]],ROWS(prem_analysis!$M$420:M483),COLUMNS(Data!$Q$3:Q66)))))),"")</f>
        <v/>
      </c>
      <c r="S65" s="1" t="str">
        <f>IFERROR(IF($Q$1=$P$3,INDEX(prem_analysis!$P$2:$Q$441,ROWS(Data!$P$2:R65),COLUMNS(Data!$P$3:Q66)),IF($Q$1=$P$5,INDEX(prem_analysis!$BH$1:$BS$23,ROWS(Data!$Q$3:R66),COLUMNS(Data!$Q$3:R66)),IF($Q$1=$P$6,INDEX(prem_analysis!$BU$1:$CF$67,ROWS(prem_analysis!$N$2:O65),COLUMNS(prem_analysis!$N$2:O65)),IF($Q$1=$P$4,INDEX(Table24[[#All],[Year]:[Details]],ROWS(prem_analysis!$M$420:N483),COLUMNS(Data!$Q$3:R66)))))),"")</f>
        <v/>
      </c>
      <c r="T65" s="1" t="str">
        <f>IFERROR(IF($Q$1=$P$3,INDEX(prem_analysis!$P$2:$Q$441,ROWS(Data!$P$2:S65),COLUMNS(Data!$P$3:R66)),IF($Q$1=$P$5,INDEX(prem_analysis!$BH$1:$BS$23,ROWS(Data!$Q$3:S66),COLUMNS(Data!$Q$3:S66)),IF($Q$1=$P$6,INDEX(prem_analysis!$BU$1:$CF$67,ROWS(prem_analysis!$N$2:P65),COLUMNS(prem_analysis!$N$2:P65)),IF($Q$1=$P$4,INDEX(Table24[[#All],[Year]:[Details]],ROWS(prem_analysis!$M$420:O483),COLUMNS(Data!$Q$3:S66)))))),"")</f>
        <v/>
      </c>
      <c r="U65" s="1" t="str">
        <f>IFERROR(IF($Q$1=$P$3,INDEX(prem_analysis!$P$2:$Q$441,ROWS(Data!$P$2:T65),COLUMNS(Data!$P$3:S66)),IF($Q$1=$P$5,INDEX(prem_analysis!$BH$1:$BS$23,ROWS(Data!$Q$3:T66),COLUMNS(Data!$Q$3:T66)),IF($Q$1=$P$6,INDEX(prem_analysis!$BU$1:$CF$67,ROWS(prem_analysis!$N$2:Q65),COLUMNS(prem_analysis!$N$2:Q65)),IF($Q$1=$P$4,INDEX(Table24[[#All],[Year]:[Details]],ROWS(prem_analysis!$M$420:P483),COLUMNS(Data!$Q$3:T66)))))),"")</f>
        <v/>
      </c>
      <c r="V65" s="1" t="str">
        <f>IFERROR(IF($Q$1=$P$3,INDEX(prem_analysis!$P$2:$Q$441,ROWS(Data!$P$2:U65),COLUMNS(Data!$P$3:T66)),IF($Q$1=$P$5,INDEX(prem_analysis!$BH$1:$BS$23,ROWS(Data!$Q$3:U66),COLUMNS(Data!$Q$3:U66)),IF($Q$1=$P$6,INDEX(prem_analysis!$BU$1:$CF$67,ROWS(prem_analysis!$N$2:R65),COLUMNS(prem_analysis!$N$2:R65)),IF($Q$1=$P$4,INDEX(Table24[[#All],[Year]:[Details]],ROWS(prem_analysis!$M$420:Q483),COLUMNS(Data!$Q$3:U66)))))),"")</f>
        <v/>
      </c>
      <c r="W65" s="1" t="str">
        <f>IFERROR(IF($Q$1=$P$3,INDEX(prem_analysis!$P$2:$Q$441,ROWS(Data!$P$2:V65),COLUMNS(Data!$P$3:U66)),IF($Q$1=$P$5,INDEX(prem_analysis!$BH$1:$BS$23,ROWS(Data!$Q$3:V66),COLUMNS(Data!$Q$3:V66)),IF($Q$1=$P$6,INDEX(prem_analysis!$BU$1:$CF$67,ROWS(prem_analysis!$N$2:S65),COLUMNS(prem_analysis!$N$2:S65)),IF($Q$1=$P$4,INDEX(Table24[[#All],[Year]:[Details]],ROWS(prem_analysis!$M$420:R483),COLUMNS(Data!$Q$3:V66)))))),"")</f>
        <v/>
      </c>
      <c r="X65" s="1" t="str">
        <f>IFERROR(IF($Q$1=$P$3,INDEX(prem_analysis!$P$2:$Q$441,ROWS(Data!$P$2:W65),COLUMNS(Data!$P$3:V66)),IF($Q$1=$P$5,INDEX(prem_analysis!$BH$1:$BS$23,ROWS(Data!$Q$3:W66),COLUMNS(Data!$Q$3:W66)),IF($Q$1=$P$6,INDEX(prem_analysis!$BU$1:$CF$67,ROWS(prem_analysis!$N$2:T65),COLUMNS(prem_analysis!$N$2:T65)),IF($Q$1=$P$4,INDEX(Table24[[#All],[Year]:[Details]],ROWS(prem_analysis!$M$420:S483),COLUMNS(Data!$Q$3:W66)))))),"")</f>
        <v/>
      </c>
      <c r="Y65" s="1" t="str">
        <f>IFERROR(IF($Q$1=$P$3,INDEX(prem_analysis!$P$2:$Q$441,ROWS(Data!$P$2:X65),COLUMNS(Data!$P$3:W66)),IF($Q$1=$P$5,INDEX(prem_analysis!$BH$1:$BS$23,ROWS(Data!$Q$3:X66),COLUMNS(Data!$Q$3:X66)),IF($Q$1=$P$6,INDEX(prem_analysis!$BU$1:$CF$67,ROWS(prem_analysis!$N$2:U65),COLUMNS(prem_analysis!$N$2:U65)),IF($Q$1=$P$4,INDEX(Table24[[#All],[Year]:[Details]],ROWS(prem_analysis!$M$420:T483),COLUMNS(Data!$Q$3:X66)))))),"")</f>
        <v/>
      </c>
      <c r="Z65" s="1" t="str">
        <f>IFERROR(IF($Q$1=$P$3,INDEX(prem_analysis!$P$2:$Q$441,ROWS(Data!$P$2:Y65),COLUMNS(Data!$P$3:X66)),IF($Q$1=$P$5,INDEX(prem_analysis!$BH$1:$BS$23,ROWS(Data!$Q$3:Y66),COLUMNS(Data!$Q$3:Y66)),IF($Q$1=$P$6,INDEX(prem_analysis!$BU$1:$CF$67,ROWS(prem_analysis!$N$2:V65),COLUMNS(prem_analysis!$N$2:V65)),IF($Q$1=$P$4,INDEX(Table24[[#All],[Year]:[Details]],ROWS(prem_analysis!$M$420:U483),COLUMNS(Data!$Q$3:Y66)))))),"")</f>
        <v/>
      </c>
      <c r="AA65" s="1" t="str">
        <f>IFERROR(IF($Q$1=$P$3,INDEX(prem_analysis!$P$2:$Q$441,ROWS(Data!$P$2:Z65),COLUMNS(Data!$P$3:Y66)),IF($Q$1=$P$5,INDEX(prem_analysis!$BH$1:$BS$23,ROWS(Data!$Q$3:Z66),COLUMNS(Data!$Q$3:Z66)),IF($Q$1=$P$6,INDEX(prem_analysis!$BU$1:$CF$67,ROWS(prem_analysis!$N$2:W65),COLUMNS(prem_analysis!$N$2:W65)),IF($Q$1=$P$4,INDEX(Table24[[#All],[Year]:[Details]],ROWS(prem_analysis!$M$420:V483),COLUMNS(Data!$Q$3:Z66)))))),"")</f>
        <v/>
      </c>
      <c r="AB65" s="1" t="str">
        <f>IFERROR(IF($Q$1=$P$3,INDEX(prem_analysis!$P$2:$Q$441,ROWS(Data!$P$2:AA65),COLUMNS(Data!$P$3:Z66)),IF($Q$1=$P$5,INDEX(prem_analysis!$BH$1:$BS$23,ROWS(Data!$Q$3:AA66),COLUMNS(Data!$Q$3:AA66)),IF($Q$1=$P$6,INDEX(prem_analysis!$BU$1:$CF$67,ROWS(prem_analysis!$N$2:X65),COLUMNS(prem_analysis!$N$2:X65)),IF($Q$1=$P$4,INDEX(Table24[[#All],[Year]:[Details]],ROWS(prem_analysis!$M$420:W483),COLUMNS(Data!$Q$3:AA66)))))),"")</f>
        <v/>
      </c>
      <c r="AC65" s="1" t="str">
        <f>IFERROR(IF($Q$1=$P$3,INDEX(prem_analysis!$P$2:$Q$441,ROWS(Data!$P$2:AB65),COLUMNS(Data!$P$3:AA66)),IF($Q$1=$P$5,INDEX(prem_analysis!$BH$1:$BS$23,ROWS(Data!$Q$3:AB66),COLUMNS(Data!$Q$3:AB66)),IF($Q$1=$P$6,INDEX(prem_analysis!$BU$1:$CF$67,ROWS(prem_analysis!$N$2:Y65),COLUMNS(prem_analysis!$N$2:Y65)),IF($Q$1=$P$4,INDEX(Table24[[#All],[Year]:[Details]],ROWS(prem_analysis!$M$420:X483),COLUMNS(Data!$Q$3:AB66)))))),"")</f>
        <v/>
      </c>
    </row>
    <row r="66" spans="1:29" x14ac:dyDescent="0.2">
      <c r="A66" s="3">
        <v>2003</v>
      </c>
      <c r="B66" s="3">
        <v>5</v>
      </c>
      <c r="C66" s="4" t="s">
        <v>21</v>
      </c>
      <c r="D66" s="3">
        <v>38</v>
      </c>
      <c r="E66" s="3">
        <v>13</v>
      </c>
      <c r="F66" s="3">
        <v>17</v>
      </c>
      <c r="G66" s="3">
        <v>8</v>
      </c>
      <c r="H66" s="3">
        <v>52</v>
      </c>
      <c r="I66" s="3">
        <v>40</v>
      </c>
      <c r="J66" s="3">
        <v>12</v>
      </c>
      <c r="K66" s="3">
        <v>56</v>
      </c>
      <c r="L66" s="5">
        <f>IF(Table24[[#This Row],['#]]=1,"Champion", IF(Table24[[#This Row],['#]]&gt;=18,"Relegated",Table24[[#This Row],['#]]))</f>
        <v>5</v>
      </c>
      <c r="M66" s="5" t="str">
        <f>IF(Table24[[#This Row],[Details]]=2,K65-Table24[[#This Row],[Pts]],IF(Table24[[#This Row],[Details]]=17,Table24[[#This Row],[Pts]]-K67,""))</f>
        <v/>
      </c>
      <c r="R66" s="1" t="str">
        <f>IFERROR(IF($Q$1=$P$3,INDEX(prem_analysis!$P$2:$Q$441,ROWS(Data!$P$2:Q66),COLUMNS(Data!$P$3:P67)),IF($Q$1=$P$5,INDEX(prem_analysis!$BH$1:$BS$23,ROWS(Data!$Q$3:Q67),COLUMNS(Data!$Q$3:Q67)),IF($Q$1=$P$6,INDEX(prem_analysis!$BU$1:$CF$67,ROWS(prem_analysis!$N$2:N66),COLUMNS(prem_analysis!$N$2:N66)),IF($Q$1=$P$4,INDEX(Table24[[#All],[Year]:[Details]],ROWS(prem_analysis!$M$420:M484),COLUMNS(Data!$Q$3:Q67)))))),"")</f>
        <v/>
      </c>
      <c r="S66" s="1" t="str">
        <f>IFERROR(IF($Q$1=$P$3,INDEX(prem_analysis!$P$2:$Q$441,ROWS(Data!$P$2:R66),COLUMNS(Data!$P$3:Q67)),IF($Q$1=$P$5,INDEX(prem_analysis!$BH$1:$BS$23,ROWS(Data!$Q$3:R67),COLUMNS(Data!$Q$3:R67)),IF($Q$1=$P$6,INDEX(prem_analysis!$BU$1:$CF$67,ROWS(prem_analysis!$N$2:O66),COLUMNS(prem_analysis!$N$2:O66)),IF($Q$1=$P$4,INDEX(Table24[[#All],[Year]:[Details]],ROWS(prem_analysis!$M$420:N484),COLUMNS(Data!$Q$3:R67)))))),"")</f>
        <v/>
      </c>
      <c r="T66" s="1" t="str">
        <f>IFERROR(IF($Q$1=$P$3,INDEX(prem_analysis!$P$2:$Q$441,ROWS(Data!$P$2:S66),COLUMNS(Data!$P$3:R67)),IF($Q$1=$P$5,INDEX(prem_analysis!$BH$1:$BS$23,ROWS(Data!$Q$3:S67),COLUMNS(Data!$Q$3:S67)),IF($Q$1=$P$6,INDEX(prem_analysis!$BU$1:$CF$67,ROWS(prem_analysis!$N$2:P66),COLUMNS(prem_analysis!$N$2:P66)),IF($Q$1=$P$4,INDEX(Table24[[#All],[Year]:[Details]],ROWS(prem_analysis!$M$420:O484),COLUMNS(Data!$Q$3:S67)))))),"")</f>
        <v/>
      </c>
      <c r="U66" s="1" t="str">
        <f>IFERROR(IF($Q$1=$P$3,INDEX(prem_analysis!$P$2:$Q$441,ROWS(Data!$P$2:T66),COLUMNS(Data!$P$3:S67)),IF($Q$1=$P$5,INDEX(prem_analysis!$BH$1:$BS$23,ROWS(Data!$Q$3:T67),COLUMNS(Data!$Q$3:T67)),IF($Q$1=$P$6,INDEX(prem_analysis!$BU$1:$CF$67,ROWS(prem_analysis!$N$2:Q66),COLUMNS(prem_analysis!$N$2:Q66)),IF($Q$1=$P$4,INDEX(Table24[[#All],[Year]:[Details]],ROWS(prem_analysis!$M$420:P484),COLUMNS(Data!$Q$3:T67)))))),"")</f>
        <v/>
      </c>
      <c r="V66" s="1" t="str">
        <f>IFERROR(IF($Q$1=$P$3,INDEX(prem_analysis!$P$2:$Q$441,ROWS(Data!$P$2:U66),COLUMNS(Data!$P$3:T67)),IF($Q$1=$P$5,INDEX(prem_analysis!$BH$1:$BS$23,ROWS(Data!$Q$3:U67),COLUMNS(Data!$Q$3:U67)),IF($Q$1=$P$6,INDEX(prem_analysis!$BU$1:$CF$67,ROWS(prem_analysis!$N$2:R66),COLUMNS(prem_analysis!$N$2:R66)),IF($Q$1=$P$4,INDEX(Table24[[#All],[Year]:[Details]],ROWS(prem_analysis!$M$420:Q484),COLUMNS(Data!$Q$3:U67)))))),"")</f>
        <v/>
      </c>
      <c r="W66" s="1" t="str">
        <f>IFERROR(IF($Q$1=$P$3,INDEX(prem_analysis!$P$2:$Q$441,ROWS(Data!$P$2:V66),COLUMNS(Data!$P$3:U67)),IF($Q$1=$P$5,INDEX(prem_analysis!$BH$1:$BS$23,ROWS(Data!$Q$3:V67),COLUMNS(Data!$Q$3:V67)),IF($Q$1=$P$6,INDEX(prem_analysis!$BU$1:$CF$67,ROWS(prem_analysis!$N$2:S66),COLUMNS(prem_analysis!$N$2:S66)),IF($Q$1=$P$4,INDEX(Table24[[#All],[Year]:[Details]],ROWS(prem_analysis!$M$420:R484),COLUMNS(Data!$Q$3:V67)))))),"")</f>
        <v/>
      </c>
      <c r="X66" s="1" t="str">
        <f>IFERROR(IF($Q$1=$P$3,INDEX(prem_analysis!$P$2:$Q$441,ROWS(Data!$P$2:W66),COLUMNS(Data!$P$3:V67)),IF($Q$1=$P$5,INDEX(prem_analysis!$BH$1:$BS$23,ROWS(Data!$Q$3:W67),COLUMNS(Data!$Q$3:W67)),IF($Q$1=$P$6,INDEX(prem_analysis!$BU$1:$CF$67,ROWS(prem_analysis!$N$2:T66),COLUMNS(prem_analysis!$N$2:T66)),IF($Q$1=$P$4,INDEX(Table24[[#All],[Year]:[Details]],ROWS(prem_analysis!$M$420:S484),COLUMNS(Data!$Q$3:W67)))))),"")</f>
        <v/>
      </c>
      <c r="Y66" s="1" t="str">
        <f>IFERROR(IF($Q$1=$P$3,INDEX(prem_analysis!$P$2:$Q$441,ROWS(Data!$P$2:X66),COLUMNS(Data!$P$3:W67)),IF($Q$1=$P$5,INDEX(prem_analysis!$BH$1:$BS$23,ROWS(Data!$Q$3:X67),COLUMNS(Data!$Q$3:X67)),IF($Q$1=$P$6,INDEX(prem_analysis!$BU$1:$CF$67,ROWS(prem_analysis!$N$2:U66),COLUMNS(prem_analysis!$N$2:U66)),IF($Q$1=$P$4,INDEX(Table24[[#All],[Year]:[Details]],ROWS(prem_analysis!$M$420:T484),COLUMNS(Data!$Q$3:X67)))))),"")</f>
        <v/>
      </c>
      <c r="Z66" s="1" t="str">
        <f>IFERROR(IF($Q$1=$P$3,INDEX(prem_analysis!$P$2:$Q$441,ROWS(Data!$P$2:Y66),COLUMNS(Data!$P$3:X67)),IF($Q$1=$P$5,INDEX(prem_analysis!$BH$1:$BS$23,ROWS(Data!$Q$3:Y67),COLUMNS(Data!$Q$3:Y67)),IF($Q$1=$P$6,INDEX(prem_analysis!$BU$1:$CF$67,ROWS(prem_analysis!$N$2:V66),COLUMNS(prem_analysis!$N$2:V66)),IF($Q$1=$P$4,INDEX(Table24[[#All],[Year]:[Details]],ROWS(prem_analysis!$M$420:U484),COLUMNS(Data!$Q$3:Y67)))))),"")</f>
        <v/>
      </c>
      <c r="AA66" s="1" t="str">
        <f>IFERROR(IF($Q$1=$P$3,INDEX(prem_analysis!$P$2:$Q$441,ROWS(Data!$P$2:Z66),COLUMNS(Data!$P$3:Y67)),IF($Q$1=$P$5,INDEX(prem_analysis!$BH$1:$BS$23,ROWS(Data!$Q$3:Z67),COLUMNS(Data!$Q$3:Z67)),IF($Q$1=$P$6,INDEX(prem_analysis!$BU$1:$CF$67,ROWS(prem_analysis!$N$2:W66),COLUMNS(prem_analysis!$N$2:W66)),IF($Q$1=$P$4,INDEX(Table24[[#All],[Year]:[Details]],ROWS(prem_analysis!$M$420:V484),COLUMNS(Data!$Q$3:Z67)))))),"")</f>
        <v/>
      </c>
      <c r="AB66" s="1" t="str">
        <f>IFERROR(IF($Q$1=$P$3,INDEX(prem_analysis!$P$2:$Q$441,ROWS(Data!$P$2:AA66),COLUMNS(Data!$P$3:Z67)),IF($Q$1=$P$5,INDEX(prem_analysis!$BH$1:$BS$23,ROWS(Data!$Q$3:AA67),COLUMNS(Data!$Q$3:AA67)),IF($Q$1=$P$6,INDEX(prem_analysis!$BU$1:$CF$67,ROWS(prem_analysis!$N$2:X66),COLUMNS(prem_analysis!$N$2:X66)),IF($Q$1=$P$4,INDEX(Table24[[#All],[Year]:[Details]],ROWS(prem_analysis!$M$420:W484),COLUMNS(Data!$Q$3:AA67)))))),"")</f>
        <v/>
      </c>
      <c r="AC66" s="1" t="str">
        <f>IFERROR(IF($Q$1=$P$3,INDEX(prem_analysis!$P$2:$Q$441,ROWS(Data!$P$2:AB66),COLUMNS(Data!$P$3:AA67)),IF($Q$1=$P$5,INDEX(prem_analysis!$BH$1:$BS$23,ROWS(Data!$Q$3:AB67),COLUMNS(Data!$Q$3:AB67)),IF($Q$1=$P$6,INDEX(prem_analysis!$BU$1:$CF$67,ROWS(prem_analysis!$N$2:Y66),COLUMNS(prem_analysis!$N$2:Y66)),IF($Q$1=$P$4,INDEX(Table24[[#All],[Year]:[Details]],ROWS(prem_analysis!$M$420:X484),COLUMNS(Data!$Q$3:AB67)))))),"")</f>
        <v/>
      </c>
    </row>
    <row r="67" spans="1:29" x14ac:dyDescent="0.2">
      <c r="A67" s="5">
        <v>2003</v>
      </c>
      <c r="B67" s="5">
        <v>6</v>
      </c>
      <c r="C67" s="6" t="s">
        <v>18</v>
      </c>
      <c r="D67" s="5">
        <v>38</v>
      </c>
      <c r="E67" s="5">
        <v>15</v>
      </c>
      <c r="F67" s="5">
        <v>11</v>
      </c>
      <c r="G67" s="5">
        <v>12</v>
      </c>
      <c r="H67" s="5">
        <v>48</v>
      </c>
      <c r="I67" s="5">
        <v>44</v>
      </c>
      <c r="J67" s="5">
        <v>4</v>
      </c>
      <c r="K67" s="5">
        <v>56</v>
      </c>
      <c r="L67" s="5">
        <f>IF(Table24[[#This Row],['#]]=1,"Champion", IF(Table24[[#This Row],['#]]&gt;=18,"Relegated",Table24[[#This Row],['#]]))</f>
        <v>6</v>
      </c>
      <c r="M67" s="5" t="str">
        <f>IF(Table24[[#This Row],[Details]]=2,K66-Table24[[#This Row],[Pts]],IF(Table24[[#This Row],[Details]]=17,Table24[[#This Row],[Pts]]-K68,""))</f>
        <v/>
      </c>
      <c r="R67" s="1" t="str">
        <f>IFERROR(IF($Q$1=$P$3,INDEX(prem_analysis!$P$2:$Q$441,ROWS(Data!$P$2:Q67),COLUMNS(Data!$P$3:P68)),IF($Q$1=$P$5,INDEX(prem_analysis!$BH$1:$BS$23,ROWS(Data!$Q$3:Q68),COLUMNS(Data!$Q$3:Q68)),IF($Q$1=$P$6,INDEX(prem_analysis!$BU$1:$CF$67,ROWS(prem_analysis!$N$2:N67),COLUMNS(prem_analysis!$N$2:N67)),IF($Q$1=$P$4,INDEX(Table24[[#All],[Year]:[Details]],ROWS(prem_analysis!$M$420:M485),COLUMNS(Data!$Q$3:Q68)))))),"")</f>
        <v/>
      </c>
      <c r="S67" s="1" t="str">
        <f>IFERROR(IF($Q$1=$P$3,INDEX(prem_analysis!$P$2:$Q$441,ROWS(Data!$P$2:R67),COLUMNS(Data!$P$3:Q68)),IF($Q$1=$P$5,INDEX(prem_analysis!$BH$1:$BS$23,ROWS(Data!$Q$3:R68),COLUMNS(Data!$Q$3:R68)),IF($Q$1=$P$6,INDEX(prem_analysis!$BU$1:$CF$67,ROWS(prem_analysis!$N$2:O67),COLUMNS(prem_analysis!$N$2:O67)),IF($Q$1=$P$4,INDEX(Table24[[#All],[Year]:[Details]],ROWS(prem_analysis!$M$420:N485),COLUMNS(Data!$Q$3:R68)))))),"")</f>
        <v/>
      </c>
      <c r="T67" s="1" t="str">
        <f>IFERROR(IF($Q$1=$P$3,INDEX(prem_analysis!$P$2:$Q$441,ROWS(Data!$P$2:S67),COLUMNS(Data!$P$3:R68)),IF($Q$1=$P$5,INDEX(prem_analysis!$BH$1:$BS$23,ROWS(Data!$Q$3:S68),COLUMNS(Data!$Q$3:S68)),IF($Q$1=$P$6,INDEX(prem_analysis!$BU$1:$CF$67,ROWS(prem_analysis!$N$2:P67),COLUMNS(prem_analysis!$N$2:P67)),IF($Q$1=$P$4,INDEX(Table24[[#All],[Year]:[Details]],ROWS(prem_analysis!$M$420:O485),COLUMNS(Data!$Q$3:S68)))))),"")</f>
        <v/>
      </c>
      <c r="U67" s="1" t="str">
        <f>IFERROR(IF($Q$1=$P$3,INDEX(prem_analysis!$P$2:$Q$441,ROWS(Data!$P$2:T67),COLUMNS(Data!$P$3:S68)),IF($Q$1=$P$5,INDEX(prem_analysis!$BH$1:$BS$23,ROWS(Data!$Q$3:T68),COLUMNS(Data!$Q$3:T68)),IF($Q$1=$P$6,INDEX(prem_analysis!$BU$1:$CF$67,ROWS(prem_analysis!$N$2:Q67),COLUMNS(prem_analysis!$N$2:Q67)),IF($Q$1=$P$4,INDEX(Table24[[#All],[Year]:[Details]],ROWS(prem_analysis!$M$420:P485),COLUMNS(Data!$Q$3:T68)))))),"")</f>
        <v/>
      </c>
      <c r="V67" s="1" t="str">
        <f>IFERROR(IF($Q$1=$P$3,INDEX(prem_analysis!$P$2:$Q$441,ROWS(Data!$P$2:U67),COLUMNS(Data!$P$3:T68)),IF($Q$1=$P$5,INDEX(prem_analysis!$BH$1:$BS$23,ROWS(Data!$Q$3:U68),COLUMNS(Data!$Q$3:U68)),IF($Q$1=$P$6,INDEX(prem_analysis!$BU$1:$CF$67,ROWS(prem_analysis!$N$2:R67),COLUMNS(prem_analysis!$N$2:R67)),IF($Q$1=$P$4,INDEX(Table24[[#All],[Year]:[Details]],ROWS(prem_analysis!$M$420:Q485),COLUMNS(Data!$Q$3:U68)))))),"")</f>
        <v/>
      </c>
      <c r="W67" s="1" t="str">
        <f>IFERROR(IF($Q$1=$P$3,INDEX(prem_analysis!$P$2:$Q$441,ROWS(Data!$P$2:V67),COLUMNS(Data!$P$3:U68)),IF($Q$1=$P$5,INDEX(prem_analysis!$BH$1:$BS$23,ROWS(Data!$Q$3:V68),COLUMNS(Data!$Q$3:V68)),IF($Q$1=$P$6,INDEX(prem_analysis!$BU$1:$CF$67,ROWS(prem_analysis!$N$2:S67),COLUMNS(prem_analysis!$N$2:S67)),IF($Q$1=$P$4,INDEX(Table24[[#All],[Year]:[Details]],ROWS(prem_analysis!$M$420:R485),COLUMNS(Data!$Q$3:V68)))))),"")</f>
        <v/>
      </c>
      <c r="X67" s="1" t="str">
        <f>IFERROR(IF($Q$1=$P$3,INDEX(prem_analysis!$P$2:$Q$441,ROWS(Data!$P$2:W67),COLUMNS(Data!$P$3:V68)),IF($Q$1=$P$5,INDEX(prem_analysis!$BH$1:$BS$23,ROWS(Data!$Q$3:W68),COLUMNS(Data!$Q$3:W68)),IF($Q$1=$P$6,INDEX(prem_analysis!$BU$1:$CF$67,ROWS(prem_analysis!$N$2:T67),COLUMNS(prem_analysis!$N$2:T67)),IF($Q$1=$P$4,INDEX(Table24[[#All],[Year]:[Details]],ROWS(prem_analysis!$M$420:S485),COLUMNS(Data!$Q$3:W68)))))),"")</f>
        <v/>
      </c>
      <c r="Y67" s="1" t="str">
        <f>IFERROR(IF($Q$1=$P$3,INDEX(prem_analysis!$P$2:$Q$441,ROWS(Data!$P$2:X67),COLUMNS(Data!$P$3:W68)),IF($Q$1=$P$5,INDEX(prem_analysis!$BH$1:$BS$23,ROWS(Data!$Q$3:X68),COLUMNS(Data!$Q$3:X68)),IF($Q$1=$P$6,INDEX(prem_analysis!$BU$1:$CF$67,ROWS(prem_analysis!$N$2:U67),COLUMNS(prem_analysis!$N$2:U67)),IF($Q$1=$P$4,INDEX(Table24[[#All],[Year]:[Details]],ROWS(prem_analysis!$M$420:T485),COLUMNS(Data!$Q$3:X68)))))),"")</f>
        <v/>
      </c>
      <c r="Z67" s="1" t="str">
        <f>IFERROR(IF($Q$1=$P$3,INDEX(prem_analysis!$P$2:$Q$441,ROWS(Data!$P$2:Y67),COLUMNS(Data!$P$3:X68)),IF($Q$1=$P$5,INDEX(prem_analysis!$BH$1:$BS$23,ROWS(Data!$Q$3:Y68),COLUMNS(Data!$Q$3:Y68)),IF($Q$1=$P$6,INDEX(prem_analysis!$BU$1:$CF$67,ROWS(prem_analysis!$N$2:V67),COLUMNS(prem_analysis!$N$2:V67)),IF($Q$1=$P$4,INDEX(Table24[[#All],[Year]:[Details]],ROWS(prem_analysis!$M$420:U485),COLUMNS(Data!$Q$3:Y68)))))),"")</f>
        <v/>
      </c>
      <c r="AA67" s="1" t="str">
        <f>IFERROR(IF($Q$1=$P$3,INDEX(prem_analysis!$P$2:$Q$441,ROWS(Data!$P$2:Z67),COLUMNS(Data!$P$3:Y68)),IF($Q$1=$P$5,INDEX(prem_analysis!$BH$1:$BS$23,ROWS(Data!$Q$3:Z68),COLUMNS(Data!$Q$3:Z68)),IF($Q$1=$P$6,INDEX(prem_analysis!$BU$1:$CF$67,ROWS(prem_analysis!$N$2:W67),COLUMNS(prem_analysis!$N$2:W67)),IF($Q$1=$P$4,INDEX(Table24[[#All],[Year]:[Details]],ROWS(prem_analysis!$M$420:V485),COLUMNS(Data!$Q$3:Z68)))))),"")</f>
        <v/>
      </c>
      <c r="AB67" s="1" t="str">
        <f>IFERROR(IF($Q$1=$P$3,INDEX(prem_analysis!$P$2:$Q$441,ROWS(Data!$P$2:AA67),COLUMNS(Data!$P$3:Z68)),IF($Q$1=$P$5,INDEX(prem_analysis!$BH$1:$BS$23,ROWS(Data!$Q$3:AA68),COLUMNS(Data!$Q$3:AA68)),IF($Q$1=$P$6,INDEX(prem_analysis!$BU$1:$CF$67,ROWS(prem_analysis!$N$2:X67),COLUMNS(prem_analysis!$N$2:X67)),IF($Q$1=$P$4,INDEX(Table24[[#All],[Year]:[Details]],ROWS(prem_analysis!$M$420:W485),COLUMNS(Data!$Q$3:AA68)))))),"")</f>
        <v/>
      </c>
      <c r="AC67" s="1" t="str">
        <f>IFERROR(IF($Q$1=$P$3,INDEX(prem_analysis!$P$2:$Q$441,ROWS(Data!$P$2:AB67),COLUMNS(Data!$P$3:AA68)),IF($Q$1=$P$5,INDEX(prem_analysis!$BH$1:$BS$23,ROWS(Data!$Q$3:AB68),COLUMNS(Data!$Q$3:AB68)),IF($Q$1=$P$6,INDEX(prem_analysis!$BU$1:$CF$67,ROWS(prem_analysis!$N$2:Y67),COLUMNS(prem_analysis!$N$2:Y67)),IF($Q$1=$P$4,INDEX(Table24[[#All],[Year]:[Details]],ROWS(prem_analysis!$M$420:X485),COLUMNS(Data!$Q$3:AB68)))))),"")</f>
        <v/>
      </c>
    </row>
    <row r="68" spans="1:29" x14ac:dyDescent="0.2">
      <c r="A68" s="3">
        <v>2003</v>
      </c>
      <c r="B68" s="3">
        <v>7</v>
      </c>
      <c r="C68" s="4" t="s">
        <v>19</v>
      </c>
      <c r="D68" s="3">
        <v>38</v>
      </c>
      <c r="E68" s="3">
        <v>14</v>
      </c>
      <c r="F68" s="3">
        <v>11</v>
      </c>
      <c r="G68" s="3">
        <v>13</v>
      </c>
      <c r="H68" s="3">
        <v>51</v>
      </c>
      <c r="I68" s="3">
        <v>51</v>
      </c>
      <c r="J68" s="3">
        <v>0</v>
      </c>
      <c r="K68" s="3">
        <v>53</v>
      </c>
      <c r="L68" s="5">
        <f>IF(Table24[[#This Row],['#]]=1,"Champion", IF(Table24[[#This Row],['#]]&gt;=18,"Relegated",Table24[[#This Row],['#]]))</f>
        <v>7</v>
      </c>
      <c r="M68" s="5" t="str">
        <f>IF(Table24[[#This Row],[Details]]=2,K67-Table24[[#This Row],[Pts]],IF(Table24[[#This Row],[Details]]=17,Table24[[#This Row],[Pts]]-K69,""))</f>
        <v/>
      </c>
      <c r="R68" s="1" t="str">
        <f>IFERROR(IF($Q$1=$P$3,INDEX(prem_analysis!$P$2:$Q$441,ROWS(Data!$P$2:Q68),COLUMNS(Data!$P$3:P69)),IF($Q$1=$P$5,INDEX(prem_analysis!$BH$1:$BS$23,ROWS(Data!$Q$3:Q69),COLUMNS(Data!$Q$3:Q69)),IF($Q$1=$P$6,INDEX(prem_analysis!$BU$1:$CF$67,ROWS(prem_analysis!$N$2:N68),COLUMNS(prem_analysis!$N$2:N68)),IF($Q$1=$P$4,INDEX(Table24[[#All],[Year]:[Details]],ROWS(prem_analysis!$M$420:M486),COLUMNS(Data!$Q$3:Q69)))))),"")</f>
        <v/>
      </c>
      <c r="S68" s="1" t="str">
        <f>IFERROR(IF($Q$1=$P$3,INDEX(prem_analysis!$P$2:$Q$441,ROWS(Data!$P$2:R68),COLUMNS(Data!$P$3:Q69)),IF($Q$1=$P$5,INDEX(prem_analysis!$BH$1:$BS$23,ROWS(Data!$Q$3:R69),COLUMNS(Data!$Q$3:R69)),IF($Q$1=$P$6,INDEX(prem_analysis!$BU$1:$CF$67,ROWS(prem_analysis!$N$2:O68),COLUMNS(prem_analysis!$N$2:O68)),IF($Q$1=$P$4,INDEX(Table24[[#All],[Year]:[Details]],ROWS(prem_analysis!$M$420:N486),COLUMNS(Data!$Q$3:R69)))))),"")</f>
        <v/>
      </c>
      <c r="T68" s="1" t="str">
        <f>IFERROR(IF($Q$1=$P$3,INDEX(prem_analysis!$P$2:$Q$441,ROWS(Data!$P$2:S68),COLUMNS(Data!$P$3:R69)),IF($Q$1=$P$5,INDEX(prem_analysis!$BH$1:$BS$23,ROWS(Data!$Q$3:S69),COLUMNS(Data!$Q$3:S69)),IF($Q$1=$P$6,INDEX(prem_analysis!$BU$1:$CF$67,ROWS(prem_analysis!$N$2:P68),COLUMNS(prem_analysis!$N$2:P68)),IF($Q$1=$P$4,INDEX(Table24[[#All],[Year]:[Details]],ROWS(prem_analysis!$M$420:O486),COLUMNS(Data!$Q$3:S69)))))),"")</f>
        <v/>
      </c>
      <c r="U68" s="1" t="str">
        <f>IFERROR(IF($Q$1=$P$3,INDEX(prem_analysis!$P$2:$Q$441,ROWS(Data!$P$2:T68),COLUMNS(Data!$P$3:S69)),IF($Q$1=$P$5,INDEX(prem_analysis!$BH$1:$BS$23,ROWS(Data!$Q$3:T69),COLUMNS(Data!$Q$3:T69)),IF($Q$1=$P$6,INDEX(prem_analysis!$BU$1:$CF$67,ROWS(prem_analysis!$N$2:Q68),COLUMNS(prem_analysis!$N$2:Q68)),IF($Q$1=$P$4,INDEX(Table24[[#All],[Year]:[Details]],ROWS(prem_analysis!$M$420:P486),COLUMNS(Data!$Q$3:T69)))))),"")</f>
        <v/>
      </c>
      <c r="V68" s="1" t="str">
        <f>IFERROR(IF($Q$1=$P$3,INDEX(prem_analysis!$P$2:$Q$441,ROWS(Data!$P$2:U68),COLUMNS(Data!$P$3:T69)),IF($Q$1=$P$5,INDEX(prem_analysis!$BH$1:$BS$23,ROWS(Data!$Q$3:U69),COLUMNS(Data!$Q$3:U69)),IF($Q$1=$P$6,INDEX(prem_analysis!$BU$1:$CF$67,ROWS(prem_analysis!$N$2:R68),COLUMNS(prem_analysis!$N$2:R68)),IF($Q$1=$P$4,INDEX(Table24[[#All],[Year]:[Details]],ROWS(prem_analysis!$M$420:Q486),COLUMNS(Data!$Q$3:U69)))))),"")</f>
        <v/>
      </c>
      <c r="W68" s="1" t="str">
        <f>IFERROR(IF($Q$1=$P$3,INDEX(prem_analysis!$P$2:$Q$441,ROWS(Data!$P$2:V68),COLUMNS(Data!$P$3:U69)),IF($Q$1=$P$5,INDEX(prem_analysis!$BH$1:$BS$23,ROWS(Data!$Q$3:V69),COLUMNS(Data!$Q$3:V69)),IF($Q$1=$P$6,INDEX(prem_analysis!$BU$1:$CF$67,ROWS(prem_analysis!$N$2:S68),COLUMNS(prem_analysis!$N$2:S68)),IF($Q$1=$P$4,INDEX(Table24[[#All],[Year]:[Details]],ROWS(prem_analysis!$M$420:R486),COLUMNS(Data!$Q$3:V69)))))),"")</f>
        <v/>
      </c>
      <c r="X68" s="1" t="str">
        <f>IFERROR(IF($Q$1=$P$3,INDEX(prem_analysis!$P$2:$Q$441,ROWS(Data!$P$2:W68),COLUMNS(Data!$P$3:V69)),IF($Q$1=$P$5,INDEX(prem_analysis!$BH$1:$BS$23,ROWS(Data!$Q$3:W69),COLUMNS(Data!$Q$3:W69)),IF($Q$1=$P$6,INDEX(prem_analysis!$BU$1:$CF$67,ROWS(prem_analysis!$N$2:T68),COLUMNS(prem_analysis!$N$2:T68)),IF($Q$1=$P$4,INDEX(Table24[[#All],[Year]:[Details]],ROWS(prem_analysis!$M$420:S486),COLUMNS(Data!$Q$3:W69)))))),"")</f>
        <v/>
      </c>
      <c r="Y68" s="1" t="str">
        <f>IFERROR(IF($Q$1=$P$3,INDEX(prem_analysis!$P$2:$Q$441,ROWS(Data!$P$2:X68),COLUMNS(Data!$P$3:W69)),IF($Q$1=$P$5,INDEX(prem_analysis!$BH$1:$BS$23,ROWS(Data!$Q$3:X69),COLUMNS(Data!$Q$3:X69)),IF($Q$1=$P$6,INDEX(prem_analysis!$BU$1:$CF$67,ROWS(prem_analysis!$N$2:U68),COLUMNS(prem_analysis!$N$2:U68)),IF($Q$1=$P$4,INDEX(Table24[[#All],[Year]:[Details]],ROWS(prem_analysis!$M$420:T486),COLUMNS(Data!$Q$3:X69)))))),"")</f>
        <v/>
      </c>
      <c r="Z68" s="1" t="str">
        <f>IFERROR(IF($Q$1=$P$3,INDEX(prem_analysis!$P$2:$Q$441,ROWS(Data!$P$2:Y68),COLUMNS(Data!$P$3:X69)),IF($Q$1=$P$5,INDEX(prem_analysis!$BH$1:$BS$23,ROWS(Data!$Q$3:Y69),COLUMNS(Data!$Q$3:Y69)),IF($Q$1=$P$6,INDEX(prem_analysis!$BU$1:$CF$67,ROWS(prem_analysis!$N$2:V68),COLUMNS(prem_analysis!$N$2:V68)),IF($Q$1=$P$4,INDEX(Table24[[#All],[Year]:[Details]],ROWS(prem_analysis!$M$420:U486),COLUMNS(Data!$Q$3:Y69)))))),"")</f>
        <v/>
      </c>
      <c r="AA68" s="1" t="str">
        <f>IFERROR(IF($Q$1=$P$3,INDEX(prem_analysis!$P$2:$Q$441,ROWS(Data!$P$2:Z68),COLUMNS(Data!$P$3:Y69)),IF($Q$1=$P$5,INDEX(prem_analysis!$BH$1:$BS$23,ROWS(Data!$Q$3:Z69),COLUMNS(Data!$Q$3:Z69)),IF($Q$1=$P$6,INDEX(prem_analysis!$BU$1:$CF$67,ROWS(prem_analysis!$N$2:W68),COLUMNS(prem_analysis!$N$2:W68)),IF($Q$1=$P$4,INDEX(Table24[[#All],[Year]:[Details]],ROWS(prem_analysis!$M$420:V486),COLUMNS(Data!$Q$3:Z69)))))),"")</f>
        <v/>
      </c>
      <c r="AB68" s="1" t="str">
        <f>IFERROR(IF($Q$1=$P$3,INDEX(prem_analysis!$P$2:$Q$441,ROWS(Data!$P$2:AA68),COLUMNS(Data!$P$3:Z69)),IF($Q$1=$P$5,INDEX(prem_analysis!$BH$1:$BS$23,ROWS(Data!$Q$3:AA69),COLUMNS(Data!$Q$3:AA69)),IF($Q$1=$P$6,INDEX(prem_analysis!$BU$1:$CF$67,ROWS(prem_analysis!$N$2:X68),COLUMNS(prem_analysis!$N$2:X68)),IF($Q$1=$P$4,INDEX(Table24[[#All],[Year]:[Details]],ROWS(prem_analysis!$M$420:W486),COLUMNS(Data!$Q$3:AA69)))))),"")</f>
        <v/>
      </c>
      <c r="AC68" s="1" t="str">
        <f>IFERROR(IF($Q$1=$P$3,INDEX(prem_analysis!$P$2:$Q$441,ROWS(Data!$P$2:AB68),COLUMNS(Data!$P$3:AA69)),IF($Q$1=$P$5,INDEX(prem_analysis!$BH$1:$BS$23,ROWS(Data!$Q$3:AB69),COLUMNS(Data!$Q$3:AB69)),IF($Q$1=$P$6,INDEX(prem_analysis!$BU$1:$CF$67,ROWS(prem_analysis!$N$2:Y68),COLUMNS(prem_analysis!$N$2:Y68)),IF($Q$1=$P$4,INDEX(Table24[[#All],[Year]:[Details]],ROWS(prem_analysis!$M$420:X486),COLUMNS(Data!$Q$3:AB69)))))),"")</f>
        <v/>
      </c>
    </row>
    <row r="69" spans="1:29" x14ac:dyDescent="0.2">
      <c r="A69" s="5">
        <v>2003</v>
      </c>
      <c r="B69" s="5">
        <v>8</v>
      </c>
      <c r="C69" s="6" t="s">
        <v>33</v>
      </c>
      <c r="D69" s="5">
        <v>38</v>
      </c>
      <c r="E69" s="5">
        <v>14</v>
      </c>
      <c r="F69" s="5">
        <v>11</v>
      </c>
      <c r="G69" s="5">
        <v>13</v>
      </c>
      <c r="H69" s="5">
        <v>48</v>
      </c>
      <c r="I69" s="5">
        <v>56</v>
      </c>
      <c r="J69" s="5">
        <v>-8</v>
      </c>
      <c r="K69" s="5">
        <v>53</v>
      </c>
      <c r="L69" s="5">
        <f>IF(Table24[[#This Row],['#]]=1,"Champion", IF(Table24[[#This Row],['#]]&gt;=18,"Relegated",Table24[[#This Row],['#]]))</f>
        <v>8</v>
      </c>
      <c r="M69" s="5" t="str">
        <f>IF(Table24[[#This Row],[Details]]=2,K68-Table24[[#This Row],[Pts]],IF(Table24[[#This Row],[Details]]=17,Table24[[#This Row],[Pts]]-K70,""))</f>
        <v/>
      </c>
      <c r="R69" s="1" t="str">
        <f>IFERROR(IF($Q$1=$P$3,INDEX(prem_analysis!$P$2:$Q$441,ROWS(Data!$P$2:Q69),COLUMNS(Data!$P$3:P70)),IF($Q$1=$P$5,INDEX(prem_analysis!$BH$1:$BS$23,ROWS(Data!$Q$3:Q70),COLUMNS(Data!$Q$3:Q70)),IF($Q$1=$P$6,INDEX(prem_analysis!$BU$1:$CF$67,ROWS(prem_analysis!$N$2:N69),COLUMNS(prem_analysis!$N$2:N69)),IF($Q$1=$P$4,INDEX(Table24[[#All],[Year]:[Details]],ROWS(prem_analysis!$M$420:M487),COLUMNS(Data!$Q$3:Q70)))))),"")</f>
        <v/>
      </c>
      <c r="S69" s="1" t="str">
        <f>IFERROR(IF($Q$1=$P$3,INDEX(prem_analysis!$P$2:$Q$441,ROWS(Data!$P$2:R69),COLUMNS(Data!$P$3:Q70)),IF($Q$1=$P$5,INDEX(prem_analysis!$BH$1:$BS$23,ROWS(Data!$Q$3:R70),COLUMNS(Data!$Q$3:R70)),IF($Q$1=$P$6,INDEX(prem_analysis!$BU$1:$CF$67,ROWS(prem_analysis!$N$2:O69),COLUMNS(prem_analysis!$N$2:O69)),IF($Q$1=$P$4,INDEX(Table24[[#All],[Year]:[Details]],ROWS(prem_analysis!$M$420:N487),COLUMNS(Data!$Q$3:R70)))))),"")</f>
        <v/>
      </c>
      <c r="T69" s="1" t="str">
        <f>IFERROR(IF($Q$1=$P$3,INDEX(prem_analysis!$P$2:$Q$441,ROWS(Data!$P$2:S69),COLUMNS(Data!$P$3:R70)),IF($Q$1=$P$5,INDEX(prem_analysis!$BH$1:$BS$23,ROWS(Data!$Q$3:S70),COLUMNS(Data!$Q$3:S70)),IF($Q$1=$P$6,INDEX(prem_analysis!$BU$1:$CF$67,ROWS(prem_analysis!$N$2:P69),COLUMNS(prem_analysis!$N$2:P69)),IF($Q$1=$P$4,INDEX(Table24[[#All],[Year]:[Details]],ROWS(prem_analysis!$M$420:O487),COLUMNS(Data!$Q$3:S70)))))),"")</f>
        <v/>
      </c>
      <c r="U69" s="1" t="str">
        <f>IFERROR(IF($Q$1=$P$3,INDEX(prem_analysis!$P$2:$Q$441,ROWS(Data!$P$2:T69),COLUMNS(Data!$P$3:S70)),IF($Q$1=$P$5,INDEX(prem_analysis!$BH$1:$BS$23,ROWS(Data!$Q$3:T70),COLUMNS(Data!$Q$3:T70)),IF($Q$1=$P$6,INDEX(prem_analysis!$BU$1:$CF$67,ROWS(prem_analysis!$N$2:Q69),COLUMNS(prem_analysis!$N$2:Q69)),IF($Q$1=$P$4,INDEX(Table24[[#All],[Year]:[Details]],ROWS(prem_analysis!$M$420:P487),COLUMNS(Data!$Q$3:T70)))))),"")</f>
        <v/>
      </c>
      <c r="V69" s="1" t="str">
        <f>IFERROR(IF($Q$1=$P$3,INDEX(prem_analysis!$P$2:$Q$441,ROWS(Data!$P$2:U69),COLUMNS(Data!$P$3:T70)),IF($Q$1=$P$5,INDEX(prem_analysis!$BH$1:$BS$23,ROWS(Data!$Q$3:U70),COLUMNS(Data!$Q$3:U70)),IF($Q$1=$P$6,INDEX(prem_analysis!$BU$1:$CF$67,ROWS(prem_analysis!$N$2:R69),COLUMNS(prem_analysis!$N$2:R69)),IF($Q$1=$P$4,INDEX(Table24[[#All],[Year]:[Details]],ROWS(prem_analysis!$M$420:Q487),COLUMNS(Data!$Q$3:U70)))))),"")</f>
        <v/>
      </c>
      <c r="W69" s="1" t="str">
        <f>IFERROR(IF($Q$1=$P$3,INDEX(prem_analysis!$P$2:$Q$441,ROWS(Data!$P$2:V69),COLUMNS(Data!$P$3:U70)),IF($Q$1=$P$5,INDEX(prem_analysis!$BH$1:$BS$23,ROWS(Data!$Q$3:V70),COLUMNS(Data!$Q$3:V70)),IF($Q$1=$P$6,INDEX(prem_analysis!$BU$1:$CF$67,ROWS(prem_analysis!$N$2:S69),COLUMNS(prem_analysis!$N$2:S69)),IF($Q$1=$P$4,INDEX(Table24[[#All],[Year]:[Details]],ROWS(prem_analysis!$M$420:R487),COLUMNS(Data!$Q$3:V70)))))),"")</f>
        <v/>
      </c>
      <c r="X69" s="1" t="str">
        <f>IFERROR(IF($Q$1=$P$3,INDEX(prem_analysis!$P$2:$Q$441,ROWS(Data!$P$2:W69),COLUMNS(Data!$P$3:V70)),IF($Q$1=$P$5,INDEX(prem_analysis!$BH$1:$BS$23,ROWS(Data!$Q$3:W70),COLUMNS(Data!$Q$3:W70)),IF($Q$1=$P$6,INDEX(prem_analysis!$BU$1:$CF$67,ROWS(prem_analysis!$N$2:T69),COLUMNS(prem_analysis!$N$2:T69)),IF($Q$1=$P$4,INDEX(Table24[[#All],[Year]:[Details]],ROWS(prem_analysis!$M$420:S487),COLUMNS(Data!$Q$3:W70)))))),"")</f>
        <v/>
      </c>
      <c r="Y69" s="1" t="str">
        <f>IFERROR(IF($Q$1=$P$3,INDEX(prem_analysis!$P$2:$Q$441,ROWS(Data!$P$2:X69),COLUMNS(Data!$P$3:W70)),IF($Q$1=$P$5,INDEX(prem_analysis!$BH$1:$BS$23,ROWS(Data!$Q$3:X70),COLUMNS(Data!$Q$3:X70)),IF($Q$1=$P$6,INDEX(prem_analysis!$BU$1:$CF$67,ROWS(prem_analysis!$N$2:U69),COLUMNS(prem_analysis!$N$2:U69)),IF($Q$1=$P$4,INDEX(Table24[[#All],[Year]:[Details]],ROWS(prem_analysis!$M$420:T487),COLUMNS(Data!$Q$3:X70)))))),"")</f>
        <v/>
      </c>
      <c r="Z69" s="1" t="str">
        <f>IFERROR(IF($Q$1=$P$3,INDEX(prem_analysis!$P$2:$Q$441,ROWS(Data!$P$2:Y69),COLUMNS(Data!$P$3:X70)),IF($Q$1=$P$5,INDEX(prem_analysis!$BH$1:$BS$23,ROWS(Data!$Q$3:Y70),COLUMNS(Data!$Q$3:Y70)),IF($Q$1=$P$6,INDEX(prem_analysis!$BU$1:$CF$67,ROWS(prem_analysis!$N$2:V69),COLUMNS(prem_analysis!$N$2:V69)),IF($Q$1=$P$4,INDEX(Table24[[#All],[Year]:[Details]],ROWS(prem_analysis!$M$420:U487),COLUMNS(Data!$Q$3:Y70)))))),"")</f>
        <v/>
      </c>
      <c r="AA69" s="1" t="str">
        <f>IFERROR(IF($Q$1=$P$3,INDEX(prem_analysis!$P$2:$Q$441,ROWS(Data!$P$2:Z69),COLUMNS(Data!$P$3:Y70)),IF($Q$1=$P$5,INDEX(prem_analysis!$BH$1:$BS$23,ROWS(Data!$Q$3:Z70),COLUMNS(Data!$Q$3:Z70)),IF($Q$1=$P$6,INDEX(prem_analysis!$BU$1:$CF$67,ROWS(prem_analysis!$N$2:W69),COLUMNS(prem_analysis!$N$2:W69)),IF($Q$1=$P$4,INDEX(Table24[[#All],[Year]:[Details]],ROWS(prem_analysis!$M$420:V487),COLUMNS(Data!$Q$3:Z70)))))),"")</f>
        <v/>
      </c>
      <c r="AB69" s="1" t="str">
        <f>IFERROR(IF($Q$1=$P$3,INDEX(prem_analysis!$P$2:$Q$441,ROWS(Data!$P$2:AA69),COLUMNS(Data!$P$3:Z70)),IF($Q$1=$P$5,INDEX(prem_analysis!$BH$1:$BS$23,ROWS(Data!$Q$3:AA70),COLUMNS(Data!$Q$3:AA70)),IF($Q$1=$P$6,INDEX(prem_analysis!$BU$1:$CF$67,ROWS(prem_analysis!$N$2:X69),COLUMNS(prem_analysis!$N$2:X69)),IF($Q$1=$P$4,INDEX(Table24[[#All],[Year]:[Details]],ROWS(prem_analysis!$M$420:W487),COLUMNS(Data!$Q$3:AA70)))))),"")</f>
        <v/>
      </c>
      <c r="AC69" s="1" t="str">
        <f>IFERROR(IF($Q$1=$P$3,INDEX(prem_analysis!$P$2:$Q$441,ROWS(Data!$P$2:AB69),COLUMNS(Data!$P$3:AA70)),IF($Q$1=$P$5,INDEX(prem_analysis!$BH$1:$BS$23,ROWS(Data!$Q$3:AB70),COLUMNS(Data!$Q$3:AB70)),IF($Q$1=$P$6,INDEX(prem_analysis!$BU$1:$CF$67,ROWS(prem_analysis!$N$2:Y69),COLUMNS(prem_analysis!$N$2:Y69)),IF($Q$1=$P$4,INDEX(Table24[[#All],[Year]:[Details]],ROWS(prem_analysis!$M$420:X487),COLUMNS(Data!$Q$3:AB70)))))),"")</f>
        <v/>
      </c>
    </row>
    <row r="70" spans="1:29" x14ac:dyDescent="0.2">
      <c r="A70" s="3">
        <v>2003</v>
      </c>
      <c r="B70" s="3">
        <v>9</v>
      </c>
      <c r="C70" s="4" t="s">
        <v>32</v>
      </c>
      <c r="D70" s="3">
        <v>38</v>
      </c>
      <c r="E70" s="3">
        <v>14</v>
      </c>
      <c r="F70" s="3">
        <v>10</v>
      </c>
      <c r="G70" s="3">
        <v>14</v>
      </c>
      <c r="H70" s="3">
        <v>52</v>
      </c>
      <c r="I70" s="3">
        <v>46</v>
      </c>
      <c r="J70" s="3">
        <v>6</v>
      </c>
      <c r="K70" s="3">
        <v>52</v>
      </c>
      <c r="L70" s="5">
        <f>IF(Table24[[#This Row],['#]]=1,"Champion", IF(Table24[[#This Row],['#]]&gt;=18,"Relegated",Table24[[#This Row],['#]]))</f>
        <v>9</v>
      </c>
      <c r="M70" s="5" t="str">
        <f>IF(Table24[[#This Row],[Details]]=2,K69-Table24[[#This Row],[Pts]],IF(Table24[[#This Row],[Details]]=17,Table24[[#This Row],[Pts]]-K71,""))</f>
        <v/>
      </c>
      <c r="R70" s="1" t="str">
        <f>IFERROR(IF($Q$1=$P$3,INDEX(prem_analysis!$P$2:$Q$441,ROWS(Data!$P$2:Q70),COLUMNS(Data!$P$3:P71)),IF($Q$1=$P$5,INDEX(prem_analysis!$BH$1:$BS$23,ROWS(Data!$Q$3:Q71),COLUMNS(Data!$Q$3:Q71)),IF($Q$1=$P$6,INDEX(prem_analysis!$BU$1:$CF$67,ROWS(prem_analysis!$N$2:N70),COLUMNS(prem_analysis!$N$2:N70)),IF($Q$1=$P$4,INDEX(Table24[[#All],[Year]:[Details]],ROWS(prem_analysis!$M$420:M488),COLUMNS(Data!$Q$3:Q71)))))),"")</f>
        <v/>
      </c>
      <c r="S70" s="1" t="str">
        <f>IFERROR(IF($Q$1=$P$3,INDEX(prem_analysis!$P$2:$Q$441,ROWS(Data!$P$2:R70),COLUMNS(Data!$P$3:Q71)),IF($Q$1=$P$5,INDEX(prem_analysis!$BH$1:$BS$23,ROWS(Data!$Q$3:R71),COLUMNS(Data!$Q$3:R71)),IF($Q$1=$P$6,INDEX(prem_analysis!$BU$1:$CF$67,ROWS(prem_analysis!$N$2:O70),COLUMNS(prem_analysis!$N$2:O70)),IF($Q$1=$P$4,INDEX(Table24[[#All],[Year]:[Details]],ROWS(prem_analysis!$M$420:N488),COLUMNS(Data!$Q$3:R71)))))),"")</f>
        <v/>
      </c>
      <c r="T70" s="1" t="str">
        <f>IFERROR(IF($Q$1=$P$3,INDEX(prem_analysis!$P$2:$Q$441,ROWS(Data!$P$2:S70),COLUMNS(Data!$P$3:R71)),IF($Q$1=$P$5,INDEX(prem_analysis!$BH$1:$BS$23,ROWS(Data!$Q$3:S71),COLUMNS(Data!$Q$3:S71)),IF($Q$1=$P$6,INDEX(prem_analysis!$BU$1:$CF$67,ROWS(prem_analysis!$N$2:P70),COLUMNS(prem_analysis!$N$2:P70)),IF($Q$1=$P$4,INDEX(Table24[[#All],[Year]:[Details]],ROWS(prem_analysis!$M$420:O488),COLUMNS(Data!$Q$3:S71)))))),"")</f>
        <v/>
      </c>
      <c r="U70" s="1" t="str">
        <f>IFERROR(IF($Q$1=$P$3,INDEX(prem_analysis!$P$2:$Q$441,ROWS(Data!$P$2:T70),COLUMNS(Data!$P$3:S71)),IF($Q$1=$P$5,INDEX(prem_analysis!$BH$1:$BS$23,ROWS(Data!$Q$3:T71),COLUMNS(Data!$Q$3:T71)),IF($Q$1=$P$6,INDEX(prem_analysis!$BU$1:$CF$67,ROWS(prem_analysis!$N$2:Q70),COLUMNS(prem_analysis!$N$2:Q70)),IF($Q$1=$P$4,INDEX(Table24[[#All],[Year]:[Details]],ROWS(prem_analysis!$M$420:P488),COLUMNS(Data!$Q$3:T71)))))),"")</f>
        <v/>
      </c>
      <c r="V70" s="1" t="str">
        <f>IFERROR(IF($Q$1=$P$3,INDEX(prem_analysis!$P$2:$Q$441,ROWS(Data!$P$2:U70),COLUMNS(Data!$P$3:T71)),IF($Q$1=$P$5,INDEX(prem_analysis!$BH$1:$BS$23,ROWS(Data!$Q$3:U71),COLUMNS(Data!$Q$3:U71)),IF($Q$1=$P$6,INDEX(prem_analysis!$BU$1:$CF$67,ROWS(prem_analysis!$N$2:R70),COLUMNS(prem_analysis!$N$2:R70)),IF($Q$1=$P$4,INDEX(Table24[[#All],[Year]:[Details]],ROWS(prem_analysis!$M$420:Q488),COLUMNS(Data!$Q$3:U71)))))),"")</f>
        <v/>
      </c>
      <c r="W70" s="1" t="str">
        <f>IFERROR(IF($Q$1=$P$3,INDEX(prem_analysis!$P$2:$Q$441,ROWS(Data!$P$2:V70),COLUMNS(Data!$P$3:U71)),IF($Q$1=$P$5,INDEX(prem_analysis!$BH$1:$BS$23,ROWS(Data!$Q$3:V71),COLUMNS(Data!$Q$3:V71)),IF($Q$1=$P$6,INDEX(prem_analysis!$BU$1:$CF$67,ROWS(prem_analysis!$N$2:S70),COLUMNS(prem_analysis!$N$2:S70)),IF($Q$1=$P$4,INDEX(Table24[[#All],[Year]:[Details]],ROWS(prem_analysis!$M$420:R488),COLUMNS(Data!$Q$3:V71)))))),"")</f>
        <v/>
      </c>
      <c r="X70" s="1" t="str">
        <f>IFERROR(IF($Q$1=$P$3,INDEX(prem_analysis!$P$2:$Q$441,ROWS(Data!$P$2:W70),COLUMNS(Data!$P$3:V71)),IF($Q$1=$P$5,INDEX(prem_analysis!$BH$1:$BS$23,ROWS(Data!$Q$3:W71),COLUMNS(Data!$Q$3:W71)),IF($Q$1=$P$6,INDEX(prem_analysis!$BU$1:$CF$67,ROWS(prem_analysis!$N$2:T70),COLUMNS(prem_analysis!$N$2:T70)),IF($Q$1=$P$4,INDEX(Table24[[#All],[Year]:[Details]],ROWS(prem_analysis!$M$420:S488),COLUMNS(Data!$Q$3:W71)))))),"")</f>
        <v/>
      </c>
      <c r="Y70" s="1" t="str">
        <f>IFERROR(IF($Q$1=$P$3,INDEX(prem_analysis!$P$2:$Q$441,ROWS(Data!$P$2:X70),COLUMNS(Data!$P$3:W71)),IF($Q$1=$P$5,INDEX(prem_analysis!$BH$1:$BS$23,ROWS(Data!$Q$3:X71),COLUMNS(Data!$Q$3:X71)),IF($Q$1=$P$6,INDEX(prem_analysis!$BU$1:$CF$67,ROWS(prem_analysis!$N$2:U70),COLUMNS(prem_analysis!$N$2:U70)),IF($Q$1=$P$4,INDEX(Table24[[#All],[Year]:[Details]],ROWS(prem_analysis!$M$420:T488),COLUMNS(Data!$Q$3:X71)))))),"")</f>
        <v/>
      </c>
      <c r="Z70" s="1" t="str">
        <f>IFERROR(IF($Q$1=$P$3,INDEX(prem_analysis!$P$2:$Q$441,ROWS(Data!$P$2:Y70),COLUMNS(Data!$P$3:X71)),IF($Q$1=$P$5,INDEX(prem_analysis!$BH$1:$BS$23,ROWS(Data!$Q$3:Y71),COLUMNS(Data!$Q$3:Y71)),IF($Q$1=$P$6,INDEX(prem_analysis!$BU$1:$CF$67,ROWS(prem_analysis!$N$2:V70),COLUMNS(prem_analysis!$N$2:V70)),IF($Q$1=$P$4,INDEX(Table24[[#All],[Year]:[Details]],ROWS(prem_analysis!$M$420:U488),COLUMNS(Data!$Q$3:Y71)))))),"")</f>
        <v/>
      </c>
      <c r="AA70" s="1" t="str">
        <f>IFERROR(IF($Q$1=$P$3,INDEX(prem_analysis!$P$2:$Q$441,ROWS(Data!$P$2:Z70),COLUMNS(Data!$P$3:Y71)),IF($Q$1=$P$5,INDEX(prem_analysis!$BH$1:$BS$23,ROWS(Data!$Q$3:Z71),COLUMNS(Data!$Q$3:Z71)),IF($Q$1=$P$6,INDEX(prem_analysis!$BU$1:$CF$67,ROWS(prem_analysis!$N$2:W70),COLUMNS(prem_analysis!$N$2:W70)),IF($Q$1=$P$4,INDEX(Table24[[#All],[Year]:[Details]],ROWS(prem_analysis!$M$420:V488),COLUMNS(Data!$Q$3:Z71)))))),"")</f>
        <v/>
      </c>
      <c r="AB70" s="1" t="str">
        <f>IFERROR(IF($Q$1=$P$3,INDEX(prem_analysis!$P$2:$Q$441,ROWS(Data!$P$2:AA70),COLUMNS(Data!$P$3:Z71)),IF($Q$1=$P$5,INDEX(prem_analysis!$BH$1:$BS$23,ROWS(Data!$Q$3:AA71),COLUMNS(Data!$Q$3:AA71)),IF($Q$1=$P$6,INDEX(prem_analysis!$BU$1:$CF$67,ROWS(prem_analysis!$N$2:X70),COLUMNS(prem_analysis!$N$2:X70)),IF($Q$1=$P$4,INDEX(Table24[[#All],[Year]:[Details]],ROWS(prem_analysis!$M$420:W488),COLUMNS(Data!$Q$3:AA71)))))),"")</f>
        <v/>
      </c>
      <c r="AC70" s="1" t="str">
        <f>IFERROR(IF($Q$1=$P$3,INDEX(prem_analysis!$P$2:$Q$441,ROWS(Data!$P$2:AB70),COLUMNS(Data!$P$3:AA71)),IF($Q$1=$P$5,INDEX(prem_analysis!$BH$1:$BS$23,ROWS(Data!$Q$3:AB71),COLUMNS(Data!$Q$3:AB71)),IF($Q$1=$P$6,INDEX(prem_analysis!$BU$1:$CF$67,ROWS(prem_analysis!$N$2:Y70),COLUMNS(prem_analysis!$N$2:Y70)),IF($Q$1=$P$4,INDEX(Table24[[#All],[Year]:[Details]],ROWS(prem_analysis!$M$420:X488),COLUMNS(Data!$Q$3:AB71)))))),"")</f>
        <v/>
      </c>
    </row>
    <row r="71" spans="1:29" x14ac:dyDescent="0.2">
      <c r="A71" s="5">
        <v>2003</v>
      </c>
      <c r="B71" s="5">
        <v>10</v>
      </c>
      <c r="C71" s="6" t="s">
        <v>34</v>
      </c>
      <c r="D71" s="5">
        <v>38</v>
      </c>
      <c r="E71" s="5">
        <v>12</v>
      </c>
      <c r="F71" s="5">
        <v>14</v>
      </c>
      <c r="G71" s="5">
        <v>12</v>
      </c>
      <c r="H71" s="5">
        <v>43</v>
      </c>
      <c r="I71" s="5">
        <v>48</v>
      </c>
      <c r="J71" s="5">
        <v>-5</v>
      </c>
      <c r="K71" s="5">
        <v>50</v>
      </c>
      <c r="L71" s="5">
        <f>IF(Table24[[#This Row],['#]]=1,"Champion", IF(Table24[[#This Row],['#]]&gt;=18,"Relegated",Table24[[#This Row],['#]]))</f>
        <v>10</v>
      </c>
      <c r="M71" s="5" t="str">
        <f>IF(Table24[[#This Row],[Details]]=2,K70-Table24[[#This Row],[Pts]],IF(Table24[[#This Row],[Details]]=17,Table24[[#This Row],[Pts]]-K72,""))</f>
        <v/>
      </c>
      <c r="R71" s="1" t="str">
        <f>IFERROR(IF($Q$1=$P$3,INDEX(prem_analysis!$P$2:$Q$441,ROWS(Data!$P$2:Q71),COLUMNS(Data!$P$3:P72)),IF($Q$1=$P$5,INDEX(prem_analysis!$BH$1:$BS$23,ROWS(Data!$Q$3:Q72),COLUMNS(Data!$Q$3:Q72)),IF($Q$1=$P$6,INDEX(prem_analysis!$BU$1:$CF$67,ROWS(prem_analysis!$N$2:N71),COLUMNS(prem_analysis!$N$2:N71)),IF($Q$1=$P$4,INDEX(Table24[[#All],[Year]:[Details]],ROWS(prem_analysis!$M$420:M489),COLUMNS(Data!$Q$3:Q72)))))),"")</f>
        <v/>
      </c>
      <c r="S71" s="1" t="str">
        <f>IFERROR(IF($Q$1=$P$3,INDEX(prem_analysis!$P$2:$Q$441,ROWS(Data!$P$2:R71),COLUMNS(Data!$P$3:Q72)),IF($Q$1=$P$5,INDEX(prem_analysis!$BH$1:$BS$23,ROWS(Data!$Q$3:R72),COLUMNS(Data!$Q$3:R72)),IF($Q$1=$P$6,INDEX(prem_analysis!$BU$1:$CF$67,ROWS(prem_analysis!$N$2:O71),COLUMNS(prem_analysis!$N$2:O71)),IF($Q$1=$P$4,INDEX(Table24[[#All],[Year]:[Details]],ROWS(prem_analysis!$M$420:N489),COLUMNS(Data!$Q$3:R72)))))),"")</f>
        <v/>
      </c>
      <c r="T71" s="1" t="str">
        <f>IFERROR(IF($Q$1=$P$3,INDEX(prem_analysis!$P$2:$Q$441,ROWS(Data!$P$2:S71),COLUMNS(Data!$P$3:R72)),IF($Q$1=$P$5,INDEX(prem_analysis!$BH$1:$BS$23,ROWS(Data!$Q$3:S72),COLUMNS(Data!$Q$3:S72)),IF($Q$1=$P$6,INDEX(prem_analysis!$BU$1:$CF$67,ROWS(prem_analysis!$N$2:P71),COLUMNS(prem_analysis!$N$2:P71)),IF($Q$1=$P$4,INDEX(Table24[[#All],[Year]:[Details]],ROWS(prem_analysis!$M$420:O489),COLUMNS(Data!$Q$3:S72)))))),"")</f>
        <v/>
      </c>
      <c r="U71" s="1" t="str">
        <f>IFERROR(IF($Q$1=$P$3,INDEX(prem_analysis!$P$2:$Q$441,ROWS(Data!$P$2:T71),COLUMNS(Data!$P$3:S72)),IF($Q$1=$P$5,INDEX(prem_analysis!$BH$1:$BS$23,ROWS(Data!$Q$3:T72),COLUMNS(Data!$Q$3:T72)),IF($Q$1=$P$6,INDEX(prem_analysis!$BU$1:$CF$67,ROWS(prem_analysis!$N$2:Q71),COLUMNS(prem_analysis!$N$2:Q71)),IF($Q$1=$P$4,INDEX(Table24[[#All],[Year]:[Details]],ROWS(prem_analysis!$M$420:P489),COLUMNS(Data!$Q$3:T72)))))),"")</f>
        <v/>
      </c>
      <c r="V71" s="1" t="str">
        <f>IFERROR(IF($Q$1=$P$3,INDEX(prem_analysis!$P$2:$Q$441,ROWS(Data!$P$2:U71),COLUMNS(Data!$P$3:T72)),IF($Q$1=$P$5,INDEX(prem_analysis!$BH$1:$BS$23,ROWS(Data!$Q$3:U72),COLUMNS(Data!$Q$3:U72)),IF($Q$1=$P$6,INDEX(prem_analysis!$BU$1:$CF$67,ROWS(prem_analysis!$N$2:R71),COLUMNS(prem_analysis!$N$2:R71)),IF($Q$1=$P$4,INDEX(Table24[[#All],[Year]:[Details]],ROWS(prem_analysis!$M$420:Q489),COLUMNS(Data!$Q$3:U72)))))),"")</f>
        <v/>
      </c>
      <c r="W71" s="1" t="str">
        <f>IFERROR(IF($Q$1=$P$3,INDEX(prem_analysis!$P$2:$Q$441,ROWS(Data!$P$2:V71),COLUMNS(Data!$P$3:U72)),IF($Q$1=$P$5,INDEX(prem_analysis!$BH$1:$BS$23,ROWS(Data!$Q$3:V72),COLUMNS(Data!$Q$3:V72)),IF($Q$1=$P$6,INDEX(prem_analysis!$BU$1:$CF$67,ROWS(prem_analysis!$N$2:S71),COLUMNS(prem_analysis!$N$2:S71)),IF($Q$1=$P$4,INDEX(Table24[[#All],[Year]:[Details]],ROWS(prem_analysis!$M$420:R489),COLUMNS(Data!$Q$3:V72)))))),"")</f>
        <v/>
      </c>
      <c r="X71" s="1" t="str">
        <f>IFERROR(IF($Q$1=$P$3,INDEX(prem_analysis!$P$2:$Q$441,ROWS(Data!$P$2:W71),COLUMNS(Data!$P$3:V72)),IF($Q$1=$P$5,INDEX(prem_analysis!$BH$1:$BS$23,ROWS(Data!$Q$3:W72),COLUMNS(Data!$Q$3:W72)),IF($Q$1=$P$6,INDEX(prem_analysis!$BU$1:$CF$67,ROWS(prem_analysis!$N$2:T71),COLUMNS(prem_analysis!$N$2:T71)),IF($Q$1=$P$4,INDEX(Table24[[#All],[Year]:[Details]],ROWS(prem_analysis!$M$420:S489),COLUMNS(Data!$Q$3:W72)))))),"")</f>
        <v/>
      </c>
      <c r="Y71" s="1" t="str">
        <f>IFERROR(IF($Q$1=$P$3,INDEX(prem_analysis!$P$2:$Q$441,ROWS(Data!$P$2:X71),COLUMNS(Data!$P$3:W72)),IF($Q$1=$P$5,INDEX(prem_analysis!$BH$1:$BS$23,ROWS(Data!$Q$3:X72),COLUMNS(Data!$Q$3:X72)),IF($Q$1=$P$6,INDEX(prem_analysis!$BU$1:$CF$67,ROWS(prem_analysis!$N$2:U71),COLUMNS(prem_analysis!$N$2:U71)),IF($Q$1=$P$4,INDEX(Table24[[#All],[Year]:[Details]],ROWS(prem_analysis!$M$420:T489),COLUMNS(Data!$Q$3:X72)))))),"")</f>
        <v/>
      </c>
      <c r="Z71" s="1" t="str">
        <f>IFERROR(IF($Q$1=$P$3,INDEX(prem_analysis!$P$2:$Q$441,ROWS(Data!$P$2:Y71),COLUMNS(Data!$P$3:X72)),IF($Q$1=$P$5,INDEX(prem_analysis!$BH$1:$BS$23,ROWS(Data!$Q$3:Y72),COLUMNS(Data!$Q$3:Y72)),IF($Q$1=$P$6,INDEX(prem_analysis!$BU$1:$CF$67,ROWS(prem_analysis!$N$2:V71),COLUMNS(prem_analysis!$N$2:V71)),IF($Q$1=$P$4,INDEX(Table24[[#All],[Year]:[Details]],ROWS(prem_analysis!$M$420:U489),COLUMNS(Data!$Q$3:Y72)))))),"")</f>
        <v/>
      </c>
      <c r="AA71" s="1" t="str">
        <f>IFERROR(IF($Q$1=$P$3,INDEX(prem_analysis!$P$2:$Q$441,ROWS(Data!$P$2:Z71),COLUMNS(Data!$P$3:Y72)),IF($Q$1=$P$5,INDEX(prem_analysis!$BH$1:$BS$23,ROWS(Data!$Q$3:Z72),COLUMNS(Data!$Q$3:Z72)),IF($Q$1=$P$6,INDEX(prem_analysis!$BU$1:$CF$67,ROWS(prem_analysis!$N$2:W71),COLUMNS(prem_analysis!$N$2:W71)),IF($Q$1=$P$4,INDEX(Table24[[#All],[Year]:[Details]],ROWS(prem_analysis!$M$420:V489),COLUMNS(Data!$Q$3:Z72)))))),"")</f>
        <v/>
      </c>
      <c r="AB71" s="1" t="str">
        <f>IFERROR(IF($Q$1=$P$3,INDEX(prem_analysis!$P$2:$Q$441,ROWS(Data!$P$2:AA71),COLUMNS(Data!$P$3:Z72)),IF($Q$1=$P$5,INDEX(prem_analysis!$BH$1:$BS$23,ROWS(Data!$Q$3:AA72),COLUMNS(Data!$Q$3:AA72)),IF($Q$1=$P$6,INDEX(prem_analysis!$BU$1:$CF$67,ROWS(prem_analysis!$N$2:X71),COLUMNS(prem_analysis!$N$2:X71)),IF($Q$1=$P$4,INDEX(Table24[[#All],[Year]:[Details]],ROWS(prem_analysis!$M$420:W489),COLUMNS(Data!$Q$3:AA72)))))),"")</f>
        <v/>
      </c>
      <c r="AC71" s="1" t="str">
        <f>IFERROR(IF($Q$1=$P$3,INDEX(prem_analysis!$P$2:$Q$441,ROWS(Data!$P$2:AB71),COLUMNS(Data!$P$3:AA72)),IF($Q$1=$P$5,INDEX(prem_analysis!$BH$1:$BS$23,ROWS(Data!$Q$3:AB72),COLUMNS(Data!$Q$3:AB72)),IF($Q$1=$P$6,INDEX(prem_analysis!$BU$1:$CF$67,ROWS(prem_analysis!$N$2:Y71),COLUMNS(prem_analysis!$N$2:Y71)),IF($Q$1=$P$4,INDEX(Table24[[#All],[Year]:[Details]],ROWS(prem_analysis!$M$420:X489),COLUMNS(Data!$Q$3:AB72)))))),"")</f>
        <v/>
      </c>
    </row>
    <row r="72" spans="1:29" x14ac:dyDescent="0.2">
      <c r="A72" s="3">
        <v>2003</v>
      </c>
      <c r="B72" s="3">
        <v>11</v>
      </c>
      <c r="C72" s="4" t="s">
        <v>24</v>
      </c>
      <c r="D72" s="3">
        <v>38</v>
      </c>
      <c r="E72" s="3">
        <v>13</v>
      </c>
      <c r="F72" s="3">
        <v>9</v>
      </c>
      <c r="G72" s="3">
        <v>16</v>
      </c>
      <c r="H72" s="3">
        <v>44</v>
      </c>
      <c r="I72" s="3">
        <v>52</v>
      </c>
      <c r="J72" s="3">
        <v>-8</v>
      </c>
      <c r="K72" s="3">
        <v>48</v>
      </c>
      <c r="L72" s="5">
        <f>IF(Table24[[#This Row],['#]]=1,"Champion", IF(Table24[[#This Row],['#]]&gt;=18,"Relegated",Table24[[#This Row],['#]]))</f>
        <v>11</v>
      </c>
      <c r="M72" s="5" t="str">
        <f>IF(Table24[[#This Row],[Details]]=2,K71-Table24[[#This Row],[Pts]],IF(Table24[[#This Row],[Details]]=17,Table24[[#This Row],[Pts]]-K73,""))</f>
        <v/>
      </c>
      <c r="R72" s="1" t="str">
        <f>IFERROR(IF($Q$1=$P$3,INDEX(prem_analysis!$P$2:$Q$441,ROWS(Data!$P$2:Q72),COLUMNS(Data!$P$3:P73)),IF($Q$1=$P$5,INDEX(prem_analysis!$BH$1:$BS$23,ROWS(Data!$Q$3:Q73),COLUMNS(Data!$Q$3:Q73)),IF($Q$1=$P$6,INDEX(prem_analysis!$BU$1:$CF$67,ROWS(prem_analysis!$N$2:N72),COLUMNS(prem_analysis!$N$2:N72)),IF($Q$1=$P$4,INDEX(Table24[[#All],[Year]:[Details]],ROWS(prem_analysis!$M$420:M490),COLUMNS(Data!$Q$3:Q73)))))),"")</f>
        <v/>
      </c>
      <c r="S72" s="1" t="str">
        <f>IFERROR(IF($Q$1=$P$3,INDEX(prem_analysis!$P$2:$Q$441,ROWS(Data!$P$2:R72),COLUMNS(Data!$P$3:Q73)),IF($Q$1=$P$5,INDEX(prem_analysis!$BH$1:$BS$23,ROWS(Data!$Q$3:R73),COLUMNS(Data!$Q$3:R73)),IF($Q$1=$P$6,INDEX(prem_analysis!$BU$1:$CF$67,ROWS(prem_analysis!$N$2:O72),COLUMNS(prem_analysis!$N$2:O72)),IF($Q$1=$P$4,INDEX(Table24[[#All],[Year]:[Details]],ROWS(prem_analysis!$M$420:N490),COLUMNS(Data!$Q$3:R73)))))),"")</f>
        <v/>
      </c>
      <c r="T72" s="1" t="str">
        <f>IFERROR(IF($Q$1=$P$3,INDEX(prem_analysis!$P$2:$Q$441,ROWS(Data!$P$2:S72),COLUMNS(Data!$P$3:R73)),IF($Q$1=$P$5,INDEX(prem_analysis!$BH$1:$BS$23,ROWS(Data!$Q$3:S73),COLUMNS(Data!$Q$3:S73)),IF($Q$1=$P$6,INDEX(prem_analysis!$BU$1:$CF$67,ROWS(prem_analysis!$N$2:P72),COLUMNS(prem_analysis!$N$2:P72)),IF($Q$1=$P$4,INDEX(Table24[[#All],[Year]:[Details]],ROWS(prem_analysis!$M$420:O490),COLUMNS(Data!$Q$3:S73)))))),"")</f>
        <v/>
      </c>
      <c r="U72" s="1" t="str">
        <f>IFERROR(IF($Q$1=$P$3,INDEX(prem_analysis!$P$2:$Q$441,ROWS(Data!$P$2:T72),COLUMNS(Data!$P$3:S73)),IF($Q$1=$P$5,INDEX(prem_analysis!$BH$1:$BS$23,ROWS(Data!$Q$3:T73),COLUMNS(Data!$Q$3:T73)),IF($Q$1=$P$6,INDEX(prem_analysis!$BU$1:$CF$67,ROWS(prem_analysis!$N$2:Q72),COLUMNS(prem_analysis!$N$2:Q72)),IF($Q$1=$P$4,INDEX(Table24[[#All],[Year]:[Details]],ROWS(prem_analysis!$M$420:P490),COLUMNS(Data!$Q$3:T73)))))),"")</f>
        <v/>
      </c>
      <c r="V72" s="1" t="str">
        <f>IFERROR(IF($Q$1=$P$3,INDEX(prem_analysis!$P$2:$Q$441,ROWS(Data!$P$2:U72),COLUMNS(Data!$P$3:T73)),IF($Q$1=$P$5,INDEX(prem_analysis!$BH$1:$BS$23,ROWS(Data!$Q$3:U73),COLUMNS(Data!$Q$3:U73)),IF($Q$1=$P$6,INDEX(prem_analysis!$BU$1:$CF$67,ROWS(prem_analysis!$N$2:R72),COLUMNS(prem_analysis!$N$2:R72)),IF($Q$1=$P$4,INDEX(Table24[[#All],[Year]:[Details]],ROWS(prem_analysis!$M$420:Q490),COLUMNS(Data!$Q$3:U73)))))),"")</f>
        <v/>
      </c>
      <c r="W72" s="1" t="str">
        <f>IFERROR(IF($Q$1=$P$3,INDEX(prem_analysis!$P$2:$Q$441,ROWS(Data!$P$2:V72),COLUMNS(Data!$P$3:U73)),IF($Q$1=$P$5,INDEX(prem_analysis!$BH$1:$BS$23,ROWS(Data!$Q$3:V73),COLUMNS(Data!$Q$3:V73)),IF($Q$1=$P$6,INDEX(prem_analysis!$BU$1:$CF$67,ROWS(prem_analysis!$N$2:S72),COLUMNS(prem_analysis!$N$2:S72)),IF($Q$1=$P$4,INDEX(Table24[[#All],[Year]:[Details]],ROWS(prem_analysis!$M$420:R490),COLUMNS(Data!$Q$3:V73)))))),"")</f>
        <v/>
      </c>
      <c r="X72" s="1" t="str">
        <f>IFERROR(IF($Q$1=$P$3,INDEX(prem_analysis!$P$2:$Q$441,ROWS(Data!$P$2:W72),COLUMNS(Data!$P$3:V73)),IF($Q$1=$P$5,INDEX(prem_analysis!$BH$1:$BS$23,ROWS(Data!$Q$3:W73),COLUMNS(Data!$Q$3:W73)),IF($Q$1=$P$6,INDEX(prem_analysis!$BU$1:$CF$67,ROWS(prem_analysis!$N$2:T72),COLUMNS(prem_analysis!$N$2:T72)),IF($Q$1=$P$4,INDEX(Table24[[#All],[Year]:[Details]],ROWS(prem_analysis!$M$420:S490),COLUMNS(Data!$Q$3:W73)))))),"")</f>
        <v/>
      </c>
      <c r="Y72" s="1" t="str">
        <f>IFERROR(IF($Q$1=$P$3,INDEX(prem_analysis!$P$2:$Q$441,ROWS(Data!$P$2:X72),COLUMNS(Data!$P$3:W73)),IF($Q$1=$P$5,INDEX(prem_analysis!$BH$1:$BS$23,ROWS(Data!$Q$3:X73),COLUMNS(Data!$Q$3:X73)),IF($Q$1=$P$6,INDEX(prem_analysis!$BU$1:$CF$67,ROWS(prem_analysis!$N$2:U72),COLUMNS(prem_analysis!$N$2:U72)),IF($Q$1=$P$4,INDEX(Table24[[#All],[Year]:[Details]],ROWS(prem_analysis!$M$420:T490),COLUMNS(Data!$Q$3:X73)))))),"")</f>
        <v/>
      </c>
      <c r="Z72" s="1" t="str">
        <f>IFERROR(IF($Q$1=$P$3,INDEX(prem_analysis!$P$2:$Q$441,ROWS(Data!$P$2:Y72),COLUMNS(Data!$P$3:X73)),IF($Q$1=$P$5,INDEX(prem_analysis!$BH$1:$BS$23,ROWS(Data!$Q$3:Y73),COLUMNS(Data!$Q$3:Y73)),IF($Q$1=$P$6,INDEX(prem_analysis!$BU$1:$CF$67,ROWS(prem_analysis!$N$2:V72),COLUMNS(prem_analysis!$N$2:V72)),IF($Q$1=$P$4,INDEX(Table24[[#All],[Year]:[Details]],ROWS(prem_analysis!$M$420:U490),COLUMNS(Data!$Q$3:Y73)))))),"")</f>
        <v/>
      </c>
      <c r="AA72" s="1" t="str">
        <f>IFERROR(IF($Q$1=$P$3,INDEX(prem_analysis!$P$2:$Q$441,ROWS(Data!$P$2:Z72),COLUMNS(Data!$P$3:Y73)),IF($Q$1=$P$5,INDEX(prem_analysis!$BH$1:$BS$23,ROWS(Data!$Q$3:Z73),COLUMNS(Data!$Q$3:Z73)),IF($Q$1=$P$6,INDEX(prem_analysis!$BU$1:$CF$67,ROWS(prem_analysis!$N$2:W72),COLUMNS(prem_analysis!$N$2:W72)),IF($Q$1=$P$4,INDEX(Table24[[#All],[Year]:[Details]],ROWS(prem_analysis!$M$420:V490),COLUMNS(Data!$Q$3:Z73)))))),"")</f>
        <v/>
      </c>
      <c r="AB72" s="1" t="str">
        <f>IFERROR(IF($Q$1=$P$3,INDEX(prem_analysis!$P$2:$Q$441,ROWS(Data!$P$2:AA72),COLUMNS(Data!$P$3:Z73)),IF($Q$1=$P$5,INDEX(prem_analysis!$BH$1:$BS$23,ROWS(Data!$Q$3:AA73),COLUMNS(Data!$Q$3:AA73)),IF($Q$1=$P$6,INDEX(prem_analysis!$BU$1:$CF$67,ROWS(prem_analysis!$N$2:X72),COLUMNS(prem_analysis!$N$2:X72)),IF($Q$1=$P$4,INDEX(Table24[[#All],[Year]:[Details]],ROWS(prem_analysis!$M$420:W490),COLUMNS(Data!$Q$3:AA73)))))),"")</f>
        <v/>
      </c>
      <c r="AC72" s="1" t="str">
        <f>IFERROR(IF($Q$1=$P$3,INDEX(prem_analysis!$P$2:$Q$441,ROWS(Data!$P$2:AB72),COLUMNS(Data!$P$3:AA73)),IF($Q$1=$P$5,INDEX(prem_analysis!$BH$1:$BS$23,ROWS(Data!$Q$3:AB73),COLUMNS(Data!$Q$3:AB73)),IF($Q$1=$P$6,INDEX(prem_analysis!$BU$1:$CF$67,ROWS(prem_analysis!$N$2:Y72),COLUMNS(prem_analysis!$N$2:Y72)),IF($Q$1=$P$4,INDEX(Table24[[#All],[Year]:[Details]],ROWS(prem_analysis!$M$420:X490),COLUMNS(Data!$Q$3:AB73)))))),"")</f>
        <v/>
      </c>
    </row>
    <row r="73" spans="1:29" x14ac:dyDescent="0.2">
      <c r="A73" s="5">
        <v>2003</v>
      </c>
      <c r="B73" s="5">
        <v>12</v>
      </c>
      <c r="C73" s="6" t="s">
        <v>20</v>
      </c>
      <c r="D73" s="5">
        <v>38</v>
      </c>
      <c r="E73" s="5">
        <v>12</v>
      </c>
      <c r="F73" s="5">
        <v>11</v>
      </c>
      <c r="G73" s="5">
        <v>15</v>
      </c>
      <c r="H73" s="5">
        <v>44</v>
      </c>
      <c r="I73" s="5">
        <v>45</v>
      </c>
      <c r="J73" s="5">
        <v>-1</v>
      </c>
      <c r="K73" s="5">
        <v>47</v>
      </c>
      <c r="L73" s="5">
        <f>IF(Table24[[#This Row],['#]]=1,"Champion", IF(Table24[[#This Row],['#]]&gt;=18,"Relegated",Table24[[#This Row],['#]]))</f>
        <v>12</v>
      </c>
      <c r="M73" s="5" t="str">
        <f>IF(Table24[[#This Row],[Details]]=2,K72-Table24[[#This Row],[Pts]],IF(Table24[[#This Row],[Details]]=17,Table24[[#This Row],[Pts]]-K74,""))</f>
        <v/>
      </c>
      <c r="R73" s="1" t="str">
        <f>IFERROR(IF($Q$1=$P$3,INDEX(prem_analysis!$P$2:$Q$441,ROWS(Data!$P$2:Q73),COLUMNS(Data!$P$3:P74)),IF($Q$1=$P$5,INDEX(prem_analysis!$BH$1:$BS$23,ROWS(Data!$Q$3:Q74),COLUMNS(Data!$Q$3:Q74)),IF($Q$1=$P$6,INDEX(prem_analysis!$BU$1:$CF$67,ROWS(prem_analysis!$N$2:N73),COLUMNS(prem_analysis!$N$2:N73)),IF($Q$1=$P$4,INDEX(Table24[[#All],[Year]:[Details]],ROWS(prem_analysis!$M$420:M491),COLUMNS(Data!$Q$3:Q74)))))),"")</f>
        <v/>
      </c>
      <c r="S73" s="1" t="str">
        <f>IFERROR(IF($Q$1=$P$3,INDEX(prem_analysis!$P$2:$Q$441,ROWS(Data!$P$2:R73),COLUMNS(Data!$P$3:Q74)),IF($Q$1=$P$5,INDEX(prem_analysis!$BH$1:$BS$23,ROWS(Data!$Q$3:R74),COLUMNS(Data!$Q$3:R74)),IF($Q$1=$P$6,INDEX(prem_analysis!$BU$1:$CF$67,ROWS(prem_analysis!$N$2:O73),COLUMNS(prem_analysis!$N$2:O73)),IF($Q$1=$P$4,INDEX(Table24[[#All],[Year]:[Details]],ROWS(prem_analysis!$M$420:N491),COLUMNS(Data!$Q$3:R74)))))),"")</f>
        <v/>
      </c>
      <c r="T73" s="1" t="str">
        <f>IFERROR(IF($Q$1=$P$3,INDEX(prem_analysis!$P$2:$Q$441,ROWS(Data!$P$2:S73),COLUMNS(Data!$P$3:R74)),IF($Q$1=$P$5,INDEX(prem_analysis!$BH$1:$BS$23,ROWS(Data!$Q$3:S74),COLUMNS(Data!$Q$3:S74)),IF($Q$1=$P$6,INDEX(prem_analysis!$BU$1:$CF$67,ROWS(prem_analysis!$N$2:P73),COLUMNS(prem_analysis!$N$2:P73)),IF($Q$1=$P$4,INDEX(Table24[[#All],[Year]:[Details]],ROWS(prem_analysis!$M$420:O491),COLUMNS(Data!$Q$3:S74)))))),"")</f>
        <v/>
      </c>
      <c r="U73" s="1" t="str">
        <f>IFERROR(IF($Q$1=$P$3,INDEX(prem_analysis!$P$2:$Q$441,ROWS(Data!$P$2:T73),COLUMNS(Data!$P$3:S74)),IF($Q$1=$P$5,INDEX(prem_analysis!$BH$1:$BS$23,ROWS(Data!$Q$3:T74),COLUMNS(Data!$Q$3:T74)),IF($Q$1=$P$6,INDEX(prem_analysis!$BU$1:$CF$67,ROWS(prem_analysis!$N$2:Q73),COLUMNS(prem_analysis!$N$2:Q73)),IF($Q$1=$P$4,INDEX(Table24[[#All],[Year]:[Details]],ROWS(prem_analysis!$M$420:P491),COLUMNS(Data!$Q$3:T74)))))),"")</f>
        <v/>
      </c>
      <c r="V73" s="1" t="str">
        <f>IFERROR(IF($Q$1=$P$3,INDEX(prem_analysis!$P$2:$Q$441,ROWS(Data!$P$2:U73),COLUMNS(Data!$P$3:T74)),IF($Q$1=$P$5,INDEX(prem_analysis!$BH$1:$BS$23,ROWS(Data!$Q$3:U74),COLUMNS(Data!$Q$3:U74)),IF($Q$1=$P$6,INDEX(prem_analysis!$BU$1:$CF$67,ROWS(prem_analysis!$N$2:R73),COLUMNS(prem_analysis!$N$2:R73)),IF($Q$1=$P$4,INDEX(Table24[[#All],[Year]:[Details]],ROWS(prem_analysis!$M$420:Q491),COLUMNS(Data!$Q$3:U74)))))),"")</f>
        <v/>
      </c>
      <c r="W73" s="1" t="str">
        <f>IFERROR(IF($Q$1=$P$3,INDEX(prem_analysis!$P$2:$Q$441,ROWS(Data!$P$2:V73),COLUMNS(Data!$P$3:U74)),IF($Q$1=$P$5,INDEX(prem_analysis!$BH$1:$BS$23,ROWS(Data!$Q$3:V74),COLUMNS(Data!$Q$3:V74)),IF($Q$1=$P$6,INDEX(prem_analysis!$BU$1:$CF$67,ROWS(prem_analysis!$N$2:S73),COLUMNS(prem_analysis!$N$2:S73)),IF($Q$1=$P$4,INDEX(Table24[[#All],[Year]:[Details]],ROWS(prem_analysis!$M$420:R491),COLUMNS(Data!$Q$3:V74)))))),"")</f>
        <v/>
      </c>
      <c r="X73" s="1" t="str">
        <f>IFERROR(IF($Q$1=$P$3,INDEX(prem_analysis!$P$2:$Q$441,ROWS(Data!$P$2:W73),COLUMNS(Data!$P$3:V74)),IF($Q$1=$P$5,INDEX(prem_analysis!$BH$1:$BS$23,ROWS(Data!$Q$3:W74),COLUMNS(Data!$Q$3:W74)),IF($Q$1=$P$6,INDEX(prem_analysis!$BU$1:$CF$67,ROWS(prem_analysis!$N$2:T73),COLUMNS(prem_analysis!$N$2:T73)),IF($Q$1=$P$4,INDEX(Table24[[#All],[Year]:[Details]],ROWS(prem_analysis!$M$420:S491),COLUMNS(Data!$Q$3:W74)))))),"")</f>
        <v/>
      </c>
      <c r="Y73" s="1" t="str">
        <f>IFERROR(IF($Q$1=$P$3,INDEX(prem_analysis!$P$2:$Q$441,ROWS(Data!$P$2:X73),COLUMNS(Data!$P$3:W74)),IF($Q$1=$P$5,INDEX(prem_analysis!$BH$1:$BS$23,ROWS(Data!$Q$3:X74),COLUMNS(Data!$Q$3:X74)),IF($Q$1=$P$6,INDEX(prem_analysis!$BU$1:$CF$67,ROWS(prem_analysis!$N$2:U73),COLUMNS(prem_analysis!$N$2:U73)),IF($Q$1=$P$4,INDEX(Table24[[#All],[Year]:[Details]],ROWS(prem_analysis!$M$420:T491),COLUMNS(Data!$Q$3:X74)))))),"")</f>
        <v/>
      </c>
      <c r="Z73" s="1" t="str">
        <f>IFERROR(IF($Q$1=$P$3,INDEX(prem_analysis!$P$2:$Q$441,ROWS(Data!$P$2:Y73),COLUMNS(Data!$P$3:X74)),IF($Q$1=$P$5,INDEX(prem_analysis!$BH$1:$BS$23,ROWS(Data!$Q$3:Y74),COLUMNS(Data!$Q$3:Y74)),IF($Q$1=$P$6,INDEX(prem_analysis!$BU$1:$CF$67,ROWS(prem_analysis!$N$2:V73),COLUMNS(prem_analysis!$N$2:V73)),IF($Q$1=$P$4,INDEX(Table24[[#All],[Year]:[Details]],ROWS(prem_analysis!$M$420:U491),COLUMNS(Data!$Q$3:Y74)))))),"")</f>
        <v/>
      </c>
      <c r="AA73" s="1" t="str">
        <f>IFERROR(IF($Q$1=$P$3,INDEX(prem_analysis!$P$2:$Q$441,ROWS(Data!$P$2:Z73),COLUMNS(Data!$P$3:Y74)),IF($Q$1=$P$5,INDEX(prem_analysis!$BH$1:$BS$23,ROWS(Data!$Q$3:Z74),COLUMNS(Data!$Q$3:Z74)),IF($Q$1=$P$6,INDEX(prem_analysis!$BU$1:$CF$67,ROWS(prem_analysis!$N$2:W73),COLUMNS(prem_analysis!$N$2:W73)),IF($Q$1=$P$4,INDEX(Table24[[#All],[Year]:[Details]],ROWS(prem_analysis!$M$420:V491),COLUMNS(Data!$Q$3:Z74)))))),"")</f>
        <v/>
      </c>
      <c r="AB73" s="1" t="str">
        <f>IFERROR(IF($Q$1=$P$3,INDEX(prem_analysis!$P$2:$Q$441,ROWS(Data!$P$2:AA73),COLUMNS(Data!$P$3:Z74)),IF($Q$1=$P$5,INDEX(prem_analysis!$BH$1:$BS$23,ROWS(Data!$Q$3:AA74),COLUMNS(Data!$Q$3:AA74)),IF($Q$1=$P$6,INDEX(prem_analysis!$BU$1:$CF$67,ROWS(prem_analysis!$N$2:X73),COLUMNS(prem_analysis!$N$2:X73)),IF($Q$1=$P$4,INDEX(Table24[[#All],[Year]:[Details]],ROWS(prem_analysis!$M$420:W491),COLUMNS(Data!$Q$3:AA74)))))),"")</f>
        <v/>
      </c>
      <c r="AC73" s="1" t="str">
        <f>IFERROR(IF($Q$1=$P$3,INDEX(prem_analysis!$P$2:$Q$441,ROWS(Data!$P$2:AB73),COLUMNS(Data!$P$3:AA74)),IF($Q$1=$P$5,INDEX(prem_analysis!$BH$1:$BS$23,ROWS(Data!$Q$3:AB74),COLUMNS(Data!$Q$3:AB74)),IF($Q$1=$P$6,INDEX(prem_analysis!$BU$1:$CF$67,ROWS(prem_analysis!$N$2:Y73),COLUMNS(prem_analysis!$N$2:Y73)),IF($Q$1=$P$4,INDEX(Table24[[#All],[Year]:[Details]],ROWS(prem_analysis!$M$420:X491),COLUMNS(Data!$Q$3:AB74)))))),"")</f>
        <v/>
      </c>
    </row>
    <row r="74" spans="1:29" x14ac:dyDescent="0.2">
      <c r="A74" s="3">
        <v>2003</v>
      </c>
      <c r="B74" s="3">
        <v>13</v>
      </c>
      <c r="C74" s="4" t="s">
        <v>36</v>
      </c>
      <c r="D74" s="3">
        <v>38</v>
      </c>
      <c r="E74" s="3">
        <v>12</v>
      </c>
      <c r="F74" s="3">
        <v>9</v>
      </c>
      <c r="G74" s="3">
        <v>17</v>
      </c>
      <c r="H74" s="3">
        <v>47</v>
      </c>
      <c r="I74" s="3">
        <v>54</v>
      </c>
      <c r="J74" s="3">
        <v>-7</v>
      </c>
      <c r="K74" s="3">
        <v>45</v>
      </c>
      <c r="L74" s="5">
        <f>IF(Table24[[#This Row],['#]]=1,"Champion", IF(Table24[[#This Row],['#]]&gt;=18,"Relegated",Table24[[#This Row],['#]]))</f>
        <v>13</v>
      </c>
      <c r="M74" s="5" t="str">
        <f>IF(Table24[[#This Row],[Details]]=2,K73-Table24[[#This Row],[Pts]],IF(Table24[[#This Row],[Details]]=17,Table24[[#This Row],[Pts]]-K75,""))</f>
        <v/>
      </c>
      <c r="R74" s="1" t="str">
        <f>IFERROR(IF($Q$1=$P$3,INDEX(prem_analysis!$P$2:$Q$441,ROWS(Data!$P$2:Q74),COLUMNS(Data!$P$3:P75)),IF($Q$1=$P$5,INDEX(prem_analysis!$BH$1:$BS$23,ROWS(Data!$Q$3:Q75),COLUMNS(Data!$Q$3:Q75)),IF($Q$1=$P$6,INDEX(prem_analysis!$BU$1:$CF$67,ROWS(prem_analysis!$N$2:N74),COLUMNS(prem_analysis!$N$2:N74)),IF($Q$1=$P$4,INDEX(Table24[[#All],[Year]:[Details]],ROWS(prem_analysis!$M$420:M492),COLUMNS(Data!$Q$3:Q75)))))),"")</f>
        <v/>
      </c>
      <c r="S74" s="1" t="str">
        <f>IFERROR(IF($Q$1=$P$3,INDEX(prem_analysis!$P$2:$Q$441,ROWS(Data!$P$2:R74),COLUMNS(Data!$P$3:Q75)),IF($Q$1=$P$5,INDEX(prem_analysis!$BH$1:$BS$23,ROWS(Data!$Q$3:R75),COLUMNS(Data!$Q$3:R75)),IF($Q$1=$P$6,INDEX(prem_analysis!$BU$1:$CF$67,ROWS(prem_analysis!$N$2:O74),COLUMNS(prem_analysis!$N$2:O74)),IF($Q$1=$P$4,INDEX(Table24[[#All],[Year]:[Details]],ROWS(prem_analysis!$M$420:N492),COLUMNS(Data!$Q$3:R75)))))),"")</f>
        <v/>
      </c>
      <c r="T74" s="1" t="str">
        <f>IFERROR(IF($Q$1=$P$3,INDEX(prem_analysis!$P$2:$Q$441,ROWS(Data!$P$2:S74),COLUMNS(Data!$P$3:R75)),IF($Q$1=$P$5,INDEX(prem_analysis!$BH$1:$BS$23,ROWS(Data!$Q$3:S75),COLUMNS(Data!$Q$3:S75)),IF($Q$1=$P$6,INDEX(prem_analysis!$BU$1:$CF$67,ROWS(prem_analysis!$N$2:P74),COLUMNS(prem_analysis!$N$2:P74)),IF($Q$1=$P$4,INDEX(Table24[[#All],[Year]:[Details]],ROWS(prem_analysis!$M$420:O492),COLUMNS(Data!$Q$3:S75)))))),"")</f>
        <v/>
      </c>
      <c r="U74" s="1" t="str">
        <f>IFERROR(IF($Q$1=$P$3,INDEX(prem_analysis!$P$2:$Q$441,ROWS(Data!$P$2:T74),COLUMNS(Data!$P$3:S75)),IF($Q$1=$P$5,INDEX(prem_analysis!$BH$1:$BS$23,ROWS(Data!$Q$3:T75),COLUMNS(Data!$Q$3:T75)),IF($Q$1=$P$6,INDEX(prem_analysis!$BU$1:$CF$67,ROWS(prem_analysis!$N$2:Q74),COLUMNS(prem_analysis!$N$2:Q74)),IF($Q$1=$P$4,INDEX(Table24[[#All],[Year]:[Details]],ROWS(prem_analysis!$M$420:P492),COLUMNS(Data!$Q$3:T75)))))),"")</f>
        <v/>
      </c>
      <c r="V74" s="1" t="str">
        <f>IFERROR(IF($Q$1=$P$3,INDEX(prem_analysis!$P$2:$Q$441,ROWS(Data!$P$2:U74),COLUMNS(Data!$P$3:T75)),IF($Q$1=$P$5,INDEX(prem_analysis!$BH$1:$BS$23,ROWS(Data!$Q$3:U75),COLUMNS(Data!$Q$3:U75)),IF($Q$1=$P$6,INDEX(prem_analysis!$BU$1:$CF$67,ROWS(prem_analysis!$N$2:R74),COLUMNS(prem_analysis!$N$2:R74)),IF($Q$1=$P$4,INDEX(Table24[[#All],[Year]:[Details]],ROWS(prem_analysis!$M$420:Q492),COLUMNS(Data!$Q$3:U75)))))),"")</f>
        <v/>
      </c>
      <c r="W74" s="1" t="str">
        <f>IFERROR(IF($Q$1=$P$3,INDEX(prem_analysis!$P$2:$Q$441,ROWS(Data!$P$2:V74),COLUMNS(Data!$P$3:U75)),IF($Q$1=$P$5,INDEX(prem_analysis!$BH$1:$BS$23,ROWS(Data!$Q$3:V75),COLUMNS(Data!$Q$3:V75)),IF($Q$1=$P$6,INDEX(prem_analysis!$BU$1:$CF$67,ROWS(prem_analysis!$N$2:S74),COLUMNS(prem_analysis!$N$2:S74)),IF($Q$1=$P$4,INDEX(Table24[[#All],[Year]:[Details]],ROWS(prem_analysis!$M$420:R492),COLUMNS(Data!$Q$3:V75)))))),"")</f>
        <v/>
      </c>
      <c r="X74" s="1" t="str">
        <f>IFERROR(IF($Q$1=$P$3,INDEX(prem_analysis!$P$2:$Q$441,ROWS(Data!$P$2:W74),COLUMNS(Data!$P$3:V75)),IF($Q$1=$P$5,INDEX(prem_analysis!$BH$1:$BS$23,ROWS(Data!$Q$3:W75),COLUMNS(Data!$Q$3:W75)),IF($Q$1=$P$6,INDEX(prem_analysis!$BU$1:$CF$67,ROWS(prem_analysis!$N$2:T74),COLUMNS(prem_analysis!$N$2:T74)),IF($Q$1=$P$4,INDEX(Table24[[#All],[Year]:[Details]],ROWS(prem_analysis!$M$420:S492),COLUMNS(Data!$Q$3:W75)))))),"")</f>
        <v/>
      </c>
      <c r="Y74" s="1" t="str">
        <f>IFERROR(IF($Q$1=$P$3,INDEX(prem_analysis!$P$2:$Q$441,ROWS(Data!$P$2:X74),COLUMNS(Data!$P$3:W75)),IF($Q$1=$P$5,INDEX(prem_analysis!$BH$1:$BS$23,ROWS(Data!$Q$3:X75),COLUMNS(Data!$Q$3:X75)),IF($Q$1=$P$6,INDEX(prem_analysis!$BU$1:$CF$67,ROWS(prem_analysis!$N$2:U74),COLUMNS(prem_analysis!$N$2:U74)),IF($Q$1=$P$4,INDEX(Table24[[#All],[Year]:[Details]],ROWS(prem_analysis!$M$420:T492),COLUMNS(Data!$Q$3:X75)))))),"")</f>
        <v/>
      </c>
      <c r="Z74" s="1" t="str">
        <f>IFERROR(IF($Q$1=$P$3,INDEX(prem_analysis!$P$2:$Q$441,ROWS(Data!$P$2:Y74),COLUMNS(Data!$P$3:X75)),IF($Q$1=$P$5,INDEX(prem_analysis!$BH$1:$BS$23,ROWS(Data!$Q$3:Y75),COLUMNS(Data!$Q$3:Y75)),IF($Q$1=$P$6,INDEX(prem_analysis!$BU$1:$CF$67,ROWS(prem_analysis!$N$2:V74),COLUMNS(prem_analysis!$N$2:V74)),IF($Q$1=$P$4,INDEX(Table24[[#All],[Year]:[Details]],ROWS(prem_analysis!$M$420:U492),COLUMNS(Data!$Q$3:Y75)))))),"")</f>
        <v/>
      </c>
      <c r="AA74" s="1" t="str">
        <f>IFERROR(IF($Q$1=$P$3,INDEX(prem_analysis!$P$2:$Q$441,ROWS(Data!$P$2:Z74),COLUMNS(Data!$P$3:Y75)),IF($Q$1=$P$5,INDEX(prem_analysis!$BH$1:$BS$23,ROWS(Data!$Q$3:Z75),COLUMNS(Data!$Q$3:Z75)),IF($Q$1=$P$6,INDEX(prem_analysis!$BU$1:$CF$67,ROWS(prem_analysis!$N$2:W74),COLUMNS(prem_analysis!$N$2:W74)),IF($Q$1=$P$4,INDEX(Table24[[#All],[Year]:[Details]],ROWS(prem_analysis!$M$420:V492),COLUMNS(Data!$Q$3:Z75)))))),"")</f>
        <v/>
      </c>
      <c r="AB74" s="1" t="str">
        <f>IFERROR(IF($Q$1=$P$3,INDEX(prem_analysis!$P$2:$Q$441,ROWS(Data!$P$2:AA74),COLUMNS(Data!$P$3:Z75)),IF($Q$1=$P$5,INDEX(prem_analysis!$BH$1:$BS$23,ROWS(Data!$Q$3:AA75),COLUMNS(Data!$Q$3:AA75)),IF($Q$1=$P$6,INDEX(prem_analysis!$BU$1:$CF$67,ROWS(prem_analysis!$N$2:X74),COLUMNS(prem_analysis!$N$2:X74)),IF($Q$1=$P$4,INDEX(Table24[[#All],[Year]:[Details]],ROWS(prem_analysis!$M$420:W492),COLUMNS(Data!$Q$3:AA75)))))),"")</f>
        <v/>
      </c>
      <c r="AC74" s="1" t="str">
        <f>IFERROR(IF($Q$1=$P$3,INDEX(prem_analysis!$P$2:$Q$441,ROWS(Data!$P$2:AB74),COLUMNS(Data!$P$3:AA75)),IF($Q$1=$P$5,INDEX(prem_analysis!$BH$1:$BS$23,ROWS(Data!$Q$3:AB75),COLUMNS(Data!$Q$3:AB75)),IF($Q$1=$P$6,INDEX(prem_analysis!$BU$1:$CF$67,ROWS(prem_analysis!$N$2:Y74),COLUMNS(prem_analysis!$N$2:Y74)),IF($Q$1=$P$4,INDEX(Table24[[#All],[Year]:[Details]],ROWS(prem_analysis!$M$420:X492),COLUMNS(Data!$Q$3:AB75)))))),"")</f>
        <v/>
      </c>
    </row>
    <row r="75" spans="1:29" x14ac:dyDescent="0.2">
      <c r="A75" s="5">
        <v>2003</v>
      </c>
      <c r="B75" s="5">
        <v>14</v>
      </c>
      <c r="C75" s="6" t="s">
        <v>22</v>
      </c>
      <c r="D75" s="5">
        <v>38</v>
      </c>
      <c r="E75" s="5">
        <v>13</v>
      </c>
      <c r="F75" s="5">
        <v>6</v>
      </c>
      <c r="G75" s="5">
        <v>19</v>
      </c>
      <c r="H75" s="5">
        <v>47</v>
      </c>
      <c r="I75" s="5">
        <v>57</v>
      </c>
      <c r="J75" s="5">
        <v>-10</v>
      </c>
      <c r="K75" s="5">
        <v>45</v>
      </c>
      <c r="L75" s="5">
        <f>IF(Table24[[#This Row],['#]]=1,"Champion", IF(Table24[[#This Row],['#]]&gt;=18,"Relegated",Table24[[#This Row],['#]]))</f>
        <v>14</v>
      </c>
      <c r="M75" s="5" t="str">
        <f>IF(Table24[[#This Row],[Details]]=2,K74-Table24[[#This Row],[Pts]],IF(Table24[[#This Row],[Details]]=17,Table24[[#This Row],[Pts]]-K76,""))</f>
        <v/>
      </c>
      <c r="R75" s="1" t="str">
        <f>IFERROR(IF($Q$1=$P$3,INDEX(prem_analysis!$P$2:$Q$441,ROWS(Data!$P$2:Q75),COLUMNS(Data!$P$3:P76)),IF($Q$1=$P$5,INDEX(prem_analysis!$BH$1:$BS$23,ROWS(Data!$Q$3:Q76),COLUMNS(Data!$Q$3:Q76)),IF($Q$1=$P$6,INDEX(prem_analysis!$BU$1:$CF$67,ROWS(prem_analysis!$N$2:N75),COLUMNS(prem_analysis!$N$2:N75)),IF($Q$1=$P$4,INDEX(Table24[[#All],[Year]:[Details]],ROWS(prem_analysis!$M$420:M493),COLUMNS(Data!$Q$3:Q76)))))),"")</f>
        <v/>
      </c>
      <c r="S75" s="1" t="str">
        <f>IFERROR(IF($Q$1=$P$3,INDEX(prem_analysis!$P$2:$Q$441,ROWS(Data!$P$2:R75),COLUMNS(Data!$P$3:Q76)),IF($Q$1=$P$5,INDEX(prem_analysis!$BH$1:$BS$23,ROWS(Data!$Q$3:R76),COLUMNS(Data!$Q$3:R76)),IF($Q$1=$P$6,INDEX(prem_analysis!$BU$1:$CF$67,ROWS(prem_analysis!$N$2:O75),COLUMNS(prem_analysis!$N$2:O75)),IF($Q$1=$P$4,INDEX(Table24[[#All],[Year]:[Details]],ROWS(prem_analysis!$M$420:N493),COLUMNS(Data!$Q$3:R76)))))),"")</f>
        <v/>
      </c>
      <c r="T75" s="1" t="str">
        <f>IFERROR(IF($Q$1=$P$3,INDEX(prem_analysis!$P$2:$Q$441,ROWS(Data!$P$2:S75),COLUMNS(Data!$P$3:R76)),IF($Q$1=$P$5,INDEX(prem_analysis!$BH$1:$BS$23,ROWS(Data!$Q$3:S76),COLUMNS(Data!$Q$3:S76)),IF($Q$1=$P$6,INDEX(prem_analysis!$BU$1:$CF$67,ROWS(prem_analysis!$N$2:P75),COLUMNS(prem_analysis!$N$2:P75)),IF($Q$1=$P$4,INDEX(Table24[[#All],[Year]:[Details]],ROWS(prem_analysis!$M$420:O493),COLUMNS(Data!$Q$3:S76)))))),"")</f>
        <v/>
      </c>
      <c r="U75" s="1" t="str">
        <f>IFERROR(IF($Q$1=$P$3,INDEX(prem_analysis!$P$2:$Q$441,ROWS(Data!$P$2:T75),COLUMNS(Data!$P$3:S76)),IF($Q$1=$P$5,INDEX(prem_analysis!$BH$1:$BS$23,ROWS(Data!$Q$3:T76),COLUMNS(Data!$Q$3:T76)),IF($Q$1=$P$6,INDEX(prem_analysis!$BU$1:$CF$67,ROWS(prem_analysis!$N$2:Q75),COLUMNS(prem_analysis!$N$2:Q75)),IF($Q$1=$P$4,INDEX(Table24[[#All],[Year]:[Details]],ROWS(prem_analysis!$M$420:P493),COLUMNS(Data!$Q$3:T76)))))),"")</f>
        <v/>
      </c>
      <c r="V75" s="1" t="str">
        <f>IFERROR(IF($Q$1=$P$3,INDEX(prem_analysis!$P$2:$Q$441,ROWS(Data!$P$2:U75),COLUMNS(Data!$P$3:T76)),IF($Q$1=$P$5,INDEX(prem_analysis!$BH$1:$BS$23,ROWS(Data!$Q$3:U76),COLUMNS(Data!$Q$3:U76)),IF($Q$1=$P$6,INDEX(prem_analysis!$BU$1:$CF$67,ROWS(prem_analysis!$N$2:R75),COLUMNS(prem_analysis!$N$2:R75)),IF($Q$1=$P$4,INDEX(Table24[[#All],[Year]:[Details]],ROWS(prem_analysis!$M$420:Q493),COLUMNS(Data!$Q$3:U76)))))),"")</f>
        <v/>
      </c>
      <c r="W75" s="1" t="str">
        <f>IFERROR(IF($Q$1=$P$3,INDEX(prem_analysis!$P$2:$Q$441,ROWS(Data!$P$2:V75),COLUMNS(Data!$P$3:U76)),IF($Q$1=$P$5,INDEX(prem_analysis!$BH$1:$BS$23,ROWS(Data!$Q$3:V76),COLUMNS(Data!$Q$3:V76)),IF($Q$1=$P$6,INDEX(prem_analysis!$BU$1:$CF$67,ROWS(prem_analysis!$N$2:S75),COLUMNS(prem_analysis!$N$2:S75)),IF($Q$1=$P$4,INDEX(Table24[[#All],[Year]:[Details]],ROWS(prem_analysis!$M$420:R493),COLUMNS(Data!$Q$3:V76)))))),"")</f>
        <v/>
      </c>
      <c r="X75" s="1" t="str">
        <f>IFERROR(IF($Q$1=$P$3,INDEX(prem_analysis!$P$2:$Q$441,ROWS(Data!$P$2:W75),COLUMNS(Data!$P$3:V76)),IF($Q$1=$P$5,INDEX(prem_analysis!$BH$1:$BS$23,ROWS(Data!$Q$3:W76),COLUMNS(Data!$Q$3:W76)),IF($Q$1=$P$6,INDEX(prem_analysis!$BU$1:$CF$67,ROWS(prem_analysis!$N$2:T75),COLUMNS(prem_analysis!$N$2:T75)),IF($Q$1=$P$4,INDEX(Table24[[#All],[Year]:[Details]],ROWS(prem_analysis!$M$420:S493),COLUMNS(Data!$Q$3:W76)))))),"")</f>
        <v/>
      </c>
      <c r="Y75" s="1" t="str">
        <f>IFERROR(IF($Q$1=$P$3,INDEX(prem_analysis!$P$2:$Q$441,ROWS(Data!$P$2:X75),COLUMNS(Data!$P$3:W76)),IF($Q$1=$P$5,INDEX(prem_analysis!$BH$1:$BS$23,ROWS(Data!$Q$3:X76),COLUMNS(Data!$Q$3:X76)),IF($Q$1=$P$6,INDEX(prem_analysis!$BU$1:$CF$67,ROWS(prem_analysis!$N$2:U75),COLUMNS(prem_analysis!$N$2:U75)),IF($Q$1=$P$4,INDEX(Table24[[#All],[Year]:[Details]],ROWS(prem_analysis!$M$420:T493),COLUMNS(Data!$Q$3:X76)))))),"")</f>
        <v/>
      </c>
      <c r="Z75" s="1" t="str">
        <f>IFERROR(IF($Q$1=$P$3,INDEX(prem_analysis!$P$2:$Q$441,ROWS(Data!$P$2:Y75),COLUMNS(Data!$P$3:X76)),IF($Q$1=$P$5,INDEX(prem_analysis!$BH$1:$BS$23,ROWS(Data!$Q$3:Y76),COLUMNS(Data!$Q$3:Y76)),IF($Q$1=$P$6,INDEX(prem_analysis!$BU$1:$CF$67,ROWS(prem_analysis!$N$2:V75),COLUMNS(prem_analysis!$N$2:V75)),IF($Q$1=$P$4,INDEX(Table24[[#All],[Year]:[Details]],ROWS(prem_analysis!$M$420:U493),COLUMNS(Data!$Q$3:Y76)))))),"")</f>
        <v/>
      </c>
      <c r="AA75" s="1" t="str">
        <f>IFERROR(IF($Q$1=$P$3,INDEX(prem_analysis!$P$2:$Q$441,ROWS(Data!$P$2:Z75),COLUMNS(Data!$P$3:Y76)),IF($Q$1=$P$5,INDEX(prem_analysis!$BH$1:$BS$23,ROWS(Data!$Q$3:Z76),COLUMNS(Data!$Q$3:Z76)),IF($Q$1=$P$6,INDEX(prem_analysis!$BU$1:$CF$67,ROWS(prem_analysis!$N$2:W75),COLUMNS(prem_analysis!$N$2:W75)),IF($Q$1=$P$4,INDEX(Table24[[#All],[Year]:[Details]],ROWS(prem_analysis!$M$420:V493),COLUMNS(Data!$Q$3:Z76)))))),"")</f>
        <v/>
      </c>
      <c r="AB75" s="1" t="str">
        <f>IFERROR(IF($Q$1=$P$3,INDEX(prem_analysis!$P$2:$Q$441,ROWS(Data!$P$2:AA75),COLUMNS(Data!$P$3:Z76)),IF($Q$1=$P$5,INDEX(prem_analysis!$BH$1:$BS$23,ROWS(Data!$Q$3:AA76),COLUMNS(Data!$Q$3:AA76)),IF($Q$1=$P$6,INDEX(prem_analysis!$BU$1:$CF$67,ROWS(prem_analysis!$N$2:X75),COLUMNS(prem_analysis!$N$2:X75)),IF($Q$1=$P$4,INDEX(Table24[[#All],[Year]:[Details]],ROWS(prem_analysis!$M$420:W493),COLUMNS(Data!$Q$3:AA76)))))),"")</f>
        <v/>
      </c>
      <c r="AC75" s="1" t="str">
        <f>IFERROR(IF($Q$1=$P$3,INDEX(prem_analysis!$P$2:$Q$441,ROWS(Data!$P$2:AB75),COLUMNS(Data!$P$3:AA76)),IF($Q$1=$P$5,INDEX(prem_analysis!$BH$1:$BS$23,ROWS(Data!$Q$3:AB76),COLUMNS(Data!$Q$3:AB76)),IF($Q$1=$P$6,INDEX(prem_analysis!$BU$1:$CF$67,ROWS(prem_analysis!$N$2:Y75),COLUMNS(prem_analysis!$N$2:Y75)),IF($Q$1=$P$4,INDEX(Table24[[#All],[Year]:[Details]],ROWS(prem_analysis!$M$420:X493),COLUMNS(Data!$Q$3:AB76)))))),"")</f>
        <v/>
      </c>
    </row>
    <row r="76" spans="1:29" x14ac:dyDescent="0.2">
      <c r="A76" s="3">
        <v>2003</v>
      </c>
      <c r="B76" s="3">
        <v>15</v>
      </c>
      <c r="C76" s="4" t="s">
        <v>31</v>
      </c>
      <c r="D76" s="3">
        <v>38</v>
      </c>
      <c r="E76" s="3">
        <v>12</v>
      </c>
      <c r="F76" s="3">
        <v>8</v>
      </c>
      <c r="G76" s="3">
        <v>18</v>
      </c>
      <c r="H76" s="3">
        <v>51</v>
      </c>
      <c r="I76" s="3">
        <v>59</v>
      </c>
      <c r="J76" s="3">
        <v>-8</v>
      </c>
      <c r="K76" s="3">
        <v>44</v>
      </c>
      <c r="L76" s="5">
        <f>IF(Table24[[#This Row],['#]]=1,"Champion", IF(Table24[[#This Row],['#]]&gt;=18,"Relegated",Table24[[#This Row],['#]]))</f>
        <v>15</v>
      </c>
      <c r="M76" s="5" t="str">
        <f>IF(Table24[[#This Row],[Details]]=2,K75-Table24[[#This Row],[Pts]],IF(Table24[[#This Row],[Details]]=17,Table24[[#This Row],[Pts]]-K77,""))</f>
        <v/>
      </c>
      <c r="R76" s="1" t="str">
        <f>IFERROR(IF($Q$1=$P$3,INDEX(prem_analysis!$P$2:$Q$441,ROWS(Data!$P$2:Q76),COLUMNS(Data!$P$3:P77)),IF($Q$1=$P$5,INDEX(prem_analysis!$BH$1:$BS$23,ROWS(Data!$Q$3:Q77),COLUMNS(Data!$Q$3:Q77)),IF($Q$1=$P$6,INDEX(prem_analysis!$BU$1:$CF$67,ROWS(prem_analysis!$N$2:N76),COLUMNS(prem_analysis!$N$2:N76)),IF($Q$1=$P$4,INDEX(Table24[[#All],[Year]:[Details]],ROWS(prem_analysis!$M$420:M494),COLUMNS(Data!$Q$3:Q77)))))),"")</f>
        <v/>
      </c>
      <c r="S76" s="1" t="str">
        <f>IFERROR(IF($Q$1=$P$3,INDEX(prem_analysis!$P$2:$Q$441,ROWS(Data!$P$2:R76),COLUMNS(Data!$P$3:Q77)),IF($Q$1=$P$5,INDEX(prem_analysis!$BH$1:$BS$23,ROWS(Data!$Q$3:R77),COLUMNS(Data!$Q$3:R77)),IF($Q$1=$P$6,INDEX(prem_analysis!$BU$1:$CF$67,ROWS(prem_analysis!$N$2:O76),COLUMNS(prem_analysis!$N$2:O76)),IF($Q$1=$P$4,INDEX(Table24[[#All],[Year]:[Details]],ROWS(prem_analysis!$M$420:N494),COLUMNS(Data!$Q$3:R77)))))),"")</f>
        <v/>
      </c>
      <c r="T76" s="1" t="str">
        <f>IFERROR(IF($Q$1=$P$3,INDEX(prem_analysis!$P$2:$Q$441,ROWS(Data!$P$2:S76),COLUMNS(Data!$P$3:R77)),IF($Q$1=$P$5,INDEX(prem_analysis!$BH$1:$BS$23,ROWS(Data!$Q$3:S77),COLUMNS(Data!$Q$3:S77)),IF($Q$1=$P$6,INDEX(prem_analysis!$BU$1:$CF$67,ROWS(prem_analysis!$N$2:P76),COLUMNS(prem_analysis!$N$2:P76)),IF($Q$1=$P$4,INDEX(Table24[[#All],[Year]:[Details]],ROWS(prem_analysis!$M$420:O494),COLUMNS(Data!$Q$3:S77)))))),"")</f>
        <v/>
      </c>
      <c r="U76" s="1" t="str">
        <f>IFERROR(IF($Q$1=$P$3,INDEX(prem_analysis!$P$2:$Q$441,ROWS(Data!$P$2:T76),COLUMNS(Data!$P$3:S77)),IF($Q$1=$P$5,INDEX(prem_analysis!$BH$1:$BS$23,ROWS(Data!$Q$3:T77),COLUMNS(Data!$Q$3:T77)),IF($Q$1=$P$6,INDEX(prem_analysis!$BU$1:$CF$67,ROWS(prem_analysis!$N$2:Q76),COLUMNS(prem_analysis!$N$2:Q76)),IF($Q$1=$P$4,INDEX(Table24[[#All],[Year]:[Details]],ROWS(prem_analysis!$M$420:P494),COLUMNS(Data!$Q$3:T77)))))),"")</f>
        <v/>
      </c>
      <c r="V76" s="1" t="str">
        <f>IFERROR(IF($Q$1=$P$3,INDEX(prem_analysis!$P$2:$Q$441,ROWS(Data!$P$2:U76),COLUMNS(Data!$P$3:T77)),IF($Q$1=$P$5,INDEX(prem_analysis!$BH$1:$BS$23,ROWS(Data!$Q$3:U77),COLUMNS(Data!$Q$3:U77)),IF($Q$1=$P$6,INDEX(prem_analysis!$BU$1:$CF$67,ROWS(prem_analysis!$N$2:R76),COLUMNS(prem_analysis!$N$2:R76)),IF($Q$1=$P$4,INDEX(Table24[[#All],[Year]:[Details]],ROWS(prem_analysis!$M$420:Q494),COLUMNS(Data!$Q$3:U77)))))),"")</f>
        <v/>
      </c>
      <c r="W76" s="1" t="str">
        <f>IFERROR(IF($Q$1=$P$3,INDEX(prem_analysis!$P$2:$Q$441,ROWS(Data!$P$2:V76),COLUMNS(Data!$P$3:U77)),IF($Q$1=$P$5,INDEX(prem_analysis!$BH$1:$BS$23,ROWS(Data!$Q$3:V77),COLUMNS(Data!$Q$3:V77)),IF($Q$1=$P$6,INDEX(prem_analysis!$BU$1:$CF$67,ROWS(prem_analysis!$N$2:S76),COLUMNS(prem_analysis!$N$2:S76)),IF($Q$1=$P$4,INDEX(Table24[[#All],[Year]:[Details]],ROWS(prem_analysis!$M$420:R494),COLUMNS(Data!$Q$3:V77)))))),"")</f>
        <v/>
      </c>
      <c r="X76" s="1" t="str">
        <f>IFERROR(IF($Q$1=$P$3,INDEX(prem_analysis!$P$2:$Q$441,ROWS(Data!$P$2:W76),COLUMNS(Data!$P$3:V77)),IF($Q$1=$P$5,INDEX(prem_analysis!$BH$1:$BS$23,ROWS(Data!$Q$3:W77),COLUMNS(Data!$Q$3:W77)),IF($Q$1=$P$6,INDEX(prem_analysis!$BU$1:$CF$67,ROWS(prem_analysis!$N$2:T76),COLUMNS(prem_analysis!$N$2:T76)),IF($Q$1=$P$4,INDEX(Table24[[#All],[Year]:[Details]],ROWS(prem_analysis!$M$420:S494),COLUMNS(Data!$Q$3:W77)))))),"")</f>
        <v/>
      </c>
      <c r="Y76" s="1" t="str">
        <f>IFERROR(IF($Q$1=$P$3,INDEX(prem_analysis!$P$2:$Q$441,ROWS(Data!$P$2:X76),COLUMNS(Data!$P$3:W77)),IF($Q$1=$P$5,INDEX(prem_analysis!$BH$1:$BS$23,ROWS(Data!$Q$3:X77),COLUMNS(Data!$Q$3:X77)),IF($Q$1=$P$6,INDEX(prem_analysis!$BU$1:$CF$67,ROWS(prem_analysis!$N$2:U76),COLUMNS(prem_analysis!$N$2:U76)),IF($Q$1=$P$4,INDEX(Table24[[#All],[Year]:[Details]],ROWS(prem_analysis!$M$420:T494),COLUMNS(Data!$Q$3:X77)))))),"")</f>
        <v/>
      </c>
      <c r="Z76" s="1" t="str">
        <f>IFERROR(IF($Q$1=$P$3,INDEX(prem_analysis!$P$2:$Q$441,ROWS(Data!$P$2:Y76),COLUMNS(Data!$P$3:X77)),IF($Q$1=$P$5,INDEX(prem_analysis!$BH$1:$BS$23,ROWS(Data!$Q$3:Y77),COLUMNS(Data!$Q$3:Y77)),IF($Q$1=$P$6,INDEX(prem_analysis!$BU$1:$CF$67,ROWS(prem_analysis!$N$2:V76),COLUMNS(prem_analysis!$N$2:V76)),IF($Q$1=$P$4,INDEX(Table24[[#All],[Year]:[Details]],ROWS(prem_analysis!$M$420:U494),COLUMNS(Data!$Q$3:Y77)))))),"")</f>
        <v/>
      </c>
      <c r="AA76" s="1" t="str">
        <f>IFERROR(IF($Q$1=$P$3,INDEX(prem_analysis!$P$2:$Q$441,ROWS(Data!$P$2:Z76),COLUMNS(Data!$P$3:Y77)),IF($Q$1=$P$5,INDEX(prem_analysis!$BH$1:$BS$23,ROWS(Data!$Q$3:Z77),COLUMNS(Data!$Q$3:Z77)),IF($Q$1=$P$6,INDEX(prem_analysis!$BU$1:$CF$67,ROWS(prem_analysis!$N$2:W76),COLUMNS(prem_analysis!$N$2:W76)),IF($Q$1=$P$4,INDEX(Table24[[#All],[Year]:[Details]],ROWS(prem_analysis!$M$420:V494),COLUMNS(Data!$Q$3:Z77)))))),"")</f>
        <v/>
      </c>
      <c r="AB76" s="1" t="str">
        <f>IFERROR(IF($Q$1=$P$3,INDEX(prem_analysis!$P$2:$Q$441,ROWS(Data!$P$2:AA76),COLUMNS(Data!$P$3:Z77)),IF($Q$1=$P$5,INDEX(prem_analysis!$BH$1:$BS$23,ROWS(Data!$Q$3:AA77),COLUMNS(Data!$Q$3:AA77)),IF($Q$1=$P$6,INDEX(prem_analysis!$BU$1:$CF$67,ROWS(prem_analysis!$N$2:X76),COLUMNS(prem_analysis!$N$2:X76)),IF($Q$1=$P$4,INDEX(Table24[[#All],[Year]:[Details]],ROWS(prem_analysis!$M$420:W494),COLUMNS(Data!$Q$3:AA77)))))),"")</f>
        <v/>
      </c>
      <c r="AC76" s="1" t="str">
        <f>IFERROR(IF($Q$1=$P$3,INDEX(prem_analysis!$P$2:$Q$441,ROWS(Data!$P$2:AB76),COLUMNS(Data!$P$3:AA77)),IF($Q$1=$P$5,INDEX(prem_analysis!$BH$1:$BS$23,ROWS(Data!$Q$3:AB77),COLUMNS(Data!$Q$3:AB77)),IF($Q$1=$P$6,INDEX(prem_analysis!$BU$1:$CF$67,ROWS(prem_analysis!$N$2:Y76),COLUMNS(prem_analysis!$N$2:Y76)),IF($Q$1=$P$4,INDEX(Table24[[#All],[Year]:[Details]],ROWS(prem_analysis!$M$420:X494),COLUMNS(Data!$Q$3:AB77)))))),"")</f>
        <v/>
      </c>
    </row>
    <row r="77" spans="1:29" x14ac:dyDescent="0.2">
      <c r="A77" s="5">
        <v>2003</v>
      </c>
      <c r="B77" s="5">
        <v>16</v>
      </c>
      <c r="C77" s="6" t="s">
        <v>28</v>
      </c>
      <c r="D77" s="5">
        <v>38</v>
      </c>
      <c r="E77" s="5">
        <v>9</v>
      </c>
      <c r="F77" s="5">
        <v>14</v>
      </c>
      <c r="G77" s="5">
        <v>15</v>
      </c>
      <c r="H77" s="5">
        <v>55</v>
      </c>
      <c r="I77" s="5">
        <v>54</v>
      </c>
      <c r="J77" s="5">
        <v>1</v>
      </c>
      <c r="K77" s="5">
        <v>41</v>
      </c>
      <c r="L77" s="5">
        <f>IF(Table24[[#This Row],['#]]=1,"Champion", IF(Table24[[#This Row],['#]]&gt;=18,"Relegated",Table24[[#This Row],['#]]))</f>
        <v>16</v>
      </c>
      <c r="M77" s="5" t="str">
        <f>IF(Table24[[#This Row],[Details]]=2,K76-Table24[[#This Row],[Pts]],IF(Table24[[#This Row],[Details]]=17,Table24[[#This Row],[Pts]]-K78,""))</f>
        <v/>
      </c>
      <c r="R77" s="1" t="str">
        <f>IFERROR(IF($Q$1=$P$3,INDEX(prem_analysis!$P$2:$Q$441,ROWS(Data!$P$2:Q77),COLUMNS(Data!$P$3:P78)),IF($Q$1=$P$5,INDEX(prem_analysis!$BH$1:$BS$23,ROWS(Data!$Q$3:Q78),COLUMNS(Data!$Q$3:Q78)),IF($Q$1=$P$6,INDEX(prem_analysis!$BU$1:$CF$67,ROWS(prem_analysis!$N$2:N77),COLUMNS(prem_analysis!$N$2:N77)),IF($Q$1=$P$4,INDEX(Table24[[#All],[Year]:[Details]],ROWS(prem_analysis!$M$420:M495),COLUMNS(Data!$Q$3:Q78)))))),"")</f>
        <v/>
      </c>
      <c r="S77" s="1" t="str">
        <f>IFERROR(IF($Q$1=$P$3,INDEX(prem_analysis!$P$2:$Q$441,ROWS(Data!$P$2:R77),COLUMNS(Data!$P$3:Q78)),IF($Q$1=$P$5,INDEX(prem_analysis!$BH$1:$BS$23,ROWS(Data!$Q$3:R78),COLUMNS(Data!$Q$3:R78)),IF($Q$1=$P$6,INDEX(prem_analysis!$BU$1:$CF$67,ROWS(prem_analysis!$N$2:O77),COLUMNS(prem_analysis!$N$2:O77)),IF($Q$1=$P$4,INDEX(Table24[[#All],[Year]:[Details]],ROWS(prem_analysis!$M$420:N495),COLUMNS(Data!$Q$3:R78)))))),"")</f>
        <v/>
      </c>
      <c r="T77" s="1" t="str">
        <f>IFERROR(IF($Q$1=$P$3,INDEX(prem_analysis!$P$2:$Q$441,ROWS(Data!$P$2:S77),COLUMNS(Data!$P$3:R78)),IF($Q$1=$P$5,INDEX(prem_analysis!$BH$1:$BS$23,ROWS(Data!$Q$3:S78),COLUMNS(Data!$Q$3:S78)),IF($Q$1=$P$6,INDEX(prem_analysis!$BU$1:$CF$67,ROWS(prem_analysis!$N$2:P77),COLUMNS(prem_analysis!$N$2:P77)),IF($Q$1=$P$4,INDEX(Table24[[#All],[Year]:[Details]],ROWS(prem_analysis!$M$420:O495),COLUMNS(Data!$Q$3:S78)))))),"")</f>
        <v/>
      </c>
      <c r="U77" s="1" t="str">
        <f>IFERROR(IF($Q$1=$P$3,INDEX(prem_analysis!$P$2:$Q$441,ROWS(Data!$P$2:T77),COLUMNS(Data!$P$3:S78)),IF($Q$1=$P$5,INDEX(prem_analysis!$BH$1:$BS$23,ROWS(Data!$Q$3:T78),COLUMNS(Data!$Q$3:T78)),IF($Q$1=$P$6,INDEX(prem_analysis!$BU$1:$CF$67,ROWS(prem_analysis!$N$2:Q77),COLUMNS(prem_analysis!$N$2:Q77)),IF($Q$1=$P$4,INDEX(Table24[[#All],[Year]:[Details]],ROWS(prem_analysis!$M$420:P495),COLUMNS(Data!$Q$3:T78)))))),"")</f>
        <v/>
      </c>
      <c r="V77" s="1" t="str">
        <f>IFERROR(IF($Q$1=$P$3,INDEX(prem_analysis!$P$2:$Q$441,ROWS(Data!$P$2:U77),COLUMNS(Data!$P$3:T78)),IF($Q$1=$P$5,INDEX(prem_analysis!$BH$1:$BS$23,ROWS(Data!$Q$3:U78),COLUMNS(Data!$Q$3:U78)),IF($Q$1=$P$6,INDEX(prem_analysis!$BU$1:$CF$67,ROWS(prem_analysis!$N$2:R77),COLUMNS(prem_analysis!$N$2:R77)),IF($Q$1=$P$4,INDEX(Table24[[#All],[Year]:[Details]],ROWS(prem_analysis!$M$420:Q495),COLUMNS(Data!$Q$3:U78)))))),"")</f>
        <v/>
      </c>
      <c r="W77" s="1" t="str">
        <f>IFERROR(IF($Q$1=$P$3,INDEX(prem_analysis!$P$2:$Q$441,ROWS(Data!$P$2:V77),COLUMNS(Data!$P$3:U78)),IF($Q$1=$P$5,INDEX(prem_analysis!$BH$1:$BS$23,ROWS(Data!$Q$3:V78),COLUMNS(Data!$Q$3:V78)),IF($Q$1=$P$6,INDEX(prem_analysis!$BU$1:$CF$67,ROWS(prem_analysis!$N$2:S77),COLUMNS(prem_analysis!$N$2:S77)),IF($Q$1=$P$4,INDEX(Table24[[#All],[Year]:[Details]],ROWS(prem_analysis!$M$420:R495),COLUMNS(Data!$Q$3:V78)))))),"")</f>
        <v/>
      </c>
      <c r="X77" s="1" t="str">
        <f>IFERROR(IF($Q$1=$P$3,INDEX(prem_analysis!$P$2:$Q$441,ROWS(Data!$P$2:W77),COLUMNS(Data!$P$3:V78)),IF($Q$1=$P$5,INDEX(prem_analysis!$BH$1:$BS$23,ROWS(Data!$Q$3:W78),COLUMNS(Data!$Q$3:W78)),IF($Q$1=$P$6,INDEX(prem_analysis!$BU$1:$CF$67,ROWS(prem_analysis!$N$2:T77),COLUMNS(prem_analysis!$N$2:T77)),IF($Q$1=$P$4,INDEX(Table24[[#All],[Year]:[Details]],ROWS(prem_analysis!$M$420:S495),COLUMNS(Data!$Q$3:W78)))))),"")</f>
        <v/>
      </c>
      <c r="Y77" s="1" t="str">
        <f>IFERROR(IF($Q$1=$P$3,INDEX(prem_analysis!$P$2:$Q$441,ROWS(Data!$P$2:X77),COLUMNS(Data!$P$3:W78)),IF($Q$1=$P$5,INDEX(prem_analysis!$BH$1:$BS$23,ROWS(Data!$Q$3:X78),COLUMNS(Data!$Q$3:X78)),IF($Q$1=$P$6,INDEX(prem_analysis!$BU$1:$CF$67,ROWS(prem_analysis!$N$2:U77),COLUMNS(prem_analysis!$N$2:U77)),IF($Q$1=$P$4,INDEX(Table24[[#All],[Year]:[Details]],ROWS(prem_analysis!$M$420:T495),COLUMNS(Data!$Q$3:X78)))))),"")</f>
        <v/>
      </c>
      <c r="Z77" s="1" t="str">
        <f>IFERROR(IF($Q$1=$P$3,INDEX(prem_analysis!$P$2:$Q$441,ROWS(Data!$P$2:Y77),COLUMNS(Data!$P$3:X78)),IF($Q$1=$P$5,INDEX(prem_analysis!$BH$1:$BS$23,ROWS(Data!$Q$3:Y78),COLUMNS(Data!$Q$3:Y78)),IF($Q$1=$P$6,INDEX(prem_analysis!$BU$1:$CF$67,ROWS(prem_analysis!$N$2:V77),COLUMNS(prem_analysis!$N$2:V77)),IF($Q$1=$P$4,INDEX(Table24[[#All],[Year]:[Details]],ROWS(prem_analysis!$M$420:U495),COLUMNS(Data!$Q$3:Y78)))))),"")</f>
        <v/>
      </c>
      <c r="AA77" s="1" t="str">
        <f>IFERROR(IF($Q$1=$P$3,INDEX(prem_analysis!$P$2:$Q$441,ROWS(Data!$P$2:Z77),COLUMNS(Data!$P$3:Y78)),IF($Q$1=$P$5,INDEX(prem_analysis!$BH$1:$BS$23,ROWS(Data!$Q$3:Z78),COLUMNS(Data!$Q$3:Z78)),IF($Q$1=$P$6,INDEX(prem_analysis!$BU$1:$CF$67,ROWS(prem_analysis!$N$2:W77),COLUMNS(prem_analysis!$N$2:W77)),IF($Q$1=$P$4,INDEX(Table24[[#All],[Year]:[Details]],ROWS(prem_analysis!$M$420:V495),COLUMNS(Data!$Q$3:Z78)))))),"")</f>
        <v/>
      </c>
      <c r="AB77" s="1" t="str">
        <f>IFERROR(IF($Q$1=$P$3,INDEX(prem_analysis!$P$2:$Q$441,ROWS(Data!$P$2:AA77),COLUMNS(Data!$P$3:Z78)),IF($Q$1=$P$5,INDEX(prem_analysis!$BH$1:$BS$23,ROWS(Data!$Q$3:AA78),COLUMNS(Data!$Q$3:AA78)),IF($Q$1=$P$6,INDEX(prem_analysis!$BU$1:$CF$67,ROWS(prem_analysis!$N$2:X77),COLUMNS(prem_analysis!$N$2:X77)),IF($Q$1=$P$4,INDEX(Table24[[#All],[Year]:[Details]],ROWS(prem_analysis!$M$420:W495),COLUMNS(Data!$Q$3:AA78)))))),"")</f>
        <v/>
      </c>
      <c r="AC77" s="1" t="str">
        <f>IFERROR(IF($Q$1=$P$3,INDEX(prem_analysis!$P$2:$Q$441,ROWS(Data!$P$2:AB77),COLUMNS(Data!$P$3:AA78)),IF($Q$1=$P$5,INDEX(prem_analysis!$BH$1:$BS$23,ROWS(Data!$Q$3:AB78),COLUMNS(Data!$Q$3:AB78)),IF($Q$1=$P$6,INDEX(prem_analysis!$BU$1:$CF$67,ROWS(prem_analysis!$N$2:Y77),COLUMNS(prem_analysis!$N$2:Y77)),IF($Q$1=$P$4,INDEX(Table24[[#All],[Year]:[Details]],ROWS(prem_analysis!$M$420:X495),COLUMNS(Data!$Q$3:AB78)))))),"")</f>
        <v/>
      </c>
    </row>
    <row r="78" spans="1:29" x14ac:dyDescent="0.2">
      <c r="A78" s="3">
        <v>2003</v>
      </c>
      <c r="B78" s="3">
        <v>17</v>
      </c>
      <c r="C78" s="4" t="s">
        <v>26</v>
      </c>
      <c r="D78" s="3">
        <v>38</v>
      </c>
      <c r="E78" s="3">
        <v>9</v>
      </c>
      <c r="F78" s="3">
        <v>12</v>
      </c>
      <c r="G78" s="3">
        <v>17</v>
      </c>
      <c r="H78" s="3">
        <v>45</v>
      </c>
      <c r="I78" s="3">
        <v>57</v>
      </c>
      <c r="J78" s="3">
        <v>-12</v>
      </c>
      <c r="K78" s="3">
        <v>39</v>
      </c>
      <c r="L78" s="5">
        <f>IF(Table24[[#This Row],['#]]=1,"Champion", IF(Table24[[#This Row],['#]]&gt;=18,"Relegated",Table24[[#This Row],['#]]))</f>
        <v>17</v>
      </c>
      <c r="M78" s="5">
        <f>IF(Table24[[#This Row],[Details]]=2,K77-Table24[[#This Row],[Pts]],IF(Table24[[#This Row],[Details]]=17,Table24[[#This Row],[Pts]]-K79,""))</f>
        <v>6</v>
      </c>
      <c r="R78" s="1" t="str">
        <f>IFERROR(IF($Q$1=$P$3,INDEX(prem_analysis!$P$2:$Q$441,ROWS(Data!$P$2:Q78),COLUMNS(Data!$P$3:P79)),IF($Q$1=$P$5,INDEX(prem_analysis!$BH$1:$BS$23,ROWS(Data!$Q$3:Q79),COLUMNS(Data!$Q$3:Q79)),IF($Q$1=$P$6,INDEX(prem_analysis!$BU$1:$CF$67,ROWS(prem_analysis!$N$2:N78),COLUMNS(prem_analysis!$N$2:N78)),IF($Q$1=$P$4,INDEX(Table24[[#All],[Year]:[Details]],ROWS(prem_analysis!$M$420:M496),COLUMNS(Data!$Q$3:Q79)))))),"")</f>
        <v/>
      </c>
      <c r="S78" s="1" t="str">
        <f>IFERROR(IF($Q$1=$P$3,INDEX(prem_analysis!$P$2:$Q$441,ROWS(Data!$P$2:R78),COLUMNS(Data!$P$3:Q79)),IF($Q$1=$P$5,INDEX(prem_analysis!$BH$1:$BS$23,ROWS(Data!$Q$3:R79),COLUMNS(Data!$Q$3:R79)),IF($Q$1=$P$6,INDEX(prem_analysis!$BU$1:$CF$67,ROWS(prem_analysis!$N$2:O78),COLUMNS(prem_analysis!$N$2:O78)),IF($Q$1=$P$4,INDEX(Table24[[#All],[Year]:[Details]],ROWS(prem_analysis!$M$420:N496),COLUMNS(Data!$Q$3:R79)))))),"")</f>
        <v/>
      </c>
      <c r="T78" s="1" t="str">
        <f>IFERROR(IF($Q$1=$P$3,INDEX(prem_analysis!$P$2:$Q$441,ROWS(Data!$P$2:S78),COLUMNS(Data!$P$3:R79)),IF($Q$1=$P$5,INDEX(prem_analysis!$BH$1:$BS$23,ROWS(Data!$Q$3:S79),COLUMNS(Data!$Q$3:S79)),IF($Q$1=$P$6,INDEX(prem_analysis!$BU$1:$CF$67,ROWS(prem_analysis!$N$2:P78),COLUMNS(prem_analysis!$N$2:P78)),IF($Q$1=$P$4,INDEX(Table24[[#All],[Year]:[Details]],ROWS(prem_analysis!$M$420:O496),COLUMNS(Data!$Q$3:S79)))))),"")</f>
        <v/>
      </c>
      <c r="U78" s="1" t="str">
        <f>IFERROR(IF($Q$1=$P$3,INDEX(prem_analysis!$P$2:$Q$441,ROWS(Data!$P$2:T78),COLUMNS(Data!$P$3:S79)),IF($Q$1=$P$5,INDEX(prem_analysis!$BH$1:$BS$23,ROWS(Data!$Q$3:T79),COLUMNS(Data!$Q$3:T79)),IF($Q$1=$P$6,INDEX(prem_analysis!$BU$1:$CF$67,ROWS(prem_analysis!$N$2:Q78),COLUMNS(prem_analysis!$N$2:Q78)),IF($Q$1=$P$4,INDEX(Table24[[#All],[Year]:[Details]],ROWS(prem_analysis!$M$420:P496),COLUMNS(Data!$Q$3:T79)))))),"")</f>
        <v/>
      </c>
      <c r="V78" s="1" t="str">
        <f>IFERROR(IF($Q$1=$P$3,INDEX(prem_analysis!$P$2:$Q$441,ROWS(Data!$P$2:U78),COLUMNS(Data!$P$3:T79)),IF($Q$1=$P$5,INDEX(prem_analysis!$BH$1:$BS$23,ROWS(Data!$Q$3:U79),COLUMNS(Data!$Q$3:U79)),IF($Q$1=$P$6,INDEX(prem_analysis!$BU$1:$CF$67,ROWS(prem_analysis!$N$2:R78),COLUMNS(prem_analysis!$N$2:R78)),IF($Q$1=$P$4,INDEX(Table24[[#All],[Year]:[Details]],ROWS(prem_analysis!$M$420:Q496),COLUMNS(Data!$Q$3:U79)))))),"")</f>
        <v/>
      </c>
      <c r="W78" s="1" t="str">
        <f>IFERROR(IF($Q$1=$P$3,INDEX(prem_analysis!$P$2:$Q$441,ROWS(Data!$P$2:V78),COLUMNS(Data!$P$3:U79)),IF($Q$1=$P$5,INDEX(prem_analysis!$BH$1:$BS$23,ROWS(Data!$Q$3:V79),COLUMNS(Data!$Q$3:V79)),IF($Q$1=$P$6,INDEX(prem_analysis!$BU$1:$CF$67,ROWS(prem_analysis!$N$2:S78),COLUMNS(prem_analysis!$N$2:S78)),IF($Q$1=$P$4,INDEX(Table24[[#All],[Year]:[Details]],ROWS(prem_analysis!$M$420:R496),COLUMNS(Data!$Q$3:V79)))))),"")</f>
        <v/>
      </c>
      <c r="X78" s="1" t="str">
        <f>IFERROR(IF($Q$1=$P$3,INDEX(prem_analysis!$P$2:$Q$441,ROWS(Data!$P$2:W78),COLUMNS(Data!$P$3:V79)),IF($Q$1=$P$5,INDEX(prem_analysis!$BH$1:$BS$23,ROWS(Data!$Q$3:W79),COLUMNS(Data!$Q$3:W79)),IF($Q$1=$P$6,INDEX(prem_analysis!$BU$1:$CF$67,ROWS(prem_analysis!$N$2:T78),COLUMNS(prem_analysis!$N$2:T78)),IF($Q$1=$P$4,INDEX(Table24[[#All],[Year]:[Details]],ROWS(prem_analysis!$M$420:S496),COLUMNS(Data!$Q$3:W79)))))),"")</f>
        <v/>
      </c>
      <c r="Y78" s="1" t="str">
        <f>IFERROR(IF($Q$1=$P$3,INDEX(prem_analysis!$P$2:$Q$441,ROWS(Data!$P$2:X78),COLUMNS(Data!$P$3:W79)),IF($Q$1=$P$5,INDEX(prem_analysis!$BH$1:$BS$23,ROWS(Data!$Q$3:X79),COLUMNS(Data!$Q$3:X79)),IF($Q$1=$P$6,INDEX(prem_analysis!$BU$1:$CF$67,ROWS(prem_analysis!$N$2:U78),COLUMNS(prem_analysis!$N$2:U78)),IF($Q$1=$P$4,INDEX(Table24[[#All],[Year]:[Details]],ROWS(prem_analysis!$M$420:T496),COLUMNS(Data!$Q$3:X79)))))),"")</f>
        <v/>
      </c>
      <c r="Z78" s="1" t="str">
        <f>IFERROR(IF($Q$1=$P$3,INDEX(prem_analysis!$P$2:$Q$441,ROWS(Data!$P$2:Y78),COLUMNS(Data!$P$3:X79)),IF($Q$1=$P$5,INDEX(prem_analysis!$BH$1:$BS$23,ROWS(Data!$Q$3:Y79),COLUMNS(Data!$Q$3:Y79)),IF($Q$1=$P$6,INDEX(prem_analysis!$BU$1:$CF$67,ROWS(prem_analysis!$N$2:V78),COLUMNS(prem_analysis!$N$2:V78)),IF($Q$1=$P$4,INDEX(Table24[[#All],[Year]:[Details]],ROWS(prem_analysis!$M$420:U496),COLUMNS(Data!$Q$3:Y79)))))),"")</f>
        <v/>
      </c>
      <c r="AA78" s="1" t="str">
        <f>IFERROR(IF($Q$1=$P$3,INDEX(prem_analysis!$P$2:$Q$441,ROWS(Data!$P$2:Z78),COLUMNS(Data!$P$3:Y79)),IF($Q$1=$P$5,INDEX(prem_analysis!$BH$1:$BS$23,ROWS(Data!$Q$3:Z79),COLUMNS(Data!$Q$3:Z79)),IF($Q$1=$P$6,INDEX(prem_analysis!$BU$1:$CF$67,ROWS(prem_analysis!$N$2:W78),COLUMNS(prem_analysis!$N$2:W78)),IF($Q$1=$P$4,INDEX(Table24[[#All],[Year]:[Details]],ROWS(prem_analysis!$M$420:V496),COLUMNS(Data!$Q$3:Z79)))))),"")</f>
        <v/>
      </c>
      <c r="AB78" s="1" t="str">
        <f>IFERROR(IF($Q$1=$P$3,INDEX(prem_analysis!$P$2:$Q$441,ROWS(Data!$P$2:AA78),COLUMNS(Data!$P$3:Z79)),IF($Q$1=$P$5,INDEX(prem_analysis!$BH$1:$BS$23,ROWS(Data!$Q$3:AA79),COLUMNS(Data!$Q$3:AA79)),IF($Q$1=$P$6,INDEX(prem_analysis!$BU$1:$CF$67,ROWS(prem_analysis!$N$2:X78),COLUMNS(prem_analysis!$N$2:X78)),IF($Q$1=$P$4,INDEX(Table24[[#All],[Year]:[Details]],ROWS(prem_analysis!$M$420:W496),COLUMNS(Data!$Q$3:AA79)))))),"")</f>
        <v/>
      </c>
      <c r="AC78" s="1" t="str">
        <f>IFERROR(IF($Q$1=$P$3,INDEX(prem_analysis!$P$2:$Q$441,ROWS(Data!$P$2:AB78),COLUMNS(Data!$P$3:AA79)),IF($Q$1=$P$5,INDEX(prem_analysis!$BH$1:$BS$23,ROWS(Data!$Q$3:AB79),COLUMNS(Data!$Q$3:AB79)),IF($Q$1=$P$6,INDEX(prem_analysis!$BU$1:$CF$67,ROWS(prem_analysis!$N$2:Y78),COLUMNS(prem_analysis!$N$2:Y78)),IF($Q$1=$P$4,INDEX(Table24[[#All],[Year]:[Details]],ROWS(prem_analysis!$M$420:X496),COLUMNS(Data!$Q$3:AB79)))))),"")</f>
        <v/>
      </c>
    </row>
    <row r="79" spans="1:29" x14ac:dyDescent="0.2">
      <c r="A79" s="5">
        <v>2003</v>
      </c>
      <c r="B79" s="5">
        <v>18</v>
      </c>
      <c r="C79" s="6" t="s">
        <v>23</v>
      </c>
      <c r="D79" s="5">
        <v>38</v>
      </c>
      <c r="E79" s="5">
        <v>6</v>
      </c>
      <c r="F79" s="5">
        <v>15</v>
      </c>
      <c r="G79" s="5">
        <v>17</v>
      </c>
      <c r="H79" s="5">
        <v>48</v>
      </c>
      <c r="I79" s="5">
        <v>65</v>
      </c>
      <c r="J79" s="5">
        <v>-17</v>
      </c>
      <c r="K79" s="5">
        <v>33</v>
      </c>
      <c r="L79" s="5" t="str">
        <f>IF(Table24[[#This Row],['#]]=1,"Champion", IF(Table24[[#This Row],['#]]&gt;=18,"Relegated",Table24[[#This Row],['#]]))</f>
        <v>Relegated</v>
      </c>
      <c r="M79" s="5" t="str">
        <f>IF(Table24[[#This Row],[Details]]=2,K78-Table24[[#This Row],[Pts]],IF(Table24[[#This Row],[Details]]=17,Table24[[#This Row],[Pts]]-K80,""))</f>
        <v/>
      </c>
      <c r="R79" s="1" t="str">
        <f>IFERROR(IF($Q$1=$P$3,INDEX(prem_analysis!$P$2:$Q$441,ROWS(Data!$P$2:Q79),COLUMNS(Data!$P$3:P80)),IF($Q$1=$P$5,INDEX(prem_analysis!$BH$1:$BS$23,ROWS(Data!$Q$3:Q80),COLUMNS(Data!$Q$3:Q80)),IF($Q$1=$P$6,INDEX(prem_analysis!$BU$1:$CF$67,ROWS(prem_analysis!$N$2:N79),COLUMNS(prem_analysis!$N$2:N79)),IF($Q$1=$P$4,INDEX(Table24[[#All],[Year]:[Details]],ROWS(prem_analysis!$M$420:M497),COLUMNS(Data!$Q$3:Q80)))))),"")</f>
        <v/>
      </c>
      <c r="S79" s="1" t="str">
        <f>IFERROR(IF($Q$1=$P$3,INDEX(prem_analysis!$P$2:$Q$441,ROWS(Data!$P$2:R79),COLUMNS(Data!$P$3:Q80)),IF($Q$1=$P$5,INDEX(prem_analysis!$BH$1:$BS$23,ROWS(Data!$Q$3:R80),COLUMNS(Data!$Q$3:R80)),IF($Q$1=$P$6,INDEX(prem_analysis!$BU$1:$CF$67,ROWS(prem_analysis!$N$2:O79),COLUMNS(prem_analysis!$N$2:O79)),IF($Q$1=$P$4,INDEX(Table24[[#All],[Year]:[Details]],ROWS(prem_analysis!$M$420:N497),COLUMNS(Data!$Q$3:R80)))))),"")</f>
        <v/>
      </c>
      <c r="T79" s="1" t="str">
        <f>IFERROR(IF($Q$1=$P$3,INDEX(prem_analysis!$P$2:$Q$441,ROWS(Data!$P$2:S79),COLUMNS(Data!$P$3:R80)),IF($Q$1=$P$5,INDEX(prem_analysis!$BH$1:$BS$23,ROWS(Data!$Q$3:S80),COLUMNS(Data!$Q$3:S80)),IF($Q$1=$P$6,INDEX(prem_analysis!$BU$1:$CF$67,ROWS(prem_analysis!$N$2:P79),COLUMNS(prem_analysis!$N$2:P79)),IF($Q$1=$P$4,INDEX(Table24[[#All],[Year]:[Details]],ROWS(prem_analysis!$M$420:O497),COLUMNS(Data!$Q$3:S80)))))),"")</f>
        <v/>
      </c>
      <c r="U79" s="1" t="str">
        <f>IFERROR(IF($Q$1=$P$3,INDEX(prem_analysis!$P$2:$Q$441,ROWS(Data!$P$2:T79),COLUMNS(Data!$P$3:S80)),IF($Q$1=$P$5,INDEX(prem_analysis!$BH$1:$BS$23,ROWS(Data!$Q$3:T80),COLUMNS(Data!$Q$3:T80)),IF($Q$1=$P$6,INDEX(prem_analysis!$BU$1:$CF$67,ROWS(prem_analysis!$N$2:Q79),COLUMNS(prem_analysis!$N$2:Q79)),IF($Q$1=$P$4,INDEX(Table24[[#All],[Year]:[Details]],ROWS(prem_analysis!$M$420:P497),COLUMNS(Data!$Q$3:T80)))))),"")</f>
        <v/>
      </c>
      <c r="V79" s="1" t="str">
        <f>IFERROR(IF($Q$1=$P$3,INDEX(prem_analysis!$P$2:$Q$441,ROWS(Data!$P$2:U79),COLUMNS(Data!$P$3:T80)),IF($Q$1=$P$5,INDEX(prem_analysis!$BH$1:$BS$23,ROWS(Data!$Q$3:U80),COLUMNS(Data!$Q$3:U80)),IF($Q$1=$P$6,INDEX(prem_analysis!$BU$1:$CF$67,ROWS(prem_analysis!$N$2:R79),COLUMNS(prem_analysis!$N$2:R79)),IF($Q$1=$P$4,INDEX(Table24[[#All],[Year]:[Details]],ROWS(prem_analysis!$M$420:Q497),COLUMNS(Data!$Q$3:U80)))))),"")</f>
        <v/>
      </c>
      <c r="W79" s="1" t="str">
        <f>IFERROR(IF($Q$1=$P$3,INDEX(prem_analysis!$P$2:$Q$441,ROWS(Data!$P$2:V79),COLUMNS(Data!$P$3:U80)),IF($Q$1=$P$5,INDEX(prem_analysis!$BH$1:$BS$23,ROWS(Data!$Q$3:V80),COLUMNS(Data!$Q$3:V80)),IF($Q$1=$P$6,INDEX(prem_analysis!$BU$1:$CF$67,ROWS(prem_analysis!$N$2:S79),COLUMNS(prem_analysis!$N$2:S79)),IF($Q$1=$P$4,INDEX(Table24[[#All],[Year]:[Details]],ROWS(prem_analysis!$M$420:R497),COLUMNS(Data!$Q$3:V80)))))),"")</f>
        <v/>
      </c>
      <c r="X79" s="1" t="str">
        <f>IFERROR(IF($Q$1=$P$3,INDEX(prem_analysis!$P$2:$Q$441,ROWS(Data!$P$2:W79),COLUMNS(Data!$P$3:V80)),IF($Q$1=$P$5,INDEX(prem_analysis!$BH$1:$BS$23,ROWS(Data!$Q$3:W80),COLUMNS(Data!$Q$3:W80)),IF($Q$1=$P$6,INDEX(prem_analysis!$BU$1:$CF$67,ROWS(prem_analysis!$N$2:T79),COLUMNS(prem_analysis!$N$2:T79)),IF($Q$1=$P$4,INDEX(Table24[[#All],[Year]:[Details]],ROWS(prem_analysis!$M$420:S497),COLUMNS(Data!$Q$3:W80)))))),"")</f>
        <v/>
      </c>
      <c r="Y79" s="1" t="str">
        <f>IFERROR(IF($Q$1=$P$3,INDEX(prem_analysis!$P$2:$Q$441,ROWS(Data!$P$2:X79),COLUMNS(Data!$P$3:W80)),IF($Q$1=$P$5,INDEX(prem_analysis!$BH$1:$BS$23,ROWS(Data!$Q$3:X80),COLUMNS(Data!$Q$3:X80)),IF($Q$1=$P$6,INDEX(prem_analysis!$BU$1:$CF$67,ROWS(prem_analysis!$N$2:U79),COLUMNS(prem_analysis!$N$2:U79)),IF($Q$1=$P$4,INDEX(Table24[[#All],[Year]:[Details]],ROWS(prem_analysis!$M$420:T497),COLUMNS(Data!$Q$3:X80)))))),"")</f>
        <v/>
      </c>
      <c r="Z79" s="1" t="str">
        <f>IFERROR(IF($Q$1=$P$3,INDEX(prem_analysis!$P$2:$Q$441,ROWS(Data!$P$2:Y79),COLUMNS(Data!$P$3:X80)),IF($Q$1=$P$5,INDEX(prem_analysis!$BH$1:$BS$23,ROWS(Data!$Q$3:Y80),COLUMNS(Data!$Q$3:Y80)),IF($Q$1=$P$6,INDEX(prem_analysis!$BU$1:$CF$67,ROWS(prem_analysis!$N$2:V79),COLUMNS(prem_analysis!$N$2:V79)),IF($Q$1=$P$4,INDEX(Table24[[#All],[Year]:[Details]],ROWS(prem_analysis!$M$420:U497),COLUMNS(Data!$Q$3:Y80)))))),"")</f>
        <v/>
      </c>
      <c r="AA79" s="1" t="str">
        <f>IFERROR(IF($Q$1=$P$3,INDEX(prem_analysis!$P$2:$Q$441,ROWS(Data!$P$2:Z79),COLUMNS(Data!$P$3:Y80)),IF($Q$1=$P$5,INDEX(prem_analysis!$BH$1:$BS$23,ROWS(Data!$Q$3:Z80),COLUMNS(Data!$Q$3:Z80)),IF($Q$1=$P$6,INDEX(prem_analysis!$BU$1:$CF$67,ROWS(prem_analysis!$N$2:W79),COLUMNS(prem_analysis!$N$2:W79)),IF($Q$1=$P$4,INDEX(Table24[[#All],[Year]:[Details]],ROWS(prem_analysis!$M$420:V497),COLUMNS(Data!$Q$3:Z80)))))),"")</f>
        <v/>
      </c>
      <c r="AB79" s="1" t="str">
        <f>IFERROR(IF($Q$1=$P$3,INDEX(prem_analysis!$P$2:$Q$441,ROWS(Data!$P$2:AA79),COLUMNS(Data!$P$3:Z80)),IF($Q$1=$P$5,INDEX(prem_analysis!$BH$1:$BS$23,ROWS(Data!$Q$3:AA80),COLUMNS(Data!$Q$3:AA80)),IF($Q$1=$P$6,INDEX(prem_analysis!$BU$1:$CF$67,ROWS(prem_analysis!$N$2:X79),COLUMNS(prem_analysis!$N$2:X79)),IF($Q$1=$P$4,INDEX(Table24[[#All],[Year]:[Details]],ROWS(prem_analysis!$M$420:W497),COLUMNS(Data!$Q$3:AA80)))))),"")</f>
        <v/>
      </c>
      <c r="AC79" s="1" t="str">
        <f>IFERROR(IF($Q$1=$P$3,INDEX(prem_analysis!$P$2:$Q$441,ROWS(Data!$P$2:AB79),COLUMNS(Data!$P$3:AA80)),IF($Q$1=$P$5,INDEX(prem_analysis!$BH$1:$BS$23,ROWS(Data!$Q$3:AB80),COLUMNS(Data!$Q$3:AB80)),IF($Q$1=$P$6,INDEX(prem_analysis!$BU$1:$CF$67,ROWS(prem_analysis!$N$2:Y79),COLUMNS(prem_analysis!$N$2:Y79)),IF($Q$1=$P$4,INDEX(Table24[[#All],[Year]:[Details]],ROWS(prem_analysis!$M$420:X497),COLUMNS(Data!$Q$3:AB80)))))),"")</f>
        <v/>
      </c>
    </row>
    <row r="80" spans="1:29" x14ac:dyDescent="0.2">
      <c r="A80" s="3">
        <v>2003</v>
      </c>
      <c r="B80" s="3">
        <v>19</v>
      </c>
      <c r="C80" s="4" t="s">
        <v>14</v>
      </c>
      <c r="D80" s="3">
        <v>38</v>
      </c>
      <c r="E80" s="3">
        <v>8</v>
      </c>
      <c r="F80" s="3">
        <v>9</v>
      </c>
      <c r="G80" s="3">
        <v>21</v>
      </c>
      <c r="H80" s="3">
        <v>40</v>
      </c>
      <c r="I80" s="3">
        <v>79</v>
      </c>
      <c r="J80" s="3">
        <v>-39</v>
      </c>
      <c r="K80" s="3">
        <v>33</v>
      </c>
      <c r="L80" s="5" t="str">
        <f>IF(Table24[[#This Row],['#]]=1,"Champion", IF(Table24[[#This Row],['#]]&gt;=18,"Relegated",Table24[[#This Row],['#]]))</f>
        <v>Relegated</v>
      </c>
      <c r="M80" s="5" t="str">
        <f>IF(Table24[[#This Row],[Details]]=2,K79-Table24[[#This Row],[Pts]],IF(Table24[[#This Row],[Details]]=17,Table24[[#This Row],[Pts]]-K81,""))</f>
        <v/>
      </c>
      <c r="R80" s="1" t="str">
        <f>IFERROR(IF($Q$1=$P$3,INDEX(prem_analysis!$P$2:$Q$441,ROWS(Data!$P$2:Q80),COLUMNS(Data!$P$3:P81)),IF($Q$1=$P$5,INDEX(prem_analysis!$BH$1:$BS$23,ROWS(Data!$Q$3:Q81),COLUMNS(Data!$Q$3:Q81)),IF($Q$1=$P$6,INDEX(prem_analysis!$BU$1:$CF$67,ROWS(prem_analysis!$N$2:N80),COLUMNS(prem_analysis!$N$2:N80)),IF($Q$1=$P$4,INDEX(Table24[[#All],[Year]:[Details]],ROWS(prem_analysis!$M$420:M498),COLUMNS(Data!$Q$3:Q81)))))),"")</f>
        <v/>
      </c>
      <c r="S80" s="1" t="str">
        <f>IFERROR(IF($Q$1=$P$3,INDEX(prem_analysis!$P$2:$Q$441,ROWS(Data!$P$2:R80),COLUMNS(Data!$P$3:Q81)),IF($Q$1=$P$5,INDEX(prem_analysis!$BH$1:$BS$23,ROWS(Data!$Q$3:R81),COLUMNS(Data!$Q$3:R81)),IF($Q$1=$P$6,INDEX(prem_analysis!$BU$1:$CF$67,ROWS(prem_analysis!$N$2:O80),COLUMNS(prem_analysis!$N$2:O80)),IF($Q$1=$P$4,INDEX(Table24[[#All],[Year]:[Details]],ROWS(prem_analysis!$M$420:N498),COLUMNS(Data!$Q$3:R81)))))),"")</f>
        <v/>
      </c>
      <c r="T80" s="1" t="str">
        <f>IFERROR(IF($Q$1=$P$3,INDEX(prem_analysis!$P$2:$Q$441,ROWS(Data!$P$2:S80),COLUMNS(Data!$P$3:R81)),IF($Q$1=$P$5,INDEX(prem_analysis!$BH$1:$BS$23,ROWS(Data!$Q$3:S81),COLUMNS(Data!$Q$3:S81)),IF($Q$1=$P$6,INDEX(prem_analysis!$BU$1:$CF$67,ROWS(prem_analysis!$N$2:P80),COLUMNS(prem_analysis!$N$2:P80)),IF($Q$1=$P$4,INDEX(Table24[[#All],[Year]:[Details]],ROWS(prem_analysis!$M$420:O498),COLUMNS(Data!$Q$3:S81)))))),"")</f>
        <v/>
      </c>
      <c r="U80" s="1" t="str">
        <f>IFERROR(IF($Q$1=$P$3,INDEX(prem_analysis!$P$2:$Q$441,ROWS(Data!$P$2:T80),COLUMNS(Data!$P$3:S81)),IF($Q$1=$P$5,INDEX(prem_analysis!$BH$1:$BS$23,ROWS(Data!$Q$3:T81),COLUMNS(Data!$Q$3:T81)),IF($Q$1=$P$6,INDEX(prem_analysis!$BU$1:$CF$67,ROWS(prem_analysis!$N$2:Q80),COLUMNS(prem_analysis!$N$2:Q80)),IF($Q$1=$P$4,INDEX(Table24[[#All],[Year]:[Details]],ROWS(prem_analysis!$M$420:P498),COLUMNS(Data!$Q$3:T81)))))),"")</f>
        <v/>
      </c>
      <c r="V80" s="1" t="str">
        <f>IFERROR(IF($Q$1=$P$3,INDEX(prem_analysis!$P$2:$Q$441,ROWS(Data!$P$2:U80),COLUMNS(Data!$P$3:T81)),IF($Q$1=$P$5,INDEX(prem_analysis!$BH$1:$BS$23,ROWS(Data!$Q$3:U81),COLUMNS(Data!$Q$3:U81)),IF($Q$1=$P$6,INDEX(prem_analysis!$BU$1:$CF$67,ROWS(prem_analysis!$N$2:R80),COLUMNS(prem_analysis!$N$2:R80)),IF($Q$1=$P$4,INDEX(Table24[[#All],[Year]:[Details]],ROWS(prem_analysis!$M$420:Q498),COLUMNS(Data!$Q$3:U81)))))),"")</f>
        <v/>
      </c>
      <c r="W80" s="1" t="str">
        <f>IFERROR(IF($Q$1=$P$3,INDEX(prem_analysis!$P$2:$Q$441,ROWS(Data!$P$2:V80),COLUMNS(Data!$P$3:U81)),IF($Q$1=$P$5,INDEX(prem_analysis!$BH$1:$BS$23,ROWS(Data!$Q$3:V81),COLUMNS(Data!$Q$3:V81)),IF($Q$1=$P$6,INDEX(prem_analysis!$BU$1:$CF$67,ROWS(prem_analysis!$N$2:S80),COLUMNS(prem_analysis!$N$2:S80)),IF($Q$1=$P$4,INDEX(Table24[[#All],[Year]:[Details]],ROWS(prem_analysis!$M$420:R498),COLUMNS(Data!$Q$3:V81)))))),"")</f>
        <v/>
      </c>
      <c r="X80" s="1" t="str">
        <f>IFERROR(IF($Q$1=$P$3,INDEX(prem_analysis!$P$2:$Q$441,ROWS(Data!$P$2:W80),COLUMNS(Data!$P$3:V81)),IF($Q$1=$P$5,INDEX(prem_analysis!$BH$1:$BS$23,ROWS(Data!$Q$3:W81),COLUMNS(Data!$Q$3:W81)),IF($Q$1=$P$6,INDEX(prem_analysis!$BU$1:$CF$67,ROWS(prem_analysis!$N$2:T80),COLUMNS(prem_analysis!$N$2:T80)),IF($Q$1=$P$4,INDEX(Table24[[#All],[Year]:[Details]],ROWS(prem_analysis!$M$420:S498),COLUMNS(Data!$Q$3:W81)))))),"")</f>
        <v/>
      </c>
      <c r="Y80" s="1" t="str">
        <f>IFERROR(IF($Q$1=$P$3,INDEX(prem_analysis!$P$2:$Q$441,ROWS(Data!$P$2:X80),COLUMNS(Data!$P$3:W81)),IF($Q$1=$P$5,INDEX(prem_analysis!$BH$1:$BS$23,ROWS(Data!$Q$3:X81),COLUMNS(Data!$Q$3:X81)),IF($Q$1=$P$6,INDEX(prem_analysis!$BU$1:$CF$67,ROWS(prem_analysis!$N$2:U80),COLUMNS(prem_analysis!$N$2:U80)),IF($Q$1=$P$4,INDEX(Table24[[#All],[Year]:[Details]],ROWS(prem_analysis!$M$420:T498),COLUMNS(Data!$Q$3:X81)))))),"")</f>
        <v/>
      </c>
      <c r="Z80" s="1" t="str">
        <f>IFERROR(IF($Q$1=$P$3,INDEX(prem_analysis!$P$2:$Q$441,ROWS(Data!$P$2:Y80),COLUMNS(Data!$P$3:X81)),IF($Q$1=$P$5,INDEX(prem_analysis!$BH$1:$BS$23,ROWS(Data!$Q$3:Y81),COLUMNS(Data!$Q$3:Y81)),IF($Q$1=$P$6,INDEX(prem_analysis!$BU$1:$CF$67,ROWS(prem_analysis!$N$2:V80),COLUMNS(prem_analysis!$N$2:V80)),IF($Q$1=$P$4,INDEX(Table24[[#All],[Year]:[Details]],ROWS(prem_analysis!$M$420:U498),COLUMNS(Data!$Q$3:Y81)))))),"")</f>
        <v/>
      </c>
      <c r="AA80" s="1" t="str">
        <f>IFERROR(IF($Q$1=$P$3,INDEX(prem_analysis!$P$2:$Q$441,ROWS(Data!$P$2:Z80),COLUMNS(Data!$P$3:Y81)),IF($Q$1=$P$5,INDEX(prem_analysis!$BH$1:$BS$23,ROWS(Data!$Q$3:Z81),COLUMNS(Data!$Q$3:Z81)),IF($Q$1=$P$6,INDEX(prem_analysis!$BU$1:$CF$67,ROWS(prem_analysis!$N$2:W80),COLUMNS(prem_analysis!$N$2:W80)),IF($Q$1=$P$4,INDEX(Table24[[#All],[Year]:[Details]],ROWS(prem_analysis!$M$420:V498),COLUMNS(Data!$Q$3:Z81)))))),"")</f>
        <v/>
      </c>
      <c r="AB80" s="1" t="str">
        <f>IFERROR(IF($Q$1=$P$3,INDEX(prem_analysis!$P$2:$Q$441,ROWS(Data!$P$2:AA80),COLUMNS(Data!$P$3:Z81)),IF($Q$1=$P$5,INDEX(prem_analysis!$BH$1:$BS$23,ROWS(Data!$Q$3:AA81),COLUMNS(Data!$Q$3:AA81)),IF($Q$1=$P$6,INDEX(prem_analysis!$BU$1:$CF$67,ROWS(prem_analysis!$N$2:X80),COLUMNS(prem_analysis!$N$2:X80)),IF($Q$1=$P$4,INDEX(Table24[[#All],[Year]:[Details]],ROWS(prem_analysis!$M$420:W498),COLUMNS(Data!$Q$3:AA81)))))),"")</f>
        <v/>
      </c>
      <c r="AC80" s="1" t="str">
        <f>IFERROR(IF($Q$1=$P$3,INDEX(prem_analysis!$P$2:$Q$441,ROWS(Data!$P$2:AB80),COLUMNS(Data!$P$3:AA81)),IF($Q$1=$P$5,INDEX(prem_analysis!$BH$1:$BS$23,ROWS(Data!$Q$3:AB81),COLUMNS(Data!$Q$3:AB81)),IF($Q$1=$P$6,INDEX(prem_analysis!$BU$1:$CF$67,ROWS(prem_analysis!$N$2:Y80),COLUMNS(prem_analysis!$N$2:Y80)),IF($Q$1=$P$4,INDEX(Table24[[#All],[Year]:[Details]],ROWS(prem_analysis!$M$420:X498),COLUMNS(Data!$Q$3:AB81)))))),"")</f>
        <v/>
      </c>
    </row>
    <row r="81" spans="1:29" x14ac:dyDescent="0.2">
      <c r="A81" s="5">
        <v>2003</v>
      </c>
      <c r="B81" s="5">
        <v>20</v>
      </c>
      <c r="C81" s="6" t="s">
        <v>37</v>
      </c>
      <c r="D81" s="5">
        <v>38</v>
      </c>
      <c r="E81" s="5">
        <v>7</v>
      </c>
      <c r="F81" s="5">
        <v>12</v>
      </c>
      <c r="G81" s="5">
        <v>19</v>
      </c>
      <c r="H81" s="5">
        <v>38</v>
      </c>
      <c r="I81" s="5">
        <v>77</v>
      </c>
      <c r="J81" s="5">
        <v>-39</v>
      </c>
      <c r="K81" s="5">
        <v>33</v>
      </c>
      <c r="L81" s="5" t="str">
        <f>IF(Table24[[#This Row],['#]]=1,"Champion", IF(Table24[[#This Row],['#]]&gt;=18,"Relegated",Table24[[#This Row],['#]]))</f>
        <v>Relegated</v>
      </c>
      <c r="M81" s="5" t="str">
        <f>IF(Table24[[#This Row],[Details]]=2,K80-Table24[[#This Row],[Pts]],IF(Table24[[#This Row],[Details]]=17,Table24[[#This Row],[Pts]]-K82,""))</f>
        <v/>
      </c>
      <c r="R81" s="1" t="str">
        <f>IFERROR(IF($Q$1=$P$3,INDEX(prem_analysis!$P$2:$Q$441,ROWS(Data!$P$2:Q81),COLUMNS(Data!$P$3:P82)),IF($Q$1=$P$5,INDEX(prem_analysis!$BH$1:$BS$23,ROWS(Data!$Q$3:Q82),COLUMNS(Data!$Q$3:Q82)),IF($Q$1=$P$6,INDEX(prem_analysis!$BU$1:$CF$67,ROWS(prem_analysis!$N$2:N81),COLUMNS(prem_analysis!$N$2:N81)),IF($Q$1=$P$4,INDEX(Table24[[#All],[Year]:[Details]],ROWS(prem_analysis!$M$420:M499),COLUMNS(Data!$Q$3:Q82)))))),"")</f>
        <v/>
      </c>
      <c r="S81" s="1" t="str">
        <f>IFERROR(IF($Q$1=$P$3,INDEX(prem_analysis!$P$2:$Q$441,ROWS(Data!$P$2:R81),COLUMNS(Data!$P$3:Q82)),IF($Q$1=$P$5,INDEX(prem_analysis!$BH$1:$BS$23,ROWS(Data!$Q$3:R82),COLUMNS(Data!$Q$3:R82)),IF($Q$1=$P$6,INDEX(prem_analysis!$BU$1:$CF$67,ROWS(prem_analysis!$N$2:O81),COLUMNS(prem_analysis!$N$2:O81)),IF($Q$1=$P$4,INDEX(Table24[[#All],[Year]:[Details]],ROWS(prem_analysis!$M$420:N499),COLUMNS(Data!$Q$3:R82)))))),"")</f>
        <v/>
      </c>
      <c r="T81" s="1" t="str">
        <f>IFERROR(IF($Q$1=$P$3,INDEX(prem_analysis!$P$2:$Q$441,ROWS(Data!$P$2:S81),COLUMNS(Data!$P$3:R82)),IF($Q$1=$P$5,INDEX(prem_analysis!$BH$1:$BS$23,ROWS(Data!$Q$3:S82),COLUMNS(Data!$Q$3:S82)),IF($Q$1=$P$6,INDEX(prem_analysis!$BU$1:$CF$67,ROWS(prem_analysis!$N$2:P81),COLUMNS(prem_analysis!$N$2:P81)),IF($Q$1=$P$4,INDEX(Table24[[#All],[Year]:[Details]],ROWS(prem_analysis!$M$420:O499),COLUMNS(Data!$Q$3:S82)))))),"")</f>
        <v/>
      </c>
      <c r="U81" s="1" t="str">
        <f>IFERROR(IF($Q$1=$P$3,INDEX(prem_analysis!$P$2:$Q$441,ROWS(Data!$P$2:T81),COLUMNS(Data!$P$3:S82)),IF($Q$1=$P$5,INDEX(prem_analysis!$BH$1:$BS$23,ROWS(Data!$Q$3:T82),COLUMNS(Data!$Q$3:T82)),IF($Q$1=$P$6,INDEX(prem_analysis!$BU$1:$CF$67,ROWS(prem_analysis!$N$2:Q81),COLUMNS(prem_analysis!$N$2:Q81)),IF($Q$1=$P$4,INDEX(Table24[[#All],[Year]:[Details]],ROWS(prem_analysis!$M$420:P499),COLUMNS(Data!$Q$3:T82)))))),"")</f>
        <v/>
      </c>
      <c r="V81" s="1" t="str">
        <f>IFERROR(IF($Q$1=$P$3,INDEX(prem_analysis!$P$2:$Q$441,ROWS(Data!$P$2:U81),COLUMNS(Data!$P$3:T82)),IF($Q$1=$P$5,INDEX(prem_analysis!$BH$1:$BS$23,ROWS(Data!$Q$3:U82),COLUMNS(Data!$Q$3:U82)),IF($Q$1=$P$6,INDEX(prem_analysis!$BU$1:$CF$67,ROWS(prem_analysis!$N$2:R81),COLUMNS(prem_analysis!$N$2:R81)),IF($Q$1=$P$4,INDEX(Table24[[#All],[Year]:[Details]],ROWS(prem_analysis!$M$420:Q499),COLUMNS(Data!$Q$3:U82)))))),"")</f>
        <v/>
      </c>
      <c r="W81" s="1" t="str">
        <f>IFERROR(IF($Q$1=$P$3,INDEX(prem_analysis!$P$2:$Q$441,ROWS(Data!$P$2:V81),COLUMNS(Data!$P$3:U82)),IF($Q$1=$P$5,INDEX(prem_analysis!$BH$1:$BS$23,ROWS(Data!$Q$3:V82),COLUMNS(Data!$Q$3:V82)),IF($Q$1=$P$6,INDEX(prem_analysis!$BU$1:$CF$67,ROWS(prem_analysis!$N$2:S81),COLUMNS(prem_analysis!$N$2:S81)),IF($Q$1=$P$4,INDEX(Table24[[#All],[Year]:[Details]],ROWS(prem_analysis!$M$420:R499),COLUMNS(Data!$Q$3:V82)))))),"")</f>
        <v/>
      </c>
      <c r="X81" s="1" t="str">
        <f>IFERROR(IF($Q$1=$P$3,INDEX(prem_analysis!$P$2:$Q$441,ROWS(Data!$P$2:W81),COLUMNS(Data!$P$3:V82)),IF($Q$1=$P$5,INDEX(prem_analysis!$BH$1:$BS$23,ROWS(Data!$Q$3:W82),COLUMNS(Data!$Q$3:W82)),IF($Q$1=$P$6,INDEX(prem_analysis!$BU$1:$CF$67,ROWS(prem_analysis!$N$2:T81),COLUMNS(prem_analysis!$N$2:T81)),IF($Q$1=$P$4,INDEX(Table24[[#All],[Year]:[Details]],ROWS(prem_analysis!$M$420:S499),COLUMNS(Data!$Q$3:W82)))))),"")</f>
        <v/>
      </c>
      <c r="Y81" s="1" t="str">
        <f>IFERROR(IF($Q$1=$P$3,INDEX(prem_analysis!$P$2:$Q$441,ROWS(Data!$P$2:X81),COLUMNS(Data!$P$3:W82)),IF($Q$1=$P$5,INDEX(prem_analysis!$BH$1:$BS$23,ROWS(Data!$Q$3:X82),COLUMNS(Data!$Q$3:X82)),IF($Q$1=$P$6,INDEX(prem_analysis!$BU$1:$CF$67,ROWS(prem_analysis!$N$2:U81),COLUMNS(prem_analysis!$N$2:U81)),IF($Q$1=$P$4,INDEX(Table24[[#All],[Year]:[Details]],ROWS(prem_analysis!$M$420:T499),COLUMNS(Data!$Q$3:X82)))))),"")</f>
        <v/>
      </c>
      <c r="Z81" s="1" t="str">
        <f>IFERROR(IF($Q$1=$P$3,INDEX(prem_analysis!$P$2:$Q$441,ROWS(Data!$P$2:Y81),COLUMNS(Data!$P$3:X82)),IF($Q$1=$P$5,INDEX(prem_analysis!$BH$1:$BS$23,ROWS(Data!$Q$3:Y82),COLUMNS(Data!$Q$3:Y82)),IF($Q$1=$P$6,INDEX(prem_analysis!$BU$1:$CF$67,ROWS(prem_analysis!$N$2:V81),COLUMNS(prem_analysis!$N$2:V81)),IF($Q$1=$P$4,INDEX(Table24[[#All],[Year]:[Details]],ROWS(prem_analysis!$M$420:U499),COLUMNS(Data!$Q$3:Y82)))))),"")</f>
        <v/>
      </c>
      <c r="AA81" s="1" t="str">
        <f>IFERROR(IF($Q$1=$P$3,INDEX(prem_analysis!$P$2:$Q$441,ROWS(Data!$P$2:Z81),COLUMNS(Data!$P$3:Y82)),IF($Q$1=$P$5,INDEX(prem_analysis!$BH$1:$BS$23,ROWS(Data!$Q$3:Z82),COLUMNS(Data!$Q$3:Z82)),IF($Q$1=$P$6,INDEX(prem_analysis!$BU$1:$CF$67,ROWS(prem_analysis!$N$2:W81),COLUMNS(prem_analysis!$N$2:W81)),IF($Q$1=$P$4,INDEX(Table24[[#All],[Year]:[Details]],ROWS(prem_analysis!$M$420:V499),COLUMNS(Data!$Q$3:Z82)))))),"")</f>
        <v/>
      </c>
      <c r="AB81" s="1" t="str">
        <f>IFERROR(IF($Q$1=$P$3,INDEX(prem_analysis!$P$2:$Q$441,ROWS(Data!$P$2:AA81),COLUMNS(Data!$P$3:Z82)),IF($Q$1=$P$5,INDEX(prem_analysis!$BH$1:$BS$23,ROWS(Data!$Q$3:AA82),COLUMNS(Data!$Q$3:AA82)),IF($Q$1=$P$6,INDEX(prem_analysis!$BU$1:$CF$67,ROWS(prem_analysis!$N$2:X81),COLUMNS(prem_analysis!$N$2:X81)),IF($Q$1=$P$4,INDEX(Table24[[#All],[Year]:[Details]],ROWS(prem_analysis!$M$420:W499),COLUMNS(Data!$Q$3:AA82)))))),"")</f>
        <v/>
      </c>
      <c r="AC81" s="1" t="str">
        <f>IFERROR(IF($Q$1=$P$3,INDEX(prem_analysis!$P$2:$Q$441,ROWS(Data!$P$2:AB81),COLUMNS(Data!$P$3:AA82)),IF($Q$1=$P$5,INDEX(prem_analysis!$BH$1:$BS$23,ROWS(Data!$Q$3:AB82),COLUMNS(Data!$Q$3:AB82)),IF($Q$1=$P$6,INDEX(prem_analysis!$BU$1:$CF$67,ROWS(prem_analysis!$N$2:Y81),COLUMNS(prem_analysis!$N$2:Y81)),IF($Q$1=$P$4,INDEX(Table24[[#All],[Year]:[Details]],ROWS(prem_analysis!$M$420:X499),COLUMNS(Data!$Q$3:AB82)))))),"")</f>
        <v/>
      </c>
    </row>
    <row r="82" spans="1:29" x14ac:dyDescent="0.2">
      <c r="A82" s="3">
        <v>2004</v>
      </c>
      <c r="B82" s="3">
        <v>1</v>
      </c>
      <c r="C82" s="4" t="s">
        <v>16</v>
      </c>
      <c r="D82" s="3">
        <v>38</v>
      </c>
      <c r="E82" s="3">
        <v>29</v>
      </c>
      <c r="F82" s="3">
        <v>8</v>
      </c>
      <c r="G82" s="3">
        <v>1</v>
      </c>
      <c r="H82" s="3">
        <v>72</v>
      </c>
      <c r="I82" s="3">
        <v>15</v>
      </c>
      <c r="J82" s="3">
        <v>57</v>
      </c>
      <c r="K82" s="3">
        <v>95</v>
      </c>
      <c r="L82" s="5" t="str">
        <f>IF(Table24[[#This Row],['#]]=1,"Champion", IF(Table24[[#This Row],['#]]&gt;=18,"Relegated",Table24[[#This Row],['#]]))</f>
        <v>Champion</v>
      </c>
      <c r="M82" s="5" t="str">
        <f>IF(Table24[[#This Row],[Details]]=2,K81-Table24[[#This Row],[Pts]],IF(Table24[[#This Row],[Details]]=17,Table24[[#This Row],[Pts]]-K83,""))</f>
        <v/>
      </c>
      <c r="R82" s="1" t="str">
        <f>IFERROR(IF($Q$1=$P$3,INDEX(prem_analysis!$P$2:$Q$441,ROWS(Data!$P$2:Q82),COLUMNS(Data!$P$3:P83)),IF($Q$1=$P$5,INDEX(prem_analysis!$BH$1:$BS$23,ROWS(Data!$Q$3:Q83),COLUMNS(Data!$Q$3:Q83)),IF($Q$1=$P$6,INDEX(prem_analysis!$BU$1:$CF$67,ROWS(prem_analysis!$N$2:N82),COLUMNS(prem_analysis!$N$2:N82)),IF($Q$1=$P$4,INDEX(Table24[[#All],[Year]:[Details]],ROWS(prem_analysis!$M$420:M500),COLUMNS(Data!$Q$3:Q83)))))),"")</f>
        <v/>
      </c>
      <c r="S82" s="1" t="str">
        <f>IFERROR(IF($Q$1=$P$3,INDEX(prem_analysis!$P$2:$Q$441,ROWS(Data!$P$2:R82),COLUMNS(Data!$P$3:Q83)),IF($Q$1=$P$5,INDEX(prem_analysis!$BH$1:$BS$23,ROWS(Data!$Q$3:R83),COLUMNS(Data!$Q$3:R83)),IF($Q$1=$P$6,INDEX(prem_analysis!$BU$1:$CF$67,ROWS(prem_analysis!$N$2:O82),COLUMNS(prem_analysis!$N$2:O82)),IF($Q$1=$P$4,INDEX(Table24[[#All],[Year]:[Details]],ROWS(prem_analysis!$M$420:N500),COLUMNS(Data!$Q$3:R83)))))),"")</f>
        <v/>
      </c>
      <c r="T82" s="1" t="str">
        <f>IFERROR(IF($Q$1=$P$3,INDEX(prem_analysis!$P$2:$Q$441,ROWS(Data!$P$2:S82),COLUMNS(Data!$P$3:R83)),IF($Q$1=$P$5,INDEX(prem_analysis!$BH$1:$BS$23,ROWS(Data!$Q$3:S83),COLUMNS(Data!$Q$3:S83)),IF($Q$1=$P$6,INDEX(prem_analysis!$BU$1:$CF$67,ROWS(prem_analysis!$N$2:P82),COLUMNS(prem_analysis!$N$2:P82)),IF($Q$1=$P$4,INDEX(Table24[[#All],[Year]:[Details]],ROWS(prem_analysis!$M$420:O500),COLUMNS(Data!$Q$3:S83)))))),"")</f>
        <v/>
      </c>
      <c r="U82" s="1" t="str">
        <f>IFERROR(IF($Q$1=$P$3,INDEX(prem_analysis!$P$2:$Q$441,ROWS(Data!$P$2:T82),COLUMNS(Data!$P$3:S83)),IF($Q$1=$P$5,INDEX(prem_analysis!$BH$1:$BS$23,ROWS(Data!$Q$3:T83),COLUMNS(Data!$Q$3:T83)),IF($Q$1=$P$6,INDEX(prem_analysis!$BU$1:$CF$67,ROWS(prem_analysis!$N$2:Q82),COLUMNS(prem_analysis!$N$2:Q82)),IF($Q$1=$P$4,INDEX(Table24[[#All],[Year]:[Details]],ROWS(prem_analysis!$M$420:P500),COLUMNS(Data!$Q$3:T83)))))),"")</f>
        <v/>
      </c>
      <c r="V82" s="1" t="str">
        <f>IFERROR(IF($Q$1=$P$3,INDEX(prem_analysis!$P$2:$Q$441,ROWS(Data!$P$2:U82),COLUMNS(Data!$P$3:T83)),IF($Q$1=$P$5,INDEX(prem_analysis!$BH$1:$BS$23,ROWS(Data!$Q$3:U83),COLUMNS(Data!$Q$3:U83)),IF($Q$1=$P$6,INDEX(prem_analysis!$BU$1:$CF$67,ROWS(prem_analysis!$N$2:R82),COLUMNS(prem_analysis!$N$2:R82)),IF($Q$1=$P$4,INDEX(Table24[[#All],[Year]:[Details]],ROWS(prem_analysis!$M$420:Q500),COLUMNS(Data!$Q$3:U83)))))),"")</f>
        <v/>
      </c>
      <c r="W82" s="1" t="str">
        <f>IFERROR(IF($Q$1=$P$3,INDEX(prem_analysis!$P$2:$Q$441,ROWS(Data!$P$2:V82),COLUMNS(Data!$P$3:U83)),IF($Q$1=$P$5,INDEX(prem_analysis!$BH$1:$BS$23,ROWS(Data!$Q$3:V83),COLUMNS(Data!$Q$3:V83)),IF($Q$1=$P$6,INDEX(prem_analysis!$BU$1:$CF$67,ROWS(prem_analysis!$N$2:S82),COLUMNS(prem_analysis!$N$2:S82)),IF($Q$1=$P$4,INDEX(Table24[[#All],[Year]:[Details]],ROWS(prem_analysis!$M$420:R500),COLUMNS(Data!$Q$3:V83)))))),"")</f>
        <v/>
      </c>
      <c r="X82" s="1" t="str">
        <f>IFERROR(IF($Q$1=$P$3,INDEX(prem_analysis!$P$2:$Q$441,ROWS(Data!$P$2:W82),COLUMNS(Data!$P$3:V83)),IF($Q$1=$P$5,INDEX(prem_analysis!$BH$1:$BS$23,ROWS(Data!$Q$3:W83),COLUMNS(Data!$Q$3:W83)),IF($Q$1=$P$6,INDEX(prem_analysis!$BU$1:$CF$67,ROWS(prem_analysis!$N$2:T82),COLUMNS(prem_analysis!$N$2:T82)),IF($Q$1=$P$4,INDEX(Table24[[#All],[Year]:[Details]],ROWS(prem_analysis!$M$420:S500),COLUMNS(Data!$Q$3:W83)))))),"")</f>
        <v/>
      </c>
      <c r="Y82" s="1" t="str">
        <f>IFERROR(IF($Q$1=$P$3,INDEX(prem_analysis!$P$2:$Q$441,ROWS(Data!$P$2:X82),COLUMNS(Data!$P$3:W83)),IF($Q$1=$P$5,INDEX(prem_analysis!$BH$1:$BS$23,ROWS(Data!$Q$3:X83),COLUMNS(Data!$Q$3:X83)),IF($Q$1=$P$6,INDEX(prem_analysis!$BU$1:$CF$67,ROWS(prem_analysis!$N$2:U82),COLUMNS(prem_analysis!$N$2:U82)),IF($Q$1=$P$4,INDEX(Table24[[#All],[Year]:[Details]],ROWS(prem_analysis!$M$420:T500),COLUMNS(Data!$Q$3:X83)))))),"")</f>
        <v/>
      </c>
      <c r="Z82" s="1" t="str">
        <f>IFERROR(IF($Q$1=$P$3,INDEX(prem_analysis!$P$2:$Q$441,ROWS(Data!$P$2:Y82),COLUMNS(Data!$P$3:X83)),IF($Q$1=$P$5,INDEX(prem_analysis!$BH$1:$BS$23,ROWS(Data!$Q$3:Y83),COLUMNS(Data!$Q$3:Y83)),IF($Q$1=$P$6,INDEX(prem_analysis!$BU$1:$CF$67,ROWS(prem_analysis!$N$2:V82),COLUMNS(prem_analysis!$N$2:V82)),IF($Q$1=$P$4,INDEX(Table24[[#All],[Year]:[Details]],ROWS(prem_analysis!$M$420:U500),COLUMNS(Data!$Q$3:Y83)))))),"")</f>
        <v/>
      </c>
      <c r="AA82" s="1" t="str">
        <f>IFERROR(IF($Q$1=$P$3,INDEX(prem_analysis!$P$2:$Q$441,ROWS(Data!$P$2:Z82),COLUMNS(Data!$P$3:Y83)),IF($Q$1=$P$5,INDEX(prem_analysis!$BH$1:$BS$23,ROWS(Data!$Q$3:Z83),COLUMNS(Data!$Q$3:Z83)),IF($Q$1=$P$6,INDEX(prem_analysis!$BU$1:$CF$67,ROWS(prem_analysis!$N$2:W82),COLUMNS(prem_analysis!$N$2:W82)),IF($Q$1=$P$4,INDEX(Table24[[#All],[Year]:[Details]],ROWS(prem_analysis!$M$420:V500),COLUMNS(Data!$Q$3:Z83)))))),"")</f>
        <v/>
      </c>
      <c r="AB82" s="1" t="str">
        <f>IFERROR(IF($Q$1=$P$3,INDEX(prem_analysis!$P$2:$Q$441,ROWS(Data!$P$2:AA82),COLUMNS(Data!$P$3:Z83)),IF($Q$1=$P$5,INDEX(prem_analysis!$BH$1:$BS$23,ROWS(Data!$Q$3:AA83),COLUMNS(Data!$Q$3:AA83)),IF($Q$1=$P$6,INDEX(prem_analysis!$BU$1:$CF$67,ROWS(prem_analysis!$N$2:X82),COLUMNS(prem_analysis!$N$2:X82)),IF($Q$1=$P$4,INDEX(Table24[[#All],[Year]:[Details]],ROWS(prem_analysis!$M$420:W500),COLUMNS(Data!$Q$3:AA83)))))),"")</f>
        <v/>
      </c>
      <c r="AC82" s="1" t="str">
        <f>IFERROR(IF($Q$1=$P$3,INDEX(prem_analysis!$P$2:$Q$441,ROWS(Data!$P$2:AB82),COLUMNS(Data!$P$3:AA83)),IF($Q$1=$P$5,INDEX(prem_analysis!$BH$1:$BS$23,ROWS(Data!$Q$3:AB83),COLUMNS(Data!$Q$3:AB83)),IF($Q$1=$P$6,INDEX(prem_analysis!$BU$1:$CF$67,ROWS(prem_analysis!$N$2:Y82),COLUMNS(prem_analysis!$N$2:Y82)),IF($Q$1=$P$4,INDEX(Table24[[#All],[Year]:[Details]],ROWS(prem_analysis!$M$420:X500),COLUMNS(Data!$Q$3:AB83)))))),"")</f>
        <v/>
      </c>
    </row>
    <row r="83" spans="1:29" x14ac:dyDescent="0.2">
      <c r="A83" s="5">
        <v>2004</v>
      </c>
      <c r="B83" s="5">
        <v>2</v>
      </c>
      <c r="C83" s="6" t="s">
        <v>12</v>
      </c>
      <c r="D83" s="5">
        <v>38</v>
      </c>
      <c r="E83" s="5">
        <v>25</v>
      </c>
      <c r="F83" s="5">
        <v>8</v>
      </c>
      <c r="G83" s="5">
        <v>5</v>
      </c>
      <c r="H83" s="5">
        <v>87</v>
      </c>
      <c r="I83" s="5">
        <v>36</v>
      </c>
      <c r="J83" s="5">
        <v>51</v>
      </c>
      <c r="K83" s="5">
        <v>83</v>
      </c>
      <c r="L83" s="5">
        <f>IF(Table24[[#This Row],['#]]=1,"Champion", IF(Table24[[#This Row],['#]]&gt;=18,"Relegated",Table24[[#This Row],['#]]))</f>
        <v>2</v>
      </c>
      <c r="M83" s="5">
        <f>IF(Table24[[#This Row],[Details]]=2,K82-Table24[[#This Row],[Pts]],IF(Table24[[#This Row],[Details]]=17,Table24[[#This Row],[Pts]]-K84,""))</f>
        <v>12</v>
      </c>
      <c r="R83" s="1" t="str">
        <f>IFERROR(IF($Q$1=$P$3,INDEX(prem_analysis!$P$2:$Q$441,ROWS(Data!$P$2:Q83),COLUMNS(Data!$P$3:P84)),IF($Q$1=$P$5,INDEX(prem_analysis!$BH$1:$BS$23,ROWS(Data!$Q$3:Q84),COLUMNS(Data!$Q$3:Q84)),IF($Q$1=$P$6,INDEX(prem_analysis!$BU$1:$CF$67,ROWS(prem_analysis!$N$2:N83),COLUMNS(prem_analysis!$N$2:N83)),IF($Q$1=$P$4,INDEX(Table24[[#All],[Year]:[Details]],ROWS(prem_analysis!$M$420:M501),COLUMNS(Data!$Q$3:Q84)))))),"")</f>
        <v/>
      </c>
      <c r="S83" s="1" t="str">
        <f>IFERROR(IF($Q$1=$P$3,INDEX(prem_analysis!$P$2:$Q$441,ROWS(Data!$P$2:R83),COLUMNS(Data!$P$3:Q84)),IF($Q$1=$P$5,INDEX(prem_analysis!$BH$1:$BS$23,ROWS(Data!$Q$3:R84),COLUMNS(Data!$Q$3:R84)),IF($Q$1=$P$6,INDEX(prem_analysis!$BU$1:$CF$67,ROWS(prem_analysis!$N$2:O83),COLUMNS(prem_analysis!$N$2:O83)),IF($Q$1=$P$4,INDEX(Table24[[#All],[Year]:[Details]],ROWS(prem_analysis!$M$420:N501),COLUMNS(Data!$Q$3:R84)))))),"")</f>
        <v/>
      </c>
      <c r="T83" s="1" t="str">
        <f>IFERROR(IF($Q$1=$P$3,INDEX(prem_analysis!$P$2:$Q$441,ROWS(Data!$P$2:S83),COLUMNS(Data!$P$3:R84)),IF($Q$1=$P$5,INDEX(prem_analysis!$BH$1:$BS$23,ROWS(Data!$Q$3:S84),COLUMNS(Data!$Q$3:S84)),IF($Q$1=$P$6,INDEX(prem_analysis!$BU$1:$CF$67,ROWS(prem_analysis!$N$2:P83),COLUMNS(prem_analysis!$N$2:P83)),IF($Q$1=$P$4,INDEX(Table24[[#All],[Year]:[Details]],ROWS(prem_analysis!$M$420:O501),COLUMNS(Data!$Q$3:S84)))))),"")</f>
        <v/>
      </c>
      <c r="U83" s="1" t="str">
        <f>IFERROR(IF($Q$1=$P$3,INDEX(prem_analysis!$P$2:$Q$441,ROWS(Data!$P$2:T83),COLUMNS(Data!$P$3:S84)),IF($Q$1=$P$5,INDEX(prem_analysis!$BH$1:$BS$23,ROWS(Data!$Q$3:T84),COLUMNS(Data!$Q$3:T84)),IF($Q$1=$P$6,INDEX(prem_analysis!$BU$1:$CF$67,ROWS(prem_analysis!$N$2:Q83),COLUMNS(prem_analysis!$N$2:Q83)),IF($Q$1=$P$4,INDEX(Table24[[#All],[Year]:[Details]],ROWS(prem_analysis!$M$420:P501),COLUMNS(Data!$Q$3:T84)))))),"")</f>
        <v/>
      </c>
      <c r="V83" s="1" t="str">
        <f>IFERROR(IF($Q$1=$P$3,INDEX(prem_analysis!$P$2:$Q$441,ROWS(Data!$P$2:U83),COLUMNS(Data!$P$3:T84)),IF($Q$1=$P$5,INDEX(prem_analysis!$BH$1:$BS$23,ROWS(Data!$Q$3:U84),COLUMNS(Data!$Q$3:U84)),IF($Q$1=$P$6,INDEX(prem_analysis!$BU$1:$CF$67,ROWS(prem_analysis!$N$2:R83),COLUMNS(prem_analysis!$N$2:R83)),IF($Q$1=$P$4,INDEX(Table24[[#All],[Year]:[Details]],ROWS(prem_analysis!$M$420:Q501),COLUMNS(Data!$Q$3:U84)))))),"")</f>
        <v/>
      </c>
      <c r="W83" s="1" t="str">
        <f>IFERROR(IF($Q$1=$P$3,INDEX(prem_analysis!$P$2:$Q$441,ROWS(Data!$P$2:V83),COLUMNS(Data!$P$3:U84)),IF($Q$1=$P$5,INDEX(prem_analysis!$BH$1:$BS$23,ROWS(Data!$Q$3:V84),COLUMNS(Data!$Q$3:V84)),IF($Q$1=$P$6,INDEX(prem_analysis!$BU$1:$CF$67,ROWS(prem_analysis!$N$2:S83),COLUMNS(prem_analysis!$N$2:S83)),IF($Q$1=$P$4,INDEX(Table24[[#All],[Year]:[Details]],ROWS(prem_analysis!$M$420:R501),COLUMNS(Data!$Q$3:V84)))))),"")</f>
        <v/>
      </c>
      <c r="X83" s="1" t="str">
        <f>IFERROR(IF($Q$1=$P$3,INDEX(prem_analysis!$P$2:$Q$441,ROWS(Data!$P$2:W83),COLUMNS(Data!$P$3:V84)),IF($Q$1=$P$5,INDEX(prem_analysis!$BH$1:$BS$23,ROWS(Data!$Q$3:W84),COLUMNS(Data!$Q$3:W84)),IF($Q$1=$P$6,INDEX(prem_analysis!$BU$1:$CF$67,ROWS(prem_analysis!$N$2:T83),COLUMNS(prem_analysis!$N$2:T83)),IF($Q$1=$P$4,INDEX(Table24[[#All],[Year]:[Details]],ROWS(prem_analysis!$M$420:S501),COLUMNS(Data!$Q$3:W84)))))),"")</f>
        <v/>
      </c>
      <c r="Y83" s="1" t="str">
        <f>IFERROR(IF($Q$1=$P$3,INDEX(prem_analysis!$P$2:$Q$441,ROWS(Data!$P$2:X83),COLUMNS(Data!$P$3:W84)),IF($Q$1=$P$5,INDEX(prem_analysis!$BH$1:$BS$23,ROWS(Data!$Q$3:X84),COLUMNS(Data!$Q$3:X84)),IF($Q$1=$P$6,INDEX(prem_analysis!$BU$1:$CF$67,ROWS(prem_analysis!$N$2:U83),COLUMNS(prem_analysis!$N$2:U83)),IF($Q$1=$P$4,INDEX(Table24[[#All],[Year]:[Details]],ROWS(prem_analysis!$M$420:T501),COLUMNS(Data!$Q$3:X84)))))),"")</f>
        <v/>
      </c>
      <c r="Z83" s="1" t="str">
        <f>IFERROR(IF($Q$1=$P$3,INDEX(prem_analysis!$P$2:$Q$441,ROWS(Data!$P$2:Y83),COLUMNS(Data!$P$3:X84)),IF($Q$1=$P$5,INDEX(prem_analysis!$BH$1:$BS$23,ROWS(Data!$Q$3:Y84),COLUMNS(Data!$Q$3:Y84)),IF($Q$1=$P$6,INDEX(prem_analysis!$BU$1:$CF$67,ROWS(prem_analysis!$N$2:V83),COLUMNS(prem_analysis!$N$2:V83)),IF($Q$1=$P$4,INDEX(Table24[[#All],[Year]:[Details]],ROWS(prem_analysis!$M$420:U501),COLUMNS(Data!$Q$3:Y84)))))),"")</f>
        <v/>
      </c>
      <c r="AA83" s="1" t="str">
        <f>IFERROR(IF($Q$1=$P$3,INDEX(prem_analysis!$P$2:$Q$441,ROWS(Data!$P$2:Z83),COLUMNS(Data!$P$3:Y84)),IF($Q$1=$P$5,INDEX(prem_analysis!$BH$1:$BS$23,ROWS(Data!$Q$3:Z84),COLUMNS(Data!$Q$3:Z84)),IF($Q$1=$P$6,INDEX(prem_analysis!$BU$1:$CF$67,ROWS(prem_analysis!$N$2:W83),COLUMNS(prem_analysis!$N$2:W83)),IF($Q$1=$P$4,INDEX(Table24[[#All],[Year]:[Details]],ROWS(prem_analysis!$M$420:V501),COLUMNS(Data!$Q$3:Z84)))))),"")</f>
        <v/>
      </c>
      <c r="AB83" s="1" t="str">
        <f>IFERROR(IF($Q$1=$P$3,INDEX(prem_analysis!$P$2:$Q$441,ROWS(Data!$P$2:AA83),COLUMNS(Data!$P$3:Z84)),IF($Q$1=$P$5,INDEX(prem_analysis!$BH$1:$BS$23,ROWS(Data!$Q$3:AA84),COLUMNS(Data!$Q$3:AA84)),IF($Q$1=$P$6,INDEX(prem_analysis!$BU$1:$CF$67,ROWS(prem_analysis!$N$2:X83),COLUMNS(prem_analysis!$N$2:X83)),IF($Q$1=$P$4,INDEX(Table24[[#All],[Year]:[Details]],ROWS(prem_analysis!$M$420:W501),COLUMNS(Data!$Q$3:AA84)))))),"")</f>
        <v/>
      </c>
      <c r="AC83" s="1" t="str">
        <f>IFERROR(IF($Q$1=$P$3,INDEX(prem_analysis!$P$2:$Q$441,ROWS(Data!$P$2:AB83),COLUMNS(Data!$P$3:AA84)),IF($Q$1=$P$5,INDEX(prem_analysis!$BH$1:$BS$23,ROWS(Data!$Q$3:AB84),COLUMNS(Data!$Q$3:AB84)),IF($Q$1=$P$6,INDEX(prem_analysis!$BU$1:$CF$67,ROWS(prem_analysis!$N$2:Y83),COLUMNS(prem_analysis!$N$2:Y83)),IF($Q$1=$P$4,INDEX(Table24[[#All],[Year]:[Details]],ROWS(prem_analysis!$M$420:X501),COLUMNS(Data!$Q$3:AB84)))))),"")</f>
        <v/>
      </c>
    </row>
    <row r="84" spans="1:29" x14ac:dyDescent="0.2">
      <c r="A84" s="3">
        <v>2004</v>
      </c>
      <c r="B84" s="3">
        <v>3</v>
      </c>
      <c r="C84" s="4" t="s">
        <v>11</v>
      </c>
      <c r="D84" s="3">
        <v>38</v>
      </c>
      <c r="E84" s="3">
        <v>22</v>
      </c>
      <c r="F84" s="3">
        <v>11</v>
      </c>
      <c r="G84" s="3">
        <v>5</v>
      </c>
      <c r="H84" s="3">
        <v>58</v>
      </c>
      <c r="I84" s="3">
        <v>26</v>
      </c>
      <c r="J84" s="3">
        <v>32</v>
      </c>
      <c r="K84" s="3">
        <v>77</v>
      </c>
      <c r="L84" s="5">
        <f>IF(Table24[[#This Row],['#]]=1,"Champion", IF(Table24[[#This Row],['#]]&gt;=18,"Relegated",Table24[[#This Row],['#]]))</f>
        <v>3</v>
      </c>
      <c r="M84" s="5" t="str">
        <f>IF(Table24[[#This Row],[Details]]=2,K83-Table24[[#This Row],[Pts]],IF(Table24[[#This Row],[Details]]=17,Table24[[#This Row],[Pts]]-K85,""))</f>
        <v/>
      </c>
      <c r="R84" s="1" t="str">
        <f>IFERROR(IF($Q$1=$P$3,INDEX(prem_analysis!$P$2:$Q$441,ROWS(Data!$P$2:Q84),COLUMNS(Data!$P$3:P85)),IF($Q$1=$P$5,INDEX(prem_analysis!$BH$1:$BS$23,ROWS(Data!$Q$3:Q85),COLUMNS(Data!$Q$3:Q85)),IF($Q$1=$P$6,INDEX(prem_analysis!$BU$1:$CF$67,ROWS(prem_analysis!$N$2:N84),COLUMNS(prem_analysis!$N$2:N84)),IF($Q$1=$P$4,INDEX(Table24[[#All],[Year]:[Details]],ROWS(prem_analysis!$M$420:M502),COLUMNS(Data!$Q$3:Q85)))))),"")</f>
        <v/>
      </c>
      <c r="S84" s="1" t="str">
        <f>IFERROR(IF($Q$1=$P$3,INDEX(prem_analysis!$P$2:$Q$441,ROWS(Data!$P$2:R84),COLUMNS(Data!$P$3:Q85)),IF($Q$1=$P$5,INDEX(prem_analysis!$BH$1:$BS$23,ROWS(Data!$Q$3:R85),COLUMNS(Data!$Q$3:R85)),IF($Q$1=$P$6,INDEX(prem_analysis!$BU$1:$CF$67,ROWS(prem_analysis!$N$2:O84),COLUMNS(prem_analysis!$N$2:O84)),IF($Q$1=$P$4,INDEX(Table24[[#All],[Year]:[Details]],ROWS(prem_analysis!$M$420:N502),COLUMNS(Data!$Q$3:R85)))))),"")</f>
        <v/>
      </c>
      <c r="T84" s="1" t="str">
        <f>IFERROR(IF($Q$1=$P$3,INDEX(prem_analysis!$P$2:$Q$441,ROWS(Data!$P$2:S84),COLUMNS(Data!$P$3:R85)),IF($Q$1=$P$5,INDEX(prem_analysis!$BH$1:$BS$23,ROWS(Data!$Q$3:S85),COLUMNS(Data!$Q$3:S85)),IF($Q$1=$P$6,INDEX(prem_analysis!$BU$1:$CF$67,ROWS(prem_analysis!$N$2:P84),COLUMNS(prem_analysis!$N$2:P84)),IF($Q$1=$P$4,INDEX(Table24[[#All],[Year]:[Details]],ROWS(prem_analysis!$M$420:O502),COLUMNS(Data!$Q$3:S85)))))),"")</f>
        <v/>
      </c>
      <c r="U84" s="1" t="str">
        <f>IFERROR(IF($Q$1=$P$3,INDEX(prem_analysis!$P$2:$Q$441,ROWS(Data!$P$2:T84),COLUMNS(Data!$P$3:S85)),IF($Q$1=$P$5,INDEX(prem_analysis!$BH$1:$BS$23,ROWS(Data!$Q$3:T85),COLUMNS(Data!$Q$3:T85)),IF($Q$1=$P$6,INDEX(prem_analysis!$BU$1:$CF$67,ROWS(prem_analysis!$N$2:Q84),COLUMNS(prem_analysis!$N$2:Q84)),IF($Q$1=$P$4,INDEX(Table24[[#All],[Year]:[Details]],ROWS(prem_analysis!$M$420:P502),COLUMNS(Data!$Q$3:T85)))))),"")</f>
        <v/>
      </c>
      <c r="V84" s="1" t="str">
        <f>IFERROR(IF($Q$1=$P$3,INDEX(prem_analysis!$P$2:$Q$441,ROWS(Data!$P$2:U84),COLUMNS(Data!$P$3:T85)),IF($Q$1=$P$5,INDEX(prem_analysis!$BH$1:$BS$23,ROWS(Data!$Q$3:U85),COLUMNS(Data!$Q$3:U85)),IF($Q$1=$P$6,INDEX(prem_analysis!$BU$1:$CF$67,ROWS(prem_analysis!$N$2:R84),COLUMNS(prem_analysis!$N$2:R84)),IF($Q$1=$P$4,INDEX(Table24[[#All],[Year]:[Details]],ROWS(prem_analysis!$M$420:Q502),COLUMNS(Data!$Q$3:U85)))))),"")</f>
        <v/>
      </c>
      <c r="W84" s="1" t="str">
        <f>IFERROR(IF($Q$1=$P$3,INDEX(prem_analysis!$P$2:$Q$441,ROWS(Data!$P$2:V84),COLUMNS(Data!$P$3:U85)),IF($Q$1=$P$5,INDEX(prem_analysis!$BH$1:$BS$23,ROWS(Data!$Q$3:V85),COLUMNS(Data!$Q$3:V85)),IF($Q$1=$P$6,INDEX(prem_analysis!$BU$1:$CF$67,ROWS(prem_analysis!$N$2:S84),COLUMNS(prem_analysis!$N$2:S84)),IF($Q$1=$P$4,INDEX(Table24[[#All],[Year]:[Details]],ROWS(prem_analysis!$M$420:R502),COLUMNS(Data!$Q$3:V85)))))),"")</f>
        <v/>
      </c>
      <c r="X84" s="1" t="str">
        <f>IFERROR(IF($Q$1=$P$3,INDEX(prem_analysis!$P$2:$Q$441,ROWS(Data!$P$2:W84),COLUMNS(Data!$P$3:V85)),IF($Q$1=$P$5,INDEX(prem_analysis!$BH$1:$BS$23,ROWS(Data!$Q$3:W85),COLUMNS(Data!$Q$3:W85)),IF($Q$1=$P$6,INDEX(prem_analysis!$BU$1:$CF$67,ROWS(prem_analysis!$N$2:T84),COLUMNS(prem_analysis!$N$2:T84)),IF($Q$1=$P$4,INDEX(Table24[[#All],[Year]:[Details]],ROWS(prem_analysis!$M$420:S502),COLUMNS(Data!$Q$3:W85)))))),"")</f>
        <v/>
      </c>
      <c r="Y84" s="1" t="str">
        <f>IFERROR(IF($Q$1=$P$3,INDEX(prem_analysis!$P$2:$Q$441,ROWS(Data!$P$2:X84),COLUMNS(Data!$P$3:W85)),IF($Q$1=$P$5,INDEX(prem_analysis!$BH$1:$BS$23,ROWS(Data!$Q$3:X85),COLUMNS(Data!$Q$3:X85)),IF($Q$1=$P$6,INDEX(prem_analysis!$BU$1:$CF$67,ROWS(prem_analysis!$N$2:U84),COLUMNS(prem_analysis!$N$2:U84)),IF($Q$1=$P$4,INDEX(Table24[[#All],[Year]:[Details]],ROWS(prem_analysis!$M$420:T502),COLUMNS(Data!$Q$3:X85)))))),"")</f>
        <v/>
      </c>
      <c r="Z84" s="1" t="str">
        <f>IFERROR(IF($Q$1=$P$3,INDEX(prem_analysis!$P$2:$Q$441,ROWS(Data!$P$2:Y84),COLUMNS(Data!$P$3:X85)),IF($Q$1=$P$5,INDEX(prem_analysis!$BH$1:$BS$23,ROWS(Data!$Q$3:Y85),COLUMNS(Data!$Q$3:Y85)),IF($Q$1=$P$6,INDEX(prem_analysis!$BU$1:$CF$67,ROWS(prem_analysis!$N$2:V84),COLUMNS(prem_analysis!$N$2:V84)),IF($Q$1=$P$4,INDEX(Table24[[#All],[Year]:[Details]],ROWS(prem_analysis!$M$420:U502),COLUMNS(Data!$Q$3:Y85)))))),"")</f>
        <v/>
      </c>
      <c r="AA84" s="1" t="str">
        <f>IFERROR(IF($Q$1=$P$3,INDEX(prem_analysis!$P$2:$Q$441,ROWS(Data!$P$2:Z84),COLUMNS(Data!$P$3:Y85)),IF($Q$1=$P$5,INDEX(prem_analysis!$BH$1:$BS$23,ROWS(Data!$Q$3:Z85),COLUMNS(Data!$Q$3:Z85)),IF($Q$1=$P$6,INDEX(prem_analysis!$BU$1:$CF$67,ROWS(prem_analysis!$N$2:W84),COLUMNS(prem_analysis!$N$2:W84)),IF($Q$1=$P$4,INDEX(Table24[[#All],[Year]:[Details]],ROWS(prem_analysis!$M$420:V502),COLUMNS(Data!$Q$3:Z85)))))),"")</f>
        <v/>
      </c>
      <c r="AB84" s="1" t="str">
        <f>IFERROR(IF($Q$1=$P$3,INDEX(prem_analysis!$P$2:$Q$441,ROWS(Data!$P$2:AA84),COLUMNS(Data!$P$3:Z85)),IF($Q$1=$P$5,INDEX(prem_analysis!$BH$1:$BS$23,ROWS(Data!$Q$3:AA85),COLUMNS(Data!$Q$3:AA85)),IF($Q$1=$P$6,INDEX(prem_analysis!$BU$1:$CF$67,ROWS(prem_analysis!$N$2:X84),COLUMNS(prem_analysis!$N$2:X84)),IF($Q$1=$P$4,INDEX(Table24[[#All],[Year]:[Details]],ROWS(prem_analysis!$M$420:W502),COLUMNS(Data!$Q$3:AA85)))))),"")</f>
        <v/>
      </c>
      <c r="AC84" s="1" t="str">
        <f>IFERROR(IF($Q$1=$P$3,INDEX(prem_analysis!$P$2:$Q$441,ROWS(Data!$P$2:AB84),COLUMNS(Data!$P$3:AA85)),IF($Q$1=$P$5,INDEX(prem_analysis!$BH$1:$BS$23,ROWS(Data!$Q$3:AB85),COLUMNS(Data!$Q$3:AB85)),IF($Q$1=$P$6,INDEX(prem_analysis!$BU$1:$CF$67,ROWS(prem_analysis!$N$2:Y84),COLUMNS(prem_analysis!$N$2:Y84)),IF($Q$1=$P$4,INDEX(Table24[[#All],[Year]:[Details]],ROWS(prem_analysis!$M$420:X502),COLUMNS(Data!$Q$3:AB85)))))),"")</f>
        <v/>
      </c>
    </row>
    <row r="85" spans="1:29" x14ac:dyDescent="0.2">
      <c r="A85" s="5">
        <v>2004</v>
      </c>
      <c r="B85" s="5">
        <v>4</v>
      </c>
      <c r="C85" s="6" t="s">
        <v>26</v>
      </c>
      <c r="D85" s="5">
        <v>38</v>
      </c>
      <c r="E85" s="5">
        <v>18</v>
      </c>
      <c r="F85" s="5">
        <v>7</v>
      </c>
      <c r="G85" s="5">
        <v>13</v>
      </c>
      <c r="H85" s="5">
        <v>45</v>
      </c>
      <c r="I85" s="5">
        <v>46</v>
      </c>
      <c r="J85" s="5">
        <v>-1</v>
      </c>
      <c r="K85" s="5">
        <v>61</v>
      </c>
      <c r="L85" s="5">
        <f>IF(Table24[[#This Row],['#]]=1,"Champion", IF(Table24[[#This Row],['#]]&gt;=18,"Relegated",Table24[[#This Row],['#]]))</f>
        <v>4</v>
      </c>
      <c r="M85" s="5" t="str">
        <f>IF(Table24[[#This Row],[Details]]=2,K84-Table24[[#This Row],[Pts]],IF(Table24[[#This Row],[Details]]=17,Table24[[#This Row],[Pts]]-K86,""))</f>
        <v/>
      </c>
      <c r="R85" s="1" t="str">
        <f>IFERROR(IF($Q$1=$P$3,INDEX(prem_analysis!$P$2:$Q$441,ROWS(Data!$P$2:Q85),COLUMNS(Data!$P$3:P86)),IF($Q$1=$P$5,INDEX(prem_analysis!$BH$1:$BS$23,ROWS(Data!$Q$3:Q86),COLUMNS(Data!$Q$3:Q86)),IF($Q$1=$P$6,INDEX(prem_analysis!$BU$1:$CF$67,ROWS(prem_analysis!$N$2:N85),COLUMNS(prem_analysis!$N$2:N85)),IF($Q$1=$P$4,INDEX(Table24[[#All],[Year]:[Details]],ROWS(prem_analysis!$M$420:M503),COLUMNS(Data!$Q$3:Q86)))))),"")</f>
        <v/>
      </c>
      <c r="S85" s="1" t="str">
        <f>IFERROR(IF($Q$1=$P$3,INDEX(prem_analysis!$P$2:$Q$441,ROWS(Data!$P$2:R85),COLUMNS(Data!$P$3:Q86)),IF($Q$1=$P$5,INDEX(prem_analysis!$BH$1:$BS$23,ROWS(Data!$Q$3:R86),COLUMNS(Data!$Q$3:R86)),IF($Q$1=$P$6,INDEX(prem_analysis!$BU$1:$CF$67,ROWS(prem_analysis!$N$2:O85),COLUMNS(prem_analysis!$N$2:O85)),IF($Q$1=$P$4,INDEX(Table24[[#All],[Year]:[Details]],ROWS(prem_analysis!$M$420:N503),COLUMNS(Data!$Q$3:R86)))))),"")</f>
        <v/>
      </c>
      <c r="T85" s="1" t="str">
        <f>IFERROR(IF($Q$1=$P$3,INDEX(prem_analysis!$P$2:$Q$441,ROWS(Data!$P$2:S85),COLUMNS(Data!$P$3:R86)),IF($Q$1=$P$5,INDEX(prem_analysis!$BH$1:$BS$23,ROWS(Data!$Q$3:S86),COLUMNS(Data!$Q$3:S86)),IF($Q$1=$P$6,INDEX(prem_analysis!$BU$1:$CF$67,ROWS(prem_analysis!$N$2:P85),COLUMNS(prem_analysis!$N$2:P85)),IF($Q$1=$P$4,INDEX(Table24[[#All],[Year]:[Details]],ROWS(prem_analysis!$M$420:O503),COLUMNS(Data!$Q$3:S86)))))),"")</f>
        <v/>
      </c>
      <c r="U85" s="1" t="str">
        <f>IFERROR(IF($Q$1=$P$3,INDEX(prem_analysis!$P$2:$Q$441,ROWS(Data!$P$2:T85),COLUMNS(Data!$P$3:S86)),IF($Q$1=$P$5,INDEX(prem_analysis!$BH$1:$BS$23,ROWS(Data!$Q$3:T86),COLUMNS(Data!$Q$3:T86)),IF($Q$1=$P$6,INDEX(prem_analysis!$BU$1:$CF$67,ROWS(prem_analysis!$N$2:Q85),COLUMNS(prem_analysis!$N$2:Q85)),IF($Q$1=$P$4,INDEX(Table24[[#All],[Year]:[Details]],ROWS(prem_analysis!$M$420:P503),COLUMNS(Data!$Q$3:T86)))))),"")</f>
        <v/>
      </c>
      <c r="V85" s="1" t="str">
        <f>IFERROR(IF($Q$1=$P$3,INDEX(prem_analysis!$P$2:$Q$441,ROWS(Data!$P$2:U85),COLUMNS(Data!$P$3:T86)),IF($Q$1=$P$5,INDEX(prem_analysis!$BH$1:$BS$23,ROWS(Data!$Q$3:U86),COLUMNS(Data!$Q$3:U86)),IF($Q$1=$P$6,INDEX(prem_analysis!$BU$1:$CF$67,ROWS(prem_analysis!$N$2:R85),COLUMNS(prem_analysis!$N$2:R85)),IF($Q$1=$P$4,INDEX(Table24[[#All],[Year]:[Details]],ROWS(prem_analysis!$M$420:Q503),COLUMNS(Data!$Q$3:U86)))))),"")</f>
        <v/>
      </c>
      <c r="W85" s="1" t="str">
        <f>IFERROR(IF($Q$1=$P$3,INDEX(prem_analysis!$P$2:$Q$441,ROWS(Data!$P$2:V85),COLUMNS(Data!$P$3:U86)),IF($Q$1=$P$5,INDEX(prem_analysis!$BH$1:$BS$23,ROWS(Data!$Q$3:V86),COLUMNS(Data!$Q$3:V86)),IF($Q$1=$P$6,INDEX(prem_analysis!$BU$1:$CF$67,ROWS(prem_analysis!$N$2:S85),COLUMNS(prem_analysis!$N$2:S85)),IF($Q$1=$P$4,INDEX(Table24[[#All],[Year]:[Details]],ROWS(prem_analysis!$M$420:R503),COLUMNS(Data!$Q$3:V86)))))),"")</f>
        <v/>
      </c>
      <c r="X85" s="1" t="str">
        <f>IFERROR(IF($Q$1=$P$3,INDEX(prem_analysis!$P$2:$Q$441,ROWS(Data!$P$2:W85),COLUMNS(Data!$P$3:V86)),IF($Q$1=$P$5,INDEX(prem_analysis!$BH$1:$BS$23,ROWS(Data!$Q$3:W86),COLUMNS(Data!$Q$3:W86)),IF($Q$1=$P$6,INDEX(prem_analysis!$BU$1:$CF$67,ROWS(prem_analysis!$N$2:T85),COLUMNS(prem_analysis!$N$2:T85)),IF($Q$1=$P$4,INDEX(Table24[[#All],[Year]:[Details]],ROWS(prem_analysis!$M$420:S503),COLUMNS(Data!$Q$3:W86)))))),"")</f>
        <v/>
      </c>
      <c r="Y85" s="1" t="str">
        <f>IFERROR(IF($Q$1=$P$3,INDEX(prem_analysis!$P$2:$Q$441,ROWS(Data!$P$2:X85),COLUMNS(Data!$P$3:W86)),IF($Q$1=$P$5,INDEX(prem_analysis!$BH$1:$BS$23,ROWS(Data!$Q$3:X86),COLUMNS(Data!$Q$3:X86)),IF($Q$1=$P$6,INDEX(prem_analysis!$BU$1:$CF$67,ROWS(prem_analysis!$N$2:U85),COLUMNS(prem_analysis!$N$2:U85)),IF($Q$1=$P$4,INDEX(Table24[[#All],[Year]:[Details]],ROWS(prem_analysis!$M$420:T503),COLUMNS(Data!$Q$3:X86)))))),"")</f>
        <v/>
      </c>
      <c r="Z85" s="1" t="str">
        <f>IFERROR(IF($Q$1=$P$3,INDEX(prem_analysis!$P$2:$Q$441,ROWS(Data!$P$2:Y85),COLUMNS(Data!$P$3:X86)),IF($Q$1=$P$5,INDEX(prem_analysis!$BH$1:$BS$23,ROWS(Data!$Q$3:Y86),COLUMNS(Data!$Q$3:Y86)),IF($Q$1=$P$6,INDEX(prem_analysis!$BU$1:$CF$67,ROWS(prem_analysis!$N$2:V85),COLUMNS(prem_analysis!$N$2:V85)),IF($Q$1=$P$4,INDEX(Table24[[#All],[Year]:[Details]],ROWS(prem_analysis!$M$420:U503),COLUMNS(Data!$Q$3:Y86)))))),"")</f>
        <v/>
      </c>
      <c r="AA85" s="1" t="str">
        <f>IFERROR(IF($Q$1=$P$3,INDEX(prem_analysis!$P$2:$Q$441,ROWS(Data!$P$2:Z85),COLUMNS(Data!$P$3:Y86)),IF($Q$1=$P$5,INDEX(prem_analysis!$BH$1:$BS$23,ROWS(Data!$Q$3:Z86),COLUMNS(Data!$Q$3:Z86)),IF($Q$1=$P$6,INDEX(prem_analysis!$BU$1:$CF$67,ROWS(prem_analysis!$N$2:W85),COLUMNS(prem_analysis!$N$2:W85)),IF($Q$1=$P$4,INDEX(Table24[[#All],[Year]:[Details]],ROWS(prem_analysis!$M$420:V503),COLUMNS(Data!$Q$3:Z86)))))),"")</f>
        <v/>
      </c>
      <c r="AB85" s="1" t="str">
        <f>IFERROR(IF($Q$1=$P$3,INDEX(prem_analysis!$P$2:$Q$441,ROWS(Data!$P$2:AA85),COLUMNS(Data!$P$3:Z86)),IF($Q$1=$P$5,INDEX(prem_analysis!$BH$1:$BS$23,ROWS(Data!$Q$3:AA86),COLUMNS(Data!$Q$3:AA86)),IF($Q$1=$P$6,INDEX(prem_analysis!$BU$1:$CF$67,ROWS(prem_analysis!$N$2:X85),COLUMNS(prem_analysis!$N$2:X85)),IF($Q$1=$P$4,INDEX(Table24[[#All],[Year]:[Details]],ROWS(prem_analysis!$M$420:W503),COLUMNS(Data!$Q$3:AA86)))))),"")</f>
        <v/>
      </c>
      <c r="AC85" s="1" t="str">
        <f>IFERROR(IF($Q$1=$P$3,INDEX(prem_analysis!$P$2:$Q$441,ROWS(Data!$P$2:AB85),COLUMNS(Data!$P$3:AA86)),IF($Q$1=$P$5,INDEX(prem_analysis!$BH$1:$BS$23,ROWS(Data!$Q$3:AB86),COLUMNS(Data!$Q$3:AB86)),IF($Q$1=$P$6,INDEX(prem_analysis!$BU$1:$CF$67,ROWS(prem_analysis!$N$2:Y85),COLUMNS(prem_analysis!$N$2:Y85)),IF($Q$1=$P$4,INDEX(Table24[[#All],[Year]:[Details]],ROWS(prem_analysis!$M$420:X503),COLUMNS(Data!$Q$3:AB86)))))),"")</f>
        <v/>
      </c>
    </row>
    <row r="86" spans="1:29" x14ac:dyDescent="0.2">
      <c r="A86" s="3">
        <v>2004</v>
      </c>
      <c r="B86" s="3">
        <v>5</v>
      </c>
      <c r="C86" s="4" t="s">
        <v>13</v>
      </c>
      <c r="D86" s="3">
        <v>38</v>
      </c>
      <c r="E86" s="3">
        <v>17</v>
      </c>
      <c r="F86" s="3">
        <v>7</v>
      </c>
      <c r="G86" s="3">
        <v>14</v>
      </c>
      <c r="H86" s="3">
        <v>52</v>
      </c>
      <c r="I86" s="3">
        <v>41</v>
      </c>
      <c r="J86" s="3">
        <v>11</v>
      </c>
      <c r="K86" s="3">
        <v>58</v>
      </c>
      <c r="L86" s="5">
        <f>IF(Table24[[#This Row],['#]]=1,"Champion", IF(Table24[[#This Row],['#]]&gt;=18,"Relegated",Table24[[#This Row],['#]]))</f>
        <v>5</v>
      </c>
      <c r="M86" s="5" t="str">
        <f>IF(Table24[[#This Row],[Details]]=2,K85-Table24[[#This Row],[Pts]],IF(Table24[[#This Row],[Details]]=17,Table24[[#This Row],[Pts]]-K87,""))</f>
        <v/>
      </c>
      <c r="R86" s="1" t="str">
        <f>IFERROR(IF($Q$1=$P$3,INDEX(prem_analysis!$P$2:$Q$441,ROWS(Data!$P$2:Q86),COLUMNS(Data!$P$3:P87)),IF($Q$1=$P$5,INDEX(prem_analysis!$BH$1:$BS$23,ROWS(Data!$Q$3:Q87),COLUMNS(Data!$Q$3:Q87)),IF($Q$1=$P$6,INDEX(prem_analysis!$BU$1:$CF$67,ROWS(prem_analysis!$N$2:N86),COLUMNS(prem_analysis!$N$2:N86)),IF($Q$1=$P$4,INDEX(Table24[[#All],[Year]:[Details]],ROWS(prem_analysis!$M$420:M504),COLUMNS(Data!$Q$3:Q87)))))),"")</f>
        <v/>
      </c>
      <c r="S86" s="1" t="str">
        <f>IFERROR(IF($Q$1=$P$3,INDEX(prem_analysis!$P$2:$Q$441,ROWS(Data!$P$2:R86),COLUMNS(Data!$P$3:Q87)),IF($Q$1=$P$5,INDEX(prem_analysis!$BH$1:$BS$23,ROWS(Data!$Q$3:R87),COLUMNS(Data!$Q$3:R87)),IF($Q$1=$P$6,INDEX(prem_analysis!$BU$1:$CF$67,ROWS(prem_analysis!$N$2:O86),COLUMNS(prem_analysis!$N$2:O86)),IF($Q$1=$P$4,INDEX(Table24[[#All],[Year]:[Details]],ROWS(prem_analysis!$M$420:N504),COLUMNS(Data!$Q$3:R87)))))),"")</f>
        <v/>
      </c>
      <c r="T86" s="1" t="str">
        <f>IFERROR(IF($Q$1=$P$3,INDEX(prem_analysis!$P$2:$Q$441,ROWS(Data!$P$2:S86),COLUMNS(Data!$P$3:R87)),IF($Q$1=$P$5,INDEX(prem_analysis!$BH$1:$BS$23,ROWS(Data!$Q$3:S87),COLUMNS(Data!$Q$3:S87)),IF($Q$1=$P$6,INDEX(prem_analysis!$BU$1:$CF$67,ROWS(prem_analysis!$N$2:P86),COLUMNS(prem_analysis!$N$2:P86)),IF($Q$1=$P$4,INDEX(Table24[[#All],[Year]:[Details]],ROWS(prem_analysis!$M$420:O504),COLUMNS(Data!$Q$3:S87)))))),"")</f>
        <v/>
      </c>
      <c r="U86" s="1" t="str">
        <f>IFERROR(IF($Q$1=$P$3,INDEX(prem_analysis!$P$2:$Q$441,ROWS(Data!$P$2:T86),COLUMNS(Data!$P$3:S87)),IF($Q$1=$P$5,INDEX(prem_analysis!$BH$1:$BS$23,ROWS(Data!$Q$3:T87),COLUMNS(Data!$Q$3:T87)),IF($Q$1=$P$6,INDEX(prem_analysis!$BU$1:$CF$67,ROWS(prem_analysis!$N$2:Q86),COLUMNS(prem_analysis!$N$2:Q86)),IF($Q$1=$P$4,INDEX(Table24[[#All],[Year]:[Details]],ROWS(prem_analysis!$M$420:P504),COLUMNS(Data!$Q$3:T87)))))),"")</f>
        <v/>
      </c>
      <c r="V86" s="1" t="str">
        <f>IFERROR(IF($Q$1=$P$3,INDEX(prem_analysis!$P$2:$Q$441,ROWS(Data!$P$2:U86),COLUMNS(Data!$P$3:T87)),IF($Q$1=$P$5,INDEX(prem_analysis!$BH$1:$BS$23,ROWS(Data!$Q$3:U87),COLUMNS(Data!$Q$3:U87)),IF($Q$1=$P$6,INDEX(prem_analysis!$BU$1:$CF$67,ROWS(prem_analysis!$N$2:R86),COLUMNS(prem_analysis!$N$2:R86)),IF($Q$1=$P$4,INDEX(Table24[[#All],[Year]:[Details]],ROWS(prem_analysis!$M$420:Q504),COLUMNS(Data!$Q$3:U87)))))),"")</f>
        <v/>
      </c>
      <c r="W86" s="1" t="str">
        <f>IFERROR(IF($Q$1=$P$3,INDEX(prem_analysis!$P$2:$Q$441,ROWS(Data!$P$2:V86),COLUMNS(Data!$P$3:U87)),IF($Q$1=$P$5,INDEX(prem_analysis!$BH$1:$BS$23,ROWS(Data!$Q$3:V87),COLUMNS(Data!$Q$3:V87)),IF($Q$1=$P$6,INDEX(prem_analysis!$BU$1:$CF$67,ROWS(prem_analysis!$N$2:S86),COLUMNS(prem_analysis!$N$2:S86)),IF($Q$1=$P$4,INDEX(Table24[[#All],[Year]:[Details]],ROWS(prem_analysis!$M$420:R504),COLUMNS(Data!$Q$3:V87)))))),"")</f>
        <v/>
      </c>
      <c r="X86" s="1" t="str">
        <f>IFERROR(IF($Q$1=$P$3,INDEX(prem_analysis!$P$2:$Q$441,ROWS(Data!$P$2:W86),COLUMNS(Data!$P$3:V87)),IF($Q$1=$P$5,INDEX(prem_analysis!$BH$1:$BS$23,ROWS(Data!$Q$3:W87),COLUMNS(Data!$Q$3:W87)),IF($Q$1=$P$6,INDEX(prem_analysis!$BU$1:$CF$67,ROWS(prem_analysis!$N$2:T86),COLUMNS(prem_analysis!$N$2:T86)),IF($Q$1=$P$4,INDEX(Table24[[#All],[Year]:[Details]],ROWS(prem_analysis!$M$420:S504),COLUMNS(Data!$Q$3:W87)))))),"")</f>
        <v/>
      </c>
      <c r="Y86" s="1" t="str">
        <f>IFERROR(IF($Q$1=$P$3,INDEX(prem_analysis!$P$2:$Q$441,ROWS(Data!$P$2:X86),COLUMNS(Data!$P$3:W87)),IF($Q$1=$P$5,INDEX(prem_analysis!$BH$1:$BS$23,ROWS(Data!$Q$3:X87),COLUMNS(Data!$Q$3:X87)),IF($Q$1=$P$6,INDEX(prem_analysis!$BU$1:$CF$67,ROWS(prem_analysis!$N$2:U86),COLUMNS(prem_analysis!$N$2:U86)),IF($Q$1=$P$4,INDEX(Table24[[#All],[Year]:[Details]],ROWS(prem_analysis!$M$420:T504),COLUMNS(Data!$Q$3:X87)))))),"")</f>
        <v/>
      </c>
      <c r="Z86" s="1" t="str">
        <f>IFERROR(IF($Q$1=$P$3,INDEX(prem_analysis!$P$2:$Q$441,ROWS(Data!$P$2:Y86),COLUMNS(Data!$P$3:X87)),IF($Q$1=$P$5,INDEX(prem_analysis!$BH$1:$BS$23,ROWS(Data!$Q$3:Y87),COLUMNS(Data!$Q$3:Y87)),IF($Q$1=$P$6,INDEX(prem_analysis!$BU$1:$CF$67,ROWS(prem_analysis!$N$2:V86),COLUMNS(prem_analysis!$N$2:V86)),IF($Q$1=$P$4,INDEX(Table24[[#All],[Year]:[Details]],ROWS(prem_analysis!$M$420:U504),COLUMNS(Data!$Q$3:Y87)))))),"")</f>
        <v/>
      </c>
      <c r="AA86" s="1" t="str">
        <f>IFERROR(IF($Q$1=$P$3,INDEX(prem_analysis!$P$2:$Q$441,ROWS(Data!$P$2:Z86),COLUMNS(Data!$P$3:Y87)),IF($Q$1=$P$5,INDEX(prem_analysis!$BH$1:$BS$23,ROWS(Data!$Q$3:Z87),COLUMNS(Data!$Q$3:Z87)),IF($Q$1=$P$6,INDEX(prem_analysis!$BU$1:$CF$67,ROWS(prem_analysis!$N$2:W86),COLUMNS(prem_analysis!$N$2:W86)),IF($Q$1=$P$4,INDEX(Table24[[#All],[Year]:[Details]],ROWS(prem_analysis!$M$420:V504),COLUMNS(Data!$Q$3:Z87)))))),"")</f>
        <v/>
      </c>
      <c r="AB86" s="1" t="str">
        <f>IFERROR(IF($Q$1=$P$3,INDEX(prem_analysis!$P$2:$Q$441,ROWS(Data!$P$2:AA86),COLUMNS(Data!$P$3:Z87)),IF($Q$1=$P$5,INDEX(prem_analysis!$BH$1:$BS$23,ROWS(Data!$Q$3:AA87),COLUMNS(Data!$Q$3:AA87)),IF($Q$1=$P$6,INDEX(prem_analysis!$BU$1:$CF$67,ROWS(prem_analysis!$N$2:X86),COLUMNS(prem_analysis!$N$2:X86)),IF($Q$1=$P$4,INDEX(Table24[[#All],[Year]:[Details]],ROWS(prem_analysis!$M$420:W504),COLUMNS(Data!$Q$3:AA87)))))),"")</f>
        <v/>
      </c>
      <c r="AC86" s="1" t="str">
        <f>IFERROR(IF($Q$1=$P$3,INDEX(prem_analysis!$P$2:$Q$441,ROWS(Data!$P$2:AB86),COLUMNS(Data!$P$3:AA87)),IF($Q$1=$P$5,INDEX(prem_analysis!$BH$1:$BS$23,ROWS(Data!$Q$3:AB87),COLUMNS(Data!$Q$3:AB87)),IF($Q$1=$P$6,INDEX(prem_analysis!$BU$1:$CF$67,ROWS(prem_analysis!$N$2:Y86),COLUMNS(prem_analysis!$N$2:Y86)),IF($Q$1=$P$4,INDEX(Table24[[#All],[Year]:[Details]],ROWS(prem_analysis!$M$420:X504),COLUMNS(Data!$Q$3:AB87)))))),"")</f>
        <v/>
      </c>
    </row>
    <row r="87" spans="1:29" x14ac:dyDescent="0.2">
      <c r="A87" s="5">
        <v>2004</v>
      </c>
      <c r="B87" s="5">
        <v>6</v>
      </c>
      <c r="C87" s="6" t="s">
        <v>33</v>
      </c>
      <c r="D87" s="5">
        <v>38</v>
      </c>
      <c r="E87" s="5">
        <v>16</v>
      </c>
      <c r="F87" s="5">
        <v>10</v>
      </c>
      <c r="G87" s="5">
        <v>12</v>
      </c>
      <c r="H87" s="5">
        <v>49</v>
      </c>
      <c r="I87" s="5">
        <v>44</v>
      </c>
      <c r="J87" s="5">
        <v>5</v>
      </c>
      <c r="K87" s="5">
        <v>58</v>
      </c>
      <c r="L87" s="5">
        <f>IF(Table24[[#This Row],['#]]=1,"Champion", IF(Table24[[#This Row],['#]]&gt;=18,"Relegated",Table24[[#This Row],['#]]))</f>
        <v>6</v>
      </c>
      <c r="M87" s="5" t="str">
        <f>IF(Table24[[#This Row],[Details]]=2,K86-Table24[[#This Row],[Pts]],IF(Table24[[#This Row],[Details]]=17,Table24[[#This Row],[Pts]]-K88,""))</f>
        <v/>
      </c>
      <c r="R87" s="1" t="str">
        <f>IFERROR(IF($Q$1=$P$3,INDEX(prem_analysis!$P$2:$Q$441,ROWS(Data!$P$2:Q87),COLUMNS(Data!$P$3:P88)),IF($Q$1=$P$5,INDEX(prem_analysis!$BH$1:$BS$23,ROWS(Data!$Q$3:Q88),COLUMNS(Data!$Q$3:Q88)),IF($Q$1=$P$6,INDEX(prem_analysis!$BU$1:$CF$67,ROWS(prem_analysis!$N$2:N87),COLUMNS(prem_analysis!$N$2:N87)),IF($Q$1=$P$4,INDEX(Table24[[#All],[Year]:[Details]],ROWS(prem_analysis!$M$420:M505),COLUMNS(Data!$Q$3:Q88)))))),"")</f>
        <v/>
      </c>
      <c r="S87" s="1" t="str">
        <f>IFERROR(IF($Q$1=$P$3,INDEX(prem_analysis!$P$2:$Q$441,ROWS(Data!$P$2:R87),COLUMNS(Data!$P$3:Q88)),IF($Q$1=$P$5,INDEX(prem_analysis!$BH$1:$BS$23,ROWS(Data!$Q$3:R88),COLUMNS(Data!$Q$3:R88)),IF($Q$1=$P$6,INDEX(prem_analysis!$BU$1:$CF$67,ROWS(prem_analysis!$N$2:O87),COLUMNS(prem_analysis!$N$2:O87)),IF($Q$1=$P$4,INDEX(Table24[[#All],[Year]:[Details]],ROWS(prem_analysis!$M$420:N505),COLUMNS(Data!$Q$3:R88)))))),"")</f>
        <v/>
      </c>
      <c r="T87" s="1" t="str">
        <f>IFERROR(IF($Q$1=$P$3,INDEX(prem_analysis!$P$2:$Q$441,ROWS(Data!$P$2:S87),COLUMNS(Data!$P$3:R88)),IF($Q$1=$P$5,INDEX(prem_analysis!$BH$1:$BS$23,ROWS(Data!$Q$3:S88),COLUMNS(Data!$Q$3:S88)),IF($Q$1=$P$6,INDEX(prem_analysis!$BU$1:$CF$67,ROWS(prem_analysis!$N$2:P87),COLUMNS(prem_analysis!$N$2:P87)),IF($Q$1=$P$4,INDEX(Table24[[#All],[Year]:[Details]],ROWS(prem_analysis!$M$420:O505),COLUMNS(Data!$Q$3:S88)))))),"")</f>
        <v/>
      </c>
      <c r="U87" s="1" t="str">
        <f>IFERROR(IF($Q$1=$P$3,INDEX(prem_analysis!$P$2:$Q$441,ROWS(Data!$P$2:T87),COLUMNS(Data!$P$3:S88)),IF($Q$1=$P$5,INDEX(prem_analysis!$BH$1:$BS$23,ROWS(Data!$Q$3:T88),COLUMNS(Data!$Q$3:T88)),IF($Q$1=$P$6,INDEX(prem_analysis!$BU$1:$CF$67,ROWS(prem_analysis!$N$2:Q87),COLUMNS(prem_analysis!$N$2:Q87)),IF($Q$1=$P$4,INDEX(Table24[[#All],[Year]:[Details]],ROWS(prem_analysis!$M$420:P505),COLUMNS(Data!$Q$3:T88)))))),"")</f>
        <v/>
      </c>
      <c r="V87" s="1" t="str">
        <f>IFERROR(IF($Q$1=$P$3,INDEX(prem_analysis!$P$2:$Q$441,ROWS(Data!$P$2:U87),COLUMNS(Data!$P$3:T88)),IF($Q$1=$P$5,INDEX(prem_analysis!$BH$1:$BS$23,ROWS(Data!$Q$3:U88),COLUMNS(Data!$Q$3:U88)),IF($Q$1=$P$6,INDEX(prem_analysis!$BU$1:$CF$67,ROWS(prem_analysis!$N$2:R87),COLUMNS(prem_analysis!$N$2:R87)),IF($Q$1=$P$4,INDEX(Table24[[#All],[Year]:[Details]],ROWS(prem_analysis!$M$420:Q505),COLUMNS(Data!$Q$3:U88)))))),"")</f>
        <v/>
      </c>
      <c r="W87" s="1" t="str">
        <f>IFERROR(IF($Q$1=$P$3,INDEX(prem_analysis!$P$2:$Q$441,ROWS(Data!$P$2:V87),COLUMNS(Data!$P$3:U88)),IF($Q$1=$P$5,INDEX(prem_analysis!$BH$1:$BS$23,ROWS(Data!$Q$3:V88),COLUMNS(Data!$Q$3:V88)),IF($Q$1=$P$6,INDEX(prem_analysis!$BU$1:$CF$67,ROWS(prem_analysis!$N$2:S87),COLUMNS(prem_analysis!$N$2:S87)),IF($Q$1=$P$4,INDEX(Table24[[#All],[Year]:[Details]],ROWS(prem_analysis!$M$420:R505),COLUMNS(Data!$Q$3:V88)))))),"")</f>
        <v/>
      </c>
      <c r="X87" s="1" t="str">
        <f>IFERROR(IF($Q$1=$P$3,INDEX(prem_analysis!$P$2:$Q$441,ROWS(Data!$P$2:W87),COLUMNS(Data!$P$3:V88)),IF($Q$1=$P$5,INDEX(prem_analysis!$BH$1:$BS$23,ROWS(Data!$Q$3:W88),COLUMNS(Data!$Q$3:W88)),IF($Q$1=$P$6,INDEX(prem_analysis!$BU$1:$CF$67,ROWS(prem_analysis!$N$2:T87),COLUMNS(prem_analysis!$N$2:T87)),IF($Q$1=$P$4,INDEX(Table24[[#All],[Year]:[Details]],ROWS(prem_analysis!$M$420:S505),COLUMNS(Data!$Q$3:W88)))))),"")</f>
        <v/>
      </c>
      <c r="Y87" s="1" t="str">
        <f>IFERROR(IF($Q$1=$P$3,INDEX(prem_analysis!$P$2:$Q$441,ROWS(Data!$P$2:X87),COLUMNS(Data!$P$3:W88)),IF($Q$1=$P$5,INDEX(prem_analysis!$BH$1:$BS$23,ROWS(Data!$Q$3:X88),COLUMNS(Data!$Q$3:X88)),IF($Q$1=$P$6,INDEX(prem_analysis!$BU$1:$CF$67,ROWS(prem_analysis!$N$2:U87),COLUMNS(prem_analysis!$N$2:U87)),IF($Q$1=$P$4,INDEX(Table24[[#All],[Year]:[Details]],ROWS(prem_analysis!$M$420:T505),COLUMNS(Data!$Q$3:X88)))))),"")</f>
        <v/>
      </c>
      <c r="Z87" s="1" t="str">
        <f>IFERROR(IF($Q$1=$P$3,INDEX(prem_analysis!$P$2:$Q$441,ROWS(Data!$P$2:Y87),COLUMNS(Data!$P$3:X88)),IF($Q$1=$P$5,INDEX(prem_analysis!$BH$1:$BS$23,ROWS(Data!$Q$3:Y88),COLUMNS(Data!$Q$3:Y88)),IF($Q$1=$P$6,INDEX(prem_analysis!$BU$1:$CF$67,ROWS(prem_analysis!$N$2:V87),COLUMNS(prem_analysis!$N$2:V87)),IF($Q$1=$P$4,INDEX(Table24[[#All],[Year]:[Details]],ROWS(prem_analysis!$M$420:U505),COLUMNS(Data!$Q$3:Y88)))))),"")</f>
        <v/>
      </c>
      <c r="AA87" s="1" t="str">
        <f>IFERROR(IF($Q$1=$P$3,INDEX(prem_analysis!$P$2:$Q$441,ROWS(Data!$P$2:Z87),COLUMNS(Data!$P$3:Y88)),IF($Q$1=$P$5,INDEX(prem_analysis!$BH$1:$BS$23,ROWS(Data!$Q$3:Z88),COLUMNS(Data!$Q$3:Z88)),IF($Q$1=$P$6,INDEX(prem_analysis!$BU$1:$CF$67,ROWS(prem_analysis!$N$2:W87),COLUMNS(prem_analysis!$N$2:W87)),IF($Q$1=$P$4,INDEX(Table24[[#All],[Year]:[Details]],ROWS(prem_analysis!$M$420:V505),COLUMNS(Data!$Q$3:Z88)))))),"")</f>
        <v/>
      </c>
      <c r="AB87" s="1" t="str">
        <f>IFERROR(IF($Q$1=$P$3,INDEX(prem_analysis!$P$2:$Q$441,ROWS(Data!$P$2:AA87),COLUMNS(Data!$P$3:Z88)),IF($Q$1=$P$5,INDEX(prem_analysis!$BH$1:$BS$23,ROWS(Data!$Q$3:AA88),COLUMNS(Data!$Q$3:AA88)),IF($Q$1=$P$6,INDEX(prem_analysis!$BU$1:$CF$67,ROWS(prem_analysis!$N$2:X87),COLUMNS(prem_analysis!$N$2:X87)),IF($Q$1=$P$4,INDEX(Table24[[#All],[Year]:[Details]],ROWS(prem_analysis!$M$420:W505),COLUMNS(Data!$Q$3:AA88)))))),"")</f>
        <v/>
      </c>
      <c r="AC87" s="1" t="str">
        <f>IFERROR(IF($Q$1=$P$3,INDEX(prem_analysis!$P$2:$Q$441,ROWS(Data!$P$2:AB87),COLUMNS(Data!$P$3:AA88)),IF($Q$1=$P$5,INDEX(prem_analysis!$BH$1:$BS$23,ROWS(Data!$Q$3:AB88),COLUMNS(Data!$Q$3:AB88)),IF($Q$1=$P$6,INDEX(prem_analysis!$BU$1:$CF$67,ROWS(prem_analysis!$N$2:Y87),COLUMNS(prem_analysis!$N$2:Y87)),IF($Q$1=$P$4,INDEX(Table24[[#All],[Year]:[Details]],ROWS(prem_analysis!$M$420:X505),COLUMNS(Data!$Q$3:AB88)))))),"")</f>
        <v/>
      </c>
    </row>
    <row r="88" spans="1:29" x14ac:dyDescent="0.2">
      <c r="A88" s="3">
        <v>2004</v>
      </c>
      <c r="B88" s="3">
        <v>7</v>
      </c>
      <c r="C88" s="4" t="s">
        <v>24</v>
      </c>
      <c r="D88" s="3">
        <v>38</v>
      </c>
      <c r="E88" s="3">
        <v>14</v>
      </c>
      <c r="F88" s="3">
        <v>13</v>
      </c>
      <c r="G88" s="3">
        <v>11</v>
      </c>
      <c r="H88" s="3">
        <v>53</v>
      </c>
      <c r="I88" s="3">
        <v>46</v>
      </c>
      <c r="J88" s="3">
        <v>7</v>
      </c>
      <c r="K88" s="3">
        <v>55</v>
      </c>
      <c r="L88" s="5">
        <f>IF(Table24[[#This Row],['#]]=1,"Champion", IF(Table24[[#This Row],['#]]&gt;=18,"Relegated",Table24[[#This Row],['#]]))</f>
        <v>7</v>
      </c>
      <c r="M88" s="5" t="str">
        <f>IF(Table24[[#This Row],[Details]]=2,K87-Table24[[#This Row],[Pts]],IF(Table24[[#This Row],[Details]]=17,Table24[[#This Row],[Pts]]-K89,""))</f>
        <v/>
      </c>
      <c r="R88" s="1" t="str">
        <f>IFERROR(IF($Q$1=$P$3,INDEX(prem_analysis!$P$2:$Q$441,ROWS(Data!$P$2:Q88),COLUMNS(Data!$P$3:P89)),IF($Q$1=$P$5,INDEX(prem_analysis!$BH$1:$BS$23,ROWS(Data!$Q$3:Q89),COLUMNS(Data!$Q$3:Q89)),IF($Q$1=$P$6,INDEX(prem_analysis!$BU$1:$CF$67,ROWS(prem_analysis!$N$2:N88),COLUMNS(prem_analysis!$N$2:N88)),IF($Q$1=$P$4,INDEX(Table24[[#All],[Year]:[Details]],ROWS(prem_analysis!$M$420:M506),COLUMNS(Data!$Q$3:Q89)))))),"")</f>
        <v/>
      </c>
      <c r="S88" s="1" t="str">
        <f>IFERROR(IF($Q$1=$P$3,INDEX(prem_analysis!$P$2:$Q$441,ROWS(Data!$P$2:R88),COLUMNS(Data!$P$3:Q89)),IF($Q$1=$P$5,INDEX(prem_analysis!$BH$1:$BS$23,ROWS(Data!$Q$3:R89),COLUMNS(Data!$Q$3:R89)),IF($Q$1=$P$6,INDEX(prem_analysis!$BU$1:$CF$67,ROWS(prem_analysis!$N$2:O88),COLUMNS(prem_analysis!$N$2:O88)),IF($Q$1=$P$4,INDEX(Table24[[#All],[Year]:[Details]],ROWS(prem_analysis!$M$420:N506),COLUMNS(Data!$Q$3:R89)))))),"")</f>
        <v/>
      </c>
      <c r="T88" s="1" t="str">
        <f>IFERROR(IF($Q$1=$P$3,INDEX(prem_analysis!$P$2:$Q$441,ROWS(Data!$P$2:S88),COLUMNS(Data!$P$3:R89)),IF($Q$1=$P$5,INDEX(prem_analysis!$BH$1:$BS$23,ROWS(Data!$Q$3:S89),COLUMNS(Data!$Q$3:S89)),IF($Q$1=$P$6,INDEX(prem_analysis!$BU$1:$CF$67,ROWS(prem_analysis!$N$2:P88),COLUMNS(prem_analysis!$N$2:P88)),IF($Q$1=$P$4,INDEX(Table24[[#All],[Year]:[Details]],ROWS(prem_analysis!$M$420:O506),COLUMNS(Data!$Q$3:S89)))))),"")</f>
        <v/>
      </c>
      <c r="U88" s="1" t="str">
        <f>IFERROR(IF($Q$1=$P$3,INDEX(prem_analysis!$P$2:$Q$441,ROWS(Data!$P$2:T88),COLUMNS(Data!$P$3:S89)),IF($Q$1=$P$5,INDEX(prem_analysis!$BH$1:$BS$23,ROWS(Data!$Q$3:T89),COLUMNS(Data!$Q$3:T89)),IF($Q$1=$P$6,INDEX(prem_analysis!$BU$1:$CF$67,ROWS(prem_analysis!$N$2:Q88),COLUMNS(prem_analysis!$N$2:Q88)),IF($Q$1=$P$4,INDEX(Table24[[#All],[Year]:[Details]],ROWS(prem_analysis!$M$420:P506),COLUMNS(Data!$Q$3:T89)))))),"")</f>
        <v/>
      </c>
      <c r="V88" s="1" t="str">
        <f>IFERROR(IF($Q$1=$P$3,INDEX(prem_analysis!$P$2:$Q$441,ROWS(Data!$P$2:U88),COLUMNS(Data!$P$3:T89)),IF($Q$1=$P$5,INDEX(prem_analysis!$BH$1:$BS$23,ROWS(Data!$Q$3:U89),COLUMNS(Data!$Q$3:U89)),IF($Q$1=$P$6,INDEX(prem_analysis!$BU$1:$CF$67,ROWS(prem_analysis!$N$2:R88),COLUMNS(prem_analysis!$N$2:R88)),IF($Q$1=$P$4,INDEX(Table24[[#All],[Year]:[Details]],ROWS(prem_analysis!$M$420:Q506),COLUMNS(Data!$Q$3:U89)))))),"")</f>
        <v/>
      </c>
      <c r="W88" s="1" t="str">
        <f>IFERROR(IF($Q$1=$P$3,INDEX(prem_analysis!$P$2:$Q$441,ROWS(Data!$P$2:V88),COLUMNS(Data!$P$3:U89)),IF($Q$1=$P$5,INDEX(prem_analysis!$BH$1:$BS$23,ROWS(Data!$Q$3:V89),COLUMNS(Data!$Q$3:V89)),IF($Q$1=$P$6,INDEX(prem_analysis!$BU$1:$CF$67,ROWS(prem_analysis!$N$2:S88),COLUMNS(prem_analysis!$N$2:S88)),IF($Q$1=$P$4,INDEX(Table24[[#All],[Year]:[Details]],ROWS(prem_analysis!$M$420:R506),COLUMNS(Data!$Q$3:V89)))))),"")</f>
        <v/>
      </c>
      <c r="X88" s="1" t="str">
        <f>IFERROR(IF($Q$1=$P$3,INDEX(prem_analysis!$P$2:$Q$441,ROWS(Data!$P$2:W88),COLUMNS(Data!$P$3:V89)),IF($Q$1=$P$5,INDEX(prem_analysis!$BH$1:$BS$23,ROWS(Data!$Q$3:W89),COLUMNS(Data!$Q$3:W89)),IF($Q$1=$P$6,INDEX(prem_analysis!$BU$1:$CF$67,ROWS(prem_analysis!$N$2:T88),COLUMNS(prem_analysis!$N$2:T88)),IF($Q$1=$P$4,INDEX(Table24[[#All],[Year]:[Details]],ROWS(prem_analysis!$M$420:S506),COLUMNS(Data!$Q$3:W89)))))),"")</f>
        <v/>
      </c>
      <c r="Y88" s="1" t="str">
        <f>IFERROR(IF($Q$1=$P$3,INDEX(prem_analysis!$P$2:$Q$441,ROWS(Data!$P$2:X88),COLUMNS(Data!$P$3:W89)),IF($Q$1=$P$5,INDEX(prem_analysis!$BH$1:$BS$23,ROWS(Data!$Q$3:X89),COLUMNS(Data!$Q$3:X89)),IF($Q$1=$P$6,INDEX(prem_analysis!$BU$1:$CF$67,ROWS(prem_analysis!$N$2:U88),COLUMNS(prem_analysis!$N$2:U88)),IF($Q$1=$P$4,INDEX(Table24[[#All],[Year]:[Details]],ROWS(prem_analysis!$M$420:T506),COLUMNS(Data!$Q$3:X89)))))),"")</f>
        <v/>
      </c>
      <c r="Z88" s="1" t="str">
        <f>IFERROR(IF($Q$1=$P$3,INDEX(prem_analysis!$P$2:$Q$441,ROWS(Data!$P$2:Y88),COLUMNS(Data!$P$3:X89)),IF($Q$1=$P$5,INDEX(prem_analysis!$BH$1:$BS$23,ROWS(Data!$Q$3:Y89),COLUMNS(Data!$Q$3:Y89)),IF($Q$1=$P$6,INDEX(prem_analysis!$BU$1:$CF$67,ROWS(prem_analysis!$N$2:V88),COLUMNS(prem_analysis!$N$2:V88)),IF($Q$1=$P$4,INDEX(Table24[[#All],[Year]:[Details]],ROWS(prem_analysis!$M$420:U506),COLUMNS(Data!$Q$3:Y89)))))),"")</f>
        <v/>
      </c>
      <c r="AA88" s="1" t="str">
        <f>IFERROR(IF($Q$1=$P$3,INDEX(prem_analysis!$P$2:$Q$441,ROWS(Data!$P$2:Z88),COLUMNS(Data!$P$3:Y89)),IF($Q$1=$P$5,INDEX(prem_analysis!$BH$1:$BS$23,ROWS(Data!$Q$3:Z89),COLUMNS(Data!$Q$3:Z89)),IF($Q$1=$P$6,INDEX(prem_analysis!$BU$1:$CF$67,ROWS(prem_analysis!$N$2:W88),COLUMNS(prem_analysis!$N$2:W88)),IF($Q$1=$P$4,INDEX(Table24[[#All],[Year]:[Details]],ROWS(prem_analysis!$M$420:V506),COLUMNS(Data!$Q$3:Z89)))))),"")</f>
        <v/>
      </c>
      <c r="AB88" s="1" t="str">
        <f>IFERROR(IF($Q$1=$P$3,INDEX(prem_analysis!$P$2:$Q$441,ROWS(Data!$P$2:AA88),COLUMNS(Data!$P$3:Z89)),IF($Q$1=$P$5,INDEX(prem_analysis!$BH$1:$BS$23,ROWS(Data!$Q$3:AA89),COLUMNS(Data!$Q$3:AA89)),IF($Q$1=$P$6,INDEX(prem_analysis!$BU$1:$CF$67,ROWS(prem_analysis!$N$2:X88),COLUMNS(prem_analysis!$N$2:X88)),IF($Q$1=$P$4,INDEX(Table24[[#All],[Year]:[Details]],ROWS(prem_analysis!$M$420:W506),COLUMNS(Data!$Q$3:AA89)))))),"")</f>
        <v/>
      </c>
      <c r="AC88" s="1" t="str">
        <f>IFERROR(IF($Q$1=$P$3,INDEX(prem_analysis!$P$2:$Q$441,ROWS(Data!$P$2:AB88),COLUMNS(Data!$P$3:AA89)),IF($Q$1=$P$5,INDEX(prem_analysis!$BH$1:$BS$23,ROWS(Data!$Q$3:AB89),COLUMNS(Data!$Q$3:AB89)),IF($Q$1=$P$6,INDEX(prem_analysis!$BU$1:$CF$67,ROWS(prem_analysis!$N$2:Y88),COLUMNS(prem_analysis!$N$2:Y88)),IF($Q$1=$P$4,INDEX(Table24[[#All],[Year]:[Details]],ROWS(prem_analysis!$M$420:X506),COLUMNS(Data!$Q$3:AB89)))))),"")</f>
        <v/>
      </c>
    </row>
    <row r="89" spans="1:29" x14ac:dyDescent="0.2">
      <c r="A89" s="5">
        <v>2004</v>
      </c>
      <c r="B89" s="5">
        <v>8</v>
      </c>
      <c r="C89" s="6" t="s">
        <v>28</v>
      </c>
      <c r="D89" s="5">
        <v>38</v>
      </c>
      <c r="E89" s="5">
        <v>13</v>
      </c>
      <c r="F89" s="5">
        <v>13</v>
      </c>
      <c r="G89" s="5">
        <v>12</v>
      </c>
      <c r="H89" s="5">
        <v>47</v>
      </c>
      <c r="I89" s="5">
        <v>39</v>
      </c>
      <c r="J89" s="5">
        <v>8</v>
      </c>
      <c r="K89" s="5">
        <v>52</v>
      </c>
      <c r="L89" s="5">
        <f>IF(Table24[[#This Row],['#]]=1,"Champion", IF(Table24[[#This Row],['#]]&gt;=18,"Relegated",Table24[[#This Row],['#]]))</f>
        <v>8</v>
      </c>
      <c r="M89" s="5" t="str">
        <f>IF(Table24[[#This Row],[Details]]=2,K88-Table24[[#This Row],[Pts]],IF(Table24[[#This Row],[Details]]=17,Table24[[#This Row],[Pts]]-K90,""))</f>
        <v/>
      </c>
      <c r="R89" s="1" t="str">
        <f>IFERROR(IF($Q$1=$P$3,INDEX(prem_analysis!$P$2:$Q$441,ROWS(Data!$P$2:Q89),COLUMNS(Data!$P$3:P90)),IF($Q$1=$P$5,INDEX(prem_analysis!$BH$1:$BS$23,ROWS(Data!$Q$3:Q90),COLUMNS(Data!$Q$3:Q90)),IF($Q$1=$P$6,INDEX(prem_analysis!$BU$1:$CF$67,ROWS(prem_analysis!$N$2:N89),COLUMNS(prem_analysis!$N$2:N89)),IF($Q$1=$P$4,INDEX(Table24[[#All],[Year]:[Details]],ROWS(prem_analysis!$M$420:M507),COLUMNS(Data!$Q$3:Q90)))))),"")</f>
        <v/>
      </c>
      <c r="S89" s="1" t="str">
        <f>IFERROR(IF($Q$1=$P$3,INDEX(prem_analysis!$P$2:$Q$441,ROWS(Data!$P$2:R89),COLUMNS(Data!$P$3:Q90)),IF($Q$1=$P$5,INDEX(prem_analysis!$BH$1:$BS$23,ROWS(Data!$Q$3:R90),COLUMNS(Data!$Q$3:R90)),IF($Q$1=$P$6,INDEX(prem_analysis!$BU$1:$CF$67,ROWS(prem_analysis!$N$2:O89),COLUMNS(prem_analysis!$N$2:O89)),IF($Q$1=$P$4,INDEX(Table24[[#All],[Year]:[Details]],ROWS(prem_analysis!$M$420:N507),COLUMNS(Data!$Q$3:R90)))))),"")</f>
        <v/>
      </c>
      <c r="T89" s="1" t="str">
        <f>IFERROR(IF($Q$1=$P$3,INDEX(prem_analysis!$P$2:$Q$441,ROWS(Data!$P$2:S89),COLUMNS(Data!$P$3:R90)),IF($Q$1=$P$5,INDEX(prem_analysis!$BH$1:$BS$23,ROWS(Data!$Q$3:S90),COLUMNS(Data!$Q$3:S90)),IF($Q$1=$P$6,INDEX(prem_analysis!$BU$1:$CF$67,ROWS(prem_analysis!$N$2:P89),COLUMNS(prem_analysis!$N$2:P89)),IF($Q$1=$P$4,INDEX(Table24[[#All],[Year]:[Details]],ROWS(prem_analysis!$M$420:O507),COLUMNS(Data!$Q$3:S90)))))),"")</f>
        <v/>
      </c>
      <c r="U89" s="1" t="str">
        <f>IFERROR(IF($Q$1=$P$3,INDEX(prem_analysis!$P$2:$Q$441,ROWS(Data!$P$2:T89),COLUMNS(Data!$P$3:S90)),IF($Q$1=$P$5,INDEX(prem_analysis!$BH$1:$BS$23,ROWS(Data!$Q$3:T90),COLUMNS(Data!$Q$3:T90)),IF($Q$1=$P$6,INDEX(prem_analysis!$BU$1:$CF$67,ROWS(prem_analysis!$N$2:Q89),COLUMNS(prem_analysis!$N$2:Q89)),IF($Q$1=$P$4,INDEX(Table24[[#All],[Year]:[Details]],ROWS(prem_analysis!$M$420:P507),COLUMNS(Data!$Q$3:T90)))))),"")</f>
        <v/>
      </c>
      <c r="V89" s="1" t="str">
        <f>IFERROR(IF($Q$1=$P$3,INDEX(prem_analysis!$P$2:$Q$441,ROWS(Data!$P$2:U89),COLUMNS(Data!$P$3:T90)),IF($Q$1=$P$5,INDEX(prem_analysis!$BH$1:$BS$23,ROWS(Data!$Q$3:U90),COLUMNS(Data!$Q$3:U90)),IF($Q$1=$P$6,INDEX(prem_analysis!$BU$1:$CF$67,ROWS(prem_analysis!$N$2:R89),COLUMNS(prem_analysis!$N$2:R89)),IF($Q$1=$P$4,INDEX(Table24[[#All],[Year]:[Details]],ROWS(prem_analysis!$M$420:Q507),COLUMNS(Data!$Q$3:U90)))))),"")</f>
        <v/>
      </c>
      <c r="W89" s="1" t="str">
        <f>IFERROR(IF($Q$1=$P$3,INDEX(prem_analysis!$P$2:$Q$441,ROWS(Data!$P$2:V89),COLUMNS(Data!$P$3:U90)),IF($Q$1=$P$5,INDEX(prem_analysis!$BH$1:$BS$23,ROWS(Data!$Q$3:V90),COLUMNS(Data!$Q$3:V90)),IF($Q$1=$P$6,INDEX(prem_analysis!$BU$1:$CF$67,ROWS(prem_analysis!$N$2:S89),COLUMNS(prem_analysis!$N$2:S89)),IF($Q$1=$P$4,INDEX(Table24[[#All],[Year]:[Details]],ROWS(prem_analysis!$M$420:R507),COLUMNS(Data!$Q$3:V90)))))),"")</f>
        <v/>
      </c>
      <c r="X89" s="1" t="str">
        <f>IFERROR(IF($Q$1=$P$3,INDEX(prem_analysis!$P$2:$Q$441,ROWS(Data!$P$2:W89),COLUMNS(Data!$P$3:V90)),IF($Q$1=$P$5,INDEX(prem_analysis!$BH$1:$BS$23,ROWS(Data!$Q$3:W90),COLUMNS(Data!$Q$3:W90)),IF($Q$1=$P$6,INDEX(prem_analysis!$BU$1:$CF$67,ROWS(prem_analysis!$N$2:T89),COLUMNS(prem_analysis!$N$2:T89)),IF($Q$1=$P$4,INDEX(Table24[[#All],[Year]:[Details]],ROWS(prem_analysis!$M$420:S507),COLUMNS(Data!$Q$3:W90)))))),"")</f>
        <v/>
      </c>
      <c r="Y89" s="1" t="str">
        <f>IFERROR(IF($Q$1=$P$3,INDEX(prem_analysis!$P$2:$Q$441,ROWS(Data!$P$2:X89),COLUMNS(Data!$P$3:W90)),IF($Q$1=$P$5,INDEX(prem_analysis!$BH$1:$BS$23,ROWS(Data!$Q$3:X90),COLUMNS(Data!$Q$3:X90)),IF($Q$1=$P$6,INDEX(prem_analysis!$BU$1:$CF$67,ROWS(prem_analysis!$N$2:U89),COLUMNS(prem_analysis!$N$2:U89)),IF($Q$1=$P$4,INDEX(Table24[[#All],[Year]:[Details]],ROWS(prem_analysis!$M$420:T507),COLUMNS(Data!$Q$3:X90)))))),"")</f>
        <v/>
      </c>
      <c r="Z89" s="1" t="str">
        <f>IFERROR(IF($Q$1=$P$3,INDEX(prem_analysis!$P$2:$Q$441,ROWS(Data!$P$2:Y89),COLUMNS(Data!$P$3:X90)),IF($Q$1=$P$5,INDEX(prem_analysis!$BH$1:$BS$23,ROWS(Data!$Q$3:Y90),COLUMNS(Data!$Q$3:Y90)),IF($Q$1=$P$6,INDEX(prem_analysis!$BU$1:$CF$67,ROWS(prem_analysis!$N$2:V89),COLUMNS(prem_analysis!$N$2:V89)),IF($Q$1=$P$4,INDEX(Table24[[#All],[Year]:[Details]],ROWS(prem_analysis!$M$420:U507),COLUMNS(Data!$Q$3:Y90)))))),"")</f>
        <v/>
      </c>
      <c r="AA89" s="1" t="str">
        <f>IFERROR(IF($Q$1=$P$3,INDEX(prem_analysis!$P$2:$Q$441,ROWS(Data!$P$2:Z89),COLUMNS(Data!$P$3:Y90)),IF($Q$1=$P$5,INDEX(prem_analysis!$BH$1:$BS$23,ROWS(Data!$Q$3:Z90),COLUMNS(Data!$Q$3:Z90)),IF($Q$1=$P$6,INDEX(prem_analysis!$BU$1:$CF$67,ROWS(prem_analysis!$N$2:W89),COLUMNS(prem_analysis!$N$2:W89)),IF($Q$1=$P$4,INDEX(Table24[[#All],[Year]:[Details]],ROWS(prem_analysis!$M$420:V507),COLUMNS(Data!$Q$3:Z90)))))),"")</f>
        <v/>
      </c>
      <c r="AB89" s="1" t="str">
        <f>IFERROR(IF($Q$1=$P$3,INDEX(prem_analysis!$P$2:$Q$441,ROWS(Data!$P$2:AA89),COLUMNS(Data!$P$3:Z90)),IF($Q$1=$P$5,INDEX(prem_analysis!$BH$1:$BS$23,ROWS(Data!$Q$3:AA90),COLUMNS(Data!$Q$3:AA90)),IF($Q$1=$P$6,INDEX(prem_analysis!$BU$1:$CF$67,ROWS(prem_analysis!$N$2:X89),COLUMNS(prem_analysis!$N$2:X89)),IF($Q$1=$P$4,INDEX(Table24[[#All],[Year]:[Details]],ROWS(prem_analysis!$M$420:W507),COLUMNS(Data!$Q$3:AA90)))))),"")</f>
        <v/>
      </c>
      <c r="AC89" s="1" t="str">
        <f>IFERROR(IF($Q$1=$P$3,INDEX(prem_analysis!$P$2:$Q$441,ROWS(Data!$P$2:AB89),COLUMNS(Data!$P$3:AA90)),IF($Q$1=$P$5,INDEX(prem_analysis!$BH$1:$BS$23,ROWS(Data!$Q$3:AB90),COLUMNS(Data!$Q$3:AB90)),IF($Q$1=$P$6,INDEX(prem_analysis!$BU$1:$CF$67,ROWS(prem_analysis!$N$2:Y89),COLUMNS(prem_analysis!$N$2:Y89)),IF($Q$1=$P$4,INDEX(Table24[[#All],[Year]:[Details]],ROWS(prem_analysis!$M$420:X507),COLUMNS(Data!$Q$3:AB90)))))),"")</f>
        <v/>
      </c>
    </row>
    <row r="90" spans="1:29" x14ac:dyDescent="0.2">
      <c r="A90" s="3">
        <v>2004</v>
      </c>
      <c r="B90" s="3">
        <v>9</v>
      </c>
      <c r="C90" s="4" t="s">
        <v>22</v>
      </c>
      <c r="D90" s="3">
        <v>38</v>
      </c>
      <c r="E90" s="3">
        <v>14</v>
      </c>
      <c r="F90" s="3">
        <v>10</v>
      </c>
      <c r="G90" s="3">
        <v>14</v>
      </c>
      <c r="H90" s="3">
        <v>47</v>
      </c>
      <c r="I90" s="3">
        <v>41</v>
      </c>
      <c r="J90" s="3">
        <v>6</v>
      </c>
      <c r="K90" s="3">
        <v>52</v>
      </c>
      <c r="L90" s="5">
        <f>IF(Table24[[#This Row],['#]]=1,"Champion", IF(Table24[[#This Row],['#]]&gt;=18,"Relegated",Table24[[#This Row],['#]]))</f>
        <v>9</v>
      </c>
      <c r="M90" s="5" t="str">
        <f>IF(Table24[[#This Row],[Details]]=2,K89-Table24[[#This Row],[Pts]],IF(Table24[[#This Row],[Details]]=17,Table24[[#This Row],[Pts]]-K91,""))</f>
        <v/>
      </c>
      <c r="R90" s="1" t="str">
        <f>IFERROR(IF($Q$1=$P$3,INDEX(prem_analysis!$P$2:$Q$441,ROWS(Data!$P$2:Q90),COLUMNS(Data!$P$3:P91)),IF($Q$1=$P$5,INDEX(prem_analysis!$BH$1:$BS$23,ROWS(Data!$Q$3:Q91),COLUMNS(Data!$Q$3:Q91)),IF($Q$1=$P$6,INDEX(prem_analysis!$BU$1:$CF$67,ROWS(prem_analysis!$N$2:N90),COLUMNS(prem_analysis!$N$2:N90)),IF($Q$1=$P$4,INDEX(Table24[[#All],[Year]:[Details]],ROWS(prem_analysis!$M$420:M508),COLUMNS(Data!$Q$3:Q91)))))),"")</f>
        <v/>
      </c>
      <c r="S90" s="1" t="str">
        <f>IFERROR(IF($Q$1=$P$3,INDEX(prem_analysis!$P$2:$Q$441,ROWS(Data!$P$2:R90),COLUMNS(Data!$P$3:Q91)),IF($Q$1=$P$5,INDEX(prem_analysis!$BH$1:$BS$23,ROWS(Data!$Q$3:R91),COLUMNS(Data!$Q$3:R91)),IF($Q$1=$P$6,INDEX(prem_analysis!$BU$1:$CF$67,ROWS(prem_analysis!$N$2:O90),COLUMNS(prem_analysis!$N$2:O90)),IF($Q$1=$P$4,INDEX(Table24[[#All],[Year]:[Details]],ROWS(prem_analysis!$M$420:N508),COLUMNS(Data!$Q$3:R91)))))),"")</f>
        <v/>
      </c>
      <c r="T90" s="1" t="str">
        <f>IFERROR(IF($Q$1=$P$3,INDEX(prem_analysis!$P$2:$Q$441,ROWS(Data!$P$2:S90),COLUMNS(Data!$P$3:R91)),IF($Q$1=$P$5,INDEX(prem_analysis!$BH$1:$BS$23,ROWS(Data!$Q$3:S91),COLUMNS(Data!$Q$3:S91)),IF($Q$1=$P$6,INDEX(prem_analysis!$BU$1:$CF$67,ROWS(prem_analysis!$N$2:P90),COLUMNS(prem_analysis!$N$2:P90)),IF($Q$1=$P$4,INDEX(Table24[[#All],[Year]:[Details]],ROWS(prem_analysis!$M$420:O508),COLUMNS(Data!$Q$3:S91)))))),"")</f>
        <v/>
      </c>
      <c r="U90" s="1" t="str">
        <f>IFERROR(IF($Q$1=$P$3,INDEX(prem_analysis!$P$2:$Q$441,ROWS(Data!$P$2:T90),COLUMNS(Data!$P$3:S91)),IF($Q$1=$P$5,INDEX(prem_analysis!$BH$1:$BS$23,ROWS(Data!$Q$3:T91),COLUMNS(Data!$Q$3:T91)),IF($Q$1=$P$6,INDEX(prem_analysis!$BU$1:$CF$67,ROWS(prem_analysis!$N$2:Q90),COLUMNS(prem_analysis!$N$2:Q90)),IF($Q$1=$P$4,INDEX(Table24[[#All],[Year]:[Details]],ROWS(prem_analysis!$M$420:P508),COLUMNS(Data!$Q$3:T91)))))),"")</f>
        <v/>
      </c>
      <c r="V90" s="1" t="str">
        <f>IFERROR(IF($Q$1=$P$3,INDEX(prem_analysis!$P$2:$Q$441,ROWS(Data!$P$2:U90),COLUMNS(Data!$P$3:T91)),IF($Q$1=$P$5,INDEX(prem_analysis!$BH$1:$BS$23,ROWS(Data!$Q$3:U91),COLUMNS(Data!$Q$3:U91)),IF($Q$1=$P$6,INDEX(prem_analysis!$BU$1:$CF$67,ROWS(prem_analysis!$N$2:R90),COLUMNS(prem_analysis!$N$2:R90)),IF($Q$1=$P$4,INDEX(Table24[[#All],[Year]:[Details]],ROWS(prem_analysis!$M$420:Q508),COLUMNS(Data!$Q$3:U91)))))),"")</f>
        <v/>
      </c>
      <c r="W90" s="1" t="str">
        <f>IFERROR(IF($Q$1=$P$3,INDEX(prem_analysis!$P$2:$Q$441,ROWS(Data!$P$2:V90),COLUMNS(Data!$P$3:U91)),IF($Q$1=$P$5,INDEX(prem_analysis!$BH$1:$BS$23,ROWS(Data!$Q$3:V91),COLUMNS(Data!$Q$3:V91)),IF($Q$1=$P$6,INDEX(prem_analysis!$BU$1:$CF$67,ROWS(prem_analysis!$N$2:S90),COLUMNS(prem_analysis!$N$2:S90)),IF($Q$1=$P$4,INDEX(Table24[[#All],[Year]:[Details]],ROWS(prem_analysis!$M$420:R508),COLUMNS(Data!$Q$3:V91)))))),"")</f>
        <v/>
      </c>
      <c r="X90" s="1" t="str">
        <f>IFERROR(IF($Q$1=$P$3,INDEX(prem_analysis!$P$2:$Q$441,ROWS(Data!$P$2:W90),COLUMNS(Data!$P$3:V91)),IF($Q$1=$P$5,INDEX(prem_analysis!$BH$1:$BS$23,ROWS(Data!$Q$3:W91),COLUMNS(Data!$Q$3:W91)),IF($Q$1=$P$6,INDEX(prem_analysis!$BU$1:$CF$67,ROWS(prem_analysis!$N$2:T90),COLUMNS(prem_analysis!$N$2:T90)),IF($Q$1=$P$4,INDEX(Table24[[#All],[Year]:[Details]],ROWS(prem_analysis!$M$420:S508),COLUMNS(Data!$Q$3:W91)))))),"")</f>
        <v/>
      </c>
      <c r="Y90" s="1" t="str">
        <f>IFERROR(IF($Q$1=$P$3,INDEX(prem_analysis!$P$2:$Q$441,ROWS(Data!$P$2:X90),COLUMNS(Data!$P$3:W91)),IF($Q$1=$P$5,INDEX(prem_analysis!$BH$1:$BS$23,ROWS(Data!$Q$3:X91),COLUMNS(Data!$Q$3:X91)),IF($Q$1=$P$6,INDEX(prem_analysis!$BU$1:$CF$67,ROWS(prem_analysis!$N$2:U90),COLUMNS(prem_analysis!$N$2:U90)),IF($Q$1=$P$4,INDEX(Table24[[#All],[Year]:[Details]],ROWS(prem_analysis!$M$420:T508),COLUMNS(Data!$Q$3:X91)))))),"")</f>
        <v/>
      </c>
      <c r="Z90" s="1" t="str">
        <f>IFERROR(IF($Q$1=$P$3,INDEX(prem_analysis!$P$2:$Q$441,ROWS(Data!$P$2:Y90),COLUMNS(Data!$P$3:X91)),IF($Q$1=$P$5,INDEX(prem_analysis!$BH$1:$BS$23,ROWS(Data!$Q$3:Y91),COLUMNS(Data!$Q$3:Y91)),IF($Q$1=$P$6,INDEX(prem_analysis!$BU$1:$CF$67,ROWS(prem_analysis!$N$2:V90),COLUMNS(prem_analysis!$N$2:V90)),IF($Q$1=$P$4,INDEX(Table24[[#All],[Year]:[Details]],ROWS(prem_analysis!$M$420:U508),COLUMNS(Data!$Q$3:Y91)))))),"")</f>
        <v/>
      </c>
      <c r="AA90" s="1" t="str">
        <f>IFERROR(IF($Q$1=$P$3,INDEX(prem_analysis!$P$2:$Q$441,ROWS(Data!$P$2:Z90),COLUMNS(Data!$P$3:Y91)),IF($Q$1=$P$5,INDEX(prem_analysis!$BH$1:$BS$23,ROWS(Data!$Q$3:Z91),COLUMNS(Data!$Q$3:Z91)),IF($Q$1=$P$6,INDEX(prem_analysis!$BU$1:$CF$67,ROWS(prem_analysis!$N$2:W90),COLUMNS(prem_analysis!$N$2:W90)),IF($Q$1=$P$4,INDEX(Table24[[#All],[Year]:[Details]],ROWS(prem_analysis!$M$420:V508),COLUMNS(Data!$Q$3:Z91)))))),"")</f>
        <v/>
      </c>
      <c r="AB90" s="1" t="str">
        <f>IFERROR(IF($Q$1=$P$3,INDEX(prem_analysis!$P$2:$Q$441,ROWS(Data!$P$2:AA90),COLUMNS(Data!$P$3:Z91)),IF($Q$1=$P$5,INDEX(prem_analysis!$BH$1:$BS$23,ROWS(Data!$Q$3:AA91),COLUMNS(Data!$Q$3:AA91)),IF($Q$1=$P$6,INDEX(prem_analysis!$BU$1:$CF$67,ROWS(prem_analysis!$N$2:X90),COLUMNS(prem_analysis!$N$2:X90)),IF($Q$1=$P$4,INDEX(Table24[[#All],[Year]:[Details]],ROWS(prem_analysis!$M$420:W508),COLUMNS(Data!$Q$3:AA91)))))),"")</f>
        <v/>
      </c>
      <c r="AC90" s="1" t="str">
        <f>IFERROR(IF($Q$1=$P$3,INDEX(prem_analysis!$P$2:$Q$441,ROWS(Data!$P$2:AB90),COLUMNS(Data!$P$3:AA91)),IF($Q$1=$P$5,INDEX(prem_analysis!$BH$1:$BS$23,ROWS(Data!$Q$3:AB91),COLUMNS(Data!$Q$3:AB91)),IF($Q$1=$P$6,INDEX(prem_analysis!$BU$1:$CF$67,ROWS(prem_analysis!$N$2:Y90),COLUMNS(prem_analysis!$N$2:Y90)),IF($Q$1=$P$4,INDEX(Table24[[#All],[Year]:[Details]],ROWS(prem_analysis!$M$420:X508),COLUMNS(Data!$Q$3:AB91)))))),"")</f>
        <v/>
      </c>
    </row>
    <row r="91" spans="1:29" x14ac:dyDescent="0.2">
      <c r="A91" s="5">
        <v>2004</v>
      </c>
      <c r="B91" s="5">
        <v>10</v>
      </c>
      <c r="C91" s="6" t="s">
        <v>18</v>
      </c>
      <c r="D91" s="5">
        <v>38</v>
      </c>
      <c r="E91" s="5">
        <v>12</v>
      </c>
      <c r="F91" s="5">
        <v>11</v>
      </c>
      <c r="G91" s="5">
        <v>15</v>
      </c>
      <c r="H91" s="5">
        <v>45</v>
      </c>
      <c r="I91" s="5">
        <v>52</v>
      </c>
      <c r="J91" s="5">
        <v>-7</v>
      </c>
      <c r="K91" s="5">
        <v>47</v>
      </c>
      <c r="L91" s="5">
        <f>IF(Table24[[#This Row],['#]]=1,"Champion", IF(Table24[[#This Row],['#]]&gt;=18,"Relegated",Table24[[#This Row],['#]]))</f>
        <v>10</v>
      </c>
      <c r="M91" s="5" t="str">
        <f>IF(Table24[[#This Row],[Details]]=2,K90-Table24[[#This Row],[Pts]],IF(Table24[[#This Row],[Details]]=17,Table24[[#This Row],[Pts]]-K92,""))</f>
        <v/>
      </c>
      <c r="R91" s="1" t="str">
        <f>IFERROR(IF($Q$1=$P$3,INDEX(prem_analysis!$P$2:$Q$441,ROWS(Data!$P$2:Q91),COLUMNS(Data!$P$3:P92)),IF($Q$1=$P$5,INDEX(prem_analysis!$BH$1:$BS$23,ROWS(Data!$Q$3:Q92),COLUMNS(Data!$Q$3:Q92)),IF($Q$1=$P$6,INDEX(prem_analysis!$BU$1:$CF$67,ROWS(prem_analysis!$N$2:N91),COLUMNS(prem_analysis!$N$2:N91)),IF($Q$1=$P$4,INDEX(Table24[[#All],[Year]:[Details]],ROWS(prem_analysis!$M$420:M509),COLUMNS(Data!$Q$3:Q92)))))),"")</f>
        <v/>
      </c>
      <c r="S91" s="1" t="str">
        <f>IFERROR(IF($Q$1=$P$3,INDEX(prem_analysis!$P$2:$Q$441,ROWS(Data!$P$2:R91),COLUMNS(Data!$P$3:Q92)),IF($Q$1=$P$5,INDEX(prem_analysis!$BH$1:$BS$23,ROWS(Data!$Q$3:R92),COLUMNS(Data!$Q$3:R92)),IF($Q$1=$P$6,INDEX(prem_analysis!$BU$1:$CF$67,ROWS(prem_analysis!$N$2:O91),COLUMNS(prem_analysis!$N$2:O91)),IF($Q$1=$P$4,INDEX(Table24[[#All],[Year]:[Details]],ROWS(prem_analysis!$M$420:N509),COLUMNS(Data!$Q$3:R92)))))),"")</f>
        <v/>
      </c>
      <c r="T91" s="1" t="str">
        <f>IFERROR(IF($Q$1=$P$3,INDEX(prem_analysis!$P$2:$Q$441,ROWS(Data!$P$2:S91),COLUMNS(Data!$P$3:R92)),IF($Q$1=$P$5,INDEX(prem_analysis!$BH$1:$BS$23,ROWS(Data!$Q$3:S92),COLUMNS(Data!$Q$3:S92)),IF($Q$1=$P$6,INDEX(prem_analysis!$BU$1:$CF$67,ROWS(prem_analysis!$N$2:P91),COLUMNS(prem_analysis!$N$2:P91)),IF($Q$1=$P$4,INDEX(Table24[[#All],[Year]:[Details]],ROWS(prem_analysis!$M$420:O509),COLUMNS(Data!$Q$3:S92)))))),"")</f>
        <v/>
      </c>
      <c r="U91" s="1" t="str">
        <f>IFERROR(IF($Q$1=$P$3,INDEX(prem_analysis!$P$2:$Q$441,ROWS(Data!$P$2:T91),COLUMNS(Data!$P$3:S92)),IF($Q$1=$P$5,INDEX(prem_analysis!$BH$1:$BS$23,ROWS(Data!$Q$3:T92),COLUMNS(Data!$Q$3:T92)),IF($Q$1=$P$6,INDEX(prem_analysis!$BU$1:$CF$67,ROWS(prem_analysis!$N$2:Q91),COLUMNS(prem_analysis!$N$2:Q91)),IF($Q$1=$P$4,INDEX(Table24[[#All],[Year]:[Details]],ROWS(prem_analysis!$M$420:P509),COLUMNS(Data!$Q$3:T92)))))),"")</f>
        <v/>
      </c>
      <c r="V91" s="1" t="str">
        <f>IFERROR(IF($Q$1=$P$3,INDEX(prem_analysis!$P$2:$Q$441,ROWS(Data!$P$2:U91),COLUMNS(Data!$P$3:T92)),IF($Q$1=$P$5,INDEX(prem_analysis!$BH$1:$BS$23,ROWS(Data!$Q$3:U92),COLUMNS(Data!$Q$3:U92)),IF($Q$1=$P$6,INDEX(prem_analysis!$BU$1:$CF$67,ROWS(prem_analysis!$N$2:R91),COLUMNS(prem_analysis!$N$2:R91)),IF($Q$1=$P$4,INDEX(Table24[[#All],[Year]:[Details]],ROWS(prem_analysis!$M$420:Q509),COLUMNS(Data!$Q$3:U92)))))),"")</f>
        <v/>
      </c>
      <c r="W91" s="1" t="str">
        <f>IFERROR(IF($Q$1=$P$3,INDEX(prem_analysis!$P$2:$Q$441,ROWS(Data!$P$2:V91),COLUMNS(Data!$P$3:U92)),IF($Q$1=$P$5,INDEX(prem_analysis!$BH$1:$BS$23,ROWS(Data!$Q$3:V92),COLUMNS(Data!$Q$3:V92)),IF($Q$1=$P$6,INDEX(prem_analysis!$BU$1:$CF$67,ROWS(prem_analysis!$N$2:S91),COLUMNS(prem_analysis!$N$2:S91)),IF($Q$1=$P$4,INDEX(Table24[[#All],[Year]:[Details]],ROWS(prem_analysis!$M$420:R509),COLUMNS(Data!$Q$3:V92)))))),"")</f>
        <v/>
      </c>
      <c r="X91" s="1" t="str">
        <f>IFERROR(IF($Q$1=$P$3,INDEX(prem_analysis!$P$2:$Q$441,ROWS(Data!$P$2:W91),COLUMNS(Data!$P$3:V92)),IF($Q$1=$P$5,INDEX(prem_analysis!$BH$1:$BS$23,ROWS(Data!$Q$3:W92),COLUMNS(Data!$Q$3:W92)),IF($Q$1=$P$6,INDEX(prem_analysis!$BU$1:$CF$67,ROWS(prem_analysis!$N$2:T91),COLUMNS(prem_analysis!$N$2:T91)),IF($Q$1=$P$4,INDEX(Table24[[#All],[Year]:[Details]],ROWS(prem_analysis!$M$420:S509),COLUMNS(Data!$Q$3:W92)))))),"")</f>
        <v/>
      </c>
      <c r="Y91" s="1" t="str">
        <f>IFERROR(IF($Q$1=$P$3,INDEX(prem_analysis!$P$2:$Q$441,ROWS(Data!$P$2:X91),COLUMNS(Data!$P$3:W92)),IF($Q$1=$P$5,INDEX(prem_analysis!$BH$1:$BS$23,ROWS(Data!$Q$3:X92),COLUMNS(Data!$Q$3:X92)),IF($Q$1=$P$6,INDEX(prem_analysis!$BU$1:$CF$67,ROWS(prem_analysis!$N$2:U91),COLUMNS(prem_analysis!$N$2:U91)),IF($Q$1=$P$4,INDEX(Table24[[#All],[Year]:[Details]],ROWS(prem_analysis!$M$420:T509),COLUMNS(Data!$Q$3:X92)))))),"")</f>
        <v/>
      </c>
      <c r="Z91" s="1" t="str">
        <f>IFERROR(IF($Q$1=$P$3,INDEX(prem_analysis!$P$2:$Q$441,ROWS(Data!$P$2:Y91),COLUMNS(Data!$P$3:X92)),IF($Q$1=$P$5,INDEX(prem_analysis!$BH$1:$BS$23,ROWS(Data!$Q$3:Y92),COLUMNS(Data!$Q$3:Y92)),IF($Q$1=$P$6,INDEX(prem_analysis!$BU$1:$CF$67,ROWS(prem_analysis!$N$2:V91),COLUMNS(prem_analysis!$N$2:V91)),IF($Q$1=$P$4,INDEX(Table24[[#All],[Year]:[Details]],ROWS(prem_analysis!$M$420:U509),COLUMNS(Data!$Q$3:Y92)))))),"")</f>
        <v/>
      </c>
      <c r="AA91" s="1" t="str">
        <f>IFERROR(IF($Q$1=$P$3,INDEX(prem_analysis!$P$2:$Q$441,ROWS(Data!$P$2:Z91),COLUMNS(Data!$P$3:Y92)),IF($Q$1=$P$5,INDEX(prem_analysis!$BH$1:$BS$23,ROWS(Data!$Q$3:Z92),COLUMNS(Data!$Q$3:Z92)),IF($Q$1=$P$6,INDEX(prem_analysis!$BU$1:$CF$67,ROWS(prem_analysis!$N$2:W91),COLUMNS(prem_analysis!$N$2:W91)),IF($Q$1=$P$4,INDEX(Table24[[#All],[Year]:[Details]],ROWS(prem_analysis!$M$420:V509),COLUMNS(Data!$Q$3:Z92)))))),"")</f>
        <v/>
      </c>
      <c r="AB91" s="1" t="str">
        <f>IFERROR(IF($Q$1=$P$3,INDEX(prem_analysis!$P$2:$Q$441,ROWS(Data!$P$2:AA91),COLUMNS(Data!$P$3:Z92)),IF($Q$1=$P$5,INDEX(prem_analysis!$BH$1:$BS$23,ROWS(Data!$Q$3:AA92),COLUMNS(Data!$Q$3:AA92)),IF($Q$1=$P$6,INDEX(prem_analysis!$BU$1:$CF$67,ROWS(prem_analysis!$N$2:X91),COLUMNS(prem_analysis!$N$2:X91)),IF($Q$1=$P$4,INDEX(Table24[[#All],[Year]:[Details]],ROWS(prem_analysis!$M$420:W509),COLUMNS(Data!$Q$3:AA92)))))),"")</f>
        <v/>
      </c>
      <c r="AC91" s="1" t="str">
        <f>IFERROR(IF($Q$1=$P$3,INDEX(prem_analysis!$P$2:$Q$441,ROWS(Data!$P$2:AB91),COLUMNS(Data!$P$3:AA92)),IF($Q$1=$P$5,INDEX(prem_analysis!$BH$1:$BS$23,ROWS(Data!$Q$3:AB92),COLUMNS(Data!$Q$3:AB92)),IF($Q$1=$P$6,INDEX(prem_analysis!$BU$1:$CF$67,ROWS(prem_analysis!$N$2:Y91),COLUMNS(prem_analysis!$N$2:Y91)),IF($Q$1=$P$4,INDEX(Table24[[#All],[Year]:[Details]],ROWS(prem_analysis!$M$420:X509),COLUMNS(Data!$Q$3:AB92)))))),"")</f>
        <v/>
      </c>
    </row>
    <row r="92" spans="1:29" x14ac:dyDescent="0.2">
      <c r="A92" s="3">
        <v>2004</v>
      </c>
      <c r="B92" s="3">
        <v>11</v>
      </c>
      <c r="C92" s="4" t="s">
        <v>19</v>
      </c>
      <c r="D92" s="3">
        <v>38</v>
      </c>
      <c r="E92" s="3">
        <v>12</v>
      </c>
      <c r="F92" s="3">
        <v>10</v>
      </c>
      <c r="G92" s="3">
        <v>16</v>
      </c>
      <c r="H92" s="3">
        <v>42</v>
      </c>
      <c r="I92" s="3">
        <v>58</v>
      </c>
      <c r="J92" s="3">
        <v>-16</v>
      </c>
      <c r="K92" s="3">
        <v>46</v>
      </c>
      <c r="L92" s="5">
        <f>IF(Table24[[#This Row],['#]]=1,"Champion", IF(Table24[[#This Row],['#]]&gt;=18,"Relegated",Table24[[#This Row],['#]]))</f>
        <v>11</v>
      </c>
      <c r="M92" s="5" t="str">
        <f>IF(Table24[[#This Row],[Details]]=2,K91-Table24[[#This Row],[Pts]],IF(Table24[[#This Row],[Details]]=17,Table24[[#This Row],[Pts]]-K93,""))</f>
        <v/>
      </c>
      <c r="R92" s="1" t="str">
        <f>IFERROR(IF($Q$1=$P$3,INDEX(prem_analysis!$P$2:$Q$441,ROWS(Data!$P$2:Q92),COLUMNS(Data!$P$3:P93)),IF($Q$1=$P$5,INDEX(prem_analysis!$BH$1:$BS$23,ROWS(Data!$Q$3:Q93),COLUMNS(Data!$Q$3:Q93)),IF($Q$1=$P$6,INDEX(prem_analysis!$BU$1:$CF$67,ROWS(prem_analysis!$N$2:N92),COLUMNS(prem_analysis!$N$2:N92)),IF($Q$1=$P$4,INDEX(Table24[[#All],[Year]:[Details]],ROWS(prem_analysis!$M$420:M510),COLUMNS(Data!$Q$3:Q93)))))),"")</f>
        <v/>
      </c>
      <c r="S92" s="1" t="str">
        <f>IFERROR(IF($Q$1=$P$3,INDEX(prem_analysis!$P$2:$Q$441,ROWS(Data!$P$2:R92),COLUMNS(Data!$P$3:Q93)),IF($Q$1=$P$5,INDEX(prem_analysis!$BH$1:$BS$23,ROWS(Data!$Q$3:R93),COLUMNS(Data!$Q$3:R93)),IF($Q$1=$P$6,INDEX(prem_analysis!$BU$1:$CF$67,ROWS(prem_analysis!$N$2:O92),COLUMNS(prem_analysis!$N$2:O92)),IF($Q$1=$P$4,INDEX(Table24[[#All],[Year]:[Details]],ROWS(prem_analysis!$M$420:N510),COLUMNS(Data!$Q$3:R93)))))),"")</f>
        <v/>
      </c>
      <c r="T92" s="1" t="str">
        <f>IFERROR(IF($Q$1=$P$3,INDEX(prem_analysis!$P$2:$Q$441,ROWS(Data!$P$2:S92),COLUMNS(Data!$P$3:R93)),IF($Q$1=$P$5,INDEX(prem_analysis!$BH$1:$BS$23,ROWS(Data!$Q$3:S93),COLUMNS(Data!$Q$3:S93)),IF($Q$1=$P$6,INDEX(prem_analysis!$BU$1:$CF$67,ROWS(prem_analysis!$N$2:P92),COLUMNS(prem_analysis!$N$2:P92)),IF($Q$1=$P$4,INDEX(Table24[[#All],[Year]:[Details]],ROWS(prem_analysis!$M$420:O510),COLUMNS(Data!$Q$3:S93)))))),"")</f>
        <v/>
      </c>
      <c r="U92" s="1" t="str">
        <f>IFERROR(IF($Q$1=$P$3,INDEX(prem_analysis!$P$2:$Q$441,ROWS(Data!$P$2:T92),COLUMNS(Data!$P$3:S93)),IF($Q$1=$P$5,INDEX(prem_analysis!$BH$1:$BS$23,ROWS(Data!$Q$3:T93),COLUMNS(Data!$Q$3:T93)),IF($Q$1=$P$6,INDEX(prem_analysis!$BU$1:$CF$67,ROWS(prem_analysis!$N$2:Q92),COLUMNS(prem_analysis!$N$2:Q92)),IF($Q$1=$P$4,INDEX(Table24[[#All],[Year]:[Details]],ROWS(prem_analysis!$M$420:P510),COLUMNS(Data!$Q$3:T93)))))),"")</f>
        <v/>
      </c>
      <c r="V92" s="1" t="str">
        <f>IFERROR(IF($Q$1=$P$3,INDEX(prem_analysis!$P$2:$Q$441,ROWS(Data!$P$2:U92),COLUMNS(Data!$P$3:T93)),IF($Q$1=$P$5,INDEX(prem_analysis!$BH$1:$BS$23,ROWS(Data!$Q$3:U93),COLUMNS(Data!$Q$3:U93)),IF($Q$1=$P$6,INDEX(prem_analysis!$BU$1:$CF$67,ROWS(prem_analysis!$N$2:R92),COLUMNS(prem_analysis!$N$2:R92)),IF($Q$1=$P$4,INDEX(Table24[[#All],[Year]:[Details]],ROWS(prem_analysis!$M$420:Q510),COLUMNS(Data!$Q$3:U93)))))),"")</f>
        <v/>
      </c>
      <c r="W92" s="1" t="str">
        <f>IFERROR(IF($Q$1=$P$3,INDEX(prem_analysis!$P$2:$Q$441,ROWS(Data!$P$2:V92),COLUMNS(Data!$P$3:U93)),IF($Q$1=$P$5,INDEX(prem_analysis!$BH$1:$BS$23,ROWS(Data!$Q$3:V93),COLUMNS(Data!$Q$3:V93)),IF($Q$1=$P$6,INDEX(prem_analysis!$BU$1:$CF$67,ROWS(prem_analysis!$N$2:S92),COLUMNS(prem_analysis!$N$2:S92)),IF($Q$1=$P$4,INDEX(Table24[[#All],[Year]:[Details]],ROWS(prem_analysis!$M$420:R510),COLUMNS(Data!$Q$3:V93)))))),"")</f>
        <v/>
      </c>
      <c r="X92" s="1" t="str">
        <f>IFERROR(IF($Q$1=$P$3,INDEX(prem_analysis!$P$2:$Q$441,ROWS(Data!$P$2:W92),COLUMNS(Data!$P$3:V93)),IF($Q$1=$P$5,INDEX(prem_analysis!$BH$1:$BS$23,ROWS(Data!$Q$3:W93),COLUMNS(Data!$Q$3:W93)),IF($Q$1=$P$6,INDEX(prem_analysis!$BU$1:$CF$67,ROWS(prem_analysis!$N$2:T92),COLUMNS(prem_analysis!$N$2:T92)),IF($Q$1=$P$4,INDEX(Table24[[#All],[Year]:[Details]],ROWS(prem_analysis!$M$420:S510),COLUMNS(Data!$Q$3:W93)))))),"")</f>
        <v/>
      </c>
      <c r="Y92" s="1" t="str">
        <f>IFERROR(IF($Q$1=$P$3,INDEX(prem_analysis!$P$2:$Q$441,ROWS(Data!$P$2:X92),COLUMNS(Data!$P$3:W93)),IF($Q$1=$P$5,INDEX(prem_analysis!$BH$1:$BS$23,ROWS(Data!$Q$3:X93),COLUMNS(Data!$Q$3:X93)),IF($Q$1=$P$6,INDEX(prem_analysis!$BU$1:$CF$67,ROWS(prem_analysis!$N$2:U92),COLUMNS(prem_analysis!$N$2:U92)),IF($Q$1=$P$4,INDEX(Table24[[#All],[Year]:[Details]],ROWS(prem_analysis!$M$420:T510),COLUMNS(Data!$Q$3:X93)))))),"")</f>
        <v/>
      </c>
      <c r="Z92" s="1" t="str">
        <f>IFERROR(IF($Q$1=$P$3,INDEX(prem_analysis!$P$2:$Q$441,ROWS(Data!$P$2:Y92),COLUMNS(Data!$P$3:X93)),IF($Q$1=$P$5,INDEX(prem_analysis!$BH$1:$BS$23,ROWS(Data!$Q$3:Y93),COLUMNS(Data!$Q$3:Y93)),IF($Q$1=$P$6,INDEX(prem_analysis!$BU$1:$CF$67,ROWS(prem_analysis!$N$2:V92),COLUMNS(prem_analysis!$N$2:V92)),IF($Q$1=$P$4,INDEX(Table24[[#All],[Year]:[Details]],ROWS(prem_analysis!$M$420:U510),COLUMNS(Data!$Q$3:Y93)))))),"")</f>
        <v/>
      </c>
      <c r="AA92" s="1" t="str">
        <f>IFERROR(IF($Q$1=$P$3,INDEX(prem_analysis!$P$2:$Q$441,ROWS(Data!$P$2:Z92),COLUMNS(Data!$P$3:Y93)),IF($Q$1=$P$5,INDEX(prem_analysis!$BH$1:$BS$23,ROWS(Data!$Q$3:Z93),COLUMNS(Data!$Q$3:Z93)),IF($Q$1=$P$6,INDEX(prem_analysis!$BU$1:$CF$67,ROWS(prem_analysis!$N$2:W92),COLUMNS(prem_analysis!$N$2:W92)),IF($Q$1=$P$4,INDEX(Table24[[#All],[Year]:[Details]],ROWS(prem_analysis!$M$420:V510),COLUMNS(Data!$Q$3:Z93)))))),"")</f>
        <v/>
      </c>
      <c r="AB92" s="1" t="str">
        <f>IFERROR(IF($Q$1=$P$3,INDEX(prem_analysis!$P$2:$Q$441,ROWS(Data!$P$2:AA92),COLUMNS(Data!$P$3:Z93)),IF($Q$1=$P$5,INDEX(prem_analysis!$BH$1:$BS$23,ROWS(Data!$Q$3:AA93),COLUMNS(Data!$Q$3:AA93)),IF($Q$1=$P$6,INDEX(prem_analysis!$BU$1:$CF$67,ROWS(prem_analysis!$N$2:X92),COLUMNS(prem_analysis!$N$2:X92)),IF($Q$1=$P$4,INDEX(Table24[[#All],[Year]:[Details]],ROWS(prem_analysis!$M$420:W510),COLUMNS(Data!$Q$3:AA93)))))),"")</f>
        <v/>
      </c>
      <c r="AC92" s="1" t="str">
        <f>IFERROR(IF($Q$1=$P$3,INDEX(prem_analysis!$P$2:$Q$441,ROWS(Data!$P$2:AB92),COLUMNS(Data!$P$3:AA93)),IF($Q$1=$P$5,INDEX(prem_analysis!$BH$1:$BS$23,ROWS(Data!$Q$3:AB93),COLUMNS(Data!$Q$3:AB93)),IF($Q$1=$P$6,INDEX(prem_analysis!$BU$1:$CF$67,ROWS(prem_analysis!$N$2:Y92),COLUMNS(prem_analysis!$N$2:Y92)),IF($Q$1=$P$4,INDEX(Table24[[#All],[Year]:[Details]],ROWS(prem_analysis!$M$420:X510),COLUMNS(Data!$Q$3:AB93)))))),"")</f>
        <v/>
      </c>
    </row>
    <row r="93" spans="1:29" x14ac:dyDescent="0.2">
      <c r="A93" s="5">
        <v>2004</v>
      </c>
      <c r="B93" s="5">
        <v>12</v>
      </c>
      <c r="C93" s="6" t="s">
        <v>34</v>
      </c>
      <c r="D93" s="5">
        <v>38</v>
      </c>
      <c r="E93" s="5">
        <v>11</v>
      </c>
      <c r="F93" s="5">
        <v>12</v>
      </c>
      <c r="G93" s="5">
        <v>15</v>
      </c>
      <c r="H93" s="5">
        <v>40</v>
      </c>
      <c r="I93" s="5">
        <v>46</v>
      </c>
      <c r="J93" s="5">
        <v>-6</v>
      </c>
      <c r="K93" s="5">
        <v>45</v>
      </c>
      <c r="L93" s="5">
        <f>IF(Table24[[#This Row],['#]]=1,"Champion", IF(Table24[[#This Row],['#]]&gt;=18,"Relegated",Table24[[#This Row],['#]]))</f>
        <v>12</v>
      </c>
      <c r="M93" s="5" t="str">
        <f>IF(Table24[[#This Row],[Details]]=2,K92-Table24[[#This Row],[Pts]],IF(Table24[[#This Row],[Details]]=17,Table24[[#This Row],[Pts]]-K94,""))</f>
        <v/>
      </c>
      <c r="R93" s="1" t="str">
        <f>IFERROR(IF($Q$1=$P$3,INDEX(prem_analysis!$P$2:$Q$441,ROWS(Data!$P$2:Q93),COLUMNS(Data!$P$3:P94)),IF($Q$1=$P$5,INDEX(prem_analysis!$BH$1:$BS$23,ROWS(Data!$Q$3:Q94),COLUMNS(Data!$Q$3:Q94)),IF($Q$1=$P$6,INDEX(prem_analysis!$BU$1:$CF$67,ROWS(prem_analysis!$N$2:N93),COLUMNS(prem_analysis!$N$2:N93)),IF($Q$1=$P$4,INDEX(Table24[[#All],[Year]:[Details]],ROWS(prem_analysis!$M$420:M511),COLUMNS(Data!$Q$3:Q94)))))),"")</f>
        <v/>
      </c>
      <c r="S93" s="1" t="str">
        <f>IFERROR(IF($Q$1=$P$3,INDEX(prem_analysis!$P$2:$Q$441,ROWS(Data!$P$2:R93),COLUMNS(Data!$P$3:Q94)),IF($Q$1=$P$5,INDEX(prem_analysis!$BH$1:$BS$23,ROWS(Data!$Q$3:R94),COLUMNS(Data!$Q$3:R94)),IF($Q$1=$P$6,INDEX(prem_analysis!$BU$1:$CF$67,ROWS(prem_analysis!$N$2:O93),COLUMNS(prem_analysis!$N$2:O93)),IF($Q$1=$P$4,INDEX(Table24[[#All],[Year]:[Details]],ROWS(prem_analysis!$M$420:N511),COLUMNS(Data!$Q$3:R94)))))),"")</f>
        <v/>
      </c>
      <c r="T93" s="1" t="str">
        <f>IFERROR(IF($Q$1=$P$3,INDEX(prem_analysis!$P$2:$Q$441,ROWS(Data!$P$2:S93),COLUMNS(Data!$P$3:R94)),IF($Q$1=$P$5,INDEX(prem_analysis!$BH$1:$BS$23,ROWS(Data!$Q$3:S94),COLUMNS(Data!$Q$3:S94)),IF($Q$1=$P$6,INDEX(prem_analysis!$BU$1:$CF$67,ROWS(prem_analysis!$N$2:P93),COLUMNS(prem_analysis!$N$2:P93)),IF($Q$1=$P$4,INDEX(Table24[[#All],[Year]:[Details]],ROWS(prem_analysis!$M$420:O511),COLUMNS(Data!$Q$3:S94)))))),"")</f>
        <v/>
      </c>
      <c r="U93" s="1" t="str">
        <f>IFERROR(IF($Q$1=$P$3,INDEX(prem_analysis!$P$2:$Q$441,ROWS(Data!$P$2:T93),COLUMNS(Data!$P$3:S94)),IF($Q$1=$P$5,INDEX(prem_analysis!$BH$1:$BS$23,ROWS(Data!$Q$3:T94),COLUMNS(Data!$Q$3:T94)),IF($Q$1=$P$6,INDEX(prem_analysis!$BU$1:$CF$67,ROWS(prem_analysis!$N$2:Q93),COLUMNS(prem_analysis!$N$2:Q93)),IF($Q$1=$P$4,INDEX(Table24[[#All],[Year]:[Details]],ROWS(prem_analysis!$M$420:P511),COLUMNS(Data!$Q$3:T94)))))),"")</f>
        <v/>
      </c>
      <c r="V93" s="1" t="str">
        <f>IFERROR(IF($Q$1=$P$3,INDEX(prem_analysis!$P$2:$Q$441,ROWS(Data!$P$2:U93),COLUMNS(Data!$P$3:T94)),IF($Q$1=$P$5,INDEX(prem_analysis!$BH$1:$BS$23,ROWS(Data!$Q$3:U94),COLUMNS(Data!$Q$3:U94)),IF($Q$1=$P$6,INDEX(prem_analysis!$BU$1:$CF$67,ROWS(prem_analysis!$N$2:R93),COLUMNS(prem_analysis!$N$2:R93)),IF($Q$1=$P$4,INDEX(Table24[[#All],[Year]:[Details]],ROWS(prem_analysis!$M$420:Q511),COLUMNS(Data!$Q$3:U94)))))),"")</f>
        <v/>
      </c>
      <c r="W93" s="1" t="str">
        <f>IFERROR(IF($Q$1=$P$3,INDEX(prem_analysis!$P$2:$Q$441,ROWS(Data!$P$2:V93),COLUMNS(Data!$P$3:U94)),IF($Q$1=$P$5,INDEX(prem_analysis!$BH$1:$BS$23,ROWS(Data!$Q$3:V94),COLUMNS(Data!$Q$3:V94)),IF($Q$1=$P$6,INDEX(prem_analysis!$BU$1:$CF$67,ROWS(prem_analysis!$N$2:S93),COLUMNS(prem_analysis!$N$2:S93)),IF($Q$1=$P$4,INDEX(Table24[[#All],[Year]:[Details]],ROWS(prem_analysis!$M$420:R511),COLUMNS(Data!$Q$3:V94)))))),"")</f>
        <v/>
      </c>
      <c r="X93" s="1" t="str">
        <f>IFERROR(IF($Q$1=$P$3,INDEX(prem_analysis!$P$2:$Q$441,ROWS(Data!$P$2:W93),COLUMNS(Data!$P$3:V94)),IF($Q$1=$P$5,INDEX(prem_analysis!$BH$1:$BS$23,ROWS(Data!$Q$3:W94),COLUMNS(Data!$Q$3:W94)),IF($Q$1=$P$6,INDEX(prem_analysis!$BU$1:$CF$67,ROWS(prem_analysis!$N$2:T93),COLUMNS(prem_analysis!$N$2:T93)),IF($Q$1=$P$4,INDEX(Table24[[#All],[Year]:[Details]],ROWS(prem_analysis!$M$420:S511),COLUMNS(Data!$Q$3:W94)))))),"")</f>
        <v/>
      </c>
      <c r="Y93" s="1" t="str">
        <f>IFERROR(IF($Q$1=$P$3,INDEX(prem_analysis!$P$2:$Q$441,ROWS(Data!$P$2:X93),COLUMNS(Data!$P$3:W94)),IF($Q$1=$P$5,INDEX(prem_analysis!$BH$1:$BS$23,ROWS(Data!$Q$3:X94),COLUMNS(Data!$Q$3:X94)),IF($Q$1=$P$6,INDEX(prem_analysis!$BU$1:$CF$67,ROWS(prem_analysis!$N$2:U93),COLUMNS(prem_analysis!$N$2:U93)),IF($Q$1=$P$4,INDEX(Table24[[#All],[Year]:[Details]],ROWS(prem_analysis!$M$420:T511),COLUMNS(Data!$Q$3:X94)))))),"")</f>
        <v/>
      </c>
      <c r="Z93" s="1" t="str">
        <f>IFERROR(IF($Q$1=$P$3,INDEX(prem_analysis!$P$2:$Q$441,ROWS(Data!$P$2:Y93),COLUMNS(Data!$P$3:X94)),IF($Q$1=$P$5,INDEX(prem_analysis!$BH$1:$BS$23,ROWS(Data!$Q$3:Y94),COLUMNS(Data!$Q$3:Y94)),IF($Q$1=$P$6,INDEX(prem_analysis!$BU$1:$CF$67,ROWS(prem_analysis!$N$2:V93),COLUMNS(prem_analysis!$N$2:V93)),IF($Q$1=$P$4,INDEX(Table24[[#All],[Year]:[Details]],ROWS(prem_analysis!$M$420:U511),COLUMNS(Data!$Q$3:Y94)))))),"")</f>
        <v/>
      </c>
      <c r="AA93" s="1" t="str">
        <f>IFERROR(IF($Q$1=$P$3,INDEX(prem_analysis!$P$2:$Q$441,ROWS(Data!$P$2:Z93),COLUMNS(Data!$P$3:Y94)),IF($Q$1=$P$5,INDEX(prem_analysis!$BH$1:$BS$23,ROWS(Data!$Q$3:Z94),COLUMNS(Data!$Q$3:Z94)),IF($Q$1=$P$6,INDEX(prem_analysis!$BU$1:$CF$67,ROWS(prem_analysis!$N$2:W93),COLUMNS(prem_analysis!$N$2:W93)),IF($Q$1=$P$4,INDEX(Table24[[#All],[Year]:[Details]],ROWS(prem_analysis!$M$420:V511),COLUMNS(Data!$Q$3:Z94)))))),"")</f>
        <v/>
      </c>
      <c r="AB93" s="1" t="str">
        <f>IFERROR(IF($Q$1=$P$3,INDEX(prem_analysis!$P$2:$Q$441,ROWS(Data!$P$2:AA93),COLUMNS(Data!$P$3:Z94)),IF($Q$1=$P$5,INDEX(prem_analysis!$BH$1:$BS$23,ROWS(Data!$Q$3:AA94),COLUMNS(Data!$Q$3:AA94)),IF($Q$1=$P$6,INDEX(prem_analysis!$BU$1:$CF$67,ROWS(prem_analysis!$N$2:X93),COLUMNS(prem_analysis!$N$2:X93)),IF($Q$1=$P$4,INDEX(Table24[[#All],[Year]:[Details]],ROWS(prem_analysis!$M$420:W511),COLUMNS(Data!$Q$3:AA94)))))),"")</f>
        <v/>
      </c>
      <c r="AC93" s="1" t="str">
        <f>IFERROR(IF($Q$1=$P$3,INDEX(prem_analysis!$P$2:$Q$441,ROWS(Data!$P$2:AB93),COLUMNS(Data!$P$3:AA94)),IF($Q$1=$P$5,INDEX(prem_analysis!$BH$1:$BS$23,ROWS(Data!$Q$3:AB94),COLUMNS(Data!$Q$3:AB94)),IF($Q$1=$P$6,INDEX(prem_analysis!$BU$1:$CF$67,ROWS(prem_analysis!$N$2:Y93),COLUMNS(prem_analysis!$N$2:Y93)),IF($Q$1=$P$4,INDEX(Table24[[#All],[Year]:[Details]],ROWS(prem_analysis!$M$420:X511),COLUMNS(Data!$Q$3:AB94)))))),"")</f>
        <v/>
      </c>
    </row>
    <row r="94" spans="1:29" x14ac:dyDescent="0.2">
      <c r="A94" s="3">
        <v>2004</v>
      </c>
      <c r="B94" s="3">
        <v>13</v>
      </c>
      <c r="C94" s="4" t="s">
        <v>32</v>
      </c>
      <c r="D94" s="3">
        <v>38</v>
      </c>
      <c r="E94" s="3">
        <v>12</v>
      </c>
      <c r="F94" s="3">
        <v>8</v>
      </c>
      <c r="G94" s="3">
        <v>18</v>
      </c>
      <c r="H94" s="3">
        <v>52</v>
      </c>
      <c r="I94" s="3">
        <v>60</v>
      </c>
      <c r="J94" s="3">
        <v>-8</v>
      </c>
      <c r="K94" s="3">
        <v>44</v>
      </c>
      <c r="L94" s="5">
        <f>IF(Table24[[#This Row],['#]]=1,"Champion", IF(Table24[[#This Row],['#]]&gt;=18,"Relegated",Table24[[#This Row],['#]]))</f>
        <v>13</v>
      </c>
      <c r="M94" s="5" t="str">
        <f>IF(Table24[[#This Row],[Details]]=2,K93-Table24[[#This Row],[Pts]],IF(Table24[[#This Row],[Details]]=17,Table24[[#This Row],[Pts]]-K95,""))</f>
        <v/>
      </c>
      <c r="R94" s="1" t="str">
        <f>IFERROR(IF($Q$1=$P$3,INDEX(prem_analysis!$P$2:$Q$441,ROWS(Data!$P$2:Q94),COLUMNS(Data!$P$3:P95)),IF($Q$1=$P$5,INDEX(prem_analysis!$BH$1:$BS$23,ROWS(Data!$Q$3:Q95),COLUMNS(Data!$Q$3:Q95)),IF($Q$1=$P$6,INDEX(prem_analysis!$BU$1:$CF$67,ROWS(prem_analysis!$N$2:N94),COLUMNS(prem_analysis!$N$2:N94)),IF($Q$1=$P$4,INDEX(Table24[[#All],[Year]:[Details]],ROWS(prem_analysis!$M$420:M512),COLUMNS(Data!$Q$3:Q95)))))),"")</f>
        <v/>
      </c>
      <c r="S94" s="1" t="str">
        <f>IFERROR(IF($Q$1=$P$3,INDEX(prem_analysis!$P$2:$Q$441,ROWS(Data!$P$2:R94),COLUMNS(Data!$P$3:Q95)),IF($Q$1=$P$5,INDEX(prem_analysis!$BH$1:$BS$23,ROWS(Data!$Q$3:R95),COLUMNS(Data!$Q$3:R95)),IF($Q$1=$P$6,INDEX(prem_analysis!$BU$1:$CF$67,ROWS(prem_analysis!$N$2:O94),COLUMNS(prem_analysis!$N$2:O94)),IF($Q$1=$P$4,INDEX(Table24[[#All],[Year]:[Details]],ROWS(prem_analysis!$M$420:N512),COLUMNS(Data!$Q$3:R95)))))),"")</f>
        <v/>
      </c>
      <c r="T94" s="1" t="str">
        <f>IFERROR(IF($Q$1=$P$3,INDEX(prem_analysis!$P$2:$Q$441,ROWS(Data!$P$2:S94),COLUMNS(Data!$P$3:R95)),IF($Q$1=$P$5,INDEX(prem_analysis!$BH$1:$BS$23,ROWS(Data!$Q$3:S95),COLUMNS(Data!$Q$3:S95)),IF($Q$1=$P$6,INDEX(prem_analysis!$BU$1:$CF$67,ROWS(prem_analysis!$N$2:P94),COLUMNS(prem_analysis!$N$2:P94)),IF($Q$1=$P$4,INDEX(Table24[[#All],[Year]:[Details]],ROWS(prem_analysis!$M$420:O512),COLUMNS(Data!$Q$3:S95)))))),"")</f>
        <v/>
      </c>
      <c r="U94" s="1" t="str">
        <f>IFERROR(IF($Q$1=$P$3,INDEX(prem_analysis!$P$2:$Q$441,ROWS(Data!$P$2:T94),COLUMNS(Data!$P$3:S95)),IF($Q$1=$P$5,INDEX(prem_analysis!$BH$1:$BS$23,ROWS(Data!$Q$3:T95),COLUMNS(Data!$Q$3:T95)),IF($Q$1=$P$6,INDEX(prem_analysis!$BU$1:$CF$67,ROWS(prem_analysis!$N$2:Q94),COLUMNS(prem_analysis!$N$2:Q94)),IF($Q$1=$P$4,INDEX(Table24[[#All],[Year]:[Details]],ROWS(prem_analysis!$M$420:P512),COLUMNS(Data!$Q$3:T95)))))),"")</f>
        <v/>
      </c>
      <c r="V94" s="1" t="str">
        <f>IFERROR(IF($Q$1=$P$3,INDEX(prem_analysis!$P$2:$Q$441,ROWS(Data!$P$2:U94),COLUMNS(Data!$P$3:T95)),IF($Q$1=$P$5,INDEX(prem_analysis!$BH$1:$BS$23,ROWS(Data!$Q$3:U95),COLUMNS(Data!$Q$3:U95)),IF($Q$1=$P$6,INDEX(prem_analysis!$BU$1:$CF$67,ROWS(prem_analysis!$N$2:R94),COLUMNS(prem_analysis!$N$2:R94)),IF($Q$1=$P$4,INDEX(Table24[[#All],[Year]:[Details]],ROWS(prem_analysis!$M$420:Q512),COLUMNS(Data!$Q$3:U95)))))),"")</f>
        <v/>
      </c>
      <c r="W94" s="1" t="str">
        <f>IFERROR(IF($Q$1=$P$3,INDEX(prem_analysis!$P$2:$Q$441,ROWS(Data!$P$2:V94),COLUMNS(Data!$P$3:U95)),IF($Q$1=$P$5,INDEX(prem_analysis!$BH$1:$BS$23,ROWS(Data!$Q$3:V95),COLUMNS(Data!$Q$3:V95)),IF($Q$1=$P$6,INDEX(prem_analysis!$BU$1:$CF$67,ROWS(prem_analysis!$N$2:S94),COLUMNS(prem_analysis!$N$2:S94)),IF($Q$1=$P$4,INDEX(Table24[[#All],[Year]:[Details]],ROWS(prem_analysis!$M$420:R512),COLUMNS(Data!$Q$3:V95)))))),"")</f>
        <v/>
      </c>
      <c r="X94" s="1" t="str">
        <f>IFERROR(IF($Q$1=$P$3,INDEX(prem_analysis!$P$2:$Q$441,ROWS(Data!$P$2:W94),COLUMNS(Data!$P$3:V95)),IF($Q$1=$P$5,INDEX(prem_analysis!$BH$1:$BS$23,ROWS(Data!$Q$3:W95),COLUMNS(Data!$Q$3:W95)),IF($Q$1=$P$6,INDEX(prem_analysis!$BU$1:$CF$67,ROWS(prem_analysis!$N$2:T94),COLUMNS(prem_analysis!$N$2:T94)),IF($Q$1=$P$4,INDEX(Table24[[#All],[Year]:[Details]],ROWS(prem_analysis!$M$420:S512),COLUMNS(Data!$Q$3:W95)))))),"")</f>
        <v/>
      </c>
      <c r="Y94" s="1" t="str">
        <f>IFERROR(IF($Q$1=$P$3,INDEX(prem_analysis!$P$2:$Q$441,ROWS(Data!$P$2:X94),COLUMNS(Data!$P$3:W95)),IF($Q$1=$P$5,INDEX(prem_analysis!$BH$1:$BS$23,ROWS(Data!$Q$3:X95),COLUMNS(Data!$Q$3:X95)),IF($Q$1=$P$6,INDEX(prem_analysis!$BU$1:$CF$67,ROWS(prem_analysis!$N$2:U94),COLUMNS(prem_analysis!$N$2:U94)),IF($Q$1=$P$4,INDEX(Table24[[#All],[Year]:[Details]],ROWS(prem_analysis!$M$420:T512),COLUMNS(Data!$Q$3:X95)))))),"")</f>
        <v/>
      </c>
      <c r="Z94" s="1" t="str">
        <f>IFERROR(IF($Q$1=$P$3,INDEX(prem_analysis!$P$2:$Q$441,ROWS(Data!$P$2:Y94),COLUMNS(Data!$P$3:X95)),IF($Q$1=$P$5,INDEX(prem_analysis!$BH$1:$BS$23,ROWS(Data!$Q$3:Y95),COLUMNS(Data!$Q$3:Y95)),IF($Q$1=$P$6,INDEX(prem_analysis!$BU$1:$CF$67,ROWS(prem_analysis!$N$2:V94),COLUMNS(prem_analysis!$N$2:V94)),IF($Q$1=$P$4,INDEX(Table24[[#All],[Year]:[Details]],ROWS(prem_analysis!$M$420:U512),COLUMNS(Data!$Q$3:Y95)))))),"")</f>
        <v/>
      </c>
      <c r="AA94" s="1" t="str">
        <f>IFERROR(IF($Q$1=$P$3,INDEX(prem_analysis!$P$2:$Q$441,ROWS(Data!$P$2:Z94),COLUMNS(Data!$P$3:Y95)),IF($Q$1=$P$5,INDEX(prem_analysis!$BH$1:$BS$23,ROWS(Data!$Q$3:Z95),COLUMNS(Data!$Q$3:Z95)),IF($Q$1=$P$6,INDEX(prem_analysis!$BU$1:$CF$67,ROWS(prem_analysis!$N$2:W94),COLUMNS(prem_analysis!$N$2:W94)),IF($Q$1=$P$4,INDEX(Table24[[#All],[Year]:[Details]],ROWS(prem_analysis!$M$420:V512),COLUMNS(Data!$Q$3:Z95)))))),"")</f>
        <v/>
      </c>
      <c r="AB94" s="1" t="str">
        <f>IFERROR(IF($Q$1=$P$3,INDEX(prem_analysis!$P$2:$Q$441,ROWS(Data!$P$2:AA94),COLUMNS(Data!$P$3:Z95)),IF($Q$1=$P$5,INDEX(prem_analysis!$BH$1:$BS$23,ROWS(Data!$Q$3:AA95),COLUMNS(Data!$Q$3:AA95)),IF($Q$1=$P$6,INDEX(prem_analysis!$BU$1:$CF$67,ROWS(prem_analysis!$N$2:X94),COLUMNS(prem_analysis!$N$2:X94)),IF($Q$1=$P$4,INDEX(Table24[[#All],[Year]:[Details]],ROWS(prem_analysis!$M$420:W512),COLUMNS(Data!$Q$3:AA95)))))),"")</f>
        <v/>
      </c>
      <c r="AC94" s="1" t="str">
        <f>IFERROR(IF($Q$1=$P$3,INDEX(prem_analysis!$P$2:$Q$441,ROWS(Data!$P$2:AB94),COLUMNS(Data!$P$3:AA95)),IF($Q$1=$P$5,INDEX(prem_analysis!$BH$1:$BS$23,ROWS(Data!$Q$3:AB95),COLUMNS(Data!$Q$3:AB95)),IF($Q$1=$P$6,INDEX(prem_analysis!$BU$1:$CF$67,ROWS(prem_analysis!$N$2:Y94),COLUMNS(prem_analysis!$N$2:Y94)),IF($Q$1=$P$4,INDEX(Table24[[#All],[Year]:[Details]],ROWS(prem_analysis!$M$420:X512),COLUMNS(Data!$Q$3:AB95)))))),"")</f>
        <v/>
      </c>
    </row>
    <row r="95" spans="1:29" x14ac:dyDescent="0.2">
      <c r="A95" s="5">
        <v>2004</v>
      </c>
      <c r="B95" s="5">
        <v>14</v>
      </c>
      <c r="C95" s="6" t="s">
        <v>21</v>
      </c>
      <c r="D95" s="5">
        <v>38</v>
      </c>
      <c r="E95" s="5">
        <v>10</v>
      </c>
      <c r="F95" s="5">
        <v>14</v>
      </c>
      <c r="G95" s="5">
        <v>14</v>
      </c>
      <c r="H95" s="5">
        <v>47</v>
      </c>
      <c r="I95" s="5">
        <v>57</v>
      </c>
      <c r="J95" s="5">
        <v>-10</v>
      </c>
      <c r="K95" s="5">
        <v>44</v>
      </c>
      <c r="L95" s="5">
        <f>IF(Table24[[#This Row],['#]]=1,"Champion", IF(Table24[[#This Row],['#]]&gt;=18,"Relegated",Table24[[#This Row],['#]]))</f>
        <v>14</v>
      </c>
      <c r="M95" s="5" t="str">
        <f>IF(Table24[[#This Row],[Details]]=2,K94-Table24[[#This Row],[Pts]],IF(Table24[[#This Row],[Details]]=17,Table24[[#This Row],[Pts]]-K96,""))</f>
        <v/>
      </c>
      <c r="R95" s="1" t="str">
        <f>IFERROR(IF($Q$1=$P$3,INDEX(prem_analysis!$P$2:$Q$441,ROWS(Data!$P$2:Q95),COLUMNS(Data!$P$3:P96)),IF($Q$1=$P$5,INDEX(prem_analysis!$BH$1:$BS$23,ROWS(Data!$Q$3:Q96),COLUMNS(Data!$Q$3:Q96)),IF($Q$1=$P$6,INDEX(prem_analysis!$BU$1:$CF$67,ROWS(prem_analysis!$N$2:N95),COLUMNS(prem_analysis!$N$2:N95)),IF($Q$1=$P$4,INDEX(Table24[[#All],[Year]:[Details]],ROWS(prem_analysis!$M$420:M513),COLUMNS(Data!$Q$3:Q96)))))),"")</f>
        <v/>
      </c>
      <c r="S95" s="1" t="str">
        <f>IFERROR(IF($Q$1=$P$3,INDEX(prem_analysis!$P$2:$Q$441,ROWS(Data!$P$2:R95),COLUMNS(Data!$P$3:Q96)),IF($Q$1=$P$5,INDEX(prem_analysis!$BH$1:$BS$23,ROWS(Data!$Q$3:R96),COLUMNS(Data!$Q$3:R96)),IF($Q$1=$P$6,INDEX(prem_analysis!$BU$1:$CF$67,ROWS(prem_analysis!$N$2:O95),COLUMNS(prem_analysis!$N$2:O95)),IF($Q$1=$P$4,INDEX(Table24[[#All],[Year]:[Details]],ROWS(prem_analysis!$M$420:N513),COLUMNS(Data!$Q$3:R96)))))),"")</f>
        <v/>
      </c>
      <c r="T95" s="1" t="str">
        <f>IFERROR(IF($Q$1=$P$3,INDEX(prem_analysis!$P$2:$Q$441,ROWS(Data!$P$2:S95),COLUMNS(Data!$P$3:R96)),IF($Q$1=$P$5,INDEX(prem_analysis!$BH$1:$BS$23,ROWS(Data!$Q$3:S96),COLUMNS(Data!$Q$3:S96)),IF($Q$1=$P$6,INDEX(prem_analysis!$BU$1:$CF$67,ROWS(prem_analysis!$N$2:P95),COLUMNS(prem_analysis!$N$2:P95)),IF($Q$1=$P$4,INDEX(Table24[[#All],[Year]:[Details]],ROWS(prem_analysis!$M$420:O513),COLUMNS(Data!$Q$3:S96)))))),"")</f>
        <v/>
      </c>
      <c r="U95" s="1" t="str">
        <f>IFERROR(IF($Q$1=$P$3,INDEX(prem_analysis!$P$2:$Q$441,ROWS(Data!$P$2:T95),COLUMNS(Data!$P$3:S96)),IF($Q$1=$P$5,INDEX(prem_analysis!$BH$1:$BS$23,ROWS(Data!$Q$3:T96),COLUMNS(Data!$Q$3:T96)),IF($Q$1=$P$6,INDEX(prem_analysis!$BU$1:$CF$67,ROWS(prem_analysis!$N$2:Q95),COLUMNS(prem_analysis!$N$2:Q95)),IF($Q$1=$P$4,INDEX(Table24[[#All],[Year]:[Details]],ROWS(prem_analysis!$M$420:P513),COLUMNS(Data!$Q$3:T96)))))),"")</f>
        <v/>
      </c>
      <c r="V95" s="1" t="str">
        <f>IFERROR(IF($Q$1=$P$3,INDEX(prem_analysis!$P$2:$Q$441,ROWS(Data!$P$2:U95),COLUMNS(Data!$P$3:T96)),IF($Q$1=$P$5,INDEX(prem_analysis!$BH$1:$BS$23,ROWS(Data!$Q$3:U96),COLUMNS(Data!$Q$3:U96)),IF($Q$1=$P$6,INDEX(prem_analysis!$BU$1:$CF$67,ROWS(prem_analysis!$N$2:R95),COLUMNS(prem_analysis!$N$2:R95)),IF($Q$1=$P$4,INDEX(Table24[[#All],[Year]:[Details]],ROWS(prem_analysis!$M$420:Q513),COLUMNS(Data!$Q$3:U96)))))),"")</f>
        <v/>
      </c>
      <c r="W95" s="1" t="str">
        <f>IFERROR(IF($Q$1=$P$3,INDEX(prem_analysis!$P$2:$Q$441,ROWS(Data!$P$2:V95),COLUMNS(Data!$P$3:U96)),IF($Q$1=$P$5,INDEX(prem_analysis!$BH$1:$BS$23,ROWS(Data!$Q$3:V96),COLUMNS(Data!$Q$3:V96)),IF($Q$1=$P$6,INDEX(prem_analysis!$BU$1:$CF$67,ROWS(prem_analysis!$N$2:S95),COLUMNS(prem_analysis!$N$2:S95)),IF($Q$1=$P$4,INDEX(Table24[[#All],[Year]:[Details]],ROWS(prem_analysis!$M$420:R513),COLUMNS(Data!$Q$3:V96)))))),"")</f>
        <v/>
      </c>
      <c r="X95" s="1" t="str">
        <f>IFERROR(IF($Q$1=$P$3,INDEX(prem_analysis!$P$2:$Q$441,ROWS(Data!$P$2:W95),COLUMNS(Data!$P$3:V96)),IF($Q$1=$P$5,INDEX(prem_analysis!$BH$1:$BS$23,ROWS(Data!$Q$3:W96),COLUMNS(Data!$Q$3:W96)),IF($Q$1=$P$6,INDEX(prem_analysis!$BU$1:$CF$67,ROWS(prem_analysis!$N$2:T95),COLUMNS(prem_analysis!$N$2:T95)),IF($Q$1=$P$4,INDEX(Table24[[#All],[Year]:[Details]],ROWS(prem_analysis!$M$420:S513),COLUMNS(Data!$Q$3:W96)))))),"")</f>
        <v/>
      </c>
      <c r="Y95" s="1" t="str">
        <f>IFERROR(IF($Q$1=$P$3,INDEX(prem_analysis!$P$2:$Q$441,ROWS(Data!$P$2:X95),COLUMNS(Data!$P$3:W96)),IF($Q$1=$P$5,INDEX(prem_analysis!$BH$1:$BS$23,ROWS(Data!$Q$3:X96),COLUMNS(Data!$Q$3:X96)),IF($Q$1=$P$6,INDEX(prem_analysis!$BU$1:$CF$67,ROWS(prem_analysis!$N$2:U95),COLUMNS(prem_analysis!$N$2:U95)),IF($Q$1=$P$4,INDEX(Table24[[#All],[Year]:[Details]],ROWS(prem_analysis!$M$420:T513),COLUMNS(Data!$Q$3:X96)))))),"")</f>
        <v/>
      </c>
      <c r="Z95" s="1" t="str">
        <f>IFERROR(IF($Q$1=$P$3,INDEX(prem_analysis!$P$2:$Q$441,ROWS(Data!$P$2:Y95),COLUMNS(Data!$P$3:X96)),IF($Q$1=$P$5,INDEX(prem_analysis!$BH$1:$BS$23,ROWS(Data!$Q$3:Y96),COLUMNS(Data!$Q$3:Y96)),IF($Q$1=$P$6,INDEX(prem_analysis!$BU$1:$CF$67,ROWS(prem_analysis!$N$2:V95),COLUMNS(prem_analysis!$N$2:V95)),IF($Q$1=$P$4,INDEX(Table24[[#All],[Year]:[Details]],ROWS(prem_analysis!$M$420:U513),COLUMNS(Data!$Q$3:Y96)))))),"")</f>
        <v/>
      </c>
      <c r="AA95" s="1" t="str">
        <f>IFERROR(IF($Q$1=$P$3,INDEX(prem_analysis!$P$2:$Q$441,ROWS(Data!$P$2:Z95),COLUMNS(Data!$P$3:Y96)),IF($Q$1=$P$5,INDEX(prem_analysis!$BH$1:$BS$23,ROWS(Data!$Q$3:Z96),COLUMNS(Data!$Q$3:Z96)),IF($Q$1=$P$6,INDEX(prem_analysis!$BU$1:$CF$67,ROWS(prem_analysis!$N$2:W95),COLUMNS(prem_analysis!$N$2:W95)),IF($Q$1=$P$4,INDEX(Table24[[#All],[Year]:[Details]],ROWS(prem_analysis!$M$420:V513),COLUMNS(Data!$Q$3:Z96)))))),"")</f>
        <v/>
      </c>
      <c r="AB95" s="1" t="str">
        <f>IFERROR(IF($Q$1=$P$3,INDEX(prem_analysis!$P$2:$Q$441,ROWS(Data!$P$2:AA95),COLUMNS(Data!$P$3:Z96)),IF($Q$1=$P$5,INDEX(prem_analysis!$BH$1:$BS$23,ROWS(Data!$Q$3:AA96),COLUMNS(Data!$Q$3:AA96)),IF($Q$1=$P$6,INDEX(prem_analysis!$BU$1:$CF$67,ROWS(prem_analysis!$N$2:X95),COLUMNS(prem_analysis!$N$2:X95)),IF($Q$1=$P$4,INDEX(Table24[[#All],[Year]:[Details]],ROWS(prem_analysis!$M$420:W513),COLUMNS(Data!$Q$3:AA96)))))),"")</f>
        <v/>
      </c>
      <c r="AC95" s="1" t="str">
        <f>IFERROR(IF($Q$1=$P$3,INDEX(prem_analysis!$P$2:$Q$441,ROWS(Data!$P$2:AB95),COLUMNS(Data!$P$3:AA96)),IF($Q$1=$P$5,INDEX(prem_analysis!$BH$1:$BS$23,ROWS(Data!$Q$3:AB96),COLUMNS(Data!$Q$3:AB96)),IF($Q$1=$P$6,INDEX(prem_analysis!$BU$1:$CF$67,ROWS(prem_analysis!$N$2:Y95),COLUMNS(prem_analysis!$N$2:Y95)),IF($Q$1=$P$4,INDEX(Table24[[#All],[Year]:[Details]],ROWS(prem_analysis!$M$420:X513),COLUMNS(Data!$Q$3:AB96)))))),"")</f>
        <v/>
      </c>
    </row>
    <row r="96" spans="1:29" x14ac:dyDescent="0.2">
      <c r="A96" s="3">
        <v>2004</v>
      </c>
      <c r="B96" s="3">
        <v>15</v>
      </c>
      <c r="C96" s="4" t="s">
        <v>31</v>
      </c>
      <c r="D96" s="3">
        <v>38</v>
      </c>
      <c r="E96" s="3">
        <v>9</v>
      </c>
      <c r="F96" s="3">
        <v>15</v>
      </c>
      <c r="G96" s="3">
        <v>14</v>
      </c>
      <c r="H96" s="3">
        <v>32</v>
      </c>
      <c r="I96" s="3">
        <v>43</v>
      </c>
      <c r="J96" s="3">
        <v>-11</v>
      </c>
      <c r="K96" s="3">
        <v>42</v>
      </c>
      <c r="L96" s="5">
        <f>IF(Table24[[#This Row],['#]]=1,"Champion", IF(Table24[[#This Row],['#]]&gt;=18,"Relegated",Table24[[#This Row],['#]]))</f>
        <v>15</v>
      </c>
      <c r="M96" s="5" t="str">
        <f>IF(Table24[[#This Row],[Details]]=2,K95-Table24[[#This Row],[Pts]],IF(Table24[[#This Row],[Details]]=17,Table24[[#This Row],[Pts]]-K97,""))</f>
        <v/>
      </c>
      <c r="R96" s="1" t="str">
        <f>IFERROR(IF($Q$1=$P$3,INDEX(prem_analysis!$P$2:$Q$441,ROWS(Data!$P$2:Q96),COLUMNS(Data!$P$3:P97)),IF($Q$1=$P$5,INDEX(prem_analysis!$BH$1:$BS$23,ROWS(Data!$Q$3:Q97),COLUMNS(Data!$Q$3:Q97)),IF($Q$1=$P$6,INDEX(prem_analysis!$BU$1:$CF$67,ROWS(prem_analysis!$N$2:N96),COLUMNS(prem_analysis!$N$2:N96)),IF($Q$1=$P$4,INDEX(Table24[[#All],[Year]:[Details]],ROWS(prem_analysis!$M$420:M514),COLUMNS(Data!$Q$3:Q97)))))),"")</f>
        <v/>
      </c>
      <c r="S96" s="1" t="str">
        <f>IFERROR(IF($Q$1=$P$3,INDEX(prem_analysis!$P$2:$Q$441,ROWS(Data!$P$2:R96),COLUMNS(Data!$P$3:Q97)),IF($Q$1=$P$5,INDEX(prem_analysis!$BH$1:$BS$23,ROWS(Data!$Q$3:R97),COLUMNS(Data!$Q$3:R97)),IF($Q$1=$P$6,INDEX(prem_analysis!$BU$1:$CF$67,ROWS(prem_analysis!$N$2:O96),COLUMNS(prem_analysis!$N$2:O96)),IF($Q$1=$P$4,INDEX(Table24[[#All],[Year]:[Details]],ROWS(prem_analysis!$M$420:N514),COLUMNS(Data!$Q$3:R97)))))),"")</f>
        <v/>
      </c>
      <c r="T96" s="1" t="str">
        <f>IFERROR(IF($Q$1=$P$3,INDEX(prem_analysis!$P$2:$Q$441,ROWS(Data!$P$2:S96),COLUMNS(Data!$P$3:R97)),IF($Q$1=$P$5,INDEX(prem_analysis!$BH$1:$BS$23,ROWS(Data!$Q$3:S97),COLUMNS(Data!$Q$3:S97)),IF($Q$1=$P$6,INDEX(prem_analysis!$BU$1:$CF$67,ROWS(prem_analysis!$N$2:P96),COLUMNS(prem_analysis!$N$2:P96)),IF($Q$1=$P$4,INDEX(Table24[[#All],[Year]:[Details]],ROWS(prem_analysis!$M$420:O514),COLUMNS(Data!$Q$3:S97)))))),"")</f>
        <v/>
      </c>
      <c r="U96" s="1" t="str">
        <f>IFERROR(IF($Q$1=$P$3,INDEX(prem_analysis!$P$2:$Q$441,ROWS(Data!$P$2:T96),COLUMNS(Data!$P$3:S97)),IF($Q$1=$P$5,INDEX(prem_analysis!$BH$1:$BS$23,ROWS(Data!$Q$3:T97),COLUMNS(Data!$Q$3:T97)),IF($Q$1=$P$6,INDEX(prem_analysis!$BU$1:$CF$67,ROWS(prem_analysis!$N$2:Q96),COLUMNS(prem_analysis!$N$2:Q96)),IF($Q$1=$P$4,INDEX(Table24[[#All],[Year]:[Details]],ROWS(prem_analysis!$M$420:P514),COLUMNS(Data!$Q$3:T97)))))),"")</f>
        <v/>
      </c>
      <c r="V96" s="1" t="str">
        <f>IFERROR(IF($Q$1=$P$3,INDEX(prem_analysis!$P$2:$Q$441,ROWS(Data!$P$2:U96),COLUMNS(Data!$P$3:T97)),IF($Q$1=$P$5,INDEX(prem_analysis!$BH$1:$BS$23,ROWS(Data!$Q$3:U97),COLUMNS(Data!$Q$3:U97)),IF($Q$1=$P$6,INDEX(prem_analysis!$BU$1:$CF$67,ROWS(prem_analysis!$N$2:R96),COLUMNS(prem_analysis!$N$2:R96)),IF($Q$1=$P$4,INDEX(Table24[[#All],[Year]:[Details]],ROWS(prem_analysis!$M$420:Q514),COLUMNS(Data!$Q$3:U97)))))),"")</f>
        <v/>
      </c>
      <c r="W96" s="1" t="str">
        <f>IFERROR(IF($Q$1=$P$3,INDEX(prem_analysis!$P$2:$Q$441,ROWS(Data!$P$2:V96),COLUMNS(Data!$P$3:U97)),IF($Q$1=$P$5,INDEX(prem_analysis!$BH$1:$BS$23,ROWS(Data!$Q$3:V97),COLUMNS(Data!$Q$3:V97)),IF($Q$1=$P$6,INDEX(prem_analysis!$BU$1:$CF$67,ROWS(prem_analysis!$N$2:S96),COLUMNS(prem_analysis!$N$2:S96)),IF($Q$1=$P$4,INDEX(Table24[[#All],[Year]:[Details]],ROWS(prem_analysis!$M$420:R514),COLUMNS(Data!$Q$3:V97)))))),"")</f>
        <v/>
      </c>
      <c r="X96" s="1" t="str">
        <f>IFERROR(IF($Q$1=$P$3,INDEX(prem_analysis!$P$2:$Q$441,ROWS(Data!$P$2:W96),COLUMNS(Data!$P$3:V97)),IF($Q$1=$P$5,INDEX(prem_analysis!$BH$1:$BS$23,ROWS(Data!$Q$3:W97),COLUMNS(Data!$Q$3:W97)),IF($Q$1=$P$6,INDEX(prem_analysis!$BU$1:$CF$67,ROWS(prem_analysis!$N$2:T96),COLUMNS(prem_analysis!$N$2:T96)),IF($Q$1=$P$4,INDEX(Table24[[#All],[Year]:[Details]],ROWS(prem_analysis!$M$420:S514),COLUMNS(Data!$Q$3:W97)))))),"")</f>
        <v/>
      </c>
      <c r="Y96" s="1" t="str">
        <f>IFERROR(IF($Q$1=$P$3,INDEX(prem_analysis!$P$2:$Q$441,ROWS(Data!$P$2:X96),COLUMNS(Data!$P$3:W97)),IF($Q$1=$P$5,INDEX(prem_analysis!$BH$1:$BS$23,ROWS(Data!$Q$3:X97),COLUMNS(Data!$Q$3:X97)),IF($Q$1=$P$6,INDEX(prem_analysis!$BU$1:$CF$67,ROWS(prem_analysis!$N$2:U96),COLUMNS(prem_analysis!$N$2:U96)),IF($Q$1=$P$4,INDEX(Table24[[#All],[Year]:[Details]],ROWS(prem_analysis!$M$420:T514),COLUMNS(Data!$Q$3:X97)))))),"")</f>
        <v/>
      </c>
      <c r="Z96" s="1" t="str">
        <f>IFERROR(IF($Q$1=$P$3,INDEX(prem_analysis!$P$2:$Q$441,ROWS(Data!$P$2:Y96),COLUMNS(Data!$P$3:X97)),IF($Q$1=$P$5,INDEX(prem_analysis!$BH$1:$BS$23,ROWS(Data!$Q$3:Y97),COLUMNS(Data!$Q$3:Y97)),IF($Q$1=$P$6,INDEX(prem_analysis!$BU$1:$CF$67,ROWS(prem_analysis!$N$2:V96),COLUMNS(prem_analysis!$N$2:V96)),IF($Q$1=$P$4,INDEX(Table24[[#All],[Year]:[Details]],ROWS(prem_analysis!$M$420:U514),COLUMNS(Data!$Q$3:Y97)))))),"")</f>
        <v/>
      </c>
      <c r="AA96" s="1" t="str">
        <f>IFERROR(IF($Q$1=$P$3,INDEX(prem_analysis!$P$2:$Q$441,ROWS(Data!$P$2:Z96),COLUMNS(Data!$P$3:Y97)),IF($Q$1=$P$5,INDEX(prem_analysis!$BH$1:$BS$23,ROWS(Data!$Q$3:Z97),COLUMNS(Data!$Q$3:Z97)),IF($Q$1=$P$6,INDEX(prem_analysis!$BU$1:$CF$67,ROWS(prem_analysis!$N$2:W96),COLUMNS(prem_analysis!$N$2:W96)),IF($Q$1=$P$4,INDEX(Table24[[#All],[Year]:[Details]],ROWS(prem_analysis!$M$420:V514),COLUMNS(Data!$Q$3:Z97)))))),"")</f>
        <v/>
      </c>
      <c r="AB96" s="1" t="str">
        <f>IFERROR(IF($Q$1=$P$3,INDEX(prem_analysis!$P$2:$Q$441,ROWS(Data!$P$2:AA96),COLUMNS(Data!$P$3:Z97)),IF($Q$1=$P$5,INDEX(prem_analysis!$BH$1:$BS$23,ROWS(Data!$Q$3:AA97),COLUMNS(Data!$Q$3:AA97)),IF($Q$1=$P$6,INDEX(prem_analysis!$BU$1:$CF$67,ROWS(prem_analysis!$N$2:X96),COLUMNS(prem_analysis!$N$2:X96)),IF($Q$1=$P$4,INDEX(Table24[[#All],[Year]:[Details]],ROWS(prem_analysis!$M$420:W514),COLUMNS(Data!$Q$3:AA97)))))),"")</f>
        <v/>
      </c>
      <c r="AC96" s="1" t="str">
        <f>IFERROR(IF($Q$1=$P$3,INDEX(prem_analysis!$P$2:$Q$441,ROWS(Data!$P$2:AB96),COLUMNS(Data!$P$3:AA97)),IF($Q$1=$P$5,INDEX(prem_analysis!$BH$1:$BS$23,ROWS(Data!$Q$3:AB97),COLUMNS(Data!$Q$3:AB97)),IF($Q$1=$P$6,INDEX(prem_analysis!$BU$1:$CF$67,ROWS(prem_analysis!$N$2:Y96),COLUMNS(prem_analysis!$N$2:Y96)),IF($Q$1=$P$4,INDEX(Table24[[#All],[Year]:[Details]],ROWS(prem_analysis!$M$420:X514),COLUMNS(Data!$Q$3:AB97)))))),"")</f>
        <v/>
      </c>
    </row>
    <row r="97" spans="1:29" x14ac:dyDescent="0.2">
      <c r="A97" s="5">
        <v>2004</v>
      </c>
      <c r="B97" s="5">
        <v>16</v>
      </c>
      <c r="C97" s="6" t="s">
        <v>36</v>
      </c>
      <c r="D97" s="5">
        <v>38</v>
      </c>
      <c r="E97" s="5">
        <v>10</v>
      </c>
      <c r="F97" s="5">
        <v>9</v>
      </c>
      <c r="G97" s="5">
        <v>19</v>
      </c>
      <c r="H97" s="5">
        <v>43</v>
      </c>
      <c r="I97" s="5">
        <v>59</v>
      </c>
      <c r="J97" s="5">
        <v>-16</v>
      </c>
      <c r="K97" s="5">
        <v>39</v>
      </c>
      <c r="L97" s="5">
        <f>IF(Table24[[#This Row],['#]]=1,"Champion", IF(Table24[[#This Row],['#]]&gt;=18,"Relegated",Table24[[#This Row],['#]]))</f>
        <v>16</v>
      </c>
      <c r="M97" s="5" t="str">
        <f>IF(Table24[[#This Row],[Details]]=2,K96-Table24[[#This Row],[Pts]],IF(Table24[[#This Row],[Details]]=17,Table24[[#This Row],[Pts]]-K98,""))</f>
        <v/>
      </c>
      <c r="R97" s="1" t="str">
        <f>IFERROR(IF($Q$1=$P$3,INDEX(prem_analysis!$P$2:$Q$441,ROWS(Data!$P$2:Q97),COLUMNS(Data!$P$3:P98)),IF($Q$1=$P$5,INDEX(prem_analysis!$BH$1:$BS$23,ROWS(Data!$Q$3:Q98),COLUMNS(Data!$Q$3:Q98)),IF($Q$1=$P$6,INDEX(prem_analysis!$BU$1:$CF$67,ROWS(prem_analysis!$N$2:N97),COLUMNS(prem_analysis!$N$2:N97)),IF($Q$1=$P$4,INDEX(Table24[[#All],[Year]:[Details]],ROWS(prem_analysis!$M$420:M515),COLUMNS(Data!$Q$3:Q98)))))),"")</f>
        <v/>
      </c>
      <c r="S97" s="1" t="str">
        <f>IFERROR(IF($Q$1=$P$3,INDEX(prem_analysis!$P$2:$Q$441,ROWS(Data!$P$2:R97),COLUMNS(Data!$P$3:Q98)),IF($Q$1=$P$5,INDEX(prem_analysis!$BH$1:$BS$23,ROWS(Data!$Q$3:R98),COLUMNS(Data!$Q$3:R98)),IF($Q$1=$P$6,INDEX(prem_analysis!$BU$1:$CF$67,ROWS(prem_analysis!$N$2:O97),COLUMNS(prem_analysis!$N$2:O97)),IF($Q$1=$P$4,INDEX(Table24[[#All],[Year]:[Details]],ROWS(prem_analysis!$M$420:N515),COLUMNS(Data!$Q$3:R98)))))),"")</f>
        <v/>
      </c>
      <c r="T97" s="1" t="str">
        <f>IFERROR(IF($Q$1=$P$3,INDEX(prem_analysis!$P$2:$Q$441,ROWS(Data!$P$2:S97),COLUMNS(Data!$P$3:R98)),IF($Q$1=$P$5,INDEX(prem_analysis!$BH$1:$BS$23,ROWS(Data!$Q$3:S98),COLUMNS(Data!$Q$3:S98)),IF($Q$1=$P$6,INDEX(prem_analysis!$BU$1:$CF$67,ROWS(prem_analysis!$N$2:P97),COLUMNS(prem_analysis!$N$2:P97)),IF($Q$1=$P$4,INDEX(Table24[[#All],[Year]:[Details]],ROWS(prem_analysis!$M$420:O515),COLUMNS(Data!$Q$3:S98)))))),"")</f>
        <v/>
      </c>
      <c r="U97" s="1" t="str">
        <f>IFERROR(IF($Q$1=$P$3,INDEX(prem_analysis!$P$2:$Q$441,ROWS(Data!$P$2:T97),COLUMNS(Data!$P$3:S98)),IF($Q$1=$P$5,INDEX(prem_analysis!$BH$1:$BS$23,ROWS(Data!$Q$3:T98),COLUMNS(Data!$Q$3:T98)),IF($Q$1=$P$6,INDEX(prem_analysis!$BU$1:$CF$67,ROWS(prem_analysis!$N$2:Q97),COLUMNS(prem_analysis!$N$2:Q97)),IF($Q$1=$P$4,INDEX(Table24[[#All],[Year]:[Details]],ROWS(prem_analysis!$M$420:P515),COLUMNS(Data!$Q$3:T98)))))),"")</f>
        <v/>
      </c>
      <c r="V97" s="1" t="str">
        <f>IFERROR(IF($Q$1=$P$3,INDEX(prem_analysis!$P$2:$Q$441,ROWS(Data!$P$2:U97),COLUMNS(Data!$P$3:T98)),IF($Q$1=$P$5,INDEX(prem_analysis!$BH$1:$BS$23,ROWS(Data!$Q$3:U98),COLUMNS(Data!$Q$3:U98)),IF($Q$1=$P$6,INDEX(prem_analysis!$BU$1:$CF$67,ROWS(prem_analysis!$N$2:R97),COLUMNS(prem_analysis!$N$2:R97)),IF($Q$1=$P$4,INDEX(Table24[[#All],[Year]:[Details]],ROWS(prem_analysis!$M$420:Q515),COLUMNS(Data!$Q$3:U98)))))),"")</f>
        <v/>
      </c>
      <c r="W97" s="1" t="str">
        <f>IFERROR(IF($Q$1=$P$3,INDEX(prem_analysis!$P$2:$Q$441,ROWS(Data!$P$2:V97),COLUMNS(Data!$P$3:U98)),IF($Q$1=$P$5,INDEX(prem_analysis!$BH$1:$BS$23,ROWS(Data!$Q$3:V98),COLUMNS(Data!$Q$3:V98)),IF($Q$1=$P$6,INDEX(prem_analysis!$BU$1:$CF$67,ROWS(prem_analysis!$N$2:S97),COLUMNS(prem_analysis!$N$2:S97)),IF($Q$1=$P$4,INDEX(Table24[[#All],[Year]:[Details]],ROWS(prem_analysis!$M$420:R515),COLUMNS(Data!$Q$3:V98)))))),"")</f>
        <v/>
      </c>
      <c r="X97" s="1" t="str">
        <f>IFERROR(IF($Q$1=$P$3,INDEX(prem_analysis!$P$2:$Q$441,ROWS(Data!$P$2:W97),COLUMNS(Data!$P$3:V98)),IF($Q$1=$P$5,INDEX(prem_analysis!$BH$1:$BS$23,ROWS(Data!$Q$3:W98),COLUMNS(Data!$Q$3:W98)),IF($Q$1=$P$6,INDEX(prem_analysis!$BU$1:$CF$67,ROWS(prem_analysis!$N$2:T97),COLUMNS(prem_analysis!$N$2:T97)),IF($Q$1=$P$4,INDEX(Table24[[#All],[Year]:[Details]],ROWS(prem_analysis!$M$420:S515),COLUMNS(Data!$Q$3:W98)))))),"")</f>
        <v/>
      </c>
      <c r="Y97" s="1" t="str">
        <f>IFERROR(IF($Q$1=$P$3,INDEX(prem_analysis!$P$2:$Q$441,ROWS(Data!$P$2:X97),COLUMNS(Data!$P$3:W98)),IF($Q$1=$P$5,INDEX(prem_analysis!$BH$1:$BS$23,ROWS(Data!$Q$3:X98),COLUMNS(Data!$Q$3:X98)),IF($Q$1=$P$6,INDEX(prem_analysis!$BU$1:$CF$67,ROWS(prem_analysis!$N$2:U97),COLUMNS(prem_analysis!$N$2:U97)),IF($Q$1=$P$4,INDEX(Table24[[#All],[Year]:[Details]],ROWS(prem_analysis!$M$420:T515),COLUMNS(Data!$Q$3:X98)))))),"")</f>
        <v/>
      </c>
      <c r="Z97" s="1" t="str">
        <f>IFERROR(IF($Q$1=$P$3,INDEX(prem_analysis!$P$2:$Q$441,ROWS(Data!$P$2:Y97),COLUMNS(Data!$P$3:X98)),IF($Q$1=$P$5,INDEX(prem_analysis!$BH$1:$BS$23,ROWS(Data!$Q$3:Y98),COLUMNS(Data!$Q$3:Y98)),IF($Q$1=$P$6,INDEX(prem_analysis!$BU$1:$CF$67,ROWS(prem_analysis!$N$2:V97),COLUMNS(prem_analysis!$N$2:V97)),IF($Q$1=$P$4,INDEX(Table24[[#All],[Year]:[Details]],ROWS(prem_analysis!$M$420:U515),COLUMNS(Data!$Q$3:Y98)))))),"")</f>
        <v/>
      </c>
      <c r="AA97" s="1" t="str">
        <f>IFERROR(IF($Q$1=$P$3,INDEX(prem_analysis!$P$2:$Q$441,ROWS(Data!$P$2:Z97),COLUMNS(Data!$P$3:Y98)),IF($Q$1=$P$5,INDEX(prem_analysis!$BH$1:$BS$23,ROWS(Data!$Q$3:Z98),COLUMNS(Data!$Q$3:Z98)),IF($Q$1=$P$6,INDEX(prem_analysis!$BU$1:$CF$67,ROWS(prem_analysis!$N$2:W97),COLUMNS(prem_analysis!$N$2:W97)),IF($Q$1=$P$4,INDEX(Table24[[#All],[Year]:[Details]],ROWS(prem_analysis!$M$420:V515),COLUMNS(Data!$Q$3:Z98)))))),"")</f>
        <v/>
      </c>
      <c r="AB97" s="1" t="str">
        <f>IFERROR(IF($Q$1=$P$3,INDEX(prem_analysis!$P$2:$Q$441,ROWS(Data!$P$2:AA97),COLUMNS(Data!$P$3:Z98)),IF($Q$1=$P$5,INDEX(prem_analysis!$BH$1:$BS$23,ROWS(Data!$Q$3:AA98),COLUMNS(Data!$Q$3:AA98)),IF($Q$1=$P$6,INDEX(prem_analysis!$BU$1:$CF$67,ROWS(prem_analysis!$N$2:X97),COLUMNS(prem_analysis!$N$2:X97)),IF($Q$1=$P$4,INDEX(Table24[[#All],[Year]:[Details]],ROWS(prem_analysis!$M$420:W515),COLUMNS(Data!$Q$3:AA98)))))),"")</f>
        <v/>
      </c>
      <c r="AC97" s="1" t="str">
        <f>IFERROR(IF($Q$1=$P$3,INDEX(prem_analysis!$P$2:$Q$441,ROWS(Data!$P$2:AB97),COLUMNS(Data!$P$3:AA98)),IF($Q$1=$P$5,INDEX(prem_analysis!$BH$1:$BS$23,ROWS(Data!$Q$3:AB98),COLUMNS(Data!$Q$3:AB98)),IF($Q$1=$P$6,INDEX(prem_analysis!$BU$1:$CF$67,ROWS(prem_analysis!$N$2:Y97),COLUMNS(prem_analysis!$N$2:Y97)),IF($Q$1=$P$4,INDEX(Table24[[#All],[Year]:[Details]],ROWS(prem_analysis!$M$420:X515),COLUMNS(Data!$Q$3:AB98)))))),"")</f>
        <v/>
      </c>
    </row>
    <row r="98" spans="1:29" x14ac:dyDescent="0.2">
      <c r="A98" s="3">
        <v>2004</v>
      </c>
      <c r="B98" s="3">
        <v>17</v>
      </c>
      <c r="C98" s="4" t="s">
        <v>35</v>
      </c>
      <c r="D98" s="3">
        <v>38</v>
      </c>
      <c r="E98" s="3">
        <v>6</v>
      </c>
      <c r="F98" s="3">
        <v>16</v>
      </c>
      <c r="G98" s="3">
        <v>16</v>
      </c>
      <c r="H98" s="3">
        <v>36</v>
      </c>
      <c r="I98" s="3">
        <v>61</v>
      </c>
      <c r="J98" s="3">
        <v>-25</v>
      </c>
      <c r="K98" s="3">
        <v>34</v>
      </c>
      <c r="L98" s="5">
        <f>IF(Table24[[#This Row],['#]]=1,"Champion", IF(Table24[[#This Row],['#]]&gt;=18,"Relegated",Table24[[#This Row],['#]]))</f>
        <v>17</v>
      </c>
      <c r="M98" s="5">
        <f>IF(Table24[[#This Row],[Details]]=2,K97-Table24[[#This Row],[Pts]],IF(Table24[[#This Row],[Details]]=17,Table24[[#This Row],[Pts]]-K99,""))</f>
        <v>1</v>
      </c>
      <c r="R98" s="1" t="str">
        <f>IFERROR(IF($Q$1=$P$3,INDEX(prem_analysis!$P$2:$Q$441,ROWS(Data!$P$2:Q98),COLUMNS(Data!$P$3:P99)),IF($Q$1=$P$5,INDEX(prem_analysis!$BH$1:$BS$23,ROWS(Data!$Q$3:Q99),COLUMNS(Data!$Q$3:Q99)),IF($Q$1=$P$6,INDEX(prem_analysis!$BU$1:$CF$67,ROWS(prem_analysis!$N$2:N98),COLUMNS(prem_analysis!$N$2:N98)),IF($Q$1=$P$4,INDEX(Table24[[#All],[Year]:[Details]],ROWS(prem_analysis!$M$420:M516),COLUMNS(Data!$Q$3:Q99)))))),"")</f>
        <v/>
      </c>
      <c r="S98" s="1" t="str">
        <f>IFERROR(IF($Q$1=$P$3,INDEX(prem_analysis!$P$2:$Q$441,ROWS(Data!$P$2:R98),COLUMNS(Data!$P$3:Q99)),IF($Q$1=$P$5,INDEX(prem_analysis!$BH$1:$BS$23,ROWS(Data!$Q$3:R99),COLUMNS(Data!$Q$3:R99)),IF($Q$1=$P$6,INDEX(prem_analysis!$BU$1:$CF$67,ROWS(prem_analysis!$N$2:O98),COLUMNS(prem_analysis!$N$2:O98)),IF($Q$1=$P$4,INDEX(Table24[[#All],[Year]:[Details]],ROWS(prem_analysis!$M$420:N516),COLUMNS(Data!$Q$3:R99)))))),"")</f>
        <v/>
      </c>
      <c r="T98" s="1" t="str">
        <f>IFERROR(IF($Q$1=$P$3,INDEX(prem_analysis!$P$2:$Q$441,ROWS(Data!$P$2:S98),COLUMNS(Data!$P$3:R99)),IF($Q$1=$P$5,INDEX(prem_analysis!$BH$1:$BS$23,ROWS(Data!$Q$3:S99),COLUMNS(Data!$Q$3:S99)),IF($Q$1=$P$6,INDEX(prem_analysis!$BU$1:$CF$67,ROWS(prem_analysis!$N$2:P98),COLUMNS(prem_analysis!$N$2:P98)),IF($Q$1=$P$4,INDEX(Table24[[#All],[Year]:[Details]],ROWS(prem_analysis!$M$420:O516),COLUMNS(Data!$Q$3:S99)))))),"")</f>
        <v/>
      </c>
      <c r="U98" s="1" t="str">
        <f>IFERROR(IF($Q$1=$P$3,INDEX(prem_analysis!$P$2:$Q$441,ROWS(Data!$P$2:T98),COLUMNS(Data!$P$3:S99)),IF($Q$1=$P$5,INDEX(prem_analysis!$BH$1:$BS$23,ROWS(Data!$Q$3:T99),COLUMNS(Data!$Q$3:T99)),IF($Q$1=$P$6,INDEX(prem_analysis!$BU$1:$CF$67,ROWS(prem_analysis!$N$2:Q98),COLUMNS(prem_analysis!$N$2:Q98)),IF($Q$1=$P$4,INDEX(Table24[[#All],[Year]:[Details]],ROWS(prem_analysis!$M$420:P516),COLUMNS(Data!$Q$3:T99)))))),"")</f>
        <v/>
      </c>
      <c r="V98" s="1" t="str">
        <f>IFERROR(IF($Q$1=$P$3,INDEX(prem_analysis!$P$2:$Q$441,ROWS(Data!$P$2:U98),COLUMNS(Data!$P$3:T99)),IF($Q$1=$P$5,INDEX(prem_analysis!$BH$1:$BS$23,ROWS(Data!$Q$3:U99),COLUMNS(Data!$Q$3:U99)),IF($Q$1=$P$6,INDEX(prem_analysis!$BU$1:$CF$67,ROWS(prem_analysis!$N$2:R98),COLUMNS(prem_analysis!$N$2:R98)),IF($Q$1=$P$4,INDEX(Table24[[#All],[Year]:[Details]],ROWS(prem_analysis!$M$420:Q516),COLUMNS(Data!$Q$3:U99)))))),"")</f>
        <v/>
      </c>
      <c r="W98" s="1" t="str">
        <f>IFERROR(IF($Q$1=$P$3,INDEX(prem_analysis!$P$2:$Q$441,ROWS(Data!$P$2:V98),COLUMNS(Data!$P$3:U99)),IF($Q$1=$P$5,INDEX(prem_analysis!$BH$1:$BS$23,ROWS(Data!$Q$3:V99),COLUMNS(Data!$Q$3:V99)),IF($Q$1=$P$6,INDEX(prem_analysis!$BU$1:$CF$67,ROWS(prem_analysis!$N$2:S98),COLUMNS(prem_analysis!$N$2:S98)),IF($Q$1=$P$4,INDEX(Table24[[#All],[Year]:[Details]],ROWS(prem_analysis!$M$420:R516),COLUMNS(Data!$Q$3:V99)))))),"")</f>
        <v/>
      </c>
      <c r="X98" s="1" t="str">
        <f>IFERROR(IF($Q$1=$P$3,INDEX(prem_analysis!$P$2:$Q$441,ROWS(Data!$P$2:W98),COLUMNS(Data!$P$3:V99)),IF($Q$1=$P$5,INDEX(prem_analysis!$BH$1:$BS$23,ROWS(Data!$Q$3:W99),COLUMNS(Data!$Q$3:W99)),IF($Q$1=$P$6,INDEX(prem_analysis!$BU$1:$CF$67,ROWS(prem_analysis!$N$2:T98),COLUMNS(prem_analysis!$N$2:T98)),IF($Q$1=$P$4,INDEX(Table24[[#All],[Year]:[Details]],ROWS(prem_analysis!$M$420:S516),COLUMNS(Data!$Q$3:W99)))))),"")</f>
        <v/>
      </c>
      <c r="Y98" s="1" t="str">
        <f>IFERROR(IF($Q$1=$P$3,INDEX(prem_analysis!$P$2:$Q$441,ROWS(Data!$P$2:X98),COLUMNS(Data!$P$3:W99)),IF($Q$1=$P$5,INDEX(prem_analysis!$BH$1:$BS$23,ROWS(Data!$Q$3:X99),COLUMNS(Data!$Q$3:X99)),IF($Q$1=$P$6,INDEX(prem_analysis!$BU$1:$CF$67,ROWS(prem_analysis!$N$2:U98),COLUMNS(prem_analysis!$N$2:U98)),IF($Q$1=$P$4,INDEX(Table24[[#All],[Year]:[Details]],ROWS(prem_analysis!$M$420:T516),COLUMNS(Data!$Q$3:X99)))))),"")</f>
        <v/>
      </c>
      <c r="Z98" s="1" t="str">
        <f>IFERROR(IF($Q$1=$P$3,INDEX(prem_analysis!$P$2:$Q$441,ROWS(Data!$P$2:Y98),COLUMNS(Data!$P$3:X99)),IF($Q$1=$P$5,INDEX(prem_analysis!$BH$1:$BS$23,ROWS(Data!$Q$3:Y99),COLUMNS(Data!$Q$3:Y99)),IF($Q$1=$P$6,INDEX(prem_analysis!$BU$1:$CF$67,ROWS(prem_analysis!$N$2:V98),COLUMNS(prem_analysis!$N$2:V98)),IF($Q$1=$P$4,INDEX(Table24[[#All],[Year]:[Details]],ROWS(prem_analysis!$M$420:U516),COLUMNS(Data!$Q$3:Y99)))))),"")</f>
        <v/>
      </c>
      <c r="AA98" s="1" t="str">
        <f>IFERROR(IF($Q$1=$P$3,INDEX(prem_analysis!$P$2:$Q$441,ROWS(Data!$P$2:Z98),COLUMNS(Data!$P$3:Y99)),IF($Q$1=$P$5,INDEX(prem_analysis!$BH$1:$BS$23,ROWS(Data!$Q$3:Z99),COLUMNS(Data!$Q$3:Z99)),IF($Q$1=$P$6,INDEX(prem_analysis!$BU$1:$CF$67,ROWS(prem_analysis!$N$2:W98),COLUMNS(prem_analysis!$N$2:W98)),IF($Q$1=$P$4,INDEX(Table24[[#All],[Year]:[Details]],ROWS(prem_analysis!$M$420:V516),COLUMNS(Data!$Q$3:Z99)))))),"")</f>
        <v/>
      </c>
      <c r="AB98" s="1" t="str">
        <f>IFERROR(IF($Q$1=$P$3,INDEX(prem_analysis!$P$2:$Q$441,ROWS(Data!$P$2:AA98),COLUMNS(Data!$P$3:Z99)),IF($Q$1=$P$5,INDEX(prem_analysis!$BH$1:$BS$23,ROWS(Data!$Q$3:AA99),COLUMNS(Data!$Q$3:AA99)),IF($Q$1=$P$6,INDEX(prem_analysis!$BU$1:$CF$67,ROWS(prem_analysis!$N$2:X98),COLUMNS(prem_analysis!$N$2:X98)),IF($Q$1=$P$4,INDEX(Table24[[#All],[Year]:[Details]],ROWS(prem_analysis!$M$420:W516),COLUMNS(Data!$Q$3:AA99)))))),"")</f>
        <v/>
      </c>
      <c r="AC98" s="1" t="str">
        <f>IFERROR(IF($Q$1=$P$3,INDEX(prem_analysis!$P$2:$Q$441,ROWS(Data!$P$2:AB98),COLUMNS(Data!$P$3:AA99)),IF($Q$1=$P$5,INDEX(prem_analysis!$BH$1:$BS$23,ROWS(Data!$Q$3:AB99),COLUMNS(Data!$Q$3:AB99)),IF($Q$1=$P$6,INDEX(prem_analysis!$BU$1:$CF$67,ROWS(prem_analysis!$N$2:Y98),COLUMNS(prem_analysis!$N$2:Y98)),IF($Q$1=$P$4,INDEX(Table24[[#All],[Year]:[Details]],ROWS(prem_analysis!$M$420:X516),COLUMNS(Data!$Q$3:AB99)))))),"")</f>
        <v/>
      </c>
    </row>
    <row r="99" spans="1:29" x14ac:dyDescent="0.2">
      <c r="A99" s="5">
        <v>2004</v>
      </c>
      <c r="B99" s="5">
        <v>18</v>
      </c>
      <c r="C99" s="6" t="s">
        <v>38</v>
      </c>
      <c r="D99" s="5">
        <v>38</v>
      </c>
      <c r="E99" s="5">
        <v>7</v>
      </c>
      <c r="F99" s="5">
        <v>12</v>
      </c>
      <c r="G99" s="5">
        <v>19</v>
      </c>
      <c r="H99" s="5">
        <v>41</v>
      </c>
      <c r="I99" s="5">
        <v>62</v>
      </c>
      <c r="J99" s="5">
        <v>-21</v>
      </c>
      <c r="K99" s="5">
        <v>33</v>
      </c>
      <c r="L99" s="5" t="str">
        <f>IF(Table24[[#This Row],['#]]=1,"Champion", IF(Table24[[#This Row],['#]]&gt;=18,"Relegated",Table24[[#This Row],['#]]))</f>
        <v>Relegated</v>
      </c>
      <c r="M99" s="5" t="str">
        <f>IF(Table24[[#This Row],[Details]]=2,K98-Table24[[#This Row],[Pts]],IF(Table24[[#This Row],[Details]]=17,Table24[[#This Row],[Pts]]-K100,""))</f>
        <v/>
      </c>
      <c r="R99" s="1" t="str">
        <f>IFERROR(IF($Q$1=$P$3,INDEX(prem_analysis!$P$2:$Q$441,ROWS(Data!$P$2:Q99),COLUMNS(Data!$P$3:P100)),IF($Q$1=$P$5,INDEX(prem_analysis!$BH$1:$BS$23,ROWS(Data!$Q$3:Q100),COLUMNS(Data!$Q$3:Q100)),IF($Q$1=$P$6,INDEX(prem_analysis!$BU$1:$CF$67,ROWS(prem_analysis!$N$2:N99),COLUMNS(prem_analysis!$N$2:N99)),IF($Q$1=$P$4,INDEX(Table24[[#All],[Year]:[Details]],ROWS(prem_analysis!$M$420:M517),COLUMNS(Data!$Q$3:Q100)))))),"")</f>
        <v/>
      </c>
      <c r="S99" s="1" t="str">
        <f>IFERROR(IF($Q$1=$P$3,INDEX(prem_analysis!$P$2:$Q$441,ROWS(Data!$P$2:R99),COLUMNS(Data!$P$3:Q100)),IF($Q$1=$P$5,INDEX(prem_analysis!$BH$1:$BS$23,ROWS(Data!$Q$3:R100),COLUMNS(Data!$Q$3:R100)),IF($Q$1=$P$6,INDEX(prem_analysis!$BU$1:$CF$67,ROWS(prem_analysis!$N$2:O99),COLUMNS(prem_analysis!$N$2:O99)),IF($Q$1=$P$4,INDEX(Table24[[#All],[Year]:[Details]],ROWS(prem_analysis!$M$420:N517),COLUMNS(Data!$Q$3:R100)))))),"")</f>
        <v/>
      </c>
      <c r="T99" s="1" t="str">
        <f>IFERROR(IF($Q$1=$P$3,INDEX(prem_analysis!$P$2:$Q$441,ROWS(Data!$P$2:S99),COLUMNS(Data!$P$3:R100)),IF($Q$1=$P$5,INDEX(prem_analysis!$BH$1:$BS$23,ROWS(Data!$Q$3:S100),COLUMNS(Data!$Q$3:S100)),IF($Q$1=$P$6,INDEX(prem_analysis!$BU$1:$CF$67,ROWS(prem_analysis!$N$2:P99),COLUMNS(prem_analysis!$N$2:P99)),IF($Q$1=$P$4,INDEX(Table24[[#All],[Year]:[Details]],ROWS(prem_analysis!$M$420:O517),COLUMNS(Data!$Q$3:S100)))))),"")</f>
        <v/>
      </c>
      <c r="U99" s="1" t="str">
        <f>IFERROR(IF($Q$1=$P$3,INDEX(prem_analysis!$P$2:$Q$441,ROWS(Data!$P$2:T99),COLUMNS(Data!$P$3:S100)),IF($Q$1=$P$5,INDEX(prem_analysis!$BH$1:$BS$23,ROWS(Data!$Q$3:T100),COLUMNS(Data!$Q$3:T100)),IF($Q$1=$P$6,INDEX(prem_analysis!$BU$1:$CF$67,ROWS(prem_analysis!$N$2:Q99),COLUMNS(prem_analysis!$N$2:Q99)),IF($Q$1=$P$4,INDEX(Table24[[#All],[Year]:[Details]],ROWS(prem_analysis!$M$420:P517),COLUMNS(Data!$Q$3:T100)))))),"")</f>
        <v/>
      </c>
      <c r="V99" s="1" t="str">
        <f>IFERROR(IF($Q$1=$P$3,INDEX(prem_analysis!$P$2:$Q$441,ROWS(Data!$P$2:U99),COLUMNS(Data!$P$3:T100)),IF($Q$1=$P$5,INDEX(prem_analysis!$BH$1:$BS$23,ROWS(Data!$Q$3:U100),COLUMNS(Data!$Q$3:U100)),IF($Q$1=$P$6,INDEX(prem_analysis!$BU$1:$CF$67,ROWS(prem_analysis!$N$2:R99),COLUMNS(prem_analysis!$N$2:R99)),IF($Q$1=$P$4,INDEX(Table24[[#All],[Year]:[Details]],ROWS(prem_analysis!$M$420:Q517),COLUMNS(Data!$Q$3:U100)))))),"")</f>
        <v/>
      </c>
      <c r="W99" s="1" t="str">
        <f>IFERROR(IF($Q$1=$P$3,INDEX(prem_analysis!$P$2:$Q$441,ROWS(Data!$P$2:V99),COLUMNS(Data!$P$3:U100)),IF($Q$1=$P$5,INDEX(prem_analysis!$BH$1:$BS$23,ROWS(Data!$Q$3:V100),COLUMNS(Data!$Q$3:V100)),IF($Q$1=$P$6,INDEX(prem_analysis!$BU$1:$CF$67,ROWS(prem_analysis!$N$2:S99),COLUMNS(prem_analysis!$N$2:S99)),IF($Q$1=$P$4,INDEX(Table24[[#All],[Year]:[Details]],ROWS(prem_analysis!$M$420:R517),COLUMNS(Data!$Q$3:V100)))))),"")</f>
        <v/>
      </c>
      <c r="X99" s="1" t="str">
        <f>IFERROR(IF($Q$1=$P$3,INDEX(prem_analysis!$P$2:$Q$441,ROWS(Data!$P$2:W99),COLUMNS(Data!$P$3:V100)),IF($Q$1=$P$5,INDEX(prem_analysis!$BH$1:$BS$23,ROWS(Data!$Q$3:W100),COLUMNS(Data!$Q$3:W100)),IF($Q$1=$P$6,INDEX(prem_analysis!$BU$1:$CF$67,ROWS(prem_analysis!$N$2:T99),COLUMNS(prem_analysis!$N$2:T99)),IF($Q$1=$P$4,INDEX(Table24[[#All],[Year]:[Details]],ROWS(prem_analysis!$M$420:S517),COLUMNS(Data!$Q$3:W100)))))),"")</f>
        <v/>
      </c>
      <c r="Y99" s="1" t="str">
        <f>IFERROR(IF($Q$1=$P$3,INDEX(prem_analysis!$P$2:$Q$441,ROWS(Data!$P$2:X99),COLUMNS(Data!$P$3:W100)),IF($Q$1=$P$5,INDEX(prem_analysis!$BH$1:$BS$23,ROWS(Data!$Q$3:X100),COLUMNS(Data!$Q$3:X100)),IF($Q$1=$P$6,INDEX(prem_analysis!$BU$1:$CF$67,ROWS(prem_analysis!$N$2:U99),COLUMNS(prem_analysis!$N$2:U99)),IF($Q$1=$P$4,INDEX(Table24[[#All],[Year]:[Details]],ROWS(prem_analysis!$M$420:T517),COLUMNS(Data!$Q$3:X100)))))),"")</f>
        <v/>
      </c>
      <c r="Z99" s="1" t="str">
        <f>IFERROR(IF($Q$1=$P$3,INDEX(prem_analysis!$P$2:$Q$441,ROWS(Data!$P$2:Y99),COLUMNS(Data!$P$3:X100)),IF($Q$1=$P$5,INDEX(prem_analysis!$BH$1:$BS$23,ROWS(Data!$Q$3:Y100),COLUMNS(Data!$Q$3:Y100)),IF($Q$1=$P$6,INDEX(prem_analysis!$BU$1:$CF$67,ROWS(prem_analysis!$N$2:V99),COLUMNS(prem_analysis!$N$2:V99)),IF($Q$1=$P$4,INDEX(Table24[[#All],[Year]:[Details]],ROWS(prem_analysis!$M$420:U517),COLUMNS(Data!$Q$3:Y100)))))),"")</f>
        <v/>
      </c>
      <c r="AA99" s="1" t="str">
        <f>IFERROR(IF($Q$1=$P$3,INDEX(prem_analysis!$P$2:$Q$441,ROWS(Data!$P$2:Z99),COLUMNS(Data!$P$3:Y100)),IF($Q$1=$P$5,INDEX(prem_analysis!$BH$1:$BS$23,ROWS(Data!$Q$3:Z100),COLUMNS(Data!$Q$3:Z100)),IF($Q$1=$P$6,INDEX(prem_analysis!$BU$1:$CF$67,ROWS(prem_analysis!$N$2:W99),COLUMNS(prem_analysis!$N$2:W99)),IF($Q$1=$P$4,INDEX(Table24[[#All],[Year]:[Details]],ROWS(prem_analysis!$M$420:V517),COLUMNS(Data!$Q$3:Z100)))))),"")</f>
        <v/>
      </c>
      <c r="AB99" s="1" t="str">
        <f>IFERROR(IF($Q$1=$P$3,INDEX(prem_analysis!$P$2:$Q$441,ROWS(Data!$P$2:AA99),COLUMNS(Data!$P$3:Z100)),IF($Q$1=$P$5,INDEX(prem_analysis!$BH$1:$BS$23,ROWS(Data!$Q$3:AA100),COLUMNS(Data!$Q$3:AA100)),IF($Q$1=$P$6,INDEX(prem_analysis!$BU$1:$CF$67,ROWS(prem_analysis!$N$2:X99),COLUMNS(prem_analysis!$N$2:X99)),IF($Q$1=$P$4,INDEX(Table24[[#All],[Year]:[Details]],ROWS(prem_analysis!$M$420:W517),COLUMNS(Data!$Q$3:AA100)))))),"")</f>
        <v/>
      </c>
      <c r="AC99" s="1" t="str">
        <f>IFERROR(IF($Q$1=$P$3,INDEX(prem_analysis!$P$2:$Q$441,ROWS(Data!$P$2:AB99),COLUMNS(Data!$P$3:AA100)),IF($Q$1=$P$5,INDEX(prem_analysis!$BH$1:$BS$23,ROWS(Data!$Q$3:AB100),COLUMNS(Data!$Q$3:AB100)),IF($Q$1=$P$6,INDEX(prem_analysis!$BU$1:$CF$67,ROWS(prem_analysis!$N$2:Y99),COLUMNS(prem_analysis!$N$2:Y99)),IF($Q$1=$P$4,INDEX(Table24[[#All],[Year]:[Details]],ROWS(prem_analysis!$M$420:X517),COLUMNS(Data!$Q$3:AB100)))))),"")</f>
        <v/>
      </c>
    </row>
    <row r="100" spans="1:29" x14ac:dyDescent="0.2">
      <c r="A100" s="3">
        <v>2004</v>
      </c>
      <c r="B100" s="3">
        <v>19</v>
      </c>
      <c r="C100" s="4" t="s">
        <v>39</v>
      </c>
      <c r="D100" s="3">
        <v>38</v>
      </c>
      <c r="E100" s="3">
        <v>7</v>
      </c>
      <c r="F100" s="3">
        <v>12</v>
      </c>
      <c r="G100" s="3">
        <v>19</v>
      </c>
      <c r="H100" s="3">
        <v>42</v>
      </c>
      <c r="I100" s="3">
        <v>77</v>
      </c>
      <c r="J100" s="3">
        <v>-35</v>
      </c>
      <c r="K100" s="3">
        <v>33</v>
      </c>
      <c r="L100" s="5" t="str">
        <f>IF(Table24[[#This Row],['#]]=1,"Champion", IF(Table24[[#This Row],['#]]&gt;=18,"Relegated",Table24[[#This Row],['#]]))</f>
        <v>Relegated</v>
      </c>
      <c r="M100" s="5" t="str">
        <f>IF(Table24[[#This Row],[Details]]=2,K99-Table24[[#This Row],[Pts]],IF(Table24[[#This Row],[Details]]=17,Table24[[#This Row],[Pts]]-K101,""))</f>
        <v/>
      </c>
      <c r="R100" s="1" t="str">
        <f>IFERROR(IF($Q$1=$P$3,INDEX(prem_analysis!$P$2:$Q$441,ROWS(Data!$P$2:Q100),COLUMNS(Data!$P$3:P101)),IF($Q$1=$P$5,INDEX(prem_analysis!$BH$1:$BS$23,ROWS(Data!$Q$3:Q101),COLUMNS(Data!$Q$3:Q101)),IF($Q$1=$P$6,INDEX(prem_analysis!$BU$1:$CF$67,ROWS(prem_analysis!$N$2:N100),COLUMNS(prem_analysis!$N$2:N100)),IF($Q$1=$P$4,INDEX(Table24[[#All],[Year]:[Details]],ROWS(prem_analysis!$M$420:M518),COLUMNS(Data!$Q$3:Q101)))))),"")</f>
        <v/>
      </c>
      <c r="S100" s="1" t="str">
        <f>IFERROR(IF($Q$1=$P$3,INDEX(prem_analysis!$P$2:$Q$441,ROWS(Data!$P$2:R100),COLUMNS(Data!$P$3:Q101)),IF($Q$1=$P$5,INDEX(prem_analysis!$BH$1:$BS$23,ROWS(Data!$Q$3:R101),COLUMNS(Data!$Q$3:R101)),IF($Q$1=$P$6,INDEX(prem_analysis!$BU$1:$CF$67,ROWS(prem_analysis!$N$2:O100),COLUMNS(prem_analysis!$N$2:O100)),IF($Q$1=$P$4,INDEX(Table24[[#All],[Year]:[Details]],ROWS(prem_analysis!$M$420:N518),COLUMNS(Data!$Q$3:R101)))))),"")</f>
        <v/>
      </c>
      <c r="T100" s="1" t="str">
        <f>IFERROR(IF($Q$1=$P$3,INDEX(prem_analysis!$P$2:$Q$441,ROWS(Data!$P$2:S100),COLUMNS(Data!$P$3:R101)),IF($Q$1=$P$5,INDEX(prem_analysis!$BH$1:$BS$23,ROWS(Data!$Q$3:S101),COLUMNS(Data!$Q$3:S101)),IF($Q$1=$P$6,INDEX(prem_analysis!$BU$1:$CF$67,ROWS(prem_analysis!$N$2:P100),COLUMNS(prem_analysis!$N$2:P100)),IF($Q$1=$P$4,INDEX(Table24[[#All],[Year]:[Details]],ROWS(prem_analysis!$M$420:O518),COLUMNS(Data!$Q$3:S101)))))),"")</f>
        <v/>
      </c>
      <c r="U100" s="1" t="str">
        <f>IFERROR(IF($Q$1=$P$3,INDEX(prem_analysis!$P$2:$Q$441,ROWS(Data!$P$2:T100),COLUMNS(Data!$P$3:S101)),IF($Q$1=$P$5,INDEX(prem_analysis!$BH$1:$BS$23,ROWS(Data!$Q$3:T101),COLUMNS(Data!$Q$3:T101)),IF($Q$1=$P$6,INDEX(prem_analysis!$BU$1:$CF$67,ROWS(prem_analysis!$N$2:Q100),COLUMNS(prem_analysis!$N$2:Q100)),IF($Q$1=$P$4,INDEX(Table24[[#All],[Year]:[Details]],ROWS(prem_analysis!$M$420:P518),COLUMNS(Data!$Q$3:T101)))))),"")</f>
        <v/>
      </c>
      <c r="V100" s="1" t="str">
        <f>IFERROR(IF($Q$1=$P$3,INDEX(prem_analysis!$P$2:$Q$441,ROWS(Data!$P$2:U100),COLUMNS(Data!$P$3:T101)),IF($Q$1=$P$5,INDEX(prem_analysis!$BH$1:$BS$23,ROWS(Data!$Q$3:U101),COLUMNS(Data!$Q$3:U101)),IF($Q$1=$P$6,INDEX(prem_analysis!$BU$1:$CF$67,ROWS(prem_analysis!$N$2:R100),COLUMNS(prem_analysis!$N$2:R100)),IF($Q$1=$P$4,INDEX(Table24[[#All],[Year]:[Details]],ROWS(prem_analysis!$M$420:Q518),COLUMNS(Data!$Q$3:U101)))))),"")</f>
        <v/>
      </c>
      <c r="W100" s="1" t="str">
        <f>IFERROR(IF($Q$1=$P$3,INDEX(prem_analysis!$P$2:$Q$441,ROWS(Data!$P$2:V100),COLUMNS(Data!$P$3:U101)),IF($Q$1=$P$5,INDEX(prem_analysis!$BH$1:$BS$23,ROWS(Data!$Q$3:V101),COLUMNS(Data!$Q$3:V101)),IF($Q$1=$P$6,INDEX(prem_analysis!$BU$1:$CF$67,ROWS(prem_analysis!$N$2:S100),COLUMNS(prem_analysis!$N$2:S100)),IF($Q$1=$P$4,INDEX(Table24[[#All],[Year]:[Details]],ROWS(prem_analysis!$M$420:R518),COLUMNS(Data!$Q$3:V101)))))),"")</f>
        <v/>
      </c>
      <c r="X100" s="1" t="str">
        <f>IFERROR(IF($Q$1=$P$3,INDEX(prem_analysis!$P$2:$Q$441,ROWS(Data!$P$2:W100),COLUMNS(Data!$P$3:V101)),IF($Q$1=$P$5,INDEX(prem_analysis!$BH$1:$BS$23,ROWS(Data!$Q$3:W101),COLUMNS(Data!$Q$3:W101)),IF($Q$1=$P$6,INDEX(prem_analysis!$BU$1:$CF$67,ROWS(prem_analysis!$N$2:T100),COLUMNS(prem_analysis!$N$2:T100)),IF($Q$1=$P$4,INDEX(Table24[[#All],[Year]:[Details]],ROWS(prem_analysis!$M$420:S518),COLUMNS(Data!$Q$3:W101)))))),"")</f>
        <v/>
      </c>
      <c r="Y100" s="1" t="str">
        <f>IFERROR(IF($Q$1=$P$3,INDEX(prem_analysis!$P$2:$Q$441,ROWS(Data!$P$2:X100),COLUMNS(Data!$P$3:W101)),IF($Q$1=$P$5,INDEX(prem_analysis!$BH$1:$BS$23,ROWS(Data!$Q$3:X101),COLUMNS(Data!$Q$3:X101)),IF($Q$1=$P$6,INDEX(prem_analysis!$BU$1:$CF$67,ROWS(prem_analysis!$N$2:U100),COLUMNS(prem_analysis!$N$2:U100)),IF($Q$1=$P$4,INDEX(Table24[[#All],[Year]:[Details]],ROWS(prem_analysis!$M$420:T518),COLUMNS(Data!$Q$3:X101)))))),"")</f>
        <v/>
      </c>
      <c r="Z100" s="1" t="str">
        <f>IFERROR(IF($Q$1=$P$3,INDEX(prem_analysis!$P$2:$Q$441,ROWS(Data!$P$2:Y100),COLUMNS(Data!$P$3:X101)),IF($Q$1=$P$5,INDEX(prem_analysis!$BH$1:$BS$23,ROWS(Data!$Q$3:Y101),COLUMNS(Data!$Q$3:Y101)),IF($Q$1=$P$6,INDEX(prem_analysis!$BU$1:$CF$67,ROWS(prem_analysis!$N$2:V100),COLUMNS(prem_analysis!$N$2:V100)),IF($Q$1=$P$4,INDEX(Table24[[#All],[Year]:[Details]],ROWS(prem_analysis!$M$420:U518),COLUMNS(Data!$Q$3:Y101)))))),"")</f>
        <v/>
      </c>
      <c r="AA100" s="1" t="str">
        <f>IFERROR(IF($Q$1=$P$3,INDEX(prem_analysis!$P$2:$Q$441,ROWS(Data!$P$2:Z100),COLUMNS(Data!$P$3:Y101)),IF($Q$1=$P$5,INDEX(prem_analysis!$BH$1:$BS$23,ROWS(Data!$Q$3:Z101),COLUMNS(Data!$Q$3:Z101)),IF($Q$1=$P$6,INDEX(prem_analysis!$BU$1:$CF$67,ROWS(prem_analysis!$N$2:W100),COLUMNS(prem_analysis!$N$2:W100)),IF($Q$1=$P$4,INDEX(Table24[[#All],[Year]:[Details]],ROWS(prem_analysis!$M$420:V518),COLUMNS(Data!$Q$3:Z101)))))),"")</f>
        <v/>
      </c>
      <c r="AB100" s="1" t="str">
        <f>IFERROR(IF($Q$1=$P$3,INDEX(prem_analysis!$P$2:$Q$441,ROWS(Data!$P$2:AA100),COLUMNS(Data!$P$3:Z101)),IF($Q$1=$P$5,INDEX(prem_analysis!$BH$1:$BS$23,ROWS(Data!$Q$3:AA101),COLUMNS(Data!$Q$3:AA101)),IF($Q$1=$P$6,INDEX(prem_analysis!$BU$1:$CF$67,ROWS(prem_analysis!$N$2:X100),COLUMNS(prem_analysis!$N$2:X100)),IF($Q$1=$P$4,INDEX(Table24[[#All],[Year]:[Details]],ROWS(prem_analysis!$M$420:W518),COLUMNS(Data!$Q$3:AA101)))))),"")</f>
        <v/>
      </c>
      <c r="AC100" s="1" t="str">
        <f>IFERROR(IF($Q$1=$P$3,INDEX(prem_analysis!$P$2:$Q$441,ROWS(Data!$P$2:AB100),COLUMNS(Data!$P$3:AA101)),IF($Q$1=$P$5,INDEX(prem_analysis!$BH$1:$BS$23,ROWS(Data!$Q$3:AB101),COLUMNS(Data!$Q$3:AB101)),IF($Q$1=$P$6,INDEX(prem_analysis!$BU$1:$CF$67,ROWS(prem_analysis!$N$2:Y100),COLUMNS(prem_analysis!$N$2:Y100)),IF($Q$1=$P$4,INDEX(Table24[[#All],[Year]:[Details]],ROWS(prem_analysis!$M$420:X518),COLUMNS(Data!$Q$3:AB101)))))),"")</f>
        <v/>
      </c>
    </row>
    <row r="101" spans="1:29" x14ac:dyDescent="0.2">
      <c r="A101" s="5">
        <v>2004</v>
      </c>
      <c r="B101" s="5">
        <v>20</v>
      </c>
      <c r="C101" s="6" t="s">
        <v>20</v>
      </c>
      <c r="D101" s="5">
        <v>38</v>
      </c>
      <c r="E101" s="5">
        <v>6</v>
      </c>
      <c r="F101" s="5">
        <v>14</v>
      </c>
      <c r="G101" s="5">
        <v>18</v>
      </c>
      <c r="H101" s="5">
        <v>45</v>
      </c>
      <c r="I101" s="5">
        <v>66</v>
      </c>
      <c r="J101" s="5">
        <v>-21</v>
      </c>
      <c r="K101" s="5">
        <v>32</v>
      </c>
      <c r="L101" s="5" t="str">
        <f>IF(Table24[[#This Row],['#]]=1,"Champion", IF(Table24[[#This Row],['#]]&gt;=18,"Relegated",Table24[[#This Row],['#]]))</f>
        <v>Relegated</v>
      </c>
      <c r="M101" s="5" t="str">
        <f>IF(Table24[[#This Row],[Details]]=2,K100-Table24[[#This Row],[Pts]],IF(Table24[[#This Row],[Details]]=17,Table24[[#This Row],[Pts]]-K102,""))</f>
        <v/>
      </c>
      <c r="R101" s="1" t="str">
        <f>IFERROR(IF($Q$1=$P$3,INDEX(prem_analysis!$P$2:$Q$441,ROWS(Data!$P$2:Q101),COLUMNS(Data!$P$3:P102)),IF($Q$1=$P$5,INDEX(prem_analysis!$BH$1:$BS$23,ROWS(Data!$Q$3:Q102),COLUMNS(Data!$Q$3:Q102)),IF($Q$1=$P$6,INDEX(prem_analysis!$BU$1:$CF$67,ROWS(prem_analysis!$N$2:N101),COLUMNS(prem_analysis!$N$2:N101)),IF($Q$1=$P$4,INDEX(Table24[[#All],[Year]:[Details]],ROWS(prem_analysis!$M$420:M519),COLUMNS(Data!$Q$3:Q102)))))),"")</f>
        <v/>
      </c>
      <c r="S101" s="1" t="str">
        <f>IFERROR(IF($Q$1=$P$3,INDEX(prem_analysis!$P$2:$Q$441,ROWS(Data!$P$2:R101),COLUMNS(Data!$P$3:Q102)),IF($Q$1=$P$5,INDEX(prem_analysis!$BH$1:$BS$23,ROWS(Data!$Q$3:R102),COLUMNS(Data!$Q$3:R102)),IF($Q$1=$P$6,INDEX(prem_analysis!$BU$1:$CF$67,ROWS(prem_analysis!$N$2:O101),COLUMNS(prem_analysis!$N$2:O101)),IF($Q$1=$P$4,INDEX(Table24[[#All],[Year]:[Details]],ROWS(prem_analysis!$M$420:N519),COLUMNS(Data!$Q$3:R102)))))),"")</f>
        <v/>
      </c>
      <c r="T101" s="1" t="str">
        <f>IFERROR(IF($Q$1=$P$3,INDEX(prem_analysis!$P$2:$Q$441,ROWS(Data!$P$2:S101),COLUMNS(Data!$P$3:R102)),IF($Q$1=$P$5,INDEX(prem_analysis!$BH$1:$BS$23,ROWS(Data!$Q$3:S102),COLUMNS(Data!$Q$3:S102)),IF($Q$1=$P$6,INDEX(prem_analysis!$BU$1:$CF$67,ROWS(prem_analysis!$N$2:P101),COLUMNS(prem_analysis!$N$2:P101)),IF($Q$1=$P$4,INDEX(Table24[[#All],[Year]:[Details]],ROWS(prem_analysis!$M$420:O519),COLUMNS(Data!$Q$3:S102)))))),"")</f>
        <v/>
      </c>
      <c r="U101" s="1" t="str">
        <f>IFERROR(IF($Q$1=$P$3,INDEX(prem_analysis!$P$2:$Q$441,ROWS(Data!$P$2:T101),COLUMNS(Data!$P$3:S102)),IF($Q$1=$P$5,INDEX(prem_analysis!$BH$1:$BS$23,ROWS(Data!$Q$3:T102),COLUMNS(Data!$Q$3:T102)),IF($Q$1=$P$6,INDEX(prem_analysis!$BU$1:$CF$67,ROWS(prem_analysis!$N$2:Q101),COLUMNS(prem_analysis!$N$2:Q101)),IF($Q$1=$P$4,INDEX(Table24[[#All],[Year]:[Details]],ROWS(prem_analysis!$M$420:P519),COLUMNS(Data!$Q$3:T102)))))),"")</f>
        <v/>
      </c>
      <c r="V101" s="1" t="str">
        <f>IFERROR(IF($Q$1=$P$3,INDEX(prem_analysis!$P$2:$Q$441,ROWS(Data!$P$2:U101),COLUMNS(Data!$P$3:T102)),IF($Q$1=$P$5,INDEX(prem_analysis!$BH$1:$BS$23,ROWS(Data!$Q$3:U102),COLUMNS(Data!$Q$3:U102)),IF($Q$1=$P$6,INDEX(prem_analysis!$BU$1:$CF$67,ROWS(prem_analysis!$N$2:R101),COLUMNS(prem_analysis!$N$2:R101)),IF($Q$1=$P$4,INDEX(Table24[[#All],[Year]:[Details]],ROWS(prem_analysis!$M$420:Q519),COLUMNS(Data!$Q$3:U102)))))),"")</f>
        <v/>
      </c>
      <c r="W101" s="1" t="str">
        <f>IFERROR(IF($Q$1=$P$3,INDEX(prem_analysis!$P$2:$Q$441,ROWS(Data!$P$2:V101),COLUMNS(Data!$P$3:U102)),IF($Q$1=$P$5,INDEX(prem_analysis!$BH$1:$BS$23,ROWS(Data!$Q$3:V102),COLUMNS(Data!$Q$3:V102)),IF($Q$1=$P$6,INDEX(prem_analysis!$BU$1:$CF$67,ROWS(prem_analysis!$N$2:S101),COLUMNS(prem_analysis!$N$2:S101)),IF($Q$1=$P$4,INDEX(Table24[[#All],[Year]:[Details]],ROWS(prem_analysis!$M$420:R519),COLUMNS(Data!$Q$3:V102)))))),"")</f>
        <v/>
      </c>
      <c r="X101" s="1" t="str">
        <f>IFERROR(IF($Q$1=$P$3,INDEX(prem_analysis!$P$2:$Q$441,ROWS(Data!$P$2:W101),COLUMNS(Data!$P$3:V102)),IF($Q$1=$P$5,INDEX(prem_analysis!$BH$1:$BS$23,ROWS(Data!$Q$3:W102),COLUMNS(Data!$Q$3:W102)),IF($Q$1=$P$6,INDEX(prem_analysis!$BU$1:$CF$67,ROWS(prem_analysis!$N$2:T101),COLUMNS(prem_analysis!$N$2:T101)),IF($Q$1=$P$4,INDEX(Table24[[#All],[Year]:[Details]],ROWS(prem_analysis!$M$420:S519),COLUMNS(Data!$Q$3:W102)))))),"")</f>
        <v/>
      </c>
      <c r="Y101" s="1" t="str">
        <f>IFERROR(IF($Q$1=$P$3,INDEX(prem_analysis!$P$2:$Q$441,ROWS(Data!$P$2:X101),COLUMNS(Data!$P$3:W102)),IF($Q$1=$P$5,INDEX(prem_analysis!$BH$1:$BS$23,ROWS(Data!$Q$3:X102),COLUMNS(Data!$Q$3:X102)),IF($Q$1=$P$6,INDEX(prem_analysis!$BU$1:$CF$67,ROWS(prem_analysis!$N$2:U101),COLUMNS(prem_analysis!$N$2:U101)),IF($Q$1=$P$4,INDEX(Table24[[#All],[Year]:[Details]],ROWS(prem_analysis!$M$420:T519),COLUMNS(Data!$Q$3:X102)))))),"")</f>
        <v/>
      </c>
      <c r="Z101" s="1" t="str">
        <f>IFERROR(IF($Q$1=$P$3,INDEX(prem_analysis!$P$2:$Q$441,ROWS(Data!$P$2:Y101),COLUMNS(Data!$P$3:X102)),IF($Q$1=$P$5,INDEX(prem_analysis!$BH$1:$BS$23,ROWS(Data!$Q$3:Y102),COLUMNS(Data!$Q$3:Y102)),IF($Q$1=$P$6,INDEX(prem_analysis!$BU$1:$CF$67,ROWS(prem_analysis!$N$2:V101),COLUMNS(prem_analysis!$N$2:V101)),IF($Q$1=$P$4,INDEX(Table24[[#All],[Year]:[Details]],ROWS(prem_analysis!$M$420:U519),COLUMNS(Data!$Q$3:Y102)))))),"")</f>
        <v/>
      </c>
      <c r="AA101" s="1" t="str">
        <f>IFERROR(IF($Q$1=$P$3,INDEX(prem_analysis!$P$2:$Q$441,ROWS(Data!$P$2:Z101),COLUMNS(Data!$P$3:Y102)),IF($Q$1=$P$5,INDEX(prem_analysis!$BH$1:$BS$23,ROWS(Data!$Q$3:Z102),COLUMNS(Data!$Q$3:Z102)),IF($Q$1=$P$6,INDEX(prem_analysis!$BU$1:$CF$67,ROWS(prem_analysis!$N$2:W101),COLUMNS(prem_analysis!$N$2:W101)),IF($Q$1=$P$4,INDEX(Table24[[#All],[Year]:[Details]],ROWS(prem_analysis!$M$420:V519),COLUMNS(Data!$Q$3:Z102)))))),"")</f>
        <v/>
      </c>
      <c r="AB101" s="1" t="str">
        <f>IFERROR(IF($Q$1=$P$3,INDEX(prem_analysis!$P$2:$Q$441,ROWS(Data!$P$2:AA101),COLUMNS(Data!$P$3:Z102)),IF($Q$1=$P$5,INDEX(prem_analysis!$BH$1:$BS$23,ROWS(Data!$Q$3:AA102),COLUMNS(Data!$Q$3:AA102)),IF($Q$1=$P$6,INDEX(prem_analysis!$BU$1:$CF$67,ROWS(prem_analysis!$N$2:X101),COLUMNS(prem_analysis!$N$2:X101)),IF($Q$1=$P$4,INDEX(Table24[[#All],[Year]:[Details]],ROWS(prem_analysis!$M$420:W519),COLUMNS(Data!$Q$3:AA102)))))),"")</f>
        <v/>
      </c>
      <c r="AC101" s="1" t="str">
        <f>IFERROR(IF($Q$1=$P$3,INDEX(prem_analysis!$P$2:$Q$441,ROWS(Data!$P$2:AB101),COLUMNS(Data!$P$3:AA102)),IF($Q$1=$P$5,INDEX(prem_analysis!$BH$1:$BS$23,ROWS(Data!$Q$3:AB102),COLUMNS(Data!$Q$3:AB102)),IF($Q$1=$P$6,INDEX(prem_analysis!$BU$1:$CF$67,ROWS(prem_analysis!$N$2:Y101),COLUMNS(prem_analysis!$N$2:Y101)),IF($Q$1=$P$4,INDEX(Table24[[#All],[Year]:[Details]],ROWS(prem_analysis!$M$420:X519),COLUMNS(Data!$Q$3:AB102)))))),"")</f>
        <v/>
      </c>
    </row>
    <row r="102" spans="1:29" x14ac:dyDescent="0.2">
      <c r="A102" s="3">
        <v>2005</v>
      </c>
      <c r="B102" s="3">
        <v>1</v>
      </c>
      <c r="C102" s="4" t="s">
        <v>16</v>
      </c>
      <c r="D102" s="3">
        <v>38</v>
      </c>
      <c r="E102" s="3">
        <v>29</v>
      </c>
      <c r="F102" s="3">
        <v>4</v>
      </c>
      <c r="G102" s="3">
        <v>5</v>
      </c>
      <c r="H102" s="3">
        <v>72</v>
      </c>
      <c r="I102" s="3">
        <v>22</v>
      </c>
      <c r="J102" s="3">
        <v>50</v>
      </c>
      <c r="K102" s="3">
        <v>91</v>
      </c>
      <c r="L102" s="5" t="str">
        <f>IF(Table24[[#This Row],['#]]=1,"Champion", IF(Table24[[#This Row],['#]]&gt;=18,"Relegated",Table24[[#This Row],['#]]))</f>
        <v>Champion</v>
      </c>
      <c r="M102" s="5" t="str">
        <f>IF(Table24[[#This Row],[Details]]=2,K101-Table24[[#This Row],[Pts]],IF(Table24[[#This Row],[Details]]=17,Table24[[#This Row],[Pts]]-K103,""))</f>
        <v/>
      </c>
      <c r="R102" s="1" t="str">
        <f>IFERROR(IF($Q$1=$P$3,INDEX(prem_analysis!$P$2:$Q$441,ROWS(Data!$P$2:Q102),COLUMNS(Data!$P$3:P103)),IF($Q$1=$P$5,INDEX(prem_analysis!$BH$1:$BS$23,ROWS(Data!$Q$3:Q103),COLUMNS(Data!$Q$3:Q103)),IF($Q$1=$P$6,INDEX(prem_analysis!$BU$1:$CF$67,ROWS(prem_analysis!$N$2:N102),COLUMNS(prem_analysis!$N$2:N102)),IF($Q$1=$P$4,INDEX(Table24[[#All],[Year]:[Details]],ROWS(prem_analysis!$M$420:M520),COLUMNS(Data!$Q$3:Q103)))))),"")</f>
        <v/>
      </c>
      <c r="S102" s="1" t="str">
        <f>IFERROR(IF($Q$1=$P$3,INDEX(prem_analysis!$P$2:$Q$441,ROWS(Data!$P$2:R102),COLUMNS(Data!$P$3:Q103)),IF($Q$1=$P$5,INDEX(prem_analysis!$BH$1:$BS$23,ROWS(Data!$Q$3:R103),COLUMNS(Data!$Q$3:R103)),IF($Q$1=$P$6,INDEX(prem_analysis!$BU$1:$CF$67,ROWS(prem_analysis!$N$2:O102),COLUMNS(prem_analysis!$N$2:O102)),IF($Q$1=$P$4,INDEX(Table24[[#All],[Year]:[Details]],ROWS(prem_analysis!$M$420:N520),COLUMNS(Data!$Q$3:R103)))))),"")</f>
        <v/>
      </c>
      <c r="T102" s="1" t="str">
        <f>IFERROR(IF($Q$1=$P$3,INDEX(prem_analysis!$P$2:$Q$441,ROWS(Data!$P$2:S102),COLUMNS(Data!$P$3:R103)),IF($Q$1=$P$5,INDEX(prem_analysis!$BH$1:$BS$23,ROWS(Data!$Q$3:S103),COLUMNS(Data!$Q$3:S103)),IF($Q$1=$P$6,INDEX(prem_analysis!$BU$1:$CF$67,ROWS(prem_analysis!$N$2:P102),COLUMNS(prem_analysis!$N$2:P102)),IF($Q$1=$P$4,INDEX(Table24[[#All],[Year]:[Details]],ROWS(prem_analysis!$M$420:O520),COLUMNS(Data!$Q$3:S103)))))),"")</f>
        <v/>
      </c>
      <c r="U102" s="1" t="str">
        <f>IFERROR(IF($Q$1=$P$3,INDEX(prem_analysis!$P$2:$Q$441,ROWS(Data!$P$2:T102),COLUMNS(Data!$P$3:S103)),IF($Q$1=$P$5,INDEX(prem_analysis!$BH$1:$BS$23,ROWS(Data!$Q$3:T103),COLUMNS(Data!$Q$3:T103)),IF($Q$1=$P$6,INDEX(prem_analysis!$BU$1:$CF$67,ROWS(prem_analysis!$N$2:Q102),COLUMNS(prem_analysis!$N$2:Q102)),IF($Q$1=$P$4,INDEX(Table24[[#All],[Year]:[Details]],ROWS(prem_analysis!$M$420:P520),COLUMNS(Data!$Q$3:T103)))))),"")</f>
        <v/>
      </c>
      <c r="V102" s="1" t="str">
        <f>IFERROR(IF($Q$1=$P$3,INDEX(prem_analysis!$P$2:$Q$441,ROWS(Data!$P$2:U102),COLUMNS(Data!$P$3:T103)),IF($Q$1=$P$5,INDEX(prem_analysis!$BH$1:$BS$23,ROWS(Data!$Q$3:U103),COLUMNS(Data!$Q$3:U103)),IF($Q$1=$P$6,INDEX(prem_analysis!$BU$1:$CF$67,ROWS(prem_analysis!$N$2:R102),COLUMNS(prem_analysis!$N$2:R102)),IF($Q$1=$P$4,INDEX(Table24[[#All],[Year]:[Details]],ROWS(prem_analysis!$M$420:Q520),COLUMNS(Data!$Q$3:U103)))))),"")</f>
        <v/>
      </c>
      <c r="W102" s="1" t="str">
        <f>IFERROR(IF($Q$1=$P$3,INDEX(prem_analysis!$P$2:$Q$441,ROWS(Data!$P$2:V102),COLUMNS(Data!$P$3:U103)),IF($Q$1=$P$5,INDEX(prem_analysis!$BH$1:$BS$23,ROWS(Data!$Q$3:V103),COLUMNS(Data!$Q$3:V103)),IF($Q$1=$P$6,INDEX(prem_analysis!$BU$1:$CF$67,ROWS(prem_analysis!$N$2:S102),COLUMNS(prem_analysis!$N$2:S102)),IF($Q$1=$P$4,INDEX(Table24[[#All],[Year]:[Details]],ROWS(prem_analysis!$M$420:R520),COLUMNS(Data!$Q$3:V103)))))),"")</f>
        <v/>
      </c>
      <c r="X102" s="1" t="str">
        <f>IFERROR(IF($Q$1=$P$3,INDEX(prem_analysis!$P$2:$Q$441,ROWS(Data!$P$2:W102),COLUMNS(Data!$P$3:V103)),IF($Q$1=$P$5,INDEX(prem_analysis!$BH$1:$BS$23,ROWS(Data!$Q$3:W103),COLUMNS(Data!$Q$3:W103)),IF($Q$1=$P$6,INDEX(prem_analysis!$BU$1:$CF$67,ROWS(prem_analysis!$N$2:T102),COLUMNS(prem_analysis!$N$2:T102)),IF($Q$1=$P$4,INDEX(Table24[[#All],[Year]:[Details]],ROWS(prem_analysis!$M$420:S520),COLUMNS(Data!$Q$3:W103)))))),"")</f>
        <v/>
      </c>
      <c r="Y102" s="1" t="str">
        <f>IFERROR(IF($Q$1=$P$3,INDEX(prem_analysis!$P$2:$Q$441,ROWS(Data!$P$2:X102),COLUMNS(Data!$P$3:W103)),IF($Q$1=$P$5,INDEX(prem_analysis!$BH$1:$BS$23,ROWS(Data!$Q$3:X103),COLUMNS(Data!$Q$3:X103)),IF($Q$1=$P$6,INDEX(prem_analysis!$BU$1:$CF$67,ROWS(prem_analysis!$N$2:U102),COLUMNS(prem_analysis!$N$2:U102)),IF($Q$1=$P$4,INDEX(Table24[[#All],[Year]:[Details]],ROWS(prem_analysis!$M$420:T520),COLUMNS(Data!$Q$3:X103)))))),"")</f>
        <v/>
      </c>
      <c r="Z102" s="1" t="str">
        <f>IFERROR(IF($Q$1=$P$3,INDEX(prem_analysis!$P$2:$Q$441,ROWS(Data!$P$2:Y102),COLUMNS(Data!$P$3:X103)),IF($Q$1=$P$5,INDEX(prem_analysis!$BH$1:$BS$23,ROWS(Data!$Q$3:Y103),COLUMNS(Data!$Q$3:Y103)),IF($Q$1=$P$6,INDEX(prem_analysis!$BU$1:$CF$67,ROWS(prem_analysis!$N$2:V102),COLUMNS(prem_analysis!$N$2:V102)),IF($Q$1=$P$4,INDEX(Table24[[#All],[Year]:[Details]],ROWS(prem_analysis!$M$420:U520),COLUMNS(Data!$Q$3:Y103)))))),"")</f>
        <v/>
      </c>
      <c r="AA102" s="1" t="str">
        <f>IFERROR(IF($Q$1=$P$3,INDEX(prem_analysis!$P$2:$Q$441,ROWS(Data!$P$2:Z102),COLUMNS(Data!$P$3:Y103)),IF($Q$1=$P$5,INDEX(prem_analysis!$BH$1:$BS$23,ROWS(Data!$Q$3:Z103),COLUMNS(Data!$Q$3:Z103)),IF($Q$1=$P$6,INDEX(prem_analysis!$BU$1:$CF$67,ROWS(prem_analysis!$N$2:W102),COLUMNS(prem_analysis!$N$2:W102)),IF($Q$1=$P$4,INDEX(Table24[[#All],[Year]:[Details]],ROWS(prem_analysis!$M$420:V520),COLUMNS(Data!$Q$3:Z103)))))),"")</f>
        <v/>
      </c>
      <c r="AB102" s="1" t="str">
        <f>IFERROR(IF($Q$1=$P$3,INDEX(prem_analysis!$P$2:$Q$441,ROWS(Data!$P$2:AA102),COLUMNS(Data!$P$3:Z103)),IF($Q$1=$P$5,INDEX(prem_analysis!$BH$1:$BS$23,ROWS(Data!$Q$3:AA103),COLUMNS(Data!$Q$3:AA103)),IF($Q$1=$P$6,INDEX(prem_analysis!$BU$1:$CF$67,ROWS(prem_analysis!$N$2:X102),COLUMNS(prem_analysis!$N$2:X102)),IF($Q$1=$P$4,INDEX(Table24[[#All],[Year]:[Details]],ROWS(prem_analysis!$M$420:W520),COLUMNS(Data!$Q$3:AA103)))))),"")</f>
        <v/>
      </c>
      <c r="AC102" s="1" t="str">
        <f>IFERROR(IF($Q$1=$P$3,INDEX(prem_analysis!$P$2:$Q$441,ROWS(Data!$P$2:AB102),COLUMNS(Data!$P$3:AA103)),IF($Q$1=$P$5,INDEX(prem_analysis!$BH$1:$BS$23,ROWS(Data!$Q$3:AB103),COLUMNS(Data!$Q$3:AB103)),IF($Q$1=$P$6,INDEX(prem_analysis!$BU$1:$CF$67,ROWS(prem_analysis!$N$2:Y102),COLUMNS(prem_analysis!$N$2:Y102)),IF($Q$1=$P$4,INDEX(Table24[[#All],[Year]:[Details]],ROWS(prem_analysis!$M$420:X520),COLUMNS(Data!$Q$3:AB103)))))),"")</f>
        <v/>
      </c>
    </row>
    <row r="103" spans="1:29" x14ac:dyDescent="0.2">
      <c r="A103" s="5">
        <v>2005</v>
      </c>
      <c r="B103" s="5">
        <v>2</v>
      </c>
      <c r="C103" s="6" t="s">
        <v>11</v>
      </c>
      <c r="D103" s="5">
        <v>38</v>
      </c>
      <c r="E103" s="5">
        <v>25</v>
      </c>
      <c r="F103" s="5">
        <v>8</v>
      </c>
      <c r="G103" s="5">
        <v>5</v>
      </c>
      <c r="H103" s="5">
        <v>72</v>
      </c>
      <c r="I103" s="5">
        <v>34</v>
      </c>
      <c r="J103" s="5">
        <v>38</v>
      </c>
      <c r="K103" s="5">
        <v>83</v>
      </c>
      <c r="L103" s="5">
        <f>IF(Table24[[#This Row],['#]]=1,"Champion", IF(Table24[[#This Row],['#]]&gt;=18,"Relegated",Table24[[#This Row],['#]]))</f>
        <v>2</v>
      </c>
      <c r="M103" s="5">
        <f>IF(Table24[[#This Row],[Details]]=2,K102-Table24[[#This Row],[Pts]],IF(Table24[[#This Row],[Details]]=17,Table24[[#This Row],[Pts]]-K104,""))</f>
        <v>8</v>
      </c>
      <c r="R103" s="1" t="str">
        <f>IFERROR(IF($Q$1=$P$3,INDEX(prem_analysis!$P$2:$Q$441,ROWS(Data!$P$2:Q103),COLUMNS(Data!$P$3:P104)),IF($Q$1=$P$5,INDEX(prem_analysis!$BH$1:$BS$23,ROWS(Data!$Q$3:Q104),COLUMNS(Data!$Q$3:Q104)),IF($Q$1=$P$6,INDEX(prem_analysis!$BU$1:$CF$67,ROWS(prem_analysis!$N$2:N103),COLUMNS(prem_analysis!$N$2:N103)),IF($Q$1=$P$4,INDEX(Table24[[#All],[Year]:[Details]],ROWS(prem_analysis!$M$420:M521),COLUMNS(Data!$Q$3:Q104)))))),"")</f>
        <v/>
      </c>
      <c r="S103" s="1" t="str">
        <f>IFERROR(IF($Q$1=$P$3,INDEX(prem_analysis!$P$2:$Q$441,ROWS(Data!$P$2:R103),COLUMNS(Data!$P$3:Q104)),IF($Q$1=$P$5,INDEX(prem_analysis!$BH$1:$BS$23,ROWS(Data!$Q$3:R104),COLUMNS(Data!$Q$3:R104)),IF($Q$1=$P$6,INDEX(prem_analysis!$BU$1:$CF$67,ROWS(prem_analysis!$N$2:O103),COLUMNS(prem_analysis!$N$2:O103)),IF($Q$1=$P$4,INDEX(Table24[[#All],[Year]:[Details]],ROWS(prem_analysis!$M$420:N521),COLUMNS(Data!$Q$3:R104)))))),"")</f>
        <v/>
      </c>
      <c r="T103" s="1" t="str">
        <f>IFERROR(IF($Q$1=$P$3,INDEX(prem_analysis!$P$2:$Q$441,ROWS(Data!$P$2:S103),COLUMNS(Data!$P$3:R104)),IF($Q$1=$P$5,INDEX(prem_analysis!$BH$1:$BS$23,ROWS(Data!$Q$3:S104),COLUMNS(Data!$Q$3:S104)),IF($Q$1=$P$6,INDEX(prem_analysis!$BU$1:$CF$67,ROWS(prem_analysis!$N$2:P103),COLUMNS(prem_analysis!$N$2:P103)),IF($Q$1=$P$4,INDEX(Table24[[#All],[Year]:[Details]],ROWS(prem_analysis!$M$420:O521),COLUMNS(Data!$Q$3:S104)))))),"")</f>
        <v/>
      </c>
      <c r="U103" s="1" t="str">
        <f>IFERROR(IF($Q$1=$P$3,INDEX(prem_analysis!$P$2:$Q$441,ROWS(Data!$P$2:T103),COLUMNS(Data!$P$3:S104)),IF($Q$1=$P$5,INDEX(prem_analysis!$BH$1:$BS$23,ROWS(Data!$Q$3:T104),COLUMNS(Data!$Q$3:T104)),IF($Q$1=$P$6,INDEX(prem_analysis!$BU$1:$CF$67,ROWS(prem_analysis!$N$2:Q103),COLUMNS(prem_analysis!$N$2:Q103)),IF($Q$1=$P$4,INDEX(Table24[[#All],[Year]:[Details]],ROWS(prem_analysis!$M$420:P521),COLUMNS(Data!$Q$3:T104)))))),"")</f>
        <v/>
      </c>
      <c r="V103" s="1" t="str">
        <f>IFERROR(IF($Q$1=$P$3,INDEX(prem_analysis!$P$2:$Q$441,ROWS(Data!$P$2:U103),COLUMNS(Data!$P$3:T104)),IF($Q$1=$P$5,INDEX(prem_analysis!$BH$1:$BS$23,ROWS(Data!$Q$3:U104),COLUMNS(Data!$Q$3:U104)),IF($Q$1=$P$6,INDEX(prem_analysis!$BU$1:$CF$67,ROWS(prem_analysis!$N$2:R103),COLUMNS(prem_analysis!$N$2:R103)),IF($Q$1=$P$4,INDEX(Table24[[#All],[Year]:[Details]],ROWS(prem_analysis!$M$420:Q521),COLUMNS(Data!$Q$3:U104)))))),"")</f>
        <v/>
      </c>
      <c r="W103" s="1" t="str">
        <f>IFERROR(IF($Q$1=$P$3,INDEX(prem_analysis!$P$2:$Q$441,ROWS(Data!$P$2:V103),COLUMNS(Data!$P$3:U104)),IF($Q$1=$P$5,INDEX(prem_analysis!$BH$1:$BS$23,ROWS(Data!$Q$3:V104),COLUMNS(Data!$Q$3:V104)),IF($Q$1=$P$6,INDEX(prem_analysis!$BU$1:$CF$67,ROWS(prem_analysis!$N$2:S103),COLUMNS(prem_analysis!$N$2:S103)),IF($Q$1=$P$4,INDEX(Table24[[#All],[Year]:[Details]],ROWS(prem_analysis!$M$420:R521),COLUMNS(Data!$Q$3:V104)))))),"")</f>
        <v/>
      </c>
      <c r="X103" s="1" t="str">
        <f>IFERROR(IF($Q$1=$P$3,INDEX(prem_analysis!$P$2:$Q$441,ROWS(Data!$P$2:W103),COLUMNS(Data!$P$3:V104)),IF($Q$1=$P$5,INDEX(prem_analysis!$BH$1:$BS$23,ROWS(Data!$Q$3:W104),COLUMNS(Data!$Q$3:W104)),IF($Q$1=$P$6,INDEX(prem_analysis!$BU$1:$CF$67,ROWS(prem_analysis!$N$2:T103),COLUMNS(prem_analysis!$N$2:T103)),IF($Q$1=$P$4,INDEX(Table24[[#All],[Year]:[Details]],ROWS(prem_analysis!$M$420:S521),COLUMNS(Data!$Q$3:W104)))))),"")</f>
        <v/>
      </c>
      <c r="Y103" s="1" t="str">
        <f>IFERROR(IF($Q$1=$P$3,INDEX(prem_analysis!$P$2:$Q$441,ROWS(Data!$P$2:X103),COLUMNS(Data!$P$3:W104)),IF($Q$1=$P$5,INDEX(prem_analysis!$BH$1:$BS$23,ROWS(Data!$Q$3:X104),COLUMNS(Data!$Q$3:X104)),IF($Q$1=$P$6,INDEX(prem_analysis!$BU$1:$CF$67,ROWS(prem_analysis!$N$2:U103),COLUMNS(prem_analysis!$N$2:U103)),IF($Q$1=$P$4,INDEX(Table24[[#All],[Year]:[Details]],ROWS(prem_analysis!$M$420:T521),COLUMNS(Data!$Q$3:X104)))))),"")</f>
        <v/>
      </c>
      <c r="Z103" s="1" t="str">
        <f>IFERROR(IF($Q$1=$P$3,INDEX(prem_analysis!$P$2:$Q$441,ROWS(Data!$P$2:Y103),COLUMNS(Data!$P$3:X104)),IF($Q$1=$P$5,INDEX(prem_analysis!$BH$1:$BS$23,ROWS(Data!$Q$3:Y104),COLUMNS(Data!$Q$3:Y104)),IF($Q$1=$P$6,INDEX(prem_analysis!$BU$1:$CF$67,ROWS(prem_analysis!$N$2:V103),COLUMNS(prem_analysis!$N$2:V103)),IF($Q$1=$P$4,INDEX(Table24[[#All],[Year]:[Details]],ROWS(prem_analysis!$M$420:U521),COLUMNS(Data!$Q$3:Y104)))))),"")</f>
        <v/>
      </c>
      <c r="AA103" s="1" t="str">
        <f>IFERROR(IF($Q$1=$P$3,INDEX(prem_analysis!$P$2:$Q$441,ROWS(Data!$P$2:Z103),COLUMNS(Data!$P$3:Y104)),IF($Q$1=$P$5,INDEX(prem_analysis!$BH$1:$BS$23,ROWS(Data!$Q$3:Z104),COLUMNS(Data!$Q$3:Z104)),IF($Q$1=$P$6,INDEX(prem_analysis!$BU$1:$CF$67,ROWS(prem_analysis!$N$2:W103),COLUMNS(prem_analysis!$N$2:W103)),IF($Q$1=$P$4,INDEX(Table24[[#All],[Year]:[Details]],ROWS(prem_analysis!$M$420:V521),COLUMNS(Data!$Q$3:Z104)))))),"")</f>
        <v/>
      </c>
      <c r="AB103" s="1" t="str">
        <f>IFERROR(IF($Q$1=$P$3,INDEX(prem_analysis!$P$2:$Q$441,ROWS(Data!$P$2:AA103),COLUMNS(Data!$P$3:Z104)),IF($Q$1=$P$5,INDEX(prem_analysis!$BH$1:$BS$23,ROWS(Data!$Q$3:AA104),COLUMNS(Data!$Q$3:AA104)),IF($Q$1=$P$6,INDEX(prem_analysis!$BU$1:$CF$67,ROWS(prem_analysis!$N$2:X103),COLUMNS(prem_analysis!$N$2:X103)),IF($Q$1=$P$4,INDEX(Table24[[#All],[Year]:[Details]],ROWS(prem_analysis!$M$420:W521),COLUMNS(Data!$Q$3:AA104)))))),"")</f>
        <v/>
      </c>
      <c r="AC103" s="1" t="str">
        <f>IFERROR(IF($Q$1=$P$3,INDEX(prem_analysis!$P$2:$Q$441,ROWS(Data!$P$2:AB103),COLUMNS(Data!$P$3:AA104)),IF($Q$1=$P$5,INDEX(prem_analysis!$BH$1:$BS$23,ROWS(Data!$Q$3:AB104),COLUMNS(Data!$Q$3:AB104)),IF($Q$1=$P$6,INDEX(prem_analysis!$BU$1:$CF$67,ROWS(prem_analysis!$N$2:Y103),COLUMNS(prem_analysis!$N$2:Y103)),IF($Q$1=$P$4,INDEX(Table24[[#All],[Year]:[Details]],ROWS(prem_analysis!$M$420:X521),COLUMNS(Data!$Q$3:AB104)))))),"")</f>
        <v/>
      </c>
    </row>
    <row r="104" spans="1:29" x14ac:dyDescent="0.2">
      <c r="A104" s="3">
        <v>2005</v>
      </c>
      <c r="B104" s="3">
        <v>3</v>
      </c>
      <c r="C104" s="4" t="s">
        <v>13</v>
      </c>
      <c r="D104" s="3">
        <v>38</v>
      </c>
      <c r="E104" s="3">
        <v>25</v>
      </c>
      <c r="F104" s="3">
        <v>7</v>
      </c>
      <c r="G104" s="3">
        <v>6</v>
      </c>
      <c r="H104" s="3">
        <v>57</v>
      </c>
      <c r="I104" s="3">
        <v>25</v>
      </c>
      <c r="J104" s="3">
        <v>32</v>
      </c>
      <c r="K104" s="3">
        <v>82</v>
      </c>
      <c r="L104" s="5">
        <f>IF(Table24[[#This Row],['#]]=1,"Champion", IF(Table24[[#This Row],['#]]&gt;=18,"Relegated",Table24[[#This Row],['#]]))</f>
        <v>3</v>
      </c>
      <c r="M104" s="5" t="str">
        <f>IF(Table24[[#This Row],[Details]]=2,K103-Table24[[#This Row],[Pts]],IF(Table24[[#This Row],[Details]]=17,Table24[[#This Row],[Pts]]-K105,""))</f>
        <v/>
      </c>
      <c r="R104" s="1" t="str">
        <f>IFERROR(IF($Q$1=$P$3,INDEX(prem_analysis!$P$2:$Q$441,ROWS(Data!$P$2:Q104),COLUMNS(Data!$P$3:P105)),IF($Q$1=$P$5,INDEX(prem_analysis!$BH$1:$BS$23,ROWS(Data!$Q$3:Q105),COLUMNS(Data!$Q$3:Q105)),IF($Q$1=$P$6,INDEX(prem_analysis!$BU$1:$CF$67,ROWS(prem_analysis!$N$2:N104),COLUMNS(prem_analysis!$N$2:N104)),IF($Q$1=$P$4,INDEX(Table24[[#All],[Year]:[Details]],ROWS(prem_analysis!$M$420:M522),COLUMNS(Data!$Q$3:Q105)))))),"")</f>
        <v/>
      </c>
      <c r="S104" s="1" t="str">
        <f>IFERROR(IF($Q$1=$P$3,INDEX(prem_analysis!$P$2:$Q$441,ROWS(Data!$P$2:R104),COLUMNS(Data!$P$3:Q105)),IF($Q$1=$P$5,INDEX(prem_analysis!$BH$1:$BS$23,ROWS(Data!$Q$3:R105),COLUMNS(Data!$Q$3:R105)),IF($Q$1=$P$6,INDEX(prem_analysis!$BU$1:$CF$67,ROWS(prem_analysis!$N$2:O104),COLUMNS(prem_analysis!$N$2:O104)),IF($Q$1=$P$4,INDEX(Table24[[#All],[Year]:[Details]],ROWS(prem_analysis!$M$420:N522),COLUMNS(Data!$Q$3:R105)))))),"")</f>
        <v/>
      </c>
      <c r="T104" s="1" t="str">
        <f>IFERROR(IF($Q$1=$P$3,INDEX(prem_analysis!$P$2:$Q$441,ROWS(Data!$P$2:S104),COLUMNS(Data!$P$3:R105)),IF($Q$1=$P$5,INDEX(prem_analysis!$BH$1:$BS$23,ROWS(Data!$Q$3:S105),COLUMNS(Data!$Q$3:S105)),IF($Q$1=$P$6,INDEX(prem_analysis!$BU$1:$CF$67,ROWS(prem_analysis!$N$2:P104),COLUMNS(prem_analysis!$N$2:P104)),IF($Q$1=$P$4,INDEX(Table24[[#All],[Year]:[Details]],ROWS(prem_analysis!$M$420:O522),COLUMNS(Data!$Q$3:S105)))))),"")</f>
        <v/>
      </c>
      <c r="U104" s="1" t="str">
        <f>IFERROR(IF($Q$1=$P$3,INDEX(prem_analysis!$P$2:$Q$441,ROWS(Data!$P$2:T104),COLUMNS(Data!$P$3:S105)),IF($Q$1=$P$5,INDEX(prem_analysis!$BH$1:$BS$23,ROWS(Data!$Q$3:T105),COLUMNS(Data!$Q$3:T105)),IF($Q$1=$P$6,INDEX(prem_analysis!$BU$1:$CF$67,ROWS(prem_analysis!$N$2:Q104),COLUMNS(prem_analysis!$N$2:Q104)),IF($Q$1=$P$4,INDEX(Table24[[#All],[Year]:[Details]],ROWS(prem_analysis!$M$420:P522),COLUMNS(Data!$Q$3:T105)))))),"")</f>
        <v/>
      </c>
      <c r="V104" s="1" t="str">
        <f>IFERROR(IF($Q$1=$P$3,INDEX(prem_analysis!$P$2:$Q$441,ROWS(Data!$P$2:U104),COLUMNS(Data!$P$3:T105)),IF($Q$1=$P$5,INDEX(prem_analysis!$BH$1:$BS$23,ROWS(Data!$Q$3:U105),COLUMNS(Data!$Q$3:U105)),IF($Q$1=$P$6,INDEX(prem_analysis!$BU$1:$CF$67,ROWS(prem_analysis!$N$2:R104),COLUMNS(prem_analysis!$N$2:R104)),IF($Q$1=$P$4,INDEX(Table24[[#All],[Year]:[Details]],ROWS(prem_analysis!$M$420:Q522),COLUMNS(Data!$Q$3:U105)))))),"")</f>
        <v/>
      </c>
      <c r="W104" s="1" t="str">
        <f>IFERROR(IF($Q$1=$P$3,INDEX(prem_analysis!$P$2:$Q$441,ROWS(Data!$P$2:V104),COLUMNS(Data!$P$3:U105)),IF($Q$1=$P$5,INDEX(prem_analysis!$BH$1:$BS$23,ROWS(Data!$Q$3:V105),COLUMNS(Data!$Q$3:V105)),IF($Q$1=$P$6,INDEX(prem_analysis!$BU$1:$CF$67,ROWS(prem_analysis!$N$2:S104),COLUMNS(prem_analysis!$N$2:S104)),IF($Q$1=$P$4,INDEX(Table24[[#All],[Year]:[Details]],ROWS(prem_analysis!$M$420:R522),COLUMNS(Data!$Q$3:V105)))))),"")</f>
        <v/>
      </c>
      <c r="X104" s="1" t="str">
        <f>IFERROR(IF($Q$1=$P$3,INDEX(prem_analysis!$P$2:$Q$441,ROWS(Data!$P$2:W104),COLUMNS(Data!$P$3:V105)),IF($Q$1=$P$5,INDEX(prem_analysis!$BH$1:$BS$23,ROWS(Data!$Q$3:W105),COLUMNS(Data!$Q$3:W105)),IF($Q$1=$P$6,INDEX(prem_analysis!$BU$1:$CF$67,ROWS(prem_analysis!$N$2:T104),COLUMNS(prem_analysis!$N$2:T104)),IF($Q$1=$P$4,INDEX(Table24[[#All],[Year]:[Details]],ROWS(prem_analysis!$M$420:S522),COLUMNS(Data!$Q$3:W105)))))),"")</f>
        <v/>
      </c>
      <c r="Y104" s="1" t="str">
        <f>IFERROR(IF($Q$1=$P$3,INDEX(prem_analysis!$P$2:$Q$441,ROWS(Data!$P$2:X104),COLUMNS(Data!$P$3:W105)),IF($Q$1=$P$5,INDEX(prem_analysis!$BH$1:$BS$23,ROWS(Data!$Q$3:X105),COLUMNS(Data!$Q$3:X105)),IF($Q$1=$P$6,INDEX(prem_analysis!$BU$1:$CF$67,ROWS(prem_analysis!$N$2:U104),COLUMNS(prem_analysis!$N$2:U104)),IF($Q$1=$P$4,INDEX(Table24[[#All],[Year]:[Details]],ROWS(prem_analysis!$M$420:T522),COLUMNS(Data!$Q$3:X105)))))),"")</f>
        <v/>
      </c>
      <c r="Z104" s="1" t="str">
        <f>IFERROR(IF($Q$1=$P$3,INDEX(prem_analysis!$P$2:$Q$441,ROWS(Data!$P$2:Y104),COLUMNS(Data!$P$3:X105)),IF($Q$1=$P$5,INDEX(prem_analysis!$BH$1:$BS$23,ROWS(Data!$Q$3:Y105),COLUMNS(Data!$Q$3:Y105)),IF($Q$1=$P$6,INDEX(prem_analysis!$BU$1:$CF$67,ROWS(prem_analysis!$N$2:V104),COLUMNS(prem_analysis!$N$2:V104)),IF($Q$1=$P$4,INDEX(Table24[[#All],[Year]:[Details]],ROWS(prem_analysis!$M$420:U522),COLUMNS(Data!$Q$3:Y105)))))),"")</f>
        <v/>
      </c>
      <c r="AA104" s="1" t="str">
        <f>IFERROR(IF($Q$1=$P$3,INDEX(prem_analysis!$P$2:$Q$441,ROWS(Data!$P$2:Z104),COLUMNS(Data!$P$3:Y105)),IF($Q$1=$P$5,INDEX(prem_analysis!$BH$1:$BS$23,ROWS(Data!$Q$3:Z105),COLUMNS(Data!$Q$3:Z105)),IF($Q$1=$P$6,INDEX(prem_analysis!$BU$1:$CF$67,ROWS(prem_analysis!$N$2:W104),COLUMNS(prem_analysis!$N$2:W104)),IF($Q$1=$P$4,INDEX(Table24[[#All],[Year]:[Details]],ROWS(prem_analysis!$M$420:V522),COLUMNS(Data!$Q$3:Z105)))))),"")</f>
        <v/>
      </c>
      <c r="AB104" s="1" t="str">
        <f>IFERROR(IF($Q$1=$P$3,INDEX(prem_analysis!$P$2:$Q$441,ROWS(Data!$P$2:AA104),COLUMNS(Data!$P$3:Z105)),IF($Q$1=$P$5,INDEX(prem_analysis!$BH$1:$BS$23,ROWS(Data!$Q$3:AA105),COLUMNS(Data!$Q$3:AA105)),IF($Q$1=$P$6,INDEX(prem_analysis!$BU$1:$CF$67,ROWS(prem_analysis!$N$2:X104),COLUMNS(prem_analysis!$N$2:X104)),IF($Q$1=$P$4,INDEX(Table24[[#All],[Year]:[Details]],ROWS(prem_analysis!$M$420:W522),COLUMNS(Data!$Q$3:AA105)))))),"")</f>
        <v/>
      </c>
      <c r="AC104" s="1" t="str">
        <f>IFERROR(IF($Q$1=$P$3,INDEX(prem_analysis!$P$2:$Q$441,ROWS(Data!$P$2:AB104),COLUMNS(Data!$P$3:AA105)),IF($Q$1=$P$5,INDEX(prem_analysis!$BH$1:$BS$23,ROWS(Data!$Q$3:AB105),COLUMNS(Data!$Q$3:AB105)),IF($Q$1=$P$6,INDEX(prem_analysis!$BU$1:$CF$67,ROWS(prem_analysis!$N$2:Y104),COLUMNS(prem_analysis!$N$2:Y104)),IF($Q$1=$P$4,INDEX(Table24[[#All],[Year]:[Details]],ROWS(prem_analysis!$M$420:X522),COLUMNS(Data!$Q$3:AB105)))))),"")</f>
        <v/>
      </c>
    </row>
    <row r="105" spans="1:29" x14ac:dyDescent="0.2">
      <c r="A105" s="5">
        <v>2005</v>
      </c>
      <c r="B105" s="5">
        <v>4</v>
      </c>
      <c r="C105" s="6" t="s">
        <v>12</v>
      </c>
      <c r="D105" s="5">
        <v>38</v>
      </c>
      <c r="E105" s="5">
        <v>20</v>
      </c>
      <c r="F105" s="5">
        <v>7</v>
      </c>
      <c r="G105" s="5">
        <v>11</v>
      </c>
      <c r="H105" s="5">
        <v>68</v>
      </c>
      <c r="I105" s="5">
        <v>31</v>
      </c>
      <c r="J105" s="5">
        <v>37</v>
      </c>
      <c r="K105" s="5">
        <v>67</v>
      </c>
      <c r="L105" s="5">
        <f>IF(Table24[[#This Row],['#]]=1,"Champion", IF(Table24[[#This Row],['#]]&gt;=18,"Relegated",Table24[[#This Row],['#]]))</f>
        <v>4</v>
      </c>
      <c r="M105" s="5" t="str">
        <f>IF(Table24[[#This Row],[Details]]=2,K104-Table24[[#This Row],[Pts]],IF(Table24[[#This Row],[Details]]=17,Table24[[#This Row],[Pts]]-K106,""))</f>
        <v/>
      </c>
      <c r="R105" s="1" t="str">
        <f>IFERROR(IF($Q$1=$P$3,INDEX(prem_analysis!$P$2:$Q$441,ROWS(Data!$P$2:Q105),COLUMNS(Data!$P$3:P106)),IF($Q$1=$P$5,INDEX(prem_analysis!$BH$1:$BS$23,ROWS(Data!$Q$3:Q106),COLUMNS(Data!$Q$3:Q106)),IF($Q$1=$P$6,INDEX(prem_analysis!$BU$1:$CF$67,ROWS(prem_analysis!$N$2:N105),COLUMNS(prem_analysis!$N$2:N105)),IF($Q$1=$P$4,INDEX(Table24[[#All],[Year]:[Details]],ROWS(prem_analysis!$M$420:M523),COLUMNS(Data!$Q$3:Q106)))))),"")</f>
        <v/>
      </c>
      <c r="S105" s="1" t="str">
        <f>IFERROR(IF($Q$1=$P$3,INDEX(prem_analysis!$P$2:$Q$441,ROWS(Data!$P$2:R105),COLUMNS(Data!$P$3:Q106)),IF($Q$1=$P$5,INDEX(prem_analysis!$BH$1:$BS$23,ROWS(Data!$Q$3:R106),COLUMNS(Data!$Q$3:R106)),IF($Q$1=$P$6,INDEX(prem_analysis!$BU$1:$CF$67,ROWS(prem_analysis!$N$2:O105),COLUMNS(prem_analysis!$N$2:O105)),IF($Q$1=$P$4,INDEX(Table24[[#All],[Year]:[Details]],ROWS(prem_analysis!$M$420:N523),COLUMNS(Data!$Q$3:R106)))))),"")</f>
        <v/>
      </c>
      <c r="T105" s="1" t="str">
        <f>IFERROR(IF($Q$1=$P$3,INDEX(prem_analysis!$P$2:$Q$441,ROWS(Data!$P$2:S105),COLUMNS(Data!$P$3:R106)),IF($Q$1=$P$5,INDEX(prem_analysis!$BH$1:$BS$23,ROWS(Data!$Q$3:S106),COLUMNS(Data!$Q$3:S106)),IF($Q$1=$P$6,INDEX(prem_analysis!$BU$1:$CF$67,ROWS(prem_analysis!$N$2:P105),COLUMNS(prem_analysis!$N$2:P105)),IF($Q$1=$P$4,INDEX(Table24[[#All],[Year]:[Details]],ROWS(prem_analysis!$M$420:O523),COLUMNS(Data!$Q$3:S106)))))),"")</f>
        <v/>
      </c>
      <c r="U105" s="1" t="str">
        <f>IFERROR(IF($Q$1=$P$3,INDEX(prem_analysis!$P$2:$Q$441,ROWS(Data!$P$2:T105),COLUMNS(Data!$P$3:S106)),IF($Q$1=$P$5,INDEX(prem_analysis!$BH$1:$BS$23,ROWS(Data!$Q$3:T106),COLUMNS(Data!$Q$3:T106)),IF($Q$1=$P$6,INDEX(prem_analysis!$BU$1:$CF$67,ROWS(prem_analysis!$N$2:Q105),COLUMNS(prem_analysis!$N$2:Q105)),IF($Q$1=$P$4,INDEX(Table24[[#All],[Year]:[Details]],ROWS(prem_analysis!$M$420:P523),COLUMNS(Data!$Q$3:T106)))))),"")</f>
        <v/>
      </c>
      <c r="V105" s="1" t="str">
        <f>IFERROR(IF($Q$1=$P$3,INDEX(prem_analysis!$P$2:$Q$441,ROWS(Data!$P$2:U105),COLUMNS(Data!$P$3:T106)),IF($Q$1=$P$5,INDEX(prem_analysis!$BH$1:$BS$23,ROWS(Data!$Q$3:U106),COLUMNS(Data!$Q$3:U106)),IF($Q$1=$P$6,INDEX(prem_analysis!$BU$1:$CF$67,ROWS(prem_analysis!$N$2:R105),COLUMNS(prem_analysis!$N$2:R105)),IF($Q$1=$P$4,INDEX(Table24[[#All],[Year]:[Details]],ROWS(prem_analysis!$M$420:Q523),COLUMNS(Data!$Q$3:U106)))))),"")</f>
        <v/>
      </c>
      <c r="W105" s="1" t="str">
        <f>IFERROR(IF($Q$1=$P$3,INDEX(prem_analysis!$P$2:$Q$441,ROWS(Data!$P$2:V105),COLUMNS(Data!$P$3:U106)),IF($Q$1=$P$5,INDEX(prem_analysis!$BH$1:$BS$23,ROWS(Data!$Q$3:V106),COLUMNS(Data!$Q$3:V106)),IF($Q$1=$P$6,INDEX(prem_analysis!$BU$1:$CF$67,ROWS(prem_analysis!$N$2:S105),COLUMNS(prem_analysis!$N$2:S105)),IF($Q$1=$P$4,INDEX(Table24[[#All],[Year]:[Details]],ROWS(prem_analysis!$M$420:R523),COLUMNS(Data!$Q$3:V106)))))),"")</f>
        <v/>
      </c>
      <c r="X105" s="1" t="str">
        <f>IFERROR(IF($Q$1=$P$3,INDEX(prem_analysis!$P$2:$Q$441,ROWS(Data!$P$2:W105),COLUMNS(Data!$P$3:V106)),IF($Q$1=$P$5,INDEX(prem_analysis!$BH$1:$BS$23,ROWS(Data!$Q$3:W106),COLUMNS(Data!$Q$3:W106)),IF($Q$1=$P$6,INDEX(prem_analysis!$BU$1:$CF$67,ROWS(prem_analysis!$N$2:T105),COLUMNS(prem_analysis!$N$2:T105)),IF($Q$1=$P$4,INDEX(Table24[[#All],[Year]:[Details]],ROWS(prem_analysis!$M$420:S523),COLUMNS(Data!$Q$3:W106)))))),"")</f>
        <v/>
      </c>
      <c r="Y105" s="1" t="str">
        <f>IFERROR(IF($Q$1=$P$3,INDEX(prem_analysis!$P$2:$Q$441,ROWS(Data!$P$2:X105),COLUMNS(Data!$P$3:W106)),IF($Q$1=$P$5,INDEX(prem_analysis!$BH$1:$BS$23,ROWS(Data!$Q$3:X106),COLUMNS(Data!$Q$3:X106)),IF($Q$1=$P$6,INDEX(prem_analysis!$BU$1:$CF$67,ROWS(prem_analysis!$N$2:U105),COLUMNS(prem_analysis!$N$2:U105)),IF($Q$1=$P$4,INDEX(Table24[[#All],[Year]:[Details]],ROWS(prem_analysis!$M$420:T523),COLUMNS(Data!$Q$3:X106)))))),"")</f>
        <v/>
      </c>
      <c r="Z105" s="1" t="str">
        <f>IFERROR(IF($Q$1=$P$3,INDEX(prem_analysis!$P$2:$Q$441,ROWS(Data!$P$2:Y105),COLUMNS(Data!$P$3:X106)),IF($Q$1=$P$5,INDEX(prem_analysis!$BH$1:$BS$23,ROWS(Data!$Q$3:Y106),COLUMNS(Data!$Q$3:Y106)),IF($Q$1=$P$6,INDEX(prem_analysis!$BU$1:$CF$67,ROWS(prem_analysis!$N$2:V105),COLUMNS(prem_analysis!$N$2:V105)),IF($Q$1=$P$4,INDEX(Table24[[#All],[Year]:[Details]],ROWS(prem_analysis!$M$420:U523),COLUMNS(Data!$Q$3:Y106)))))),"")</f>
        <v/>
      </c>
      <c r="AA105" s="1" t="str">
        <f>IFERROR(IF($Q$1=$P$3,INDEX(prem_analysis!$P$2:$Q$441,ROWS(Data!$P$2:Z105),COLUMNS(Data!$P$3:Y106)),IF($Q$1=$P$5,INDEX(prem_analysis!$BH$1:$BS$23,ROWS(Data!$Q$3:Z106),COLUMNS(Data!$Q$3:Z106)),IF($Q$1=$P$6,INDEX(prem_analysis!$BU$1:$CF$67,ROWS(prem_analysis!$N$2:W105),COLUMNS(prem_analysis!$N$2:W105)),IF($Q$1=$P$4,INDEX(Table24[[#All],[Year]:[Details]],ROWS(prem_analysis!$M$420:V523),COLUMNS(Data!$Q$3:Z106)))))),"")</f>
        <v/>
      </c>
      <c r="AB105" s="1" t="str">
        <f>IFERROR(IF($Q$1=$P$3,INDEX(prem_analysis!$P$2:$Q$441,ROWS(Data!$P$2:AA105),COLUMNS(Data!$P$3:Z106)),IF($Q$1=$P$5,INDEX(prem_analysis!$BH$1:$BS$23,ROWS(Data!$Q$3:AA106),COLUMNS(Data!$Q$3:AA106)),IF($Q$1=$P$6,INDEX(prem_analysis!$BU$1:$CF$67,ROWS(prem_analysis!$N$2:X105),COLUMNS(prem_analysis!$N$2:X105)),IF($Q$1=$P$4,INDEX(Table24[[#All],[Year]:[Details]],ROWS(prem_analysis!$M$420:W523),COLUMNS(Data!$Q$3:AA106)))))),"")</f>
        <v/>
      </c>
      <c r="AC105" s="1" t="str">
        <f>IFERROR(IF($Q$1=$P$3,INDEX(prem_analysis!$P$2:$Q$441,ROWS(Data!$P$2:AB105),COLUMNS(Data!$P$3:AA106)),IF($Q$1=$P$5,INDEX(prem_analysis!$BH$1:$BS$23,ROWS(Data!$Q$3:AB106),COLUMNS(Data!$Q$3:AB106)),IF($Q$1=$P$6,INDEX(prem_analysis!$BU$1:$CF$67,ROWS(prem_analysis!$N$2:Y105),COLUMNS(prem_analysis!$N$2:Y105)),IF($Q$1=$P$4,INDEX(Table24[[#All],[Year]:[Details]],ROWS(prem_analysis!$M$420:X523),COLUMNS(Data!$Q$3:AB106)))))),"")</f>
        <v/>
      </c>
    </row>
    <row r="106" spans="1:29" x14ac:dyDescent="0.2">
      <c r="A106" s="3">
        <v>2005</v>
      </c>
      <c r="B106" s="3">
        <v>5</v>
      </c>
      <c r="C106" s="4" t="s">
        <v>22</v>
      </c>
      <c r="D106" s="3">
        <v>38</v>
      </c>
      <c r="E106" s="3">
        <v>18</v>
      </c>
      <c r="F106" s="3">
        <v>11</v>
      </c>
      <c r="G106" s="3">
        <v>9</v>
      </c>
      <c r="H106" s="3">
        <v>53</v>
      </c>
      <c r="I106" s="3">
        <v>38</v>
      </c>
      <c r="J106" s="3">
        <v>15</v>
      </c>
      <c r="K106" s="3">
        <v>65</v>
      </c>
      <c r="L106" s="5">
        <f>IF(Table24[[#This Row],['#]]=1,"Champion", IF(Table24[[#This Row],['#]]&gt;=18,"Relegated",Table24[[#This Row],['#]]))</f>
        <v>5</v>
      </c>
      <c r="M106" s="5" t="str">
        <f>IF(Table24[[#This Row],[Details]]=2,K105-Table24[[#This Row],[Pts]],IF(Table24[[#This Row],[Details]]=17,Table24[[#This Row],[Pts]]-K107,""))</f>
        <v/>
      </c>
      <c r="R106" s="1" t="str">
        <f>IFERROR(IF($Q$1=$P$3,INDEX(prem_analysis!$P$2:$Q$441,ROWS(Data!$P$2:Q106),COLUMNS(Data!$P$3:P107)),IF($Q$1=$P$5,INDEX(prem_analysis!$BH$1:$BS$23,ROWS(Data!$Q$3:Q107),COLUMNS(Data!$Q$3:Q107)),IF($Q$1=$P$6,INDEX(prem_analysis!$BU$1:$CF$67,ROWS(prem_analysis!$N$2:N106),COLUMNS(prem_analysis!$N$2:N106)),IF($Q$1=$P$4,INDEX(Table24[[#All],[Year]:[Details]],ROWS(prem_analysis!$M$420:M524),COLUMNS(Data!$Q$3:Q107)))))),"")</f>
        <v/>
      </c>
      <c r="S106" s="1" t="str">
        <f>IFERROR(IF($Q$1=$P$3,INDEX(prem_analysis!$P$2:$Q$441,ROWS(Data!$P$2:R106),COLUMNS(Data!$P$3:Q107)),IF($Q$1=$P$5,INDEX(prem_analysis!$BH$1:$BS$23,ROWS(Data!$Q$3:R107),COLUMNS(Data!$Q$3:R107)),IF($Q$1=$P$6,INDEX(prem_analysis!$BU$1:$CF$67,ROWS(prem_analysis!$N$2:O106),COLUMNS(prem_analysis!$N$2:O106)),IF($Q$1=$P$4,INDEX(Table24[[#All],[Year]:[Details]],ROWS(prem_analysis!$M$420:N524),COLUMNS(Data!$Q$3:R107)))))),"")</f>
        <v/>
      </c>
      <c r="T106" s="1" t="str">
        <f>IFERROR(IF($Q$1=$P$3,INDEX(prem_analysis!$P$2:$Q$441,ROWS(Data!$P$2:S106),COLUMNS(Data!$P$3:R107)),IF($Q$1=$P$5,INDEX(prem_analysis!$BH$1:$BS$23,ROWS(Data!$Q$3:S107),COLUMNS(Data!$Q$3:S107)),IF($Q$1=$P$6,INDEX(prem_analysis!$BU$1:$CF$67,ROWS(prem_analysis!$N$2:P106),COLUMNS(prem_analysis!$N$2:P106)),IF($Q$1=$P$4,INDEX(Table24[[#All],[Year]:[Details]],ROWS(prem_analysis!$M$420:O524),COLUMNS(Data!$Q$3:S107)))))),"")</f>
        <v/>
      </c>
      <c r="U106" s="1" t="str">
        <f>IFERROR(IF($Q$1=$P$3,INDEX(prem_analysis!$P$2:$Q$441,ROWS(Data!$P$2:T106),COLUMNS(Data!$P$3:S107)),IF($Q$1=$P$5,INDEX(prem_analysis!$BH$1:$BS$23,ROWS(Data!$Q$3:T107),COLUMNS(Data!$Q$3:T107)),IF($Q$1=$P$6,INDEX(prem_analysis!$BU$1:$CF$67,ROWS(prem_analysis!$N$2:Q106),COLUMNS(prem_analysis!$N$2:Q106)),IF($Q$1=$P$4,INDEX(Table24[[#All],[Year]:[Details]],ROWS(prem_analysis!$M$420:P524),COLUMNS(Data!$Q$3:T107)))))),"")</f>
        <v/>
      </c>
      <c r="V106" s="1" t="str">
        <f>IFERROR(IF($Q$1=$P$3,INDEX(prem_analysis!$P$2:$Q$441,ROWS(Data!$P$2:U106),COLUMNS(Data!$P$3:T107)),IF($Q$1=$P$5,INDEX(prem_analysis!$BH$1:$BS$23,ROWS(Data!$Q$3:U107),COLUMNS(Data!$Q$3:U107)),IF($Q$1=$P$6,INDEX(prem_analysis!$BU$1:$CF$67,ROWS(prem_analysis!$N$2:R106),COLUMNS(prem_analysis!$N$2:R106)),IF($Q$1=$P$4,INDEX(Table24[[#All],[Year]:[Details]],ROWS(prem_analysis!$M$420:Q524),COLUMNS(Data!$Q$3:U107)))))),"")</f>
        <v/>
      </c>
      <c r="W106" s="1" t="str">
        <f>IFERROR(IF($Q$1=$P$3,INDEX(prem_analysis!$P$2:$Q$441,ROWS(Data!$P$2:V106),COLUMNS(Data!$P$3:U107)),IF($Q$1=$P$5,INDEX(prem_analysis!$BH$1:$BS$23,ROWS(Data!$Q$3:V107),COLUMNS(Data!$Q$3:V107)),IF($Q$1=$P$6,INDEX(prem_analysis!$BU$1:$CF$67,ROWS(prem_analysis!$N$2:S106),COLUMNS(prem_analysis!$N$2:S106)),IF($Q$1=$P$4,INDEX(Table24[[#All],[Year]:[Details]],ROWS(prem_analysis!$M$420:R524),COLUMNS(Data!$Q$3:V107)))))),"")</f>
        <v/>
      </c>
      <c r="X106" s="1" t="str">
        <f>IFERROR(IF($Q$1=$P$3,INDEX(prem_analysis!$P$2:$Q$441,ROWS(Data!$P$2:W106),COLUMNS(Data!$P$3:V107)),IF($Q$1=$P$5,INDEX(prem_analysis!$BH$1:$BS$23,ROWS(Data!$Q$3:W107),COLUMNS(Data!$Q$3:W107)),IF($Q$1=$P$6,INDEX(prem_analysis!$BU$1:$CF$67,ROWS(prem_analysis!$N$2:T106),COLUMNS(prem_analysis!$N$2:T106)),IF($Q$1=$P$4,INDEX(Table24[[#All],[Year]:[Details]],ROWS(prem_analysis!$M$420:S524),COLUMNS(Data!$Q$3:W107)))))),"")</f>
        <v/>
      </c>
      <c r="Y106" s="1" t="str">
        <f>IFERROR(IF($Q$1=$P$3,INDEX(prem_analysis!$P$2:$Q$441,ROWS(Data!$P$2:X106),COLUMNS(Data!$P$3:W107)),IF($Q$1=$P$5,INDEX(prem_analysis!$BH$1:$BS$23,ROWS(Data!$Q$3:X107),COLUMNS(Data!$Q$3:X107)),IF($Q$1=$P$6,INDEX(prem_analysis!$BU$1:$CF$67,ROWS(prem_analysis!$N$2:U106),COLUMNS(prem_analysis!$N$2:U106)),IF($Q$1=$P$4,INDEX(Table24[[#All],[Year]:[Details]],ROWS(prem_analysis!$M$420:T524),COLUMNS(Data!$Q$3:X107)))))),"")</f>
        <v/>
      </c>
      <c r="Z106" s="1" t="str">
        <f>IFERROR(IF($Q$1=$P$3,INDEX(prem_analysis!$P$2:$Q$441,ROWS(Data!$P$2:Y106),COLUMNS(Data!$P$3:X107)),IF($Q$1=$P$5,INDEX(prem_analysis!$BH$1:$BS$23,ROWS(Data!$Q$3:Y107),COLUMNS(Data!$Q$3:Y107)),IF($Q$1=$P$6,INDEX(prem_analysis!$BU$1:$CF$67,ROWS(prem_analysis!$N$2:V106),COLUMNS(prem_analysis!$N$2:V106)),IF($Q$1=$P$4,INDEX(Table24[[#All],[Year]:[Details]],ROWS(prem_analysis!$M$420:U524),COLUMNS(Data!$Q$3:Y107)))))),"")</f>
        <v/>
      </c>
      <c r="AA106" s="1" t="str">
        <f>IFERROR(IF($Q$1=$P$3,INDEX(prem_analysis!$P$2:$Q$441,ROWS(Data!$P$2:Z106),COLUMNS(Data!$P$3:Y107)),IF($Q$1=$P$5,INDEX(prem_analysis!$BH$1:$BS$23,ROWS(Data!$Q$3:Z107),COLUMNS(Data!$Q$3:Z107)),IF($Q$1=$P$6,INDEX(prem_analysis!$BU$1:$CF$67,ROWS(prem_analysis!$N$2:W106),COLUMNS(prem_analysis!$N$2:W106)),IF($Q$1=$P$4,INDEX(Table24[[#All],[Year]:[Details]],ROWS(prem_analysis!$M$420:V524),COLUMNS(Data!$Q$3:Z107)))))),"")</f>
        <v/>
      </c>
      <c r="AB106" s="1" t="str">
        <f>IFERROR(IF($Q$1=$P$3,INDEX(prem_analysis!$P$2:$Q$441,ROWS(Data!$P$2:AA106),COLUMNS(Data!$P$3:Z107)),IF($Q$1=$P$5,INDEX(prem_analysis!$BH$1:$BS$23,ROWS(Data!$Q$3:AA107),COLUMNS(Data!$Q$3:AA107)),IF($Q$1=$P$6,INDEX(prem_analysis!$BU$1:$CF$67,ROWS(prem_analysis!$N$2:X106),COLUMNS(prem_analysis!$N$2:X106)),IF($Q$1=$P$4,INDEX(Table24[[#All],[Year]:[Details]],ROWS(prem_analysis!$M$420:W524),COLUMNS(Data!$Q$3:AA107)))))),"")</f>
        <v/>
      </c>
      <c r="AC106" s="1" t="str">
        <f>IFERROR(IF($Q$1=$P$3,INDEX(prem_analysis!$P$2:$Q$441,ROWS(Data!$P$2:AB106),COLUMNS(Data!$P$3:AA107)),IF($Q$1=$P$5,INDEX(prem_analysis!$BH$1:$BS$23,ROWS(Data!$Q$3:AB107),COLUMNS(Data!$Q$3:AB107)),IF($Q$1=$P$6,INDEX(prem_analysis!$BU$1:$CF$67,ROWS(prem_analysis!$N$2:Y106),COLUMNS(prem_analysis!$N$2:Y106)),IF($Q$1=$P$4,INDEX(Table24[[#All],[Year]:[Details]],ROWS(prem_analysis!$M$420:X524),COLUMNS(Data!$Q$3:AB107)))))),"")</f>
        <v/>
      </c>
    </row>
    <row r="107" spans="1:29" x14ac:dyDescent="0.2">
      <c r="A107" s="5">
        <v>2005</v>
      </c>
      <c r="B107" s="5">
        <v>6</v>
      </c>
      <c r="C107" s="6" t="s">
        <v>31</v>
      </c>
      <c r="D107" s="5">
        <v>38</v>
      </c>
      <c r="E107" s="5">
        <v>19</v>
      </c>
      <c r="F107" s="5">
        <v>6</v>
      </c>
      <c r="G107" s="5">
        <v>13</v>
      </c>
      <c r="H107" s="5">
        <v>51</v>
      </c>
      <c r="I107" s="5">
        <v>42</v>
      </c>
      <c r="J107" s="5">
        <v>9</v>
      </c>
      <c r="K107" s="5">
        <v>63</v>
      </c>
      <c r="L107" s="5">
        <f>IF(Table24[[#This Row],['#]]=1,"Champion", IF(Table24[[#This Row],['#]]&gt;=18,"Relegated",Table24[[#This Row],['#]]))</f>
        <v>6</v>
      </c>
      <c r="M107" s="5" t="str">
        <f>IF(Table24[[#This Row],[Details]]=2,K106-Table24[[#This Row],[Pts]],IF(Table24[[#This Row],[Details]]=17,Table24[[#This Row],[Pts]]-K108,""))</f>
        <v/>
      </c>
      <c r="R107" s="1" t="str">
        <f>IFERROR(IF($Q$1=$P$3,INDEX(prem_analysis!$P$2:$Q$441,ROWS(Data!$P$2:Q107),COLUMNS(Data!$P$3:P108)),IF($Q$1=$P$5,INDEX(prem_analysis!$BH$1:$BS$23,ROWS(Data!$Q$3:Q108),COLUMNS(Data!$Q$3:Q108)),IF($Q$1=$P$6,INDEX(prem_analysis!$BU$1:$CF$67,ROWS(prem_analysis!$N$2:N107),COLUMNS(prem_analysis!$N$2:N107)),IF($Q$1=$P$4,INDEX(Table24[[#All],[Year]:[Details]],ROWS(prem_analysis!$M$420:M525),COLUMNS(Data!$Q$3:Q108)))))),"")</f>
        <v/>
      </c>
      <c r="S107" s="1" t="str">
        <f>IFERROR(IF($Q$1=$P$3,INDEX(prem_analysis!$P$2:$Q$441,ROWS(Data!$P$2:R107),COLUMNS(Data!$P$3:Q108)),IF($Q$1=$P$5,INDEX(prem_analysis!$BH$1:$BS$23,ROWS(Data!$Q$3:R108),COLUMNS(Data!$Q$3:R108)),IF($Q$1=$P$6,INDEX(prem_analysis!$BU$1:$CF$67,ROWS(prem_analysis!$N$2:O107),COLUMNS(prem_analysis!$N$2:O107)),IF($Q$1=$P$4,INDEX(Table24[[#All],[Year]:[Details]],ROWS(prem_analysis!$M$420:N525),COLUMNS(Data!$Q$3:R108)))))),"")</f>
        <v/>
      </c>
      <c r="T107" s="1" t="str">
        <f>IFERROR(IF($Q$1=$P$3,INDEX(prem_analysis!$P$2:$Q$441,ROWS(Data!$P$2:S107),COLUMNS(Data!$P$3:R108)),IF($Q$1=$P$5,INDEX(prem_analysis!$BH$1:$BS$23,ROWS(Data!$Q$3:S108),COLUMNS(Data!$Q$3:S108)),IF($Q$1=$P$6,INDEX(prem_analysis!$BU$1:$CF$67,ROWS(prem_analysis!$N$2:P107),COLUMNS(prem_analysis!$N$2:P107)),IF($Q$1=$P$4,INDEX(Table24[[#All],[Year]:[Details]],ROWS(prem_analysis!$M$420:O525),COLUMNS(Data!$Q$3:S108)))))),"")</f>
        <v/>
      </c>
      <c r="U107" s="1" t="str">
        <f>IFERROR(IF($Q$1=$P$3,INDEX(prem_analysis!$P$2:$Q$441,ROWS(Data!$P$2:T107),COLUMNS(Data!$P$3:S108)),IF($Q$1=$P$5,INDEX(prem_analysis!$BH$1:$BS$23,ROWS(Data!$Q$3:T108),COLUMNS(Data!$Q$3:T108)),IF($Q$1=$P$6,INDEX(prem_analysis!$BU$1:$CF$67,ROWS(prem_analysis!$N$2:Q107),COLUMNS(prem_analysis!$N$2:Q107)),IF($Q$1=$P$4,INDEX(Table24[[#All],[Year]:[Details]],ROWS(prem_analysis!$M$420:P525),COLUMNS(Data!$Q$3:T108)))))),"")</f>
        <v/>
      </c>
      <c r="V107" s="1" t="str">
        <f>IFERROR(IF($Q$1=$P$3,INDEX(prem_analysis!$P$2:$Q$441,ROWS(Data!$P$2:U107),COLUMNS(Data!$P$3:T108)),IF($Q$1=$P$5,INDEX(prem_analysis!$BH$1:$BS$23,ROWS(Data!$Q$3:U108),COLUMNS(Data!$Q$3:U108)),IF($Q$1=$P$6,INDEX(prem_analysis!$BU$1:$CF$67,ROWS(prem_analysis!$N$2:R107),COLUMNS(prem_analysis!$N$2:R107)),IF($Q$1=$P$4,INDEX(Table24[[#All],[Year]:[Details]],ROWS(prem_analysis!$M$420:Q525),COLUMNS(Data!$Q$3:U108)))))),"")</f>
        <v/>
      </c>
      <c r="W107" s="1" t="str">
        <f>IFERROR(IF($Q$1=$P$3,INDEX(prem_analysis!$P$2:$Q$441,ROWS(Data!$P$2:V107),COLUMNS(Data!$P$3:U108)),IF($Q$1=$P$5,INDEX(prem_analysis!$BH$1:$BS$23,ROWS(Data!$Q$3:V108),COLUMNS(Data!$Q$3:V108)),IF($Q$1=$P$6,INDEX(prem_analysis!$BU$1:$CF$67,ROWS(prem_analysis!$N$2:S107),COLUMNS(prem_analysis!$N$2:S107)),IF($Q$1=$P$4,INDEX(Table24[[#All],[Year]:[Details]],ROWS(prem_analysis!$M$420:R525),COLUMNS(Data!$Q$3:V108)))))),"")</f>
        <v/>
      </c>
      <c r="X107" s="1" t="str">
        <f>IFERROR(IF($Q$1=$P$3,INDEX(prem_analysis!$P$2:$Q$441,ROWS(Data!$P$2:W107),COLUMNS(Data!$P$3:V108)),IF($Q$1=$P$5,INDEX(prem_analysis!$BH$1:$BS$23,ROWS(Data!$Q$3:W108),COLUMNS(Data!$Q$3:W108)),IF($Q$1=$P$6,INDEX(prem_analysis!$BU$1:$CF$67,ROWS(prem_analysis!$N$2:T107),COLUMNS(prem_analysis!$N$2:T107)),IF($Q$1=$P$4,INDEX(Table24[[#All],[Year]:[Details]],ROWS(prem_analysis!$M$420:S525),COLUMNS(Data!$Q$3:W108)))))),"")</f>
        <v/>
      </c>
      <c r="Y107" s="1" t="str">
        <f>IFERROR(IF($Q$1=$P$3,INDEX(prem_analysis!$P$2:$Q$441,ROWS(Data!$P$2:X107),COLUMNS(Data!$P$3:W108)),IF($Q$1=$P$5,INDEX(prem_analysis!$BH$1:$BS$23,ROWS(Data!$Q$3:X108),COLUMNS(Data!$Q$3:X108)),IF($Q$1=$P$6,INDEX(prem_analysis!$BU$1:$CF$67,ROWS(prem_analysis!$N$2:U107),COLUMNS(prem_analysis!$N$2:U107)),IF($Q$1=$P$4,INDEX(Table24[[#All],[Year]:[Details]],ROWS(prem_analysis!$M$420:T525),COLUMNS(Data!$Q$3:X108)))))),"")</f>
        <v/>
      </c>
      <c r="Z107" s="1" t="str">
        <f>IFERROR(IF($Q$1=$P$3,INDEX(prem_analysis!$P$2:$Q$441,ROWS(Data!$P$2:Y107),COLUMNS(Data!$P$3:X108)),IF($Q$1=$P$5,INDEX(prem_analysis!$BH$1:$BS$23,ROWS(Data!$Q$3:Y108),COLUMNS(Data!$Q$3:Y108)),IF($Q$1=$P$6,INDEX(prem_analysis!$BU$1:$CF$67,ROWS(prem_analysis!$N$2:V107),COLUMNS(prem_analysis!$N$2:V107)),IF($Q$1=$P$4,INDEX(Table24[[#All],[Year]:[Details]],ROWS(prem_analysis!$M$420:U525),COLUMNS(Data!$Q$3:Y108)))))),"")</f>
        <v/>
      </c>
      <c r="AA107" s="1" t="str">
        <f>IFERROR(IF($Q$1=$P$3,INDEX(prem_analysis!$P$2:$Q$441,ROWS(Data!$P$2:Z107),COLUMNS(Data!$P$3:Y108)),IF($Q$1=$P$5,INDEX(prem_analysis!$BH$1:$BS$23,ROWS(Data!$Q$3:Z108),COLUMNS(Data!$Q$3:Z108)),IF($Q$1=$P$6,INDEX(prem_analysis!$BU$1:$CF$67,ROWS(prem_analysis!$N$2:W107),COLUMNS(prem_analysis!$N$2:W107)),IF($Q$1=$P$4,INDEX(Table24[[#All],[Year]:[Details]],ROWS(prem_analysis!$M$420:V525),COLUMNS(Data!$Q$3:Z108)))))),"")</f>
        <v/>
      </c>
      <c r="AB107" s="1" t="str">
        <f>IFERROR(IF($Q$1=$P$3,INDEX(prem_analysis!$P$2:$Q$441,ROWS(Data!$P$2:AA107),COLUMNS(Data!$P$3:Z108)),IF($Q$1=$P$5,INDEX(prem_analysis!$BH$1:$BS$23,ROWS(Data!$Q$3:AA108),COLUMNS(Data!$Q$3:AA108)),IF($Q$1=$P$6,INDEX(prem_analysis!$BU$1:$CF$67,ROWS(prem_analysis!$N$2:X107),COLUMNS(prem_analysis!$N$2:X107)),IF($Q$1=$P$4,INDEX(Table24[[#All],[Year]:[Details]],ROWS(prem_analysis!$M$420:W525),COLUMNS(Data!$Q$3:AA108)))))),"")</f>
        <v/>
      </c>
      <c r="AC107" s="1" t="str">
        <f>IFERROR(IF($Q$1=$P$3,INDEX(prem_analysis!$P$2:$Q$441,ROWS(Data!$P$2:AB107),COLUMNS(Data!$P$3:AA108)),IF($Q$1=$P$5,INDEX(prem_analysis!$BH$1:$BS$23,ROWS(Data!$Q$3:AB108),COLUMNS(Data!$Q$3:AB108)),IF($Q$1=$P$6,INDEX(prem_analysis!$BU$1:$CF$67,ROWS(prem_analysis!$N$2:Y107),COLUMNS(prem_analysis!$N$2:Y107)),IF($Q$1=$P$4,INDEX(Table24[[#All],[Year]:[Details]],ROWS(prem_analysis!$M$420:X525),COLUMNS(Data!$Q$3:AB108)))))),"")</f>
        <v/>
      </c>
    </row>
    <row r="108" spans="1:29" x14ac:dyDescent="0.2">
      <c r="A108" s="3">
        <v>2005</v>
      </c>
      <c r="B108" s="3">
        <v>7</v>
      </c>
      <c r="C108" s="4" t="s">
        <v>21</v>
      </c>
      <c r="D108" s="3">
        <v>38</v>
      </c>
      <c r="E108" s="3">
        <v>17</v>
      </c>
      <c r="F108" s="3">
        <v>7</v>
      </c>
      <c r="G108" s="3">
        <v>14</v>
      </c>
      <c r="H108" s="3">
        <v>47</v>
      </c>
      <c r="I108" s="3">
        <v>42</v>
      </c>
      <c r="J108" s="3">
        <v>5</v>
      </c>
      <c r="K108" s="3">
        <v>58</v>
      </c>
      <c r="L108" s="5">
        <f>IF(Table24[[#This Row],['#]]=1,"Champion", IF(Table24[[#This Row],['#]]&gt;=18,"Relegated",Table24[[#This Row],['#]]))</f>
        <v>7</v>
      </c>
      <c r="M108" s="5" t="str">
        <f>IF(Table24[[#This Row],[Details]]=2,K107-Table24[[#This Row],[Pts]],IF(Table24[[#This Row],[Details]]=17,Table24[[#This Row],[Pts]]-K109,""))</f>
        <v/>
      </c>
      <c r="R108" s="1" t="str">
        <f>IFERROR(IF($Q$1=$P$3,INDEX(prem_analysis!$P$2:$Q$441,ROWS(Data!$P$2:Q108),COLUMNS(Data!$P$3:P109)),IF($Q$1=$P$5,INDEX(prem_analysis!$BH$1:$BS$23,ROWS(Data!$Q$3:Q109),COLUMNS(Data!$Q$3:Q109)),IF($Q$1=$P$6,INDEX(prem_analysis!$BU$1:$CF$67,ROWS(prem_analysis!$N$2:N108),COLUMNS(prem_analysis!$N$2:N108)),IF($Q$1=$P$4,INDEX(Table24[[#All],[Year]:[Details]],ROWS(prem_analysis!$M$420:M526),COLUMNS(Data!$Q$3:Q109)))))),"")</f>
        <v/>
      </c>
      <c r="S108" s="1" t="str">
        <f>IFERROR(IF($Q$1=$P$3,INDEX(prem_analysis!$P$2:$Q$441,ROWS(Data!$P$2:R108),COLUMNS(Data!$P$3:Q109)),IF($Q$1=$P$5,INDEX(prem_analysis!$BH$1:$BS$23,ROWS(Data!$Q$3:R109),COLUMNS(Data!$Q$3:R109)),IF($Q$1=$P$6,INDEX(prem_analysis!$BU$1:$CF$67,ROWS(prem_analysis!$N$2:O108),COLUMNS(prem_analysis!$N$2:O108)),IF($Q$1=$P$4,INDEX(Table24[[#All],[Year]:[Details]],ROWS(prem_analysis!$M$420:N526),COLUMNS(Data!$Q$3:R109)))))),"")</f>
        <v/>
      </c>
      <c r="T108" s="1" t="str">
        <f>IFERROR(IF($Q$1=$P$3,INDEX(prem_analysis!$P$2:$Q$441,ROWS(Data!$P$2:S108),COLUMNS(Data!$P$3:R109)),IF($Q$1=$P$5,INDEX(prem_analysis!$BH$1:$BS$23,ROWS(Data!$Q$3:S109),COLUMNS(Data!$Q$3:S109)),IF($Q$1=$P$6,INDEX(prem_analysis!$BU$1:$CF$67,ROWS(prem_analysis!$N$2:P108),COLUMNS(prem_analysis!$N$2:P108)),IF($Q$1=$P$4,INDEX(Table24[[#All],[Year]:[Details]],ROWS(prem_analysis!$M$420:O526),COLUMNS(Data!$Q$3:S109)))))),"")</f>
        <v/>
      </c>
      <c r="U108" s="1" t="str">
        <f>IFERROR(IF($Q$1=$P$3,INDEX(prem_analysis!$P$2:$Q$441,ROWS(Data!$P$2:T108),COLUMNS(Data!$P$3:S109)),IF($Q$1=$P$5,INDEX(prem_analysis!$BH$1:$BS$23,ROWS(Data!$Q$3:T109),COLUMNS(Data!$Q$3:T109)),IF($Q$1=$P$6,INDEX(prem_analysis!$BU$1:$CF$67,ROWS(prem_analysis!$N$2:Q108),COLUMNS(prem_analysis!$N$2:Q108)),IF($Q$1=$P$4,INDEX(Table24[[#All],[Year]:[Details]],ROWS(prem_analysis!$M$420:P526),COLUMNS(Data!$Q$3:T109)))))),"")</f>
        <v/>
      </c>
      <c r="V108" s="1" t="str">
        <f>IFERROR(IF($Q$1=$P$3,INDEX(prem_analysis!$P$2:$Q$441,ROWS(Data!$P$2:U108),COLUMNS(Data!$P$3:T109)),IF($Q$1=$P$5,INDEX(prem_analysis!$BH$1:$BS$23,ROWS(Data!$Q$3:U109),COLUMNS(Data!$Q$3:U109)),IF($Q$1=$P$6,INDEX(prem_analysis!$BU$1:$CF$67,ROWS(prem_analysis!$N$2:R108),COLUMNS(prem_analysis!$N$2:R108)),IF($Q$1=$P$4,INDEX(Table24[[#All],[Year]:[Details]],ROWS(prem_analysis!$M$420:Q526),COLUMNS(Data!$Q$3:U109)))))),"")</f>
        <v/>
      </c>
      <c r="W108" s="1" t="str">
        <f>IFERROR(IF($Q$1=$P$3,INDEX(prem_analysis!$P$2:$Q$441,ROWS(Data!$P$2:V108),COLUMNS(Data!$P$3:U109)),IF($Q$1=$P$5,INDEX(prem_analysis!$BH$1:$BS$23,ROWS(Data!$Q$3:V109),COLUMNS(Data!$Q$3:V109)),IF($Q$1=$P$6,INDEX(prem_analysis!$BU$1:$CF$67,ROWS(prem_analysis!$N$2:S108),COLUMNS(prem_analysis!$N$2:S108)),IF($Q$1=$P$4,INDEX(Table24[[#All],[Year]:[Details]],ROWS(prem_analysis!$M$420:R526),COLUMNS(Data!$Q$3:V109)))))),"")</f>
        <v/>
      </c>
      <c r="X108" s="1" t="str">
        <f>IFERROR(IF($Q$1=$P$3,INDEX(prem_analysis!$P$2:$Q$441,ROWS(Data!$P$2:W108),COLUMNS(Data!$P$3:V109)),IF($Q$1=$P$5,INDEX(prem_analysis!$BH$1:$BS$23,ROWS(Data!$Q$3:W109),COLUMNS(Data!$Q$3:W109)),IF($Q$1=$P$6,INDEX(prem_analysis!$BU$1:$CF$67,ROWS(prem_analysis!$N$2:T108),COLUMNS(prem_analysis!$N$2:T108)),IF($Q$1=$P$4,INDEX(Table24[[#All],[Year]:[Details]],ROWS(prem_analysis!$M$420:S526),COLUMNS(Data!$Q$3:W109)))))),"")</f>
        <v/>
      </c>
      <c r="Y108" s="1" t="str">
        <f>IFERROR(IF($Q$1=$P$3,INDEX(prem_analysis!$P$2:$Q$441,ROWS(Data!$P$2:X108),COLUMNS(Data!$P$3:W109)),IF($Q$1=$P$5,INDEX(prem_analysis!$BH$1:$BS$23,ROWS(Data!$Q$3:X109),COLUMNS(Data!$Q$3:X109)),IF($Q$1=$P$6,INDEX(prem_analysis!$BU$1:$CF$67,ROWS(prem_analysis!$N$2:U108),COLUMNS(prem_analysis!$N$2:U108)),IF($Q$1=$P$4,INDEX(Table24[[#All],[Year]:[Details]],ROWS(prem_analysis!$M$420:T526),COLUMNS(Data!$Q$3:X109)))))),"")</f>
        <v/>
      </c>
      <c r="Z108" s="1" t="str">
        <f>IFERROR(IF($Q$1=$P$3,INDEX(prem_analysis!$P$2:$Q$441,ROWS(Data!$P$2:Y108),COLUMNS(Data!$P$3:X109)),IF($Q$1=$P$5,INDEX(prem_analysis!$BH$1:$BS$23,ROWS(Data!$Q$3:Y109),COLUMNS(Data!$Q$3:Y109)),IF($Q$1=$P$6,INDEX(prem_analysis!$BU$1:$CF$67,ROWS(prem_analysis!$N$2:V108),COLUMNS(prem_analysis!$N$2:V108)),IF($Q$1=$P$4,INDEX(Table24[[#All],[Year]:[Details]],ROWS(prem_analysis!$M$420:U526),COLUMNS(Data!$Q$3:Y109)))))),"")</f>
        <v/>
      </c>
      <c r="AA108" s="1" t="str">
        <f>IFERROR(IF($Q$1=$P$3,INDEX(prem_analysis!$P$2:$Q$441,ROWS(Data!$P$2:Z108),COLUMNS(Data!$P$3:Y109)),IF($Q$1=$P$5,INDEX(prem_analysis!$BH$1:$BS$23,ROWS(Data!$Q$3:Z109),COLUMNS(Data!$Q$3:Z109)),IF($Q$1=$P$6,INDEX(prem_analysis!$BU$1:$CF$67,ROWS(prem_analysis!$N$2:W108),COLUMNS(prem_analysis!$N$2:W108)),IF($Q$1=$P$4,INDEX(Table24[[#All],[Year]:[Details]],ROWS(prem_analysis!$M$420:V526),COLUMNS(Data!$Q$3:Z109)))))),"")</f>
        <v/>
      </c>
      <c r="AB108" s="1" t="str">
        <f>IFERROR(IF($Q$1=$P$3,INDEX(prem_analysis!$P$2:$Q$441,ROWS(Data!$P$2:AA108),COLUMNS(Data!$P$3:Z109)),IF($Q$1=$P$5,INDEX(prem_analysis!$BH$1:$BS$23,ROWS(Data!$Q$3:AA109),COLUMNS(Data!$Q$3:AA109)),IF($Q$1=$P$6,INDEX(prem_analysis!$BU$1:$CF$67,ROWS(prem_analysis!$N$2:X108),COLUMNS(prem_analysis!$N$2:X108)),IF($Q$1=$P$4,INDEX(Table24[[#All],[Year]:[Details]],ROWS(prem_analysis!$M$420:W526),COLUMNS(Data!$Q$3:AA109)))))),"")</f>
        <v/>
      </c>
      <c r="AC108" s="1" t="str">
        <f>IFERROR(IF($Q$1=$P$3,INDEX(prem_analysis!$P$2:$Q$441,ROWS(Data!$P$2:AB108),COLUMNS(Data!$P$3:AA109)),IF($Q$1=$P$5,INDEX(prem_analysis!$BH$1:$BS$23,ROWS(Data!$Q$3:AB109),COLUMNS(Data!$Q$3:AB109)),IF($Q$1=$P$6,INDEX(prem_analysis!$BU$1:$CF$67,ROWS(prem_analysis!$N$2:Y108),COLUMNS(prem_analysis!$N$2:Y108)),IF($Q$1=$P$4,INDEX(Table24[[#All],[Year]:[Details]],ROWS(prem_analysis!$M$420:X526),COLUMNS(Data!$Q$3:AB109)))))),"")</f>
        <v/>
      </c>
    </row>
    <row r="109" spans="1:29" x14ac:dyDescent="0.2">
      <c r="A109" s="5">
        <v>2005</v>
      </c>
      <c r="B109" s="5">
        <v>8</v>
      </c>
      <c r="C109" s="6" t="s">
        <v>33</v>
      </c>
      <c r="D109" s="5">
        <v>38</v>
      </c>
      <c r="E109" s="5">
        <v>15</v>
      </c>
      <c r="F109" s="5">
        <v>11</v>
      </c>
      <c r="G109" s="5">
        <v>12</v>
      </c>
      <c r="H109" s="5">
        <v>49</v>
      </c>
      <c r="I109" s="5">
        <v>41</v>
      </c>
      <c r="J109" s="5">
        <v>8</v>
      </c>
      <c r="K109" s="5">
        <v>56</v>
      </c>
      <c r="L109" s="5">
        <f>IF(Table24[[#This Row],['#]]=1,"Champion", IF(Table24[[#This Row],['#]]&gt;=18,"Relegated",Table24[[#This Row],['#]]))</f>
        <v>8</v>
      </c>
      <c r="M109" s="5" t="str">
        <f>IF(Table24[[#This Row],[Details]]=2,K108-Table24[[#This Row],[Pts]],IF(Table24[[#This Row],[Details]]=17,Table24[[#This Row],[Pts]]-K110,""))</f>
        <v/>
      </c>
      <c r="R109" s="1" t="str">
        <f>IFERROR(IF($Q$1=$P$3,INDEX(prem_analysis!$P$2:$Q$441,ROWS(Data!$P$2:Q109),COLUMNS(Data!$P$3:P110)),IF($Q$1=$P$5,INDEX(prem_analysis!$BH$1:$BS$23,ROWS(Data!$Q$3:Q110),COLUMNS(Data!$Q$3:Q110)),IF($Q$1=$P$6,INDEX(prem_analysis!$BU$1:$CF$67,ROWS(prem_analysis!$N$2:N109),COLUMNS(prem_analysis!$N$2:N109)),IF($Q$1=$P$4,INDEX(Table24[[#All],[Year]:[Details]],ROWS(prem_analysis!$M$420:M527),COLUMNS(Data!$Q$3:Q110)))))),"")</f>
        <v/>
      </c>
      <c r="S109" s="1" t="str">
        <f>IFERROR(IF($Q$1=$P$3,INDEX(prem_analysis!$P$2:$Q$441,ROWS(Data!$P$2:R109),COLUMNS(Data!$P$3:Q110)),IF($Q$1=$P$5,INDEX(prem_analysis!$BH$1:$BS$23,ROWS(Data!$Q$3:R110),COLUMNS(Data!$Q$3:R110)),IF($Q$1=$P$6,INDEX(prem_analysis!$BU$1:$CF$67,ROWS(prem_analysis!$N$2:O109),COLUMNS(prem_analysis!$N$2:O109)),IF($Q$1=$P$4,INDEX(Table24[[#All],[Year]:[Details]],ROWS(prem_analysis!$M$420:N527),COLUMNS(Data!$Q$3:R110)))))),"")</f>
        <v/>
      </c>
      <c r="T109" s="1" t="str">
        <f>IFERROR(IF($Q$1=$P$3,INDEX(prem_analysis!$P$2:$Q$441,ROWS(Data!$P$2:S109),COLUMNS(Data!$P$3:R110)),IF($Q$1=$P$5,INDEX(prem_analysis!$BH$1:$BS$23,ROWS(Data!$Q$3:S110),COLUMNS(Data!$Q$3:S110)),IF($Q$1=$P$6,INDEX(prem_analysis!$BU$1:$CF$67,ROWS(prem_analysis!$N$2:P109),COLUMNS(prem_analysis!$N$2:P109)),IF($Q$1=$P$4,INDEX(Table24[[#All],[Year]:[Details]],ROWS(prem_analysis!$M$420:O527),COLUMNS(Data!$Q$3:S110)))))),"")</f>
        <v/>
      </c>
      <c r="U109" s="1" t="str">
        <f>IFERROR(IF($Q$1=$P$3,INDEX(prem_analysis!$P$2:$Q$441,ROWS(Data!$P$2:T109),COLUMNS(Data!$P$3:S110)),IF($Q$1=$P$5,INDEX(prem_analysis!$BH$1:$BS$23,ROWS(Data!$Q$3:T110),COLUMNS(Data!$Q$3:T110)),IF($Q$1=$P$6,INDEX(prem_analysis!$BU$1:$CF$67,ROWS(prem_analysis!$N$2:Q109),COLUMNS(prem_analysis!$N$2:Q109)),IF($Q$1=$P$4,INDEX(Table24[[#All],[Year]:[Details]],ROWS(prem_analysis!$M$420:P527),COLUMNS(Data!$Q$3:T110)))))),"")</f>
        <v/>
      </c>
      <c r="V109" s="1" t="str">
        <f>IFERROR(IF($Q$1=$P$3,INDEX(prem_analysis!$P$2:$Q$441,ROWS(Data!$P$2:U109),COLUMNS(Data!$P$3:T110)),IF($Q$1=$P$5,INDEX(prem_analysis!$BH$1:$BS$23,ROWS(Data!$Q$3:U110),COLUMNS(Data!$Q$3:U110)),IF($Q$1=$P$6,INDEX(prem_analysis!$BU$1:$CF$67,ROWS(prem_analysis!$N$2:R109),COLUMNS(prem_analysis!$N$2:R109)),IF($Q$1=$P$4,INDEX(Table24[[#All],[Year]:[Details]],ROWS(prem_analysis!$M$420:Q527),COLUMNS(Data!$Q$3:U110)))))),"")</f>
        <v/>
      </c>
      <c r="W109" s="1" t="str">
        <f>IFERROR(IF($Q$1=$P$3,INDEX(prem_analysis!$P$2:$Q$441,ROWS(Data!$P$2:V109),COLUMNS(Data!$P$3:U110)),IF($Q$1=$P$5,INDEX(prem_analysis!$BH$1:$BS$23,ROWS(Data!$Q$3:V110),COLUMNS(Data!$Q$3:V110)),IF($Q$1=$P$6,INDEX(prem_analysis!$BU$1:$CF$67,ROWS(prem_analysis!$N$2:S109),COLUMNS(prem_analysis!$N$2:S109)),IF($Q$1=$P$4,INDEX(Table24[[#All],[Year]:[Details]],ROWS(prem_analysis!$M$420:R527),COLUMNS(Data!$Q$3:V110)))))),"")</f>
        <v/>
      </c>
      <c r="X109" s="1" t="str">
        <f>IFERROR(IF($Q$1=$P$3,INDEX(prem_analysis!$P$2:$Q$441,ROWS(Data!$P$2:W109),COLUMNS(Data!$P$3:V110)),IF($Q$1=$P$5,INDEX(prem_analysis!$BH$1:$BS$23,ROWS(Data!$Q$3:W110),COLUMNS(Data!$Q$3:W110)),IF($Q$1=$P$6,INDEX(prem_analysis!$BU$1:$CF$67,ROWS(prem_analysis!$N$2:T109),COLUMNS(prem_analysis!$N$2:T109)),IF($Q$1=$P$4,INDEX(Table24[[#All],[Year]:[Details]],ROWS(prem_analysis!$M$420:S527),COLUMNS(Data!$Q$3:W110)))))),"")</f>
        <v/>
      </c>
      <c r="Y109" s="1" t="str">
        <f>IFERROR(IF($Q$1=$P$3,INDEX(prem_analysis!$P$2:$Q$441,ROWS(Data!$P$2:X109),COLUMNS(Data!$P$3:W110)),IF($Q$1=$P$5,INDEX(prem_analysis!$BH$1:$BS$23,ROWS(Data!$Q$3:X110),COLUMNS(Data!$Q$3:X110)),IF($Q$1=$P$6,INDEX(prem_analysis!$BU$1:$CF$67,ROWS(prem_analysis!$N$2:U109),COLUMNS(prem_analysis!$N$2:U109)),IF($Q$1=$P$4,INDEX(Table24[[#All],[Year]:[Details]],ROWS(prem_analysis!$M$420:T527),COLUMNS(Data!$Q$3:X110)))))),"")</f>
        <v/>
      </c>
      <c r="Z109" s="1" t="str">
        <f>IFERROR(IF($Q$1=$P$3,INDEX(prem_analysis!$P$2:$Q$441,ROWS(Data!$P$2:Y109),COLUMNS(Data!$P$3:X110)),IF($Q$1=$P$5,INDEX(prem_analysis!$BH$1:$BS$23,ROWS(Data!$Q$3:Y110),COLUMNS(Data!$Q$3:Y110)),IF($Q$1=$P$6,INDEX(prem_analysis!$BU$1:$CF$67,ROWS(prem_analysis!$N$2:V109),COLUMNS(prem_analysis!$N$2:V109)),IF($Q$1=$P$4,INDEX(Table24[[#All],[Year]:[Details]],ROWS(prem_analysis!$M$420:U527),COLUMNS(Data!$Q$3:Y110)))))),"")</f>
        <v/>
      </c>
      <c r="AA109" s="1" t="str">
        <f>IFERROR(IF($Q$1=$P$3,INDEX(prem_analysis!$P$2:$Q$441,ROWS(Data!$P$2:Z109),COLUMNS(Data!$P$3:Y110)),IF($Q$1=$P$5,INDEX(prem_analysis!$BH$1:$BS$23,ROWS(Data!$Q$3:Z110),COLUMNS(Data!$Q$3:Z110)),IF($Q$1=$P$6,INDEX(prem_analysis!$BU$1:$CF$67,ROWS(prem_analysis!$N$2:W109),COLUMNS(prem_analysis!$N$2:W109)),IF($Q$1=$P$4,INDEX(Table24[[#All],[Year]:[Details]],ROWS(prem_analysis!$M$420:V527),COLUMNS(Data!$Q$3:Z110)))))),"")</f>
        <v/>
      </c>
      <c r="AB109" s="1" t="str">
        <f>IFERROR(IF($Q$1=$P$3,INDEX(prem_analysis!$P$2:$Q$441,ROWS(Data!$P$2:AA109),COLUMNS(Data!$P$3:Z110)),IF($Q$1=$P$5,INDEX(prem_analysis!$BH$1:$BS$23,ROWS(Data!$Q$3:AA110),COLUMNS(Data!$Q$3:AA110)),IF($Q$1=$P$6,INDEX(prem_analysis!$BU$1:$CF$67,ROWS(prem_analysis!$N$2:X109),COLUMNS(prem_analysis!$N$2:X109)),IF($Q$1=$P$4,INDEX(Table24[[#All],[Year]:[Details]],ROWS(prem_analysis!$M$420:W527),COLUMNS(Data!$Q$3:AA110)))))),"")</f>
        <v/>
      </c>
      <c r="AC109" s="1" t="str">
        <f>IFERROR(IF($Q$1=$P$3,INDEX(prem_analysis!$P$2:$Q$441,ROWS(Data!$P$2:AB109),COLUMNS(Data!$P$3:AA110)),IF($Q$1=$P$5,INDEX(prem_analysis!$BH$1:$BS$23,ROWS(Data!$Q$3:AB110),COLUMNS(Data!$Q$3:AB110)),IF($Q$1=$P$6,INDEX(prem_analysis!$BU$1:$CF$67,ROWS(prem_analysis!$N$2:Y109),COLUMNS(prem_analysis!$N$2:Y109)),IF($Q$1=$P$4,INDEX(Table24[[#All],[Year]:[Details]],ROWS(prem_analysis!$M$420:X527),COLUMNS(Data!$Q$3:AB110)))))),"")</f>
        <v/>
      </c>
    </row>
    <row r="110" spans="1:29" x14ac:dyDescent="0.2">
      <c r="A110" s="3">
        <v>2005</v>
      </c>
      <c r="B110" s="3">
        <v>9</v>
      </c>
      <c r="C110" s="4" t="s">
        <v>25</v>
      </c>
      <c r="D110" s="3">
        <v>38</v>
      </c>
      <c r="E110" s="3">
        <v>16</v>
      </c>
      <c r="F110" s="3">
        <v>7</v>
      </c>
      <c r="G110" s="3">
        <v>15</v>
      </c>
      <c r="H110" s="3">
        <v>52</v>
      </c>
      <c r="I110" s="3">
        <v>55</v>
      </c>
      <c r="J110" s="3">
        <v>-3</v>
      </c>
      <c r="K110" s="3">
        <v>55</v>
      </c>
      <c r="L110" s="5">
        <f>IF(Table24[[#This Row],['#]]=1,"Champion", IF(Table24[[#This Row],['#]]&gt;=18,"Relegated",Table24[[#This Row],['#]]))</f>
        <v>9</v>
      </c>
      <c r="M110" s="5" t="str">
        <f>IF(Table24[[#This Row],[Details]]=2,K109-Table24[[#This Row],[Pts]],IF(Table24[[#This Row],[Details]]=17,Table24[[#This Row],[Pts]]-K111,""))</f>
        <v/>
      </c>
      <c r="R110" s="1" t="str">
        <f>IFERROR(IF($Q$1=$P$3,INDEX(prem_analysis!$P$2:$Q$441,ROWS(Data!$P$2:Q110),COLUMNS(Data!$P$3:P111)),IF($Q$1=$P$5,INDEX(prem_analysis!$BH$1:$BS$23,ROWS(Data!$Q$3:Q111),COLUMNS(Data!$Q$3:Q111)),IF($Q$1=$P$6,INDEX(prem_analysis!$BU$1:$CF$67,ROWS(prem_analysis!$N$2:N110),COLUMNS(prem_analysis!$N$2:N110)),IF($Q$1=$P$4,INDEX(Table24[[#All],[Year]:[Details]],ROWS(prem_analysis!$M$420:M528),COLUMNS(Data!$Q$3:Q111)))))),"")</f>
        <v/>
      </c>
      <c r="S110" s="1" t="str">
        <f>IFERROR(IF($Q$1=$P$3,INDEX(prem_analysis!$P$2:$Q$441,ROWS(Data!$P$2:R110),COLUMNS(Data!$P$3:Q111)),IF($Q$1=$P$5,INDEX(prem_analysis!$BH$1:$BS$23,ROWS(Data!$Q$3:R111),COLUMNS(Data!$Q$3:R111)),IF($Q$1=$P$6,INDEX(prem_analysis!$BU$1:$CF$67,ROWS(prem_analysis!$N$2:O110),COLUMNS(prem_analysis!$N$2:O110)),IF($Q$1=$P$4,INDEX(Table24[[#All],[Year]:[Details]],ROWS(prem_analysis!$M$420:N528),COLUMNS(Data!$Q$3:R111)))))),"")</f>
        <v/>
      </c>
      <c r="T110" s="1" t="str">
        <f>IFERROR(IF($Q$1=$P$3,INDEX(prem_analysis!$P$2:$Q$441,ROWS(Data!$P$2:S110),COLUMNS(Data!$P$3:R111)),IF($Q$1=$P$5,INDEX(prem_analysis!$BH$1:$BS$23,ROWS(Data!$Q$3:S111),COLUMNS(Data!$Q$3:S111)),IF($Q$1=$P$6,INDEX(prem_analysis!$BU$1:$CF$67,ROWS(prem_analysis!$N$2:P110),COLUMNS(prem_analysis!$N$2:P110)),IF($Q$1=$P$4,INDEX(Table24[[#All],[Year]:[Details]],ROWS(prem_analysis!$M$420:O528),COLUMNS(Data!$Q$3:S111)))))),"")</f>
        <v/>
      </c>
      <c r="U110" s="1" t="str">
        <f>IFERROR(IF($Q$1=$P$3,INDEX(prem_analysis!$P$2:$Q$441,ROWS(Data!$P$2:T110),COLUMNS(Data!$P$3:S111)),IF($Q$1=$P$5,INDEX(prem_analysis!$BH$1:$BS$23,ROWS(Data!$Q$3:T111),COLUMNS(Data!$Q$3:T111)),IF($Q$1=$P$6,INDEX(prem_analysis!$BU$1:$CF$67,ROWS(prem_analysis!$N$2:Q110),COLUMNS(prem_analysis!$N$2:Q110)),IF($Q$1=$P$4,INDEX(Table24[[#All],[Year]:[Details]],ROWS(prem_analysis!$M$420:P528),COLUMNS(Data!$Q$3:T111)))))),"")</f>
        <v/>
      </c>
      <c r="V110" s="1" t="str">
        <f>IFERROR(IF($Q$1=$P$3,INDEX(prem_analysis!$P$2:$Q$441,ROWS(Data!$P$2:U110),COLUMNS(Data!$P$3:T111)),IF($Q$1=$P$5,INDEX(prem_analysis!$BH$1:$BS$23,ROWS(Data!$Q$3:U111),COLUMNS(Data!$Q$3:U111)),IF($Q$1=$P$6,INDEX(prem_analysis!$BU$1:$CF$67,ROWS(prem_analysis!$N$2:R110),COLUMNS(prem_analysis!$N$2:R110)),IF($Q$1=$P$4,INDEX(Table24[[#All],[Year]:[Details]],ROWS(prem_analysis!$M$420:Q528),COLUMNS(Data!$Q$3:U111)))))),"")</f>
        <v/>
      </c>
      <c r="W110" s="1" t="str">
        <f>IFERROR(IF($Q$1=$P$3,INDEX(prem_analysis!$P$2:$Q$441,ROWS(Data!$P$2:V110),COLUMNS(Data!$P$3:U111)),IF($Q$1=$P$5,INDEX(prem_analysis!$BH$1:$BS$23,ROWS(Data!$Q$3:V111),COLUMNS(Data!$Q$3:V111)),IF($Q$1=$P$6,INDEX(prem_analysis!$BU$1:$CF$67,ROWS(prem_analysis!$N$2:S110),COLUMNS(prem_analysis!$N$2:S110)),IF($Q$1=$P$4,INDEX(Table24[[#All],[Year]:[Details]],ROWS(prem_analysis!$M$420:R528),COLUMNS(Data!$Q$3:V111)))))),"")</f>
        <v/>
      </c>
      <c r="X110" s="1" t="str">
        <f>IFERROR(IF($Q$1=$P$3,INDEX(prem_analysis!$P$2:$Q$441,ROWS(Data!$P$2:W110),COLUMNS(Data!$P$3:V111)),IF($Q$1=$P$5,INDEX(prem_analysis!$BH$1:$BS$23,ROWS(Data!$Q$3:W111),COLUMNS(Data!$Q$3:W111)),IF($Q$1=$P$6,INDEX(prem_analysis!$BU$1:$CF$67,ROWS(prem_analysis!$N$2:T110),COLUMNS(prem_analysis!$N$2:T110)),IF($Q$1=$P$4,INDEX(Table24[[#All],[Year]:[Details]],ROWS(prem_analysis!$M$420:S528),COLUMNS(Data!$Q$3:W111)))))),"")</f>
        <v/>
      </c>
      <c r="Y110" s="1" t="str">
        <f>IFERROR(IF($Q$1=$P$3,INDEX(prem_analysis!$P$2:$Q$441,ROWS(Data!$P$2:X110),COLUMNS(Data!$P$3:W111)),IF($Q$1=$P$5,INDEX(prem_analysis!$BH$1:$BS$23,ROWS(Data!$Q$3:X111),COLUMNS(Data!$Q$3:X111)),IF($Q$1=$P$6,INDEX(prem_analysis!$BU$1:$CF$67,ROWS(prem_analysis!$N$2:U110),COLUMNS(prem_analysis!$N$2:U110)),IF($Q$1=$P$4,INDEX(Table24[[#All],[Year]:[Details]],ROWS(prem_analysis!$M$420:T528),COLUMNS(Data!$Q$3:X111)))))),"")</f>
        <v/>
      </c>
      <c r="Z110" s="1" t="str">
        <f>IFERROR(IF($Q$1=$P$3,INDEX(prem_analysis!$P$2:$Q$441,ROWS(Data!$P$2:Y110),COLUMNS(Data!$P$3:X111)),IF($Q$1=$P$5,INDEX(prem_analysis!$BH$1:$BS$23,ROWS(Data!$Q$3:Y111),COLUMNS(Data!$Q$3:Y111)),IF($Q$1=$P$6,INDEX(prem_analysis!$BU$1:$CF$67,ROWS(prem_analysis!$N$2:V110),COLUMNS(prem_analysis!$N$2:V110)),IF($Q$1=$P$4,INDEX(Table24[[#All],[Year]:[Details]],ROWS(prem_analysis!$M$420:U528),COLUMNS(Data!$Q$3:Y111)))))),"")</f>
        <v/>
      </c>
      <c r="AA110" s="1" t="str">
        <f>IFERROR(IF($Q$1=$P$3,INDEX(prem_analysis!$P$2:$Q$441,ROWS(Data!$P$2:Z110),COLUMNS(Data!$P$3:Y111)),IF($Q$1=$P$5,INDEX(prem_analysis!$BH$1:$BS$23,ROWS(Data!$Q$3:Z111),COLUMNS(Data!$Q$3:Z111)),IF($Q$1=$P$6,INDEX(prem_analysis!$BU$1:$CF$67,ROWS(prem_analysis!$N$2:W110),COLUMNS(prem_analysis!$N$2:W110)),IF($Q$1=$P$4,INDEX(Table24[[#All],[Year]:[Details]],ROWS(prem_analysis!$M$420:V528),COLUMNS(Data!$Q$3:Z111)))))),"")</f>
        <v/>
      </c>
      <c r="AB110" s="1" t="str">
        <f>IFERROR(IF($Q$1=$P$3,INDEX(prem_analysis!$P$2:$Q$441,ROWS(Data!$P$2:AA110),COLUMNS(Data!$P$3:Z111)),IF($Q$1=$P$5,INDEX(prem_analysis!$BH$1:$BS$23,ROWS(Data!$Q$3:AA111),COLUMNS(Data!$Q$3:AA111)),IF($Q$1=$P$6,INDEX(prem_analysis!$BU$1:$CF$67,ROWS(prem_analysis!$N$2:X110),COLUMNS(prem_analysis!$N$2:X110)),IF($Q$1=$P$4,INDEX(Table24[[#All],[Year]:[Details]],ROWS(prem_analysis!$M$420:W528),COLUMNS(Data!$Q$3:AA111)))))),"")</f>
        <v/>
      </c>
      <c r="AC110" s="1" t="str">
        <f>IFERROR(IF($Q$1=$P$3,INDEX(prem_analysis!$P$2:$Q$441,ROWS(Data!$P$2:AB110),COLUMNS(Data!$P$3:AA111)),IF($Q$1=$P$5,INDEX(prem_analysis!$BH$1:$BS$23,ROWS(Data!$Q$3:AB111),COLUMNS(Data!$Q$3:AB111)),IF($Q$1=$P$6,INDEX(prem_analysis!$BU$1:$CF$67,ROWS(prem_analysis!$N$2:Y110),COLUMNS(prem_analysis!$N$2:Y110)),IF($Q$1=$P$4,INDEX(Table24[[#All],[Year]:[Details]],ROWS(prem_analysis!$M$420:X528),COLUMNS(Data!$Q$3:AB111)))))),"")</f>
        <v/>
      </c>
    </row>
    <row r="111" spans="1:29" x14ac:dyDescent="0.2">
      <c r="A111" s="5">
        <v>2005</v>
      </c>
      <c r="B111" s="5">
        <v>10</v>
      </c>
      <c r="C111" s="6" t="s">
        <v>40</v>
      </c>
      <c r="D111" s="5">
        <v>38</v>
      </c>
      <c r="E111" s="5">
        <v>15</v>
      </c>
      <c r="F111" s="5">
        <v>6</v>
      </c>
      <c r="G111" s="5">
        <v>17</v>
      </c>
      <c r="H111" s="5">
        <v>45</v>
      </c>
      <c r="I111" s="5">
        <v>52</v>
      </c>
      <c r="J111" s="5">
        <v>-7</v>
      </c>
      <c r="K111" s="5">
        <v>51</v>
      </c>
      <c r="L111" s="5">
        <f>IF(Table24[[#This Row],['#]]=1,"Champion", IF(Table24[[#This Row],['#]]&gt;=18,"Relegated",Table24[[#This Row],['#]]))</f>
        <v>10</v>
      </c>
      <c r="M111" s="5" t="str">
        <f>IF(Table24[[#This Row],[Details]]=2,K110-Table24[[#This Row],[Pts]],IF(Table24[[#This Row],[Details]]=17,Table24[[#This Row],[Pts]]-K112,""))</f>
        <v/>
      </c>
      <c r="R111" s="1" t="str">
        <f>IFERROR(IF($Q$1=$P$3,INDEX(prem_analysis!$P$2:$Q$441,ROWS(Data!$P$2:Q111),COLUMNS(Data!$P$3:P112)),IF($Q$1=$P$5,INDEX(prem_analysis!$BH$1:$BS$23,ROWS(Data!$Q$3:Q112),COLUMNS(Data!$Q$3:Q112)),IF($Q$1=$P$6,INDEX(prem_analysis!$BU$1:$CF$67,ROWS(prem_analysis!$N$2:N111),COLUMNS(prem_analysis!$N$2:N111)),IF($Q$1=$P$4,INDEX(Table24[[#All],[Year]:[Details]],ROWS(prem_analysis!$M$420:M529),COLUMNS(Data!$Q$3:Q112)))))),"")</f>
        <v/>
      </c>
      <c r="S111" s="1" t="str">
        <f>IFERROR(IF($Q$1=$P$3,INDEX(prem_analysis!$P$2:$Q$441,ROWS(Data!$P$2:R111),COLUMNS(Data!$P$3:Q112)),IF($Q$1=$P$5,INDEX(prem_analysis!$BH$1:$BS$23,ROWS(Data!$Q$3:R112),COLUMNS(Data!$Q$3:R112)),IF($Q$1=$P$6,INDEX(prem_analysis!$BU$1:$CF$67,ROWS(prem_analysis!$N$2:O111),COLUMNS(prem_analysis!$N$2:O111)),IF($Q$1=$P$4,INDEX(Table24[[#All],[Year]:[Details]],ROWS(prem_analysis!$M$420:N529),COLUMNS(Data!$Q$3:R112)))))),"")</f>
        <v/>
      </c>
      <c r="T111" s="1" t="str">
        <f>IFERROR(IF($Q$1=$P$3,INDEX(prem_analysis!$P$2:$Q$441,ROWS(Data!$P$2:S111),COLUMNS(Data!$P$3:R112)),IF($Q$1=$P$5,INDEX(prem_analysis!$BH$1:$BS$23,ROWS(Data!$Q$3:S112),COLUMNS(Data!$Q$3:S112)),IF($Q$1=$P$6,INDEX(prem_analysis!$BU$1:$CF$67,ROWS(prem_analysis!$N$2:P111),COLUMNS(prem_analysis!$N$2:P111)),IF($Q$1=$P$4,INDEX(Table24[[#All],[Year]:[Details]],ROWS(prem_analysis!$M$420:O529),COLUMNS(Data!$Q$3:S112)))))),"")</f>
        <v/>
      </c>
      <c r="U111" s="1" t="str">
        <f>IFERROR(IF($Q$1=$P$3,INDEX(prem_analysis!$P$2:$Q$441,ROWS(Data!$P$2:T111),COLUMNS(Data!$P$3:S112)),IF($Q$1=$P$5,INDEX(prem_analysis!$BH$1:$BS$23,ROWS(Data!$Q$3:T112),COLUMNS(Data!$Q$3:T112)),IF($Q$1=$P$6,INDEX(prem_analysis!$BU$1:$CF$67,ROWS(prem_analysis!$N$2:Q111),COLUMNS(prem_analysis!$N$2:Q111)),IF($Q$1=$P$4,INDEX(Table24[[#All],[Year]:[Details]],ROWS(prem_analysis!$M$420:P529),COLUMNS(Data!$Q$3:T112)))))),"")</f>
        <v/>
      </c>
      <c r="V111" s="1" t="str">
        <f>IFERROR(IF($Q$1=$P$3,INDEX(prem_analysis!$P$2:$Q$441,ROWS(Data!$P$2:U111),COLUMNS(Data!$P$3:T112)),IF($Q$1=$P$5,INDEX(prem_analysis!$BH$1:$BS$23,ROWS(Data!$Q$3:U112),COLUMNS(Data!$Q$3:U112)),IF($Q$1=$P$6,INDEX(prem_analysis!$BU$1:$CF$67,ROWS(prem_analysis!$N$2:R111),COLUMNS(prem_analysis!$N$2:R111)),IF($Q$1=$P$4,INDEX(Table24[[#All],[Year]:[Details]],ROWS(prem_analysis!$M$420:Q529),COLUMNS(Data!$Q$3:U112)))))),"")</f>
        <v/>
      </c>
      <c r="W111" s="1" t="str">
        <f>IFERROR(IF($Q$1=$P$3,INDEX(prem_analysis!$P$2:$Q$441,ROWS(Data!$P$2:V111),COLUMNS(Data!$P$3:U112)),IF($Q$1=$P$5,INDEX(prem_analysis!$BH$1:$BS$23,ROWS(Data!$Q$3:V112),COLUMNS(Data!$Q$3:V112)),IF($Q$1=$P$6,INDEX(prem_analysis!$BU$1:$CF$67,ROWS(prem_analysis!$N$2:S111),COLUMNS(prem_analysis!$N$2:S111)),IF($Q$1=$P$4,INDEX(Table24[[#All],[Year]:[Details]],ROWS(prem_analysis!$M$420:R529),COLUMNS(Data!$Q$3:V112)))))),"")</f>
        <v/>
      </c>
      <c r="X111" s="1" t="str">
        <f>IFERROR(IF($Q$1=$P$3,INDEX(prem_analysis!$P$2:$Q$441,ROWS(Data!$P$2:W111),COLUMNS(Data!$P$3:V112)),IF($Q$1=$P$5,INDEX(prem_analysis!$BH$1:$BS$23,ROWS(Data!$Q$3:W112),COLUMNS(Data!$Q$3:W112)),IF($Q$1=$P$6,INDEX(prem_analysis!$BU$1:$CF$67,ROWS(prem_analysis!$N$2:T111),COLUMNS(prem_analysis!$N$2:T111)),IF($Q$1=$P$4,INDEX(Table24[[#All],[Year]:[Details]],ROWS(prem_analysis!$M$420:S529),COLUMNS(Data!$Q$3:W112)))))),"")</f>
        <v/>
      </c>
      <c r="Y111" s="1" t="str">
        <f>IFERROR(IF($Q$1=$P$3,INDEX(prem_analysis!$P$2:$Q$441,ROWS(Data!$P$2:X111),COLUMNS(Data!$P$3:W112)),IF($Q$1=$P$5,INDEX(prem_analysis!$BH$1:$BS$23,ROWS(Data!$Q$3:X112),COLUMNS(Data!$Q$3:X112)),IF($Q$1=$P$6,INDEX(prem_analysis!$BU$1:$CF$67,ROWS(prem_analysis!$N$2:U111),COLUMNS(prem_analysis!$N$2:U111)),IF($Q$1=$P$4,INDEX(Table24[[#All],[Year]:[Details]],ROWS(prem_analysis!$M$420:T529),COLUMNS(Data!$Q$3:X112)))))),"")</f>
        <v/>
      </c>
      <c r="Z111" s="1" t="str">
        <f>IFERROR(IF($Q$1=$P$3,INDEX(prem_analysis!$P$2:$Q$441,ROWS(Data!$P$2:Y111),COLUMNS(Data!$P$3:X112)),IF($Q$1=$P$5,INDEX(prem_analysis!$BH$1:$BS$23,ROWS(Data!$Q$3:Y112),COLUMNS(Data!$Q$3:Y112)),IF($Q$1=$P$6,INDEX(prem_analysis!$BU$1:$CF$67,ROWS(prem_analysis!$N$2:V111),COLUMNS(prem_analysis!$N$2:V111)),IF($Q$1=$P$4,INDEX(Table24[[#All],[Year]:[Details]],ROWS(prem_analysis!$M$420:U529),COLUMNS(Data!$Q$3:Y112)))))),"")</f>
        <v/>
      </c>
      <c r="AA111" s="1" t="str">
        <f>IFERROR(IF($Q$1=$P$3,INDEX(prem_analysis!$P$2:$Q$441,ROWS(Data!$P$2:Z111),COLUMNS(Data!$P$3:Y112)),IF($Q$1=$P$5,INDEX(prem_analysis!$BH$1:$BS$23,ROWS(Data!$Q$3:Z112),COLUMNS(Data!$Q$3:Z112)),IF($Q$1=$P$6,INDEX(prem_analysis!$BU$1:$CF$67,ROWS(prem_analysis!$N$2:W111),COLUMNS(prem_analysis!$N$2:W111)),IF($Q$1=$P$4,INDEX(Table24[[#All],[Year]:[Details]],ROWS(prem_analysis!$M$420:V529),COLUMNS(Data!$Q$3:Z112)))))),"")</f>
        <v/>
      </c>
      <c r="AB111" s="1" t="str">
        <f>IFERROR(IF($Q$1=$P$3,INDEX(prem_analysis!$P$2:$Q$441,ROWS(Data!$P$2:AA111),COLUMNS(Data!$P$3:Z112)),IF($Q$1=$P$5,INDEX(prem_analysis!$BH$1:$BS$23,ROWS(Data!$Q$3:AA112),COLUMNS(Data!$Q$3:AA112)),IF($Q$1=$P$6,INDEX(prem_analysis!$BU$1:$CF$67,ROWS(prem_analysis!$N$2:X111),COLUMNS(prem_analysis!$N$2:X111)),IF($Q$1=$P$4,INDEX(Table24[[#All],[Year]:[Details]],ROWS(prem_analysis!$M$420:W529),COLUMNS(Data!$Q$3:AA112)))))),"")</f>
        <v/>
      </c>
      <c r="AC111" s="1" t="str">
        <f>IFERROR(IF($Q$1=$P$3,INDEX(prem_analysis!$P$2:$Q$441,ROWS(Data!$P$2:AB111),COLUMNS(Data!$P$3:AA112)),IF($Q$1=$P$5,INDEX(prem_analysis!$BH$1:$BS$23,ROWS(Data!$Q$3:AB112),COLUMNS(Data!$Q$3:AB112)),IF($Q$1=$P$6,INDEX(prem_analysis!$BU$1:$CF$67,ROWS(prem_analysis!$N$2:Y111),COLUMNS(prem_analysis!$N$2:Y111)),IF($Q$1=$P$4,INDEX(Table24[[#All],[Year]:[Details]],ROWS(prem_analysis!$M$420:X529),COLUMNS(Data!$Q$3:AB112)))))),"")</f>
        <v/>
      </c>
    </row>
    <row r="112" spans="1:29" x14ac:dyDescent="0.2">
      <c r="A112" s="3">
        <v>2005</v>
      </c>
      <c r="B112" s="3">
        <v>11</v>
      </c>
      <c r="C112" s="4" t="s">
        <v>26</v>
      </c>
      <c r="D112" s="3">
        <v>38</v>
      </c>
      <c r="E112" s="3">
        <v>14</v>
      </c>
      <c r="F112" s="3">
        <v>8</v>
      </c>
      <c r="G112" s="3">
        <v>16</v>
      </c>
      <c r="H112" s="3">
        <v>34</v>
      </c>
      <c r="I112" s="3">
        <v>49</v>
      </c>
      <c r="J112" s="3">
        <v>-15</v>
      </c>
      <c r="K112" s="3">
        <v>50</v>
      </c>
      <c r="L112" s="5">
        <f>IF(Table24[[#This Row],['#]]=1,"Champion", IF(Table24[[#This Row],['#]]&gt;=18,"Relegated",Table24[[#This Row],['#]]))</f>
        <v>11</v>
      </c>
      <c r="M112" s="5" t="str">
        <f>IF(Table24[[#This Row],[Details]]=2,K111-Table24[[#This Row],[Pts]],IF(Table24[[#This Row],[Details]]=17,Table24[[#This Row],[Pts]]-K113,""))</f>
        <v/>
      </c>
      <c r="R112" s="1" t="str">
        <f>IFERROR(IF($Q$1=$P$3,INDEX(prem_analysis!$P$2:$Q$441,ROWS(Data!$P$2:Q112),COLUMNS(Data!$P$3:P113)),IF($Q$1=$P$5,INDEX(prem_analysis!$BH$1:$BS$23,ROWS(Data!$Q$3:Q113),COLUMNS(Data!$Q$3:Q113)),IF($Q$1=$P$6,INDEX(prem_analysis!$BU$1:$CF$67,ROWS(prem_analysis!$N$2:N112),COLUMNS(prem_analysis!$N$2:N112)),IF($Q$1=$P$4,INDEX(Table24[[#All],[Year]:[Details]],ROWS(prem_analysis!$M$420:M530),COLUMNS(Data!$Q$3:Q113)))))),"")</f>
        <v/>
      </c>
      <c r="S112" s="1" t="str">
        <f>IFERROR(IF($Q$1=$P$3,INDEX(prem_analysis!$P$2:$Q$441,ROWS(Data!$P$2:R112),COLUMNS(Data!$P$3:Q113)),IF($Q$1=$P$5,INDEX(prem_analysis!$BH$1:$BS$23,ROWS(Data!$Q$3:R113),COLUMNS(Data!$Q$3:R113)),IF($Q$1=$P$6,INDEX(prem_analysis!$BU$1:$CF$67,ROWS(prem_analysis!$N$2:O112),COLUMNS(prem_analysis!$N$2:O112)),IF($Q$1=$P$4,INDEX(Table24[[#All],[Year]:[Details]],ROWS(prem_analysis!$M$420:N530),COLUMNS(Data!$Q$3:R113)))))),"")</f>
        <v/>
      </c>
      <c r="T112" s="1" t="str">
        <f>IFERROR(IF($Q$1=$P$3,INDEX(prem_analysis!$P$2:$Q$441,ROWS(Data!$P$2:S112),COLUMNS(Data!$P$3:R113)),IF($Q$1=$P$5,INDEX(prem_analysis!$BH$1:$BS$23,ROWS(Data!$Q$3:S113),COLUMNS(Data!$Q$3:S113)),IF($Q$1=$P$6,INDEX(prem_analysis!$BU$1:$CF$67,ROWS(prem_analysis!$N$2:P112),COLUMNS(prem_analysis!$N$2:P112)),IF($Q$1=$P$4,INDEX(Table24[[#All],[Year]:[Details]],ROWS(prem_analysis!$M$420:O530),COLUMNS(Data!$Q$3:S113)))))),"")</f>
        <v/>
      </c>
      <c r="U112" s="1" t="str">
        <f>IFERROR(IF($Q$1=$P$3,INDEX(prem_analysis!$P$2:$Q$441,ROWS(Data!$P$2:T112),COLUMNS(Data!$P$3:S113)),IF($Q$1=$P$5,INDEX(prem_analysis!$BH$1:$BS$23,ROWS(Data!$Q$3:T113),COLUMNS(Data!$Q$3:T113)),IF($Q$1=$P$6,INDEX(prem_analysis!$BU$1:$CF$67,ROWS(prem_analysis!$N$2:Q112),COLUMNS(prem_analysis!$N$2:Q112)),IF($Q$1=$P$4,INDEX(Table24[[#All],[Year]:[Details]],ROWS(prem_analysis!$M$420:P530),COLUMNS(Data!$Q$3:T113)))))),"")</f>
        <v/>
      </c>
      <c r="V112" s="1" t="str">
        <f>IFERROR(IF($Q$1=$P$3,INDEX(prem_analysis!$P$2:$Q$441,ROWS(Data!$P$2:U112),COLUMNS(Data!$P$3:T113)),IF($Q$1=$P$5,INDEX(prem_analysis!$BH$1:$BS$23,ROWS(Data!$Q$3:U113),COLUMNS(Data!$Q$3:U113)),IF($Q$1=$P$6,INDEX(prem_analysis!$BU$1:$CF$67,ROWS(prem_analysis!$N$2:R112),COLUMNS(prem_analysis!$N$2:R112)),IF($Q$1=$P$4,INDEX(Table24[[#All],[Year]:[Details]],ROWS(prem_analysis!$M$420:Q530),COLUMNS(Data!$Q$3:U113)))))),"")</f>
        <v/>
      </c>
      <c r="W112" s="1" t="str">
        <f>IFERROR(IF($Q$1=$P$3,INDEX(prem_analysis!$P$2:$Q$441,ROWS(Data!$P$2:V112),COLUMNS(Data!$P$3:U113)),IF($Q$1=$P$5,INDEX(prem_analysis!$BH$1:$BS$23,ROWS(Data!$Q$3:V113),COLUMNS(Data!$Q$3:V113)),IF($Q$1=$P$6,INDEX(prem_analysis!$BU$1:$CF$67,ROWS(prem_analysis!$N$2:S112),COLUMNS(prem_analysis!$N$2:S112)),IF($Q$1=$P$4,INDEX(Table24[[#All],[Year]:[Details]],ROWS(prem_analysis!$M$420:R530),COLUMNS(Data!$Q$3:V113)))))),"")</f>
        <v/>
      </c>
      <c r="X112" s="1" t="str">
        <f>IFERROR(IF($Q$1=$P$3,INDEX(prem_analysis!$P$2:$Q$441,ROWS(Data!$P$2:W112),COLUMNS(Data!$P$3:V113)),IF($Q$1=$P$5,INDEX(prem_analysis!$BH$1:$BS$23,ROWS(Data!$Q$3:W113),COLUMNS(Data!$Q$3:W113)),IF($Q$1=$P$6,INDEX(prem_analysis!$BU$1:$CF$67,ROWS(prem_analysis!$N$2:T112),COLUMNS(prem_analysis!$N$2:T112)),IF($Q$1=$P$4,INDEX(Table24[[#All],[Year]:[Details]],ROWS(prem_analysis!$M$420:S530),COLUMNS(Data!$Q$3:W113)))))),"")</f>
        <v/>
      </c>
      <c r="Y112" s="1" t="str">
        <f>IFERROR(IF($Q$1=$P$3,INDEX(prem_analysis!$P$2:$Q$441,ROWS(Data!$P$2:X112),COLUMNS(Data!$P$3:W113)),IF($Q$1=$P$5,INDEX(prem_analysis!$BH$1:$BS$23,ROWS(Data!$Q$3:X113),COLUMNS(Data!$Q$3:X113)),IF($Q$1=$P$6,INDEX(prem_analysis!$BU$1:$CF$67,ROWS(prem_analysis!$N$2:U112),COLUMNS(prem_analysis!$N$2:U112)),IF($Q$1=$P$4,INDEX(Table24[[#All],[Year]:[Details]],ROWS(prem_analysis!$M$420:T530),COLUMNS(Data!$Q$3:X113)))))),"")</f>
        <v/>
      </c>
      <c r="Z112" s="1" t="str">
        <f>IFERROR(IF($Q$1=$P$3,INDEX(prem_analysis!$P$2:$Q$441,ROWS(Data!$P$2:Y112),COLUMNS(Data!$P$3:X113)),IF($Q$1=$P$5,INDEX(prem_analysis!$BH$1:$BS$23,ROWS(Data!$Q$3:Y113),COLUMNS(Data!$Q$3:Y113)),IF($Q$1=$P$6,INDEX(prem_analysis!$BU$1:$CF$67,ROWS(prem_analysis!$N$2:V112),COLUMNS(prem_analysis!$N$2:V112)),IF($Q$1=$P$4,INDEX(Table24[[#All],[Year]:[Details]],ROWS(prem_analysis!$M$420:U530),COLUMNS(Data!$Q$3:Y113)))))),"")</f>
        <v/>
      </c>
      <c r="AA112" s="1" t="str">
        <f>IFERROR(IF($Q$1=$P$3,INDEX(prem_analysis!$P$2:$Q$441,ROWS(Data!$P$2:Z112),COLUMNS(Data!$P$3:Y113)),IF($Q$1=$P$5,INDEX(prem_analysis!$BH$1:$BS$23,ROWS(Data!$Q$3:Z113),COLUMNS(Data!$Q$3:Z113)),IF($Q$1=$P$6,INDEX(prem_analysis!$BU$1:$CF$67,ROWS(prem_analysis!$N$2:W112),COLUMNS(prem_analysis!$N$2:W112)),IF($Q$1=$P$4,INDEX(Table24[[#All],[Year]:[Details]],ROWS(prem_analysis!$M$420:V530),COLUMNS(Data!$Q$3:Z113)))))),"")</f>
        <v/>
      </c>
      <c r="AB112" s="1" t="str">
        <f>IFERROR(IF($Q$1=$P$3,INDEX(prem_analysis!$P$2:$Q$441,ROWS(Data!$P$2:AA112),COLUMNS(Data!$P$3:Z113)),IF($Q$1=$P$5,INDEX(prem_analysis!$BH$1:$BS$23,ROWS(Data!$Q$3:AA113),COLUMNS(Data!$Q$3:AA113)),IF($Q$1=$P$6,INDEX(prem_analysis!$BU$1:$CF$67,ROWS(prem_analysis!$N$2:X112),COLUMNS(prem_analysis!$N$2:X112)),IF($Q$1=$P$4,INDEX(Table24[[#All],[Year]:[Details]],ROWS(prem_analysis!$M$420:W530),COLUMNS(Data!$Q$3:AA113)))))),"")</f>
        <v/>
      </c>
      <c r="AC112" s="1" t="str">
        <f>IFERROR(IF($Q$1=$P$3,INDEX(prem_analysis!$P$2:$Q$441,ROWS(Data!$P$2:AB112),COLUMNS(Data!$P$3:AA113)),IF($Q$1=$P$5,INDEX(prem_analysis!$BH$1:$BS$23,ROWS(Data!$Q$3:AB113),COLUMNS(Data!$Q$3:AB113)),IF($Q$1=$P$6,INDEX(prem_analysis!$BU$1:$CF$67,ROWS(prem_analysis!$N$2:Y112),COLUMNS(prem_analysis!$N$2:Y112)),IF($Q$1=$P$4,INDEX(Table24[[#All],[Year]:[Details]],ROWS(prem_analysis!$M$420:X530),COLUMNS(Data!$Q$3:AB113)))))),"")</f>
        <v/>
      </c>
    </row>
    <row r="113" spans="1:29" x14ac:dyDescent="0.2">
      <c r="A113" s="5">
        <v>2005</v>
      </c>
      <c r="B113" s="5">
        <v>12</v>
      </c>
      <c r="C113" s="6" t="s">
        <v>32</v>
      </c>
      <c r="D113" s="5">
        <v>38</v>
      </c>
      <c r="E113" s="5">
        <v>14</v>
      </c>
      <c r="F113" s="5">
        <v>6</v>
      </c>
      <c r="G113" s="5">
        <v>18</v>
      </c>
      <c r="H113" s="5">
        <v>48</v>
      </c>
      <c r="I113" s="5">
        <v>58</v>
      </c>
      <c r="J113" s="5">
        <v>-10</v>
      </c>
      <c r="K113" s="5">
        <v>48</v>
      </c>
      <c r="L113" s="5">
        <f>IF(Table24[[#This Row],['#]]=1,"Champion", IF(Table24[[#This Row],['#]]&gt;=18,"Relegated",Table24[[#This Row],['#]]))</f>
        <v>12</v>
      </c>
      <c r="M113" s="5" t="str">
        <f>IF(Table24[[#This Row],[Details]]=2,K112-Table24[[#This Row],[Pts]],IF(Table24[[#This Row],[Details]]=17,Table24[[#This Row],[Pts]]-K114,""))</f>
        <v/>
      </c>
      <c r="R113" s="1" t="str">
        <f>IFERROR(IF($Q$1=$P$3,INDEX(prem_analysis!$P$2:$Q$441,ROWS(Data!$P$2:Q113),COLUMNS(Data!$P$3:P114)),IF($Q$1=$P$5,INDEX(prem_analysis!$BH$1:$BS$23,ROWS(Data!$Q$3:Q114),COLUMNS(Data!$Q$3:Q114)),IF($Q$1=$P$6,INDEX(prem_analysis!$BU$1:$CF$67,ROWS(prem_analysis!$N$2:N113),COLUMNS(prem_analysis!$N$2:N113)),IF($Q$1=$P$4,INDEX(Table24[[#All],[Year]:[Details]],ROWS(prem_analysis!$M$420:M531),COLUMNS(Data!$Q$3:Q114)))))),"")</f>
        <v/>
      </c>
      <c r="S113" s="1" t="str">
        <f>IFERROR(IF($Q$1=$P$3,INDEX(prem_analysis!$P$2:$Q$441,ROWS(Data!$P$2:R113),COLUMNS(Data!$P$3:Q114)),IF($Q$1=$P$5,INDEX(prem_analysis!$BH$1:$BS$23,ROWS(Data!$Q$3:R114),COLUMNS(Data!$Q$3:R114)),IF($Q$1=$P$6,INDEX(prem_analysis!$BU$1:$CF$67,ROWS(prem_analysis!$N$2:O113),COLUMNS(prem_analysis!$N$2:O113)),IF($Q$1=$P$4,INDEX(Table24[[#All],[Year]:[Details]],ROWS(prem_analysis!$M$420:N531),COLUMNS(Data!$Q$3:R114)))))),"")</f>
        <v/>
      </c>
      <c r="T113" s="1" t="str">
        <f>IFERROR(IF($Q$1=$P$3,INDEX(prem_analysis!$P$2:$Q$441,ROWS(Data!$P$2:S113),COLUMNS(Data!$P$3:R114)),IF($Q$1=$P$5,INDEX(prem_analysis!$BH$1:$BS$23,ROWS(Data!$Q$3:S114),COLUMNS(Data!$Q$3:S114)),IF($Q$1=$P$6,INDEX(prem_analysis!$BU$1:$CF$67,ROWS(prem_analysis!$N$2:P113),COLUMNS(prem_analysis!$N$2:P113)),IF($Q$1=$P$4,INDEX(Table24[[#All],[Year]:[Details]],ROWS(prem_analysis!$M$420:O531),COLUMNS(Data!$Q$3:S114)))))),"")</f>
        <v/>
      </c>
      <c r="U113" s="1" t="str">
        <f>IFERROR(IF($Q$1=$P$3,INDEX(prem_analysis!$P$2:$Q$441,ROWS(Data!$P$2:T113),COLUMNS(Data!$P$3:S114)),IF($Q$1=$P$5,INDEX(prem_analysis!$BH$1:$BS$23,ROWS(Data!$Q$3:T114),COLUMNS(Data!$Q$3:T114)),IF($Q$1=$P$6,INDEX(prem_analysis!$BU$1:$CF$67,ROWS(prem_analysis!$N$2:Q113),COLUMNS(prem_analysis!$N$2:Q113)),IF($Q$1=$P$4,INDEX(Table24[[#All],[Year]:[Details]],ROWS(prem_analysis!$M$420:P531),COLUMNS(Data!$Q$3:T114)))))),"")</f>
        <v/>
      </c>
      <c r="V113" s="1" t="str">
        <f>IFERROR(IF($Q$1=$P$3,INDEX(prem_analysis!$P$2:$Q$441,ROWS(Data!$P$2:U113),COLUMNS(Data!$P$3:T114)),IF($Q$1=$P$5,INDEX(prem_analysis!$BH$1:$BS$23,ROWS(Data!$Q$3:U114),COLUMNS(Data!$Q$3:U114)),IF($Q$1=$P$6,INDEX(prem_analysis!$BU$1:$CF$67,ROWS(prem_analysis!$N$2:R113),COLUMNS(prem_analysis!$N$2:R113)),IF($Q$1=$P$4,INDEX(Table24[[#All],[Year]:[Details]],ROWS(prem_analysis!$M$420:Q531),COLUMNS(Data!$Q$3:U114)))))),"")</f>
        <v/>
      </c>
      <c r="W113" s="1" t="str">
        <f>IFERROR(IF($Q$1=$P$3,INDEX(prem_analysis!$P$2:$Q$441,ROWS(Data!$P$2:V113),COLUMNS(Data!$P$3:U114)),IF($Q$1=$P$5,INDEX(prem_analysis!$BH$1:$BS$23,ROWS(Data!$Q$3:V114),COLUMNS(Data!$Q$3:V114)),IF($Q$1=$P$6,INDEX(prem_analysis!$BU$1:$CF$67,ROWS(prem_analysis!$N$2:S113),COLUMNS(prem_analysis!$N$2:S113)),IF($Q$1=$P$4,INDEX(Table24[[#All],[Year]:[Details]],ROWS(prem_analysis!$M$420:R531),COLUMNS(Data!$Q$3:V114)))))),"")</f>
        <v/>
      </c>
      <c r="X113" s="1" t="str">
        <f>IFERROR(IF($Q$1=$P$3,INDEX(prem_analysis!$P$2:$Q$441,ROWS(Data!$P$2:W113),COLUMNS(Data!$P$3:V114)),IF($Q$1=$P$5,INDEX(prem_analysis!$BH$1:$BS$23,ROWS(Data!$Q$3:W114),COLUMNS(Data!$Q$3:W114)),IF($Q$1=$P$6,INDEX(prem_analysis!$BU$1:$CF$67,ROWS(prem_analysis!$N$2:T113),COLUMNS(prem_analysis!$N$2:T113)),IF($Q$1=$P$4,INDEX(Table24[[#All],[Year]:[Details]],ROWS(prem_analysis!$M$420:S531),COLUMNS(Data!$Q$3:W114)))))),"")</f>
        <v/>
      </c>
      <c r="Y113" s="1" t="str">
        <f>IFERROR(IF($Q$1=$P$3,INDEX(prem_analysis!$P$2:$Q$441,ROWS(Data!$P$2:X113),COLUMNS(Data!$P$3:W114)),IF($Q$1=$P$5,INDEX(prem_analysis!$BH$1:$BS$23,ROWS(Data!$Q$3:X114),COLUMNS(Data!$Q$3:X114)),IF($Q$1=$P$6,INDEX(prem_analysis!$BU$1:$CF$67,ROWS(prem_analysis!$N$2:U113),COLUMNS(prem_analysis!$N$2:U113)),IF($Q$1=$P$4,INDEX(Table24[[#All],[Year]:[Details]],ROWS(prem_analysis!$M$420:T531),COLUMNS(Data!$Q$3:X114)))))),"")</f>
        <v/>
      </c>
      <c r="Z113" s="1" t="str">
        <f>IFERROR(IF($Q$1=$P$3,INDEX(prem_analysis!$P$2:$Q$441,ROWS(Data!$P$2:Y113),COLUMNS(Data!$P$3:X114)),IF($Q$1=$P$5,INDEX(prem_analysis!$BH$1:$BS$23,ROWS(Data!$Q$3:Y114),COLUMNS(Data!$Q$3:Y114)),IF($Q$1=$P$6,INDEX(prem_analysis!$BU$1:$CF$67,ROWS(prem_analysis!$N$2:V113),COLUMNS(prem_analysis!$N$2:V113)),IF($Q$1=$P$4,INDEX(Table24[[#All],[Year]:[Details]],ROWS(prem_analysis!$M$420:U531),COLUMNS(Data!$Q$3:Y114)))))),"")</f>
        <v/>
      </c>
      <c r="AA113" s="1" t="str">
        <f>IFERROR(IF($Q$1=$P$3,INDEX(prem_analysis!$P$2:$Q$441,ROWS(Data!$P$2:Z113),COLUMNS(Data!$P$3:Y114)),IF($Q$1=$P$5,INDEX(prem_analysis!$BH$1:$BS$23,ROWS(Data!$Q$3:Z114),COLUMNS(Data!$Q$3:Z114)),IF($Q$1=$P$6,INDEX(prem_analysis!$BU$1:$CF$67,ROWS(prem_analysis!$N$2:W113),COLUMNS(prem_analysis!$N$2:W113)),IF($Q$1=$P$4,INDEX(Table24[[#All],[Year]:[Details]],ROWS(prem_analysis!$M$420:V531),COLUMNS(Data!$Q$3:Z114)))))),"")</f>
        <v/>
      </c>
      <c r="AB113" s="1" t="str">
        <f>IFERROR(IF($Q$1=$P$3,INDEX(prem_analysis!$P$2:$Q$441,ROWS(Data!$P$2:AA113),COLUMNS(Data!$P$3:Z114)),IF($Q$1=$P$5,INDEX(prem_analysis!$BH$1:$BS$23,ROWS(Data!$Q$3:AA114),COLUMNS(Data!$Q$3:AA114)),IF($Q$1=$P$6,INDEX(prem_analysis!$BU$1:$CF$67,ROWS(prem_analysis!$N$2:X113),COLUMNS(prem_analysis!$N$2:X113)),IF($Q$1=$P$4,INDEX(Table24[[#All],[Year]:[Details]],ROWS(prem_analysis!$M$420:W531),COLUMNS(Data!$Q$3:AA114)))))),"")</f>
        <v/>
      </c>
      <c r="AC113" s="1" t="str">
        <f>IFERROR(IF($Q$1=$P$3,INDEX(prem_analysis!$P$2:$Q$441,ROWS(Data!$P$2:AB113),COLUMNS(Data!$P$3:AA114)),IF($Q$1=$P$5,INDEX(prem_analysis!$BH$1:$BS$23,ROWS(Data!$Q$3:AB114),COLUMNS(Data!$Q$3:AB114)),IF($Q$1=$P$6,INDEX(prem_analysis!$BU$1:$CF$67,ROWS(prem_analysis!$N$2:Y113),COLUMNS(prem_analysis!$N$2:Y113)),IF($Q$1=$P$4,INDEX(Table24[[#All],[Year]:[Details]],ROWS(prem_analysis!$M$420:X531),COLUMNS(Data!$Q$3:AB114)))))),"")</f>
        <v/>
      </c>
    </row>
    <row r="114" spans="1:29" x14ac:dyDescent="0.2">
      <c r="A114" s="3">
        <v>2005</v>
      </c>
      <c r="B114" s="3">
        <v>13</v>
      </c>
      <c r="C114" s="4" t="s">
        <v>19</v>
      </c>
      <c r="D114" s="3">
        <v>38</v>
      </c>
      <c r="E114" s="3">
        <v>13</v>
      </c>
      <c r="F114" s="3">
        <v>8</v>
      </c>
      <c r="G114" s="3">
        <v>17</v>
      </c>
      <c r="H114" s="3">
        <v>41</v>
      </c>
      <c r="I114" s="3">
        <v>55</v>
      </c>
      <c r="J114" s="3">
        <v>-14</v>
      </c>
      <c r="K114" s="3">
        <v>47</v>
      </c>
      <c r="L114" s="5">
        <f>IF(Table24[[#This Row],['#]]=1,"Champion", IF(Table24[[#This Row],['#]]&gt;=18,"Relegated",Table24[[#This Row],['#]]))</f>
        <v>13</v>
      </c>
      <c r="M114" s="5" t="str">
        <f>IF(Table24[[#This Row],[Details]]=2,K113-Table24[[#This Row],[Pts]],IF(Table24[[#This Row],[Details]]=17,Table24[[#This Row],[Pts]]-K115,""))</f>
        <v/>
      </c>
      <c r="R114" s="1" t="str">
        <f>IFERROR(IF($Q$1=$P$3,INDEX(prem_analysis!$P$2:$Q$441,ROWS(Data!$P$2:Q114),COLUMNS(Data!$P$3:P115)),IF($Q$1=$P$5,INDEX(prem_analysis!$BH$1:$BS$23,ROWS(Data!$Q$3:Q115),COLUMNS(Data!$Q$3:Q115)),IF($Q$1=$P$6,INDEX(prem_analysis!$BU$1:$CF$67,ROWS(prem_analysis!$N$2:N114),COLUMNS(prem_analysis!$N$2:N114)),IF($Q$1=$P$4,INDEX(Table24[[#All],[Year]:[Details]],ROWS(prem_analysis!$M$420:M532),COLUMNS(Data!$Q$3:Q115)))))),"")</f>
        <v/>
      </c>
      <c r="S114" s="1" t="str">
        <f>IFERROR(IF($Q$1=$P$3,INDEX(prem_analysis!$P$2:$Q$441,ROWS(Data!$P$2:R114),COLUMNS(Data!$P$3:Q115)),IF($Q$1=$P$5,INDEX(prem_analysis!$BH$1:$BS$23,ROWS(Data!$Q$3:R115),COLUMNS(Data!$Q$3:R115)),IF($Q$1=$P$6,INDEX(prem_analysis!$BU$1:$CF$67,ROWS(prem_analysis!$N$2:O114),COLUMNS(prem_analysis!$N$2:O114)),IF($Q$1=$P$4,INDEX(Table24[[#All],[Year]:[Details]],ROWS(prem_analysis!$M$420:N532),COLUMNS(Data!$Q$3:R115)))))),"")</f>
        <v/>
      </c>
      <c r="T114" s="1" t="str">
        <f>IFERROR(IF($Q$1=$P$3,INDEX(prem_analysis!$P$2:$Q$441,ROWS(Data!$P$2:S114),COLUMNS(Data!$P$3:R115)),IF($Q$1=$P$5,INDEX(prem_analysis!$BH$1:$BS$23,ROWS(Data!$Q$3:S115),COLUMNS(Data!$Q$3:S115)),IF($Q$1=$P$6,INDEX(prem_analysis!$BU$1:$CF$67,ROWS(prem_analysis!$N$2:P114),COLUMNS(prem_analysis!$N$2:P114)),IF($Q$1=$P$4,INDEX(Table24[[#All],[Year]:[Details]],ROWS(prem_analysis!$M$420:O532),COLUMNS(Data!$Q$3:S115)))))),"")</f>
        <v/>
      </c>
      <c r="U114" s="1" t="str">
        <f>IFERROR(IF($Q$1=$P$3,INDEX(prem_analysis!$P$2:$Q$441,ROWS(Data!$P$2:T114),COLUMNS(Data!$P$3:S115)),IF($Q$1=$P$5,INDEX(prem_analysis!$BH$1:$BS$23,ROWS(Data!$Q$3:T115),COLUMNS(Data!$Q$3:T115)),IF($Q$1=$P$6,INDEX(prem_analysis!$BU$1:$CF$67,ROWS(prem_analysis!$N$2:Q114),COLUMNS(prem_analysis!$N$2:Q114)),IF($Q$1=$P$4,INDEX(Table24[[#All],[Year]:[Details]],ROWS(prem_analysis!$M$420:P532),COLUMNS(Data!$Q$3:T115)))))),"")</f>
        <v/>
      </c>
      <c r="V114" s="1" t="str">
        <f>IFERROR(IF($Q$1=$P$3,INDEX(prem_analysis!$P$2:$Q$441,ROWS(Data!$P$2:U114),COLUMNS(Data!$P$3:T115)),IF($Q$1=$P$5,INDEX(prem_analysis!$BH$1:$BS$23,ROWS(Data!$Q$3:U115),COLUMNS(Data!$Q$3:U115)),IF($Q$1=$P$6,INDEX(prem_analysis!$BU$1:$CF$67,ROWS(prem_analysis!$N$2:R114),COLUMNS(prem_analysis!$N$2:R114)),IF($Q$1=$P$4,INDEX(Table24[[#All],[Year]:[Details]],ROWS(prem_analysis!$M$420:Q532),COLUMNS(Data!$Q$3:U115)))))),"")</f>
        <v/>
      </c>
      <c r="W114" s="1" t="str">
        <f>IFERROR(IF($Q$1=$P$3,INDEX(prem_analysis!$P$2:$Q$441,ROWS(Data!$P$2:V114),COLUMNS(Data!$P$3:U115)),IF($Q$1=$P$5,INDEX(prem_analysis!$BH$1:$BS$23,ROWS(Data!$Q$3:V115),COLUMNS(Data!$Q$3:V115)),IF($Q$1=$P$6,INDEX(prem_analysis!$BU$1:$CF$67,ROWS(prem_analysis!$N$2:S114),COLUMNS(prem_analysis!$N$2:S114)),IF($Q$1=$P$4,INDEX(Table24[[#All],[Year]:[Details]],ROWS(prem_analysis!$M$420:R532),COLUMNS(Data!$Q$3:V115)))))),"")</f>
        <v/>
      </c>
      <c r="X114" s="1" t="str">
        <f>IFERROR(IF($Q$1=$P$3,INDEX(prem_analysis!$P$2:$Q$441,ROWS(Data!$P$2:W114),COLUMNS(Data!$P$3:V115)),IF($Q$1=$P$5,INDEX(prem_analysis!$BH$1:$BS$23,ROWS(Data!$Q$3:W115),COLUMNS(Data!$Q$3:W115)),IF($Q$1=$P$6,INDEX(prem_analysis!$BU$1:$CF$67,ROWS(prem_analysis!$N$2:T114),COLUMNS(prem_analysis!$N$2:T114)),IF($Q$1=$P$4,INDEX(Table24[[#All],[Year]:[Details]],ROWS(prem_analysis!$M$420:S532),COLUMNS(Data!$Q$3:W115)))))),"")</f>
        <v/>
      </c>
      <c r="Y114" s="1" t="str">
        <f>IFERROR(IF($Q$1=$P$3,INDEX(prem_analysis!$P$2:$Q$441,ROWS(Data!$P$2:X114),COLUMNS(Data!$P$3:W115)),IF($Q$1=$P$5,INDEX(prem_analysis!$BH$1:$BS$23,ROWS(Data!$Q$3:X115),COLUMNS(Data!$Q$3:X115)),IF($Q$1=$P$6,INDEX(prem_analysis!$BU$1:$CF$67,ROWS(prem_analysis!$N$2:U114),COLUMNS(prem_analysis!$N$2:U114)),IF($Q$1=$P$4,INDEX(Table24[[#All],[Year]:[Details]],ROWS(prem_analysis!$M$420:T532),COLUMNS(Data!$Q$3:X115)))))),"")</f>
        <v/>
      </c>
      <c r="Z114" s="1" t="str">
        <f>IFERROR(IF($Q$1=$P$3,INDEX(prem_analysis!$P$2:$Q$441,ROWS(Data!$P$2:Y114),COLUMNS(Data!$P$3:X115)),IF($Q$1=$P$5,INDEX(prem_analysis!$BH$1:$BS$23,ROWS(Data!$Q$3:Y115),COLUMNS(Data!$Q$3:Y115)),IF($Q$1=$P$6,INDEX(prem_analysis!$BU$1:$CF$67,ROWS(prem_analysis!$N$2:V114),COLUMNS(prem_analysis!$N$2:V114)),IF($Q$1=$P$4,INDEX(Table24[[#All],[Year]:[Details]],ROWS(prem_analysis!$M$420:U532),COLUMNS(Data!$Q$3:Y115)))))),"")</f>
        <v/>
      </c>
      <c r="AA114" s="1" t="str">
        <f>IFERROR(IF($Q$1=$P$3,INDEX(prem_analysis!$P$2:$Q$441,ROWS(Data!$P$2:Z114),COLUMNS(Data!$P$3:Y115)),IF($Q$1=$P$5,INDEX(prem_analysis!$BH$1:$BS$23,ROWS(Data!$Q$3:Z115),COLUMNS(Data!$Q$3:Z115)),IF($Q$1=$P$6,INDEX(prem_analysis!$BU$1:$CF$67,ROWS(prem_analysis!$N$2:W114),COLUMNS(prem_analysis!$N$2:W114)),IF($Q$1=$P$4,INDEX(Table24[[#All],[Year]:[Details]],ROWS(prem_analysis!$M$420:V532),COLUMNS(Data!$Q$3:Z115)))))),"")</f>
        <v/>
      </c>
      <c r="AB114" s="1" t="str">
        <f>IFERROR(IF($Q$1=$P$3,INDEX(prem_analysis!$P$2:$Q$441,ROWS(Data!$P$2:AA114),COLUMNS(Data!$P$3:Z115)),IF($Q$1=$P$5,INDEX(prem_analysis!$BH$1:$BS$23,ROWS(Data!$Q$3:AA115),COLUMNS(Data!$Q$3:AA115)),IF($Q$1=$P$6,INDEX(prem_analysis!$BU$1:$CF$67,ROWS(prem_analysis!$N$2:X114),COLUMNS(prem_analysis!$N$2:X114)),IF($Q$1=$P$4,INDEX(Table24[[#All],[Year]:[Details]],ROWS(prem_analysis!$M$420:W532),COLUMNS(Data!$Q$3:AA115)))))),"")</f>
        <v/>
      </c>
      <c r="AC114" s="1" t="str">
        <f>IFERROR(IF($Q$1=$P$3,INDEX(prem_analysis!$P$2:$Q$441,ROWS(Data!$P$2:AB114),COLUMNS(Data!$P$3:AA115)),IF($Q$1=$P$5,INDEX(prem_analysis!$BH$1:$BS$23,ROWS(Data!$Q$3:AB115),COLUMNS(Data!$Q$3:AB115)),IF($Q$1=$P$6,INDEX(prem_analysis!$BU$1:$CF$67,ROWS(prem_analysis!$N$2:Y114),COLUMNS(prem_analysis!$N$2:Y114)),IF($Q$1=$P$4,INDEX(Table24[[#All],[Year]:[Details]],ROWS(prem_analysis!$M$420:X532),COLUMNS(Data!$Q$3:AB115)))))),"")</f>
        <v/>
      </c>
    </row>
    <row r="115" spans="1:29" x14ac:dyDescent="0.2">
      <c r="A115" s="5">
        <v>2005</v>
      </c>
      <c r="B115" s="5">
        <v>14</v>
      </c>
      <c r="C115" s="6" t="s">
        <v>24</v>
      </c>
      <c r="D115" s="5">
        <v>38</v>
      </c>
      <c r="E115" s="5">
        <v>12</v>
      </c>
      <c r="F115" s="5">
        <v>9</v>
      </c>
      <c r="G115" s="5">
        <v>17</v>
      </c>
      <c r="H115" s="5">
        <v>48</v>
      </c>
      <c r="I115" s="5">
        <v>58</v>
      </c>
      <c r="J115" s="5">
        <v>-10</v>
      </c>
      <c r="K115" s="5">
        <v>45</v>
      </c>
      <c r="L115" s="5">
        <f>IF(Table24[[#This Row],['#]]=1,"Champion", IF(Table24[[#This Row],['#]]&gt;=18,"Relegated",Table24[[#This Row],['#]]))</f>
        <v>14</v>
      </c>
      <c r="M115" s="5" t="str">
        <f>IF(Table24[[#This Row],[Details]]=2,K114-Table24[[#This Row],[Pts]],IF(Table24[[#This Row],[Details]]=17,Table24[[#This Row],[Pts]]-K116,""))</f>
        <v/>
      </c>
      <c r="R115" s="1" t="str">
        <f>IFERROR(IF($Q$1=$P$3,INDEX(prem_analysis!$P$2:$Q$441,ROWS(Data!$P$2:Q115),COLUMNS(Data!$P$3:P116)),IF($Q$1=$P$5,INDEX(prem_analysis!$BH$1:$BS$23,ROWS(Data!$Q$3:Q116),COLUMNS(Data!$Q$3:Q116)),IF($Q$1=$P$6,INDEX(prem_analysis!$BU$1:$CF$67,ROWS(prem_analysis!$N$2:N115),COLUMNS(prem_analysis!$N$2:N115)),IF($Q$1=$P$4,INDEX(Table24[[#All],[Year]:[Details]],ROWS(prem_analysis!$M$420:M533),COLUMNS(Data!$Q$3:Q116)))))),"")</f>
        <v/>
      </c>
      <c r="S115" s="1" t="str">
        <f>IFERROR(IF($Q$1=$P$3,INDEX(prem_analysis!$P$2:$Q$441,ROWS(Data!$P$2:R115),COLUMNS(Data!$P$3:Q116)),IF($Q$1=$P$5,INDEX(prem_analysis!$BH$1:$BS$23,ROWS(Data!$Q$3:R116),COLUMNS(Data!$Q$3:R116)),IF($Q$1=$P$6,INDEX(prem_analysis!$BU$1:$CF$67,ROWS(prem_analysis!$N$2:O115),COLUMNS(prem_analysis!$N$2:O115)),IF($Q$1=$P$4,INDEX(Table24[[#All],[Year]:[Details]],ROWS(prem_analysis!$M$420:N533),COLUMNS(Data!$Q$3:R116)))))),"")</f>
        <v/>
      </c>
      <c r="T115" s="1" t="str">
        <f>IFERROR(IF($Q$1=$P$3,INDEX(prem_analysis!$P$2:$Q$441,ROWS(Data!$P$2:S115),COLUMNS(Data!$P$3:R116)),IF($Q$1=$P$5,INDEX(prem_analysis!$BH$1:$BS$23,ROWS(Data!$Q$3:S116),COLUMNS(Data!$Q$3:S116)),IF($Q$1=$P$6,INDEX(prem_analysis!$BU$1:$CF$67,ROWS(prem_analysis!$N$2:P115),COLUMNS(prem_analysis!$N$2:P115)),IF($Q$1=$P$4,INDEX(Table24[[#All],[Year]:[Details]],ROWS(prem_analysis!$M$420:O533),COLUMNS(Data!$Q$3:S116)))))),"")</f>
        <v/>
      </c>
      <c r="U115" s="1" t="str">
        <f>IFERROR(IF($Q$1=$P$3,INDEX(prem_analysis!$P$2:$Q$441,ROWS(Data!$P$2:T115),COLUMNS(Data!$P$3:S116)),IF($Q$1=$P$5,INDEX(prem_analysis!$BH$1:$BS$23,ROWS(Data!$Q$3:T116),COLUMNS(Data!$Q$3:T116)),IF($Q$1=$P$6,INDEX(prem_analysis!$BU$1:$CF$67,ROWS(prem_analysis!$N$2:Q115),COLUMNS(prem_analysis!$N$2:Q115)),IF($Q$1=$P$4,INDEX(Table24[[#All],[Year]:[Details]],ROWS(prem_analysis!$M$420:P533),COLUMNS(Data!$Q$3:T116)))))),"")</f>
        <v/>
      </c>
      <c r="V115" s="1" t="str">
        <f>IFERROR(IF($Q$1=$P$3,INDEX(prem_analysis!$P$2:$Q$441,ROWS(Data!$P$2:U115),COLUMNS(Data!$P$3:T116)),IF($Q$1=$P$5,INDEX(prem_analysis!$BH$1:$BS$23,ROWS(Data!$Q$3:U116),COLUMNS(Data!$Q$3:U116)),IF($Q$1=$P$6,INDEX(prem_analysis!$BU$1:$CF$67,ROWS(prem_analysis!$N$2:R115),COLUMNS(prem_analysis!$N$2:R115)),IF($Q$1=$P$4,INDEX(Table24[[#All],[Year]:[Details]],ROWS(prem_analysis!$M$420:Q533),COLUMNS(Data!$Q$3:U116)))))),"")</f>
        <v/>
      </c>
      <c r="W115" s="1" t="str">
        <f>IFERROR(IF($Q$1=$P$3,INDEX(prem_analysis!$P$2:$Q$441,ROWS(Data!$P$2:V115),COLUMNS(Data!$P$3:U116)),IF($Q$1=$P$5,INDEX(prem_analysis!$BH$1:$BS$23,ROWS(Data!$Q$3:V116),COLUMNS(Data!$Q$3:V116)),IF($Q$1=$P$6,INDEX(prem_analysis!$BU$1:$CF$67,ROWS(prem_analysis!$N$2:S115),COLUMNS(prem_analysis!$N$2:S115)),IF($Q$1=$P$4,INDEX(Table24[[#All],[Year]:[Details]],ROWS(prem_analysis!$M$420:R533),COLUMNS(Data!$Q$3:V116)))))),"")</f>
        <v/>
      </c>
      <c r="X115" s="1" t="str">
        <f>IFERROR(IF($Q$1=$P$3,INDEX(prem_analysis!$P$2:$Q$441,ROWS(Data!$P$2:W115),COLUMNS(Data!$P$3:V116)),IF($Q$1=$P$5,INDEX(prem_analysis!$BH$1:$BS$23,ROWS(Data!$Q$3:W116),COLUMNS(Data!$Q$3:W116)),IF($Q$1=$P$6,INDEX(prem_analysis!$BU$1:$CF$67,ROWS(prem_analysis!$N$2:T115),COLUMNS(prem_analysis!$N$2:T115)),IF($Q$1=$P$4,INDEX(Table24[[#All],[Year]:[Details]],ROWS(prem_analysis!$M$420:S533),COLUMNS(Data!$Q$3:W116)))))),"")</f>
        <v/>
      </c>
      <c r="Y115" s="1" t="str">
        <f>IFERROR(IF($Q$1=$P$3,INDEX(prem_analysis!$P$2:$Q$441,ROWS(Data!$P$2:X115),COLUMNS(Data!$P$3:W116)),IF($Q$1=$P$5,INDEX(prem_analysis!$BH$1:$BS$23,ROWS(Data!$Q$3:X116),COLUMNS(Data!$Q$3:X116)),IF($Q$1=$P$6,INDEX(prem_analysis!$BU$1:$CF$67,ROWS(prem_analysis!$N$2:U115),COLUMNS(prem_analysis!$N$2:U115)),IF($Q$1=$P$4,INDEX(Table24[[#All],[Year]:[Details]],ROWS(prem_analysis!$M$420:T533),COLUMNS(Data!$Q$3:X116)))))),"")</f>
        <v/>
      </c>
      <c r="Z115" s="1" t="str">
        <f>IFERROR(IF($Q$1=$P$3,INDEX(prem_analysis!$P$2:$Q$441,ROWS(Data!$P$2:Y115),COLUMNS(Data!$P$3:X116)),IF($Q$1=$P$5,INDEX(prem_analysis!$BH$1:$BS$23,ROWS(Data!$Q$3:Y116),COLUMNS(Data!$Q$3:Y116)),IF($Q$1=$P$6,INDEX(prem_analysis!$BU$1:$CF$67,ROWS(prem_analysis!$N$2:V115),COLUMNS(prem_analysis!$N$2:V115)),IF($Q$1=$P$4,INDEX(Table24[[#All],[Year]:[Details]],ROWS(prem_analysis!$M$420:U533),COLUMNS(Data!$Q$3:Y116)))))),"")</f>
        <v/>
      </c>
      <c r="AA115" s="1" t="str">
        <f>IFERROR(IF($Q$1=$P$3,INDEX(prem_analysis!$P$2:$Q$441,ROWS(Data!$P$2:Z115),COLUMNS(Data!$P$3:Y116)),IF($Q$1=$P$5,INDEX(prem_analysis!$BH$1:$BS$23,ROWS(Data!$Q$3:Z116),COLUMNS(Data!$Q$3:Z116)),IF($Q$1=$P$6,INDEX(prem_analysis!$BU$1:$CF$67,ROWS(prem_analysis!$N$2:W115),COLUMNS(prem_analysis!$N$2:W115)),IF($Q$1=$P$4,INDEX(Table24[[#All],[Year]:[Details]],ROWS(prem_analysis!$M$420:V533),COLUMNS(Data!$Q$3:Z116)))))),"")</f>
        <v/>
      </c>
      <c r="AB115" s="1" t="str">
        <f>IFERROR(IF($Q$1=$P$3,INDEX(prem_analysis!$P$2:$Q$441,ROWS(Data!$P$2:AA115),COLUMNS(Data!$P$3:Z116)),IF($Q$1=$P$5,INDEX(prem_analysis!$BH$1:$BS$23,ROWS(Data!$Q$3:AA116),COLUMNS(Data!$Q$3:AA116)),IF($Q$1=$P$6,INDEX(prem_analysis!$BU$1:$CF$67,ROWS(prem_analysis!$N$2:X115),COLUMNS(prem_analysis!$N$2:X115)),IF($Q$1=$P$4,INDEX(Table24[[#All],[Year]:[Details]],ROWS(prem_analysis!$M$420:W533),COLUMNS(Data!$Q$3:AA116)))))),"")</f>
        <v/>
      </c>
      <c r="AC115" s="1" t="str">
        <f>IFERROR(IF($Q$1=$P$3,INDEX(prem_analysis!$P$2:$Q$441,ROWS(Data!$P$2:AB115),COLUMNS(Data!$P$3:AA116)),IF($Q$1=$P$5,INDEX(prem_analysis!$BH$1:$BS$23,ROWS(Data!$Q$3:AB116),COLUMNS(Data!$Q$3:AB116)),IF($Q$1=$P$6,INDEX(prem_analysis!$BU$1:$CF$67,ROWS(prem_analysis!$N$2:Y115),COLUMNS(prem_analysis!$N$2:Y115)),IF($Q$1=$P$4,INDEX(Table24[[#All],[Year]:[Details]],ROWS(prem_analysis!$M$420:X533),COLUMNS(Data!$Q$3:AB116)))))),"")</f>
        <v/>
      </c>
    </row>
    <row r="116" spans="1:29" x14ac:dyDescent="0.2">
      <c r="A116" s="3">
        <v>2005</v>
      </c>
      <c r="B116" s="3">
        <v>15</v>
      </c>
      <c r="C116" s="4" t="s">
        <v>28</v>
      </c>
      <c r="D116" s="3">
        <v>38</v>
      </c>
      <c r="E116" s="3">
        <v>13</v>
      </c>
      <c r="F116" s="3">
        <v>4</v>
      </c>
      <c r="G116" s="3">
        <v>21</v>
      </c>
      <c r="H116" s="3">
        <v>43</v>
      </c>
      <c r="I116" s="3">
        <v>48</v>
      </c>
      <c r="J116" s="3">
        <v>-5</v>
      </c>
      <c r="K116" s="3">
        <v>43</v>
      </c>
      <c r="L116" s="5">
        <f>IF(Table24[[#This Row],['#]]=1,"Champion", IF(Table24[[#This Row],['#]]&gt;=18,"Relegated",Table24[[#This Row],['#]]))</f>
        <v>15</v>
      </c>
      <c r="M116" s="5" t="str">
        <f>IF(Table24[[#This Row],[Details]]=2,K115-Table24[[#This Row],[Pts]],IF(Table24[[#This Row],[Details]]=17,Table24[[#This Row],[Pts]]-K117,""))</f>
        <v/>
      </c>
      <c r="R116" s="1" t="str">
        <f>IFERROR(IF($Q$1=$P$3,INDEX(prem_analysis!$P$2:$Q$441,ROWS(Data!$P$2:Q116),COLUMNS(Data!$P$3:P117)),IF($Q$1=$P$5,INDEX(prem_analysis!$BH$1:$BS$23,ROWS(Data!$Q$3:Q117),COLUMNS(Data!$Q$3:Q117)),IF($Q$1=$P$6,INDEX(prem_analysis!$BU$1:$CF$67,ROWS(prem_analysis!$N$2:N116),COLUMNS(prem_analysis!$N$2:N116)),IF($Q$1=$P$4,INDEX(Table24[[#All],[Year]:[Details]],ROWS(prem_analysis!$M$420:M534),COLUMNS(Data!$Q$3:Q117)))))),"")</f>
        <v/>
      </c>
      <c r="S116" s="1" t="str">
        <f>IFERROR(IF($Q$1=$P$3,INDEX(prem_analysis!$P$2:$Q$441,ROWS(Data!$P$2:R116),COLUMNS(Data!$P$3:Q117)),IF($Q$1=$P$5,INDEX(prem_analysis!$BH$1:$BS$23,ROWS(Data!$Q$3:R117),COLUMNS(Data!$Q$3:R117)),IF($Q$1=$P$6,INDEX(prem_analysis!$BU$1:$CF$67,ROWS(prem_analysis!$N$2:O116),COLUMNS(prem_analysis!$N$2:O116)),IF($Q$1=$P$4,INDEX(Table24[[#All],[Year]:[Details]],ROWS(prem_analysis!$M$420:N534),COLUMNS(Data!$Q$3:R117)))))),"")</f>
        <v/>
      </c>
      <c r="T116" s="1" t="str">
        <f>IFERROR(IF($Q$1=$P$3,INDEX(prem_analysis!$P$2:$Q$441,ROWS(Data!$P$2:S116),COLUMNS(Data!$P$3:R117)),IF($Q$1=$P$5,INDEX(prem_analysis!$BH$1:$BS$23,ROWS(Data!$Q$3:S117),COLUMNS(Data!$Q$3:S117)),IF($Q$1=$P$6,INDEX(prem_analysis!$BU$1:$CF$67,ROWS(prem_analysis!$N$2:P116),COLUMNS(prem_analysis!$N$2:P116)),IF($Q$1=$P$4,INDEX(Table24[[#All],[Year]:[Details]],ROWS(prem_analysis!$M$420:O534),COLUMNS(Data!$Q$3:S117)))))),"")</f>
        <v/>
      </c>
      <c r="U116" s="1" t="str">
        <f>IFERROR(IF($Q$1=$P$3,INDEX(prem_analysis!$P$2:$Q$441,ROWS(Data!$P$2:T116),COLUMNS(Data!$P$3:S117)),IF($Q$1=$P$5,INDEX(prem_analysis!$BH$1:$BS$23,ROWS(Data!$Q$3:T117),COLUMNS(Data!$Q$3:T117)),IF($Q$1=$P$6,INDEX(prem_analysis!$BU$1:$CF$67,ROWS(prem_analysis!$N$2:Q116),COLUMNS(prem_analysis!$N$2:Q116)),IF($Q$1=$P$4,INDEX(Table24[[#All],[Year]:[Details]],ROWS(prem_analysis!$M$420:P534),COLUMNS(Data!$Q$3:T117)))))),"")</f>
        <v/>
      </c>
      <c r="V116" s="1" t="str">
        <f>IFERROR(IF($Q$1=$P$3,INDEX(prem_analysis!$P$2:$Q$441,ROWS(Data!$P$2:U116),COLUMNS(Data!$P$3:T117)),IF($Q$1=$P$5,INDEX(prem_analysis!$BH$1:$BS$23,ROWS(Data!$Q$3:U117),COLUMNS(Data!$Q$3:U117)),IF($Q$1=$P$6,INDEX(prem_analysis!$BU$1:$CF$67,ROWS(prem_analysis!$N$2:R116),COLUMNS(prem_analysis!$N$2:R116)),IF($Q$1=$P$4,INDEX(Table24[[#All],[Year]:[Details]],ROWS(prem_analysis!$M$420:Q534),COLUMNS(Data!$Q$3:U117)))))),"")</f>
        <v/>
      </c>
      <c r="W116" s="1" t="str">
        <f>IFERROR(IF($Q$1=$P$3,INDEX(prem_analysis!$P$2:$Q$441,ROWS(Data!$P$2:V116),COLUMNS(Data!$P$3:U117)),IF($Q$1=$P$5,INDEX(prem_analysis!$BH$1:$BS$23,ROWS(Data!$Q$3:V117),COLUMNS(Data!$Q$3:V117)),IF($Q$1=$P$6,INDEX(prem_analysis!$BU$1:$CF$67,ROWS(prem_analysis!$N$2:S116),COLUMNS(prem_analysis!$N$2:S116)),IF($Q$1=$P$4,INDEX(Table24[[#All],[Year]:[Details]],ROWS(prem_analysis!$M$420:R534),COLUMNS(Data!$Q$3:V117)))))),"")</f>
        <v/>
      </c>
      <c r="X116" s="1" t="str">
        <f>IFERROR(IF($Q$1=$P$3,INDEX(prem_analysis!$P$2:$Q$441,ROWS(Data!$P$2:W116),COLUMNS(Data!$P$3:V117)),IF($Q$1=$P$5,INDEX(prem_analysis!$BH$1:$BS$23,ROWS(Data!$Q$3:W117),COLUMNS(Data!$Q$3:W117)),IF($Q$1=$P$6,INDEX(prem_analysis!$BU$1:$CF$67,ROWS(prem_analysis!$N$2:T116),COLUMNS(prem_analysis!$N$2:T116)),IF($Q$1=$P$4,INDEX(Table24[[#All],[Year]:[Details]],ROWS(prem_analysis!$M$420:S534),COLUMNS(Data!$Q$3:W117)))))),"")</f>
        <v/>
      </c>
      <c r="Y116" s="1" t="str">
        <f>IFERROR(IF($Q$1=$P$3,INDEX(prem_analysis!$P$2:$Q$441,ROWS(Data!$P$2:X116),COLUMNS(Data!$P$3:W117)),IF($Q$1=$P$5,INDEX(prem_analysis!$BH$1:$BS$23,ROWS(Data!$Q$3:X117),COLUMNS(Data!$Q$3:X117)),IF($Q$1=$P$6,INDEX(prem_analysis!$BU$1:$CF$67,ROWS(prem_analysis!$N$2:U116),COLUMNS(prem_analysis!$N$2:U116)),IF($Q$1=$P$4,INDEX(Table24[[#All],[Year]:[Details]],ROWS(prem_analysis!$M$420:T534),COLUMNS(Data!$Q$3:X117)))))),"")</f>
        <v/>
      </c>
      <c r="Z116" s="1" t="str">
        <f>IFERROR(IF($Q$1=$P$3,INDEX(prem_analysis!$P$2:$Q$441,ROWS(Data!$P$2:Y116),COLUMNS(Data!$P$3:X117)),IF($Q$1=$P$5,INDEX(prem_analysis!$BH$1:$BS$23,ROWS(Data!$Q$3:Y117),COLUMNS(Data!$Q$3:Y117)),IF($Q$1=$P$6,INDEX(prem_analysis!$BU$1:$CF$67,ROWS(prem_analysis!$N$2:V116),COLUMNS(prem_analysis!$N$2:V116)),IF($Q$1=$P$4,INDEX(Table24[[#All],[Year]:[Details]],ROWS(prem_analysis!$M$420:U534),COLUMNS(Data!$Q$3:Y117)))))),"")</f>
        <v/>
      </c>
      <c r="AA116" s="1" t="str">
        <f>IFERROR(IF($Q$1=$P$3,INDEX(prem_analysis!$P$2:$Q$441,ROWS(Data!$P$2:Z116),COLUMNS(Data!$P$3:Y117)),IF($Q$1=$P$5,INDEX(prem_analysis!$BH$1:$BS$23,ROWS(Data!$Q$3:Z117),COLUMNS(Data!$Q$3:Z117)),IF($Q$1=$P$6,INDEX(prem_analysis!$BU$1:$CF$67,ROWS(prem_analysis!$N$2:W116),COLUMNS(prem_analysis!$N$2:W116)),IF($Q$1=$P$4,INDEX(Table24[[#All],[Year]:[Details]],ROWS(prem_analysis!$M$420:V534),COLUMNS(Data!$Q$3:Z117)))))),"")</f>
        <v/>
      </c>
      <c r="AB116" s="1" t="str">
        <f>IFERROR(IF($Q$1=$P$3,INDEX(prem_analysis!$P$2:$Q$441,ROWS(Data!$P$2:AA116),COLUMNS(Data!$P$3:Z117)),IF($Q$1=$P$5,INDEX(prem_analysis!$BH$1:$BS$23,ROWS(Data!$Q$3:AA117),COLUMNS(Data!$Q$3:AA117)),IF($Q$1=$P$6,INDEX(prem_analysis!$BU$1:$CF$67,ROWS(prem_analysis!$N$2:X116),COLUMNS(prem_analysis!$N$2:X116)),IF($Q$1=$P$4,INDEX(Table24[[#All],[Year]:[Details]],ROWS(prem_analysis!$M$420:W534),COLUMNS(Data!$Q$3:AA117)))))),"")</f>
        <v/>
      </c>
      <c r="AC116" s="1" t="str">
        <f>IFERROR(IF($Q$1=$P$3,INDEX(prem_analysis!$P$2:$Q$441,ROWS(Data!$P$2:AB116),COLUMNS(Data!$P$3:AA117)),IF($Q$1=$P$5,INDEX(prem_analysis!$BH$1:$BS$23,ROWS(Data!$Q$3:AB117),COLUMNS(Data!$Q$3:AB117)),IF($Q$1=$P$6,INDEX(prem_analysis!$BU$1:$CF$67,ROWS(prem_analysis!$N$2:Y116),COLUMNS(prem_analysis!$N$2:Y116)),IF($Q$1=$P$4,INDEX(Table24[[#All],[Year]:[Details]],ROWS(prem_analysis!$M$420:X534),COLUMNS(Data!$Q$3:AB117)))))),"")</f>
        <v/>
      </c>
    </row>
    <row r="117" spans="1:29" x14ac:dyDescent="0.2">
      <c r="A117" s="5">
        <v>2005</v>
      </c>
      <c r="B117" s="5">
        <v>16</v>
      </c>
      <c r="C117" s="6" t="s">
        <v>18</v>
      </c>
      <c r="D117" s="5">
        <v>38</v>
      </c>
      <c r="E117" s="5">
        <v>10</v>
      </c>
      <c r="F117" s="5">
        <v>12</v>
      </c>
      <c r="G117" s="5">
        <v>16</v>
      </c>
      <c r="H117" s="5">
        <v>42</v>
      </c>
      <c r="I117" s="5">
        <v>55</v>
      </c>
      <c r="J117" s="5">
        <v>-13</v>
      </c>
      <c r="K117" s="5">
        <v>42</v>
      </c>
      <c r="L117" s="5">
        <f>IF(Table24[[#This Row],['#]]=1,"Champion", IF(Table24[[#This Row],['#]]&gt;=18,"Relegated",Table24[[#This Row],['#]]))</f>
        <v>16</v>
      </c>
      <c r="M117" s="5" t="str">
        <f>IF(Table24[[#This Row],[Details]]=2,K116-Table24[[#This Row],[Pts]],IF(Table24[[#This Row],[Details]]=17,Table24[[#This Row],[Pts]]-K118,""))</f>
        <v/>
      </c>
      <c r="R117" s="1" t="str">
        <f>IFERROR(IF($Q$1=$P$3,INDEX(prem_analysis!$P$2:$Q$441,ROWS(Data!$P$2:Q117),COLUMNS(Data!$P$3:P118)),IF($Q$1=$P$5,INDEX(prem_analysis!$BH$1:$BS$23,ROWS(Data!$Q$3:Q118),COLUMNS(Data!$Q$3:Q118)),IF($Q$1=$P$6,INDEX(prem_analysis!$BU$1:$CF$67,ROWS(prem_analysis!$N$2:N117),COLUMNS(prem_analysis!$N$2:N117)),IF($Q$1=$P$4,INDEX(Table24[[#All],[Year]:[Details]],ROWS(prem_analysis!$M$420:M535),COLUMNS(Data!$Q$3:Q118)))))),"")</f>
        <v/>
      </c>
      <c r="S117" s="1" t="str">
        <f>IFERROR(IF($Q$1=$P$3,INDEX(prem_analysis!$P$2:$Q$441,ROWS(Data!$P$2:R117),COLUMNS(Data!$P$3:Q118)),IF($Q$1=$P$5,INDEX(prem_analysis!$BH$1:$BS$23,ROWS(Data!$Q$3:R118),COLUMNS(Data!$Q$3:R118)),IF($Q$1=$P$6,INDEX(prem_analysis!$BU$1:$CF$67,ROWS(prem_analysis!$N$2:O117),COLUMNS(prem_analysis!$N$2:O117)),IF($Q$1=$P$4,INDEX(Table24[[#All],[Year]:[Details]],ROWS(prem_analysis!$M$420:N535),COLUMNS(Data!$Q$3:R118)))))),"")</f>
        <v/>
      </c>
      <c r="T117" s="1" t="str">
        <f>IFERROR(IF($Q$1=$P$3,INDEX(prem_analysis!$P$2:$Q$441,ROWS(Data!$P$2:S117),COLUMNS(Data!$P$3:R118)),IF($Q$1=$P$5,INDEX(prem_analysis!$BH$1:$BS$23,ROWS(Data!$Q$3:S118),COLUMNS(Data!$Q$3:S118)),IF($Q$1=$P$6,INDEX(prem_analysis!$BU$1:$CF$67,ROWS(prem_analysis!$N$2:P117),COLUMNS(prem_analysis!$N$2:P117)),IF($Q$1=$P$4,INDEX(Table24[[#All],[Year]:[Details]],ROWS(prem_analysis!$M$420:O535),COLUMNS(Data!$Q$3:S118)))))),"")</f>
        <v/>
      </c>
      <c r="U117" s="1" t="str">
        <f>IFERROR(IF($Q$1=$P$3,INDEX(prem_analysis!$P$2:$Q$441,ROWS(Data!$P$2:T117),COLUMNS(Data!$P$3:S118)),IF($Q$1=$P$5,INDEX(prem_analysis!$BH$1:$BS$23,ROWS(Data!$Q$3:T118),COLUMNS(Data!$Q$3:T118)),IF($Q$1=$P$6,INDEX(prem_analysis!$BU$1:$CF$67,ROWS(prem_analysis!$N$2:Q117),COLUMNS(prem_analysis!$N$2:Q117)),IF($Q$1=$P$4,INDEX(Table24[[#All],[Year]:[Details]],ROWS(prem_analysis!$M$420:P535),COLUMNS(Data!$Q$3:T118)))))),"")</f>
        <v/>
      </c>
      <c r="V117" s="1" t="str">
        <f>IFERROR(IF($Q$1=$P$3,INDEX(prem_analysis!$P$2:$Q$441,ROWS(Data!$P$2:U117),COLUMNS(Data!$P$3:T118)),IF($Q$1=$P$5,INDEX(prem_analysis!$BH$1:$BS$23,ROWS(Data!$Q$3:U118),COLUMNS(Data!$Q$3:U118)),IF($Q$1=$P$6,INDEX(prem_analysis!$BU$1:$CF$67,ROWS(prem_analysis!$N$2:R117),COLUMNS(prem_analysis!$N$2:R117)),IF($Q$1=$P$4,INDEX(Table24[[#All],[Year]:[Details]],ROWS(prem_analysis!$M$420:Q535),COLUMNS(Data!$Q$3:U118)))))),"")</f>
        <v/>
      </c>
      <c r="W117" s="1" t="str">
        <f>IFERROR(IF($Q$1=$P$3,INDEX(prem_analysis!$P$2:$Q$441,ROWS(Data!$P$2:V117),COLUMNS(Data!$P$3:U118)),IF($Q$1=$P$5,INDEX(prem_analysis!$BH$1:$BS$23,ROWS(Data!$Q$3:V118),COLUMNS(Data!$Q$3:V118)),IF($Q$1=$P$6,INDEX(prem_analysis!$BU$1:$CF$67,ROWS(prem_analysis!$N$2:S117),COLUMNS(prem_analysis!$N$2:S117)),IF($Q$1=$P$4,INDEX(Table24[[#All],[Year]:[Details]],ROWS(prem_analysis!$M$420:R535),COLUMNS(Data!$Q$3:V118)))))),"")</f>
        <v/>
      </c>
      <c r="X117" s="1" t="str">
        <f>IFERROR(IF($Q$1=$P$3,INDEX(prem_analysis!$P$2:$Q$441,ROWS(Data!$P$2:W117),COLUMNS(Data!$P$3:V118)),IF($Q$1=$P$5,INDEX(prem_analysis!$BH$1:$BS$23,ROWS(Data!$Q$3:W118),COLUMNS(Data!$Q$3:W118)),IF($Q$1=$P$6,INDEX(prem_analysis!$BU$1:$CF$67,ROWS(prem_analysis!$N$2:T117),COLUMNS(prem_analysis!$N$2:T117)),IF($Q$1=$P$4,INDEX(Table24[[#All],[Year]:[Details]],ROWS(prem_analysis!$M$420:S535),COLUMNS(Data!$Q$3:W118)))))),"")</f>
        <v/>
      </c>
      <c r="Y117" s="1" t="str">
        <f>IFERROR(IF($Q$1=$P$3,INDEX(prem_analysis!$P$2:$Q$441,ROWS(Data!$P$2:X117),COLUMNS(Data!$P$3:W118)),IF($Q$1=$P$5,INDEX(prem_analysis!$BH$1:$BS$23,ROWS(Data!$Q$3:X118),COLUMNS(Data!$Q$3:X118)),IF($Q$1=$P$6,INDEX(prem_analysis!$BU$1:$CF$67,ROWS(prem_analysis!$N$2:U117),COLUMNS(prem_analysis!$N$2:U117)),IF($Q$1=$P$4,INDEX(Table24[[#All],[Year]:[Details]],ROWS(prem_analysis!$M$420:T535),COLUMNS(Data!$Q$3:X118)))))),"")</f>
        <v/>
      </c>
      <c r="Z117" s="1" t="str">
        <f>IFERROR(IF($Q$1=$P$3,INDEX(prem_analysis!$P$2:$Q$441,ROWS(Data!$P$2:Y117),COLUMNS(Data!$P$3:X118)),IF($Q$1=$P$5,INDEX(prem_analysis!$BH$1:$BS$23,ROWS(Data!$Q$3:Y118),COLUMNS(Data!$Q$3:Y118)),IF($Q$1=$P$6,INDEX(prem_analysis!$BU$1:$CF$67,ROWS(prem_analysis!$N$2:V117),COLUMNS(prem_analysis!$N$2:V117)),IF($Q$1=$P$4,INDEX(Table24[[#All],[Year]:[Details]],ROWS(prem_analysis!$M$420:U535),COLUMNS(Data!$Q$3:Y118)))))),"")</f>
        <v/>
      </c>
      <c r="AA117" s="1" t="str">
        <f>IFERROR(IF($Q$1=$P$3,INDEX(prem_analysis!$P$2:$Q$441,ROWS(Data!$P$2:Z117),COLUMNS(Data!$P$3:Y118)),IF($Q$1=$P$5,INDEX(prem_analysis!$BH$1:$BS$23,ROWS(Data!$Q$3:Z118),COLUMNS(Data!$Q$3:Z118)),IF($Q$1=$P$6,INDEX(prem_analysis!$BU$1:$CF$67,ROWS(prem_analysis!$N$2:W117),COLUMNS(prem_analysis!$N$2:W117)),IF($Q$1=$P$4,INDEX(Table24[[#All],[Year]:[Details]],ROWS(prem_analysis!$M$420:V535),COLUMNS(Data!$Q$3:Z118)))))),"")</f>
        <v/>
      </c>
      <c r="AB117" s="1" t="str">
        <f>IFERROR(IF($Q$1=$P$3,INDEX(prem_analysis!$P$2:$Q$441,ROWS(Data!$P$2:AA117),COLUMNS(Data!$P$3:Z118)),IF($Q$1=$P$5,INDEX(prem_analysis!$BH$1:$BS$23,ROWS(Data!$Q$3:AA118),COLUMNS(Data!$Q$3:AA118)),IF($Q$1=$P$6,INDEX(prem_analysis!$BU$1:$CF$67,ROWS(prem_analysis!$N$2:X117),COLUMNS(prem_analysis!$N$2:X117)),IF($Q$1=$P$4,INDEX(Table24[[#All],[Year]:[Details]],ROWS(prem_analysis!$M$420:W535),COLUMNS(Data!$Q$3:AA118)))))),"")</f>
        <v/>
      </c>
      <c r="AC117" s="1" t="str">
        <f>IFERROR(IF($Q$1=$P$3,INDEX(prem_analysis!$P$2:$Q$441,ROWS(Data!$P$2:AB117),COLUMNS(Data!$P$3:AA118)),IF($Q$1=$P$5,INDEX(prem_analysis!$BH$1:$BS$23,ROWS(Data!$Q$3:AB118),COLUMNS(Data!$Q$3:AB118)),IF($Q$1=$P$6,INDEX(prem_analysis!$BU$1:$CF$67,ROWS(prem_analysis!$N$2:Y117),COLUMNS(prem_analysis!$N$2:Y117)),IF($Q$1=$P$4,INDEX(Table24[[#All],[Year]:[Details]],ROWS(prem_analysis!$M$420:X535),COLUMNS(Data!$Q$3:AB118)))))),"")</f>
        <v/>
      </c>
    </row>
    <row r="118" spans="1:29" x14ac:dyDescent="0.2">
      <c r="A118" s="3">
        <v>2005</v>
      </c>
      <c r="B118" s="3">
        <v>17</v>
      </c>
      <c r="C118" s="4" t="s">
        <v>36</v>
      </c>
      <c r="D118" s="3">
        <v>38</v>
      </c>
      <c r="E118" s="3">
        <v>10</v>
      </c>
      <c r="F118" s="3">
        <v>8</v>
      </c>
      <c r="G118" s="3">
        <v>20</v>
      </c>
      <c r="H118" s="3">
        <v>37</v>
      </c>
      <c r="I118" s="3">
        <v>62</v>
      </c>
      <c r="J118" s="3">
        <v>-25</v>
      </c>
      <c r="K118" s="3">
        <v>38</v>
      </c>
      <c r="L118" s="5">
        <f>IF(Table24[[#This Row],['#]]=1,"Champion", IF(Table24[[#This Row],['#]]&gt;=18,"Relegated",Table24[[#This Row],['#]]))</f>
        <v>17</v>
      </c>
      <c r="M118" s="5">
        <f>IF(Table24[[#This Row],[Details]]=2,K117-Table24[[#This Row],[Pts]],IF(Table24[[#This Row],[Details]]=17,Table24[[#This Row],[Pts]]-K119,""))</f>
        <v>4</v>
      </c>
      <c r="R118" s="1" t="str">
        <f>IFERROR(IF($Q$1=$P$3,INDEX(prem_analysis!$P$2:$Q$441,ROWS(Data!$P$2:Q118),COLUMNS(Data!$P$3:P119)),IF($Q$1=$P$5,INDEX(prem_analysis!$BH$1:$BS$23,ROWS(Data!$Q$3:Q119),COLUMNS(Data!$Q$3:Q119)),IF($Q$1=$P$6,INDEX(prem_analysis!$BU$1:$CF$67,ROWS(prem_analysis!$N$2:N118),COLUMNS(prem_analysis!$N$2:N118)),IF($Q$1=$P$4,INDEX(Table24[[#All],[Year]:[Details]],ROWS(prem_analysis!$M$420:M536),COLUMNS(Data!$Q$3:Q119)))))),"")</f>
        <v/>
      </c>
      <c r="S118" s="1" t="str">
        <f>IFERROR(IF($Q$1=$P$3,INDEX(prem_analysis!$P$2:$Q$441,ROWS(Data!$P$2:R118),COLUMNS(Data!$P$3:Q119)),IF($Q$1=$P$5,INDEX(prem_analysis!$BH$1:$BS$23,ROWS(Data!$Q$3:R119),COLUMNS(Data!$Q$3:R119)),IF($Q$1=$P$6,INDEX(prem_analysis!$BU$1:$CF$67,ROWS(prem_analysis!$N$2:O118),COLUMNS(prem_analysis!$N$2:O118)),IF($Q$1=$P$4,INDEX(Table24[[#All],[Year]:[Details]],ROWS(prem_analysis!$M$420:N536),COLUMNS(Data!$Q$3:R119)))))),"")</f>
        <v/>
      </c>
      <c r="T118" s="1" t="str">
        <f>IFERROR(IF($Q$1=$P$3,INDEX(prem_analysis!$P$2:$Q$441,ROWS(Data!$P$2:S118),COLUMNS(Data!$P$3:R119)),IF($Q$1=$P$5,INDEX(prem_analysis!$BH$1:$BS$23,ROWS(Data!$Q$3:S119),COLUMNS(Data!$Q$3:S119)),IF($Q$1=$P$6,INDEX(prem_analysis!$BU$1:$CF$67,ROWS(prem_analysis!$N$2:P118),COLUMNS(prem_analysis!$N$2:P118)),IF($Q$1=$P$4,INDEX(Table24[[#All],[Year]:[Details]],ROWS(prem_analysis!$M$420:O536),COLUMNS(Data!$Q$3:S119)))))),"")</f>
        <v/>
      </c>
      <c r="U118" s="1" t="str">
        <f>IFERROR(IF($Q$1=$P$3,INDEX(prem_analysis!$P$2:$Q$441,ROWS(Data!$P$2:T118),COLUMNS(Data!$P$3:S119)),IF($Q$1=$P$5,INDEX(prem_analysis!$BH$1:$BS$23,ROWS(Data!$Q$3:T119),COLUMNS(Data!$Q$3:T119)),IF($Q$1=$P$6,INDEX(prem_analysis!$BU$1:$CF$67,ROWS(prem_analysis!$N$2:Q118),COLUMNS(prem_analysis!$N$2:Q118)),IF($Q$1=$P$4,INDEX(Table24[[#All],[Year]:[Details]],ROWS(prem_analysis!$M$420:P536),COLUMNS(Data!$Q$3:T119)))))),"")</f>
        <v/>
      </c>
      <c r="V118" s="1" t="str">
        <f>IFERROR(IF($Q$1=$P$3,INDEX(prem_analysis!$P$2:$Q$441,ROWS(Data!$P$2:U118),COLUMNS(Data!$P$3:T119)),IF($Q$1=$P$5,INDEX(prem_analysis!$BH$1:$BS$23,ROWS(Data!$Q$3:U119),COLUMNS(Data!$Q$3:U119)),IF($Q$1=$P$6,INDEX(prem_analysis!$BU$1:$CF$67,ROWS(prem_analysis!$N$2:R118),COLUMNS(prem_analysis!$N$2:R118)),IF($Q$1=$P$4,INDEX(Table24[[#All],[Year]:[Details]],ROWS(prem_analysis!$M$420:Q536),COLUMNS(Data!$Q$3:U119)))))),"")</f>
        <v/>
      </c>
      <c r="W118" s="1" t="str">
        <f>IFERROR(IF($Q$1=$P$3,INDEX(prem_analysis!$P$2:$Q$441,ROWS(Data!$P$2:V118),COLUMNS(Data!$P$3:U119)),IF($Q$1=$P$5,INDEX(prem_analysis!$BH$1:$BS$23,ROWS(Data!$Q$3:V119),COLUMNS(Data!$Q$3:V119)),IF($Q$1=$P$6,INDEX(prem_analysis!$BU$1:$CF$67,ROWS(prem_analysis!$N$2:S118),COLUMNS(prem_analysis!$N$2:S118)),IF($Q$1=$P$4,INDEX(Table24[[#All],[Year]:[Details]],ROWS(prem_analysis!$M$420:R536),COLUMNS(Data!$Q$3:V119)))))),"")</f>
        <v/>
      </c>
      <c r="X118" s="1" t="str">
        <f>IFERROR(IF($Q$1=$P$3,INDEX(prem_analysis!$P$2:$Q$441,ROWS(Data!$P$2:W118),COLUMNS(Data!$P$3:V119)),IF($Q$1=$P$5,INDEX(prem_analysis!$BH$1:$BS$23,ROWS(Data!$Q$3:W119),COLUMNS(Data!$Q$3:W119)),IF($Q$1=$P$6,INDEX(prem_analysis!$BU$1:$CF$67,ROWS(prem_analysis!$N$2:T118),COLUMNS(prem_analysis!$N$2:T118)),IF($Q$1=$P$4,INDEX(Table24[[#All],[Year]:[Details]],ROWS(prem_analysis!$M$420:S536),COLUMNS(Data!$Q$3:W119)))))),"")</f>
        <v/>
      </c>
      <c r="Y118" s="1" t="str">
        <f>IFERROR(IF($Q$1=$P$3,INDEX(prem_analysis!$P$2:$Q$441,ROWS(Data!$P$2:X118),COLUMNS(Data!$P$3:W119)),IF($Q$1=$P$5,INDEX(prem_analysis!$BH$1:$BS$23,ROWS(Data!$Q$3:X119),COLUMNS(Data!$Q$3:X119)),IF($Q$1=$P$6,INDEX(prem_analysis!$BU$1:$CF$67,ROWS(prem_analysis!$N$2:U118),COLUMNS(prem_analysis!$N$2:U118)),IF($Q$1=$P$4,INDEX(Table24[[#All],[Year]:[Details]],ROWS(prem_analysis!$M$420:T536),COLUMNS(Data!$Q$3:X119)))))),"")</f>
        <v/>
      </c>
      <c r="Z118" s="1" t="str">
        <f>IFERROR(IF($Q$1=$P$3,INDEX(prem_analysis!$P$2:$Q$441,ROWS(Data!$P$2:Y118),COLUMNS(Data!$P$3:X119)),IF($Q$1=$P$5,INDEX(prem_analysis!$BH$1:$BS$23,ROWS(Data!$Q$3:Y119),COLUMNS(Data!$Q$3:Y119)),IF($Q$1=$P$6,INDEX(prem_analysis!$BU$1:$CF$67,ROWS(prem_analysis!$N$2:V118),COLUMNS(prem_analysis!$N$2:V118)),IF($Q$1=$P$4,INDEX(Table24[[#All],[Year]:[Details]],ROWS(prem_analysis!$M$420:U536),COLUMNS(Data!$Q$3:Y119)))))),"")</f>
        <v/>
      </c>
      <c r="AA118" s="1" t="str">
        <f>IFERROR(IF($Q$1=$P$3,INDEX(prem_analysis!$P$2:$Q$441,ROWS(Data!$P$2:Z118),COLUMNS(Data!$P$3:Y119)),IF($Q$1=$P$5,INDEX(prem_analysis!$BH$1:$BS$23,ROWS(Data!$Q$3:Z119),COLUMNS(Data!$Q$3:Z119)),IF($Q$1=$P$6,INDEX(prem_analysis!$BU$1:$CF$67,ROWS(prem_analysis!$N$2:W118),COLUMNS(prem_analysis!$N$2:W118)),IF($Q$1=$P$4,INDEX(Table24[[#All],[Year]:[Details]],ROWS(prem_analysis!$M$420:V536),COLUMNS(Data!$Q$3:Z119)))))),"")</f>
        <v/>
      </c>
      <c r="AB118" s="1" t="str">
        <f>IFERROR(IF($Q$1=$P$3,INDEX(prem_analysis!$P$2:$Q$441,ROWS(Data!$P$2:AA118),COLUMNS(Data!$P$3:Z119)),IF($Q$1=$P$5,INDEX(prem_analysis!$BH$1:$BS$23,ROWS(Data!$Q$3:AA119),COLUMNS(Data!$Q$3:AA119)),IF($Q$1=$P$6,INDEX(prem_analysis!$BU$1:$CF$67,ROWS(prem_analysis!$N$2:X118),COLUMNS(prem_analysis!$N$2:X118)),IF($Q$1=$P$4,INDEX(Table24[[#All],[Year]:[Details]],ROWS(prem_analysis!$M$420:W536),COLUMNS(Data!$Q$3:AA119)))))),"")</f>
        <v/>
      </c>
      <c r="AC118" s="1" t="str">
        <f>IFERROR(IF($Q$1=$P$3,INDEX(prem_analysis!$P$2:$Q$441,ROWS(Data!$P$2:AB118),COLUMNS(Data!$P$3:AA119)),IF($Q$1=$P$5,INDEX(prem_analysis!$BH$1:$BS$23,ROWS(Data!$Q$3:AB119),COLUMNS(Data!$Q$3:AB119)),IF($Q$1=$P$6,INDEX(prem_analysis!$BU$1:$CF$67,ROWS(prem_analysis!$N$2:Y118),COLUMNS(prem_analysis!$N$2:Y118)),IF($Q$1=$P$4,INDEX(Table24[[#All],[Year]:[Details]],ROWS(prem_analysis!$M$420:X536),COLUMNS(Data!$Q$3:AB119)))))),"")</f>
        <v/>
      </c>
    </row>
    <row r="119" spans="1:29" x14ac:dyDescent="0.2">
      <c r="A119" s="5">
        <v>2005</v>
      </c>
      <c r="B119" s="5">
        <v>18</v>
      </c>
      <c r="C119" s="6" t="s">
        <v>34</v>
      </c>
      <c r="D119" s="5">
        <v>38</v>
      </c>
      <c r="E119" s="5">
        <v>8</v>
      </c>
      <c r="F119" s="5">
        <v>10</v>
      </c>
      <c r="G119" s="5">
        <v>20</v>
      </c>
      <c r="H119" s="5">
        <v>28</v>
      </c>
      <c r="I119" s="5">
        <v>50</v>
      </c>
      <c r="J119" s="5">
        <v>-22</v>
      </c>
      <c r="K119" s="5">
        <v>34</v>
      </c>
      <c r="L119" s="5" t="str">
        <f>IF(Table24[[#This Row],['#]]=1,"Champion", IF(Table24[[#This Row],['#]]&gt;=18,"Relegated",Table24[[#This Row],['#]]))</f>
        <v>Relegated</v>
      </c>
      <c r="M119" s="5" t="str">
        <f>IF(Table24[[#This Row],[Details]]=2,K118-Table24[[#This Row],[Pts]],IF(Table24[[#This Row],[Details]]=17,Table24[[#This Row],[Pts]]-K120,""))</f>
        <v/>
      </c>
      <c r="R119" s="1" t="str">
        <f>IFERROR(IF($Q$1=$P$3,INDEX(prem_analysis!$P$2:$Q$441,ROWS(Data!$P$2:Q119),COLUMNS(Data!$P$3:P120)),IF($Q$1=$P$5,INDEX(prem_analysis!$BH$1:$BS$23,ROWS(Data!$Q$3:Q120),COLUMNS(Data!$Q$3:Q120)),IF($Q$1=$P$6,INDEX(prem_analysis!$BU$1:$CF$67,ROWS(prem_analysis!$N$2:N119),COLUMNS(prem_analysis!$N$2:N119)),IF($Q$1=$P$4,INDEX(Table24[[#All],[Year]:[Details]],ROWS(prem_analysis!$M$420:M537),COLUMNS(Data!$Q$3:Q120)))))),"")</f>
        <v/>
      </c>
      <c r="S119" s="1" t="str">
        <f>IFERROR(IF($Q$1=$P$3,INDEX(prem_analysis!$P$2:$Q$441,ROWS(Data!$P$2:R119),COLUMNS(Data!$P$3:Q120)),IF($Q$1=$P$5,INDEX(prem_analysis!$BH$1:$BS$23,ROWS(Data!$Q$3:R120),COLUMNS(Data!$Q$3:R120)),IF($Q$1=$P$6,INDEX(prem_analysis!$BU$1:$CF$67,ROWS(prem_analysis!$N$2:O119),COLUMNS(prem_analysis!$N$2:O119)),IF($Q$1=$P$4,INDEX(Table24[[#All],[Year]:[Details]],ROWS(prem_analysis!$M$420:N537),COLUMNS(Data!$Q$3:R120)))))),"")</f>
        <v/>
      </c>
      <c r="T119" s="1" t="str">
        <f>IFERROR(IF($Q$1=$P$3,INDEX(prem_analysis!$P$2:$Q$441,ROWS(Data!$P$2:S119),COLUMNS(Data!$P$3:R120)),IF($Q$1=$P$5,INDEX(prem_analysis!$BH$1:$BS$23,ROWS(Data!$Q$3:S120),COLUMNS(Data!$Q$3:S120)),IF($Q$1=$P$6,INDEX(prem_analysis!$BU$1:$CF$67,ROWS(prem_analysis!$N$2:P119),COLUMNS(prem_analysis!$N$2:P119)),IF($Q$1=$P$4,INDEX(Table24[[#All],[Year]:[Details]],ROWS(prem_analysis!$M$420:O537),COLUMNS(Data!$Q$3:S120)))))),"")</f>
        <v/>
      </c>
      <c r="U119" s="1" t="str">
        <f>IFERROR(IF($Q$1=$P$3,INDEX(prem_analysis!$P$2:$Q$441,ROWS(Data!$P$2:T119),COLUMNS(Data!$P$3:S120)),IF($Q$1=$P$5,INDEX(prem_analysis!$BH$1:$BS$23,ROWS(Data!$Q$3:T120),COLUMNS(Data!$Q$3:T120)),IF($Q$1=$P$6,INDEX(prem_analysis!$BU$1:$CF$67,ROWS(prem_analysis!$N$2:Q119),COLUMNS(prem_analysis!$N$2:Q119)),IF($Q$1=$P$4,INDEX(Table24[[#All],[Year]:[Details]],ROWS(prem_analysis!$M$420:P537),COLUMNS(Data!$Q$3:T120)))))),"")</f>
        <v/>
      </c>
      <c r="V119" s="1" t="str">
        <f>IFERROR(IF($Q$1=$P$3,INDEX(prem_analysis!$P$2:$Q$441,ROWS(Data!$P$2:U119),COLUMNS(Data!$P$3:T120)),IF($Q$1=$P$5,INDEX(prem_analysis!$BH$1:$BS$23,ROWS(Data!$Q$3:U120),COLUMNS(Data!$Q$3:U120)),IF($Q$1=$P$6,INDEX(prem_analysis!$BU$1:$CF$67,ROWS(prem_analysis!$N$2:R119),COLUMNS(prem_analysis!$N$2:R119)),IF($Q$1=$P$4,INDEX(Table24[[#All],[Year]:[Details]],ROWS(prem_analysis!$M$420:Q537),COLUMNS(Data!$Q$3:U120)))))),"")</f>
        <v/>
      </c>
      <c r="W119" s="1" t="str">
        <f>IFERROR(IF($Q$1=$P$3,INDEX(prem_analysis!$P$2:$Q$441,ROWS(Data!$P$2:V119),COLUMNS(Data!$P$3:U120)),IF($Q$1=$P$5,INDEX(prem_analysis!$BH$1:$BS$23,ROWS(Data!$Q$3:V120),COLUMNS(Data!$Q$3:V120)),IF($Q$1=$P$6,INDEX(prem_analysis!$BU$1:$CF$67,ROWS(prem_analysis!$N$2:S119),COLUMNS(prem_analysis!$N$2:S119)),IF($Q$1=$P$4,INDEX(Table24[[#All],[Year]:[Details]],ROWS(prem_analysis!$M$420:R537),COLUMNS(Data!$Q$3:V120)))))),"")</f>
        <v/>
      </c>
      <c r="X119" s="1" t="str">
        <f>IFERROR(IF($Q$1=$P$3,INDEX(prem_analysis!$P$2:$Q$441,ROWS(Data!$P$2:W119),COLUMNS(Data!$P$3:V120)),IF($Q$1=$P$5,INDEX(prem_analysis!$BH$1:$BS$23,ROWS(Data!$Q$3:W120),COLUMNS(Data!$Q$3:W120)),IF($Q$1=$P$6,INDEX(prem_analysis!$BU$1:$CF$67,ROWS(prem_analysis!$N$2:T119),COLUMNS(prem_analysis!$N$2:T119)),IF($Q$1=$P$4,INDEX(Table24[[#All],[Year]:[Details]],ROWS(prem_analysis!$M$420:S537),COLUMNS(Data!$Q$3:W120)))))),"")</f>
        <v/>
      </c>
      <c r="Y119" s="1" t="str">
        <f>IFERROR(IF($Q$1=$P$3,INDEX(prem_analysis!$P$2:$Q$441,ROWS(Data!$P$2:X119),COLUMNS(Data!$P$3:W120)),IF($Q$1=$P$5,INDEX(prem_analysis!$BH$1:$BS$23,ROWS(Data!$Q$3:X120),COLUMNS(Data!$Q$3:X120)),IF($Q$1=$P$6,INDEX(prem_analysis!$BU$1:$CF$67,ROWS(prem_analysis!$N$2:U119),COLUMNS(prem_analysis!$N$2:U119)),IF($Q$1=$P$4,INDEX(Table24[[#All],[Year]:[Details]],ROWS(prem_analysis!$M$420:T537),COLUMNS(Data!$Q$3:X120)))))),"")</f>
        <v/>
      </c>
      <c r="Z119" s="1" t="str">
        <f>IFERROR(IF($Q$1=$P$3,INDEX(prem_analysis!$P$2:$Q$441,ROWS(Data!$P$2:Y119),COLUMNS(Data!$P$3:X120)),IF($Q$1=$P$5,INDEX(prem_analysis!$BH$1:$BS$23,ROWS(Data!$Q$3:Y120),COLUMNS(Data!$Q$3:Y120)),IF($Q$1=$P$6,INDEX(prem_analysis!$BU$1:$CF$67,ROWS(prem_analysis!$N$2:V119),COLUMNS(prem_analysis!$N$2:V119)),IF($Q$1=$P$4,INDEX(Table24[[#All],[Year]:[Details]],ROWS(prem_analysis!$M$420:U537),COLUMNS(Data!$Q$3:Y120)))))),"")</f>
        <v/>
      </c>
      <c r="AA119" s="1" t="str">
        <f>IFERROR(IF($Q$1=$P$3,INDEX(prem_analysis!$P$2:$Q$441,ROWS(Data!$P$2:Z119),COLUMNS(Data!$P$3:Y120)),IF($Q$1=$P$5,INDEX(prem_analysis!$BH$1:$BS$23,ROWS(Data!$Q$3:Z120),COLUMNS(Data!$Q$3:Z120)),IF($Q$1=$P$6,INDEX(prem_analysis!$BU$1:$CF$67,ROWS(prem_analysis!$N$2:W119),COLUMNS(prem_analysis!$N$2:W119)),IF($Q$1=$P$4,INDEX(Table24[[#All],[Year]:[Details]],ROWS(prem_analysis!$M$420:V537),COLUMNS(Data!$Q$3:Z120)))))),"")</f>
        <v/>
      </c>
      <c r="AB119" s="1" t="str">
        <f>IFERROR(IF($Q$1=$P$3,INDEX(prem_analysis!$P$2:$Q$441,ROWS(Data!$P$2:AA119),COLUMNS(Data!$P$3:Z120)),IF($Q$1=$P$5,INDEX(prem_analysis!$BH$1:$BS$23,ROWS(Data!$Q$3:AA120),COLUMNS(Data!$Q$3:AA120)),IF($Q$1=$P$6,INDEX(prem_analysis!$BU$1:$CF$67,ROWS(prem_analysis!$N$2:X119),COLUMNS(prem_analysis!$N$2:X119)),IF($Q$1=$P$4,INDEX(Table24[[#All],[Year]:[Details]],ROWS(prem_analysis!$M$420:W537),COLUMNS(Data!$Q$3:AA120)))))),"")</f>
        <v/>
      </c>
      <c r="AC119" s="1" t="str">
        <f>IFERROR(IF($Q$1=$P$3,INDEX(prem_analysis!$P$2:$Q$441,ROWS(Data!$P$2:AB119),COLUMNS(Data!$P$3:AA120)),IF($Q$1=$P$5,INDEX(prem_analysis!$BH$1:$BS$23,ROWS(Data!$Q$3:AB120),COLUMNS(Data!$Q$3:AB120)),IF($Q$1=$P$6,INDEX(prem_analysis!$BU$1:$CF$67,ROWS(prem_analysis!$N$2:Y119),COLUMNS(prem_analysis!$N$2:Y119)),IF($Q$1=$P$4,INDEX(Table24[[#All],[Year]:[Details]],ROWS(prem_analysis!$M$420:X537),COLUMNS(Data!$Q$3:AB120)))))),"")</f>
        <v/>
      </c>
    </row>
    <row r="120" spans="1:29" x14ac:dyDescent="0.2">
      <c r="A120" s="3">
        <v>2005</v>
      </c>
      <c r="B120" s="3">
        <v>19</v>
      </c>
      <c r="C120" s="4" t="s">
        <v>35</v>
      </c>
      <c r="D120" s="3">
        <v>38</v>
      </c>
      <c r="E120" s="3">
        <v>7</v>
      </c>
      <c r="F120" s="3">
        <v>9</v>
      </c>
      <c r="G120" s="3">
        <v>22</v>
      </c>
      <c r="H120" s="3">
        <v>31</v>
      </c>
      <c r="I120" s="3">
        <v>58</v>
      </c>
      <c r="J120" s="3">
        <v>-27</v>
      </c>
      <c r="K120" s="3">
        <v>30</v>
      </c>
      <c r="L120" s="5" t="str">
        <f>IF(Table24[[#This Row],['#]]=1,"Champion", IF(Table24[[#This Row],['#]]&gt;=18,"Relegated",Table24[[#This Row],['#]]))</f>
        <v>Relegated</v>
      </c>
      <c r="M120" s="5" t="str">
        <f>IF(Table24[[#This Row],[Details]]=2,K119-Table24[[#This Row],[Pts]],IF(Table24[[#This Row],[Details]]=17,Table24[[#This Row],[Pts]]-K121,""))</f>
        <v/>
      </c>
      <c r="R120" s="1" t="str">
        <f>IFERROR(IF($Q$1=$P$3,INDEX(prem_analysis!$P$2:$Q$441,ROWS(Data!$P$2:Q120),COLUMNS(Data!$P$3:P121)),IF($Q$1=$P$5,INDEX(prem_analysis!$BH$1:$BS$23,ROWS(Data!$Q$3:Q121),COLUMNS(Data!$Q$3:Q121)),IF($Q$1=$P$6,INDEX(prem_analysis!$BU$1:$CF$67,ROWS(prem_analysis!$N$2:N120),COLUMNS(prem_analysis!$N$2:N120)),IF($Q$1=$P$4,INDEX(Table24[[#All],[Year]:[Details]],ROWS(prem_analysis!$M$420:M538),COLUMNS(Data!$Q$3:Q121)))))),"")</f>
        <v/>
      </c>
      <c r="S120" s="1" t="str">
        <f>IFERROR(IF($Q$1=$P$3,INDEX(prem_analysis!$P$2:$Q$441,ROWS(Data!$P$2:R120),COLUMNS(Data!$P$3:Q121)),IF($Q$1=$P$5,INDEX(prem_analysis!$BH$1:$BS$23,ROWS(Data!$Q$3:R121),COLUMNS(Data!$Q$3:R121)),IF($Q$1=$P$6,INDEX(prem_analysis!$BU$1:$CF$67,ROWS(prem_analysis!$N$2:O120),COLUMNS(prem_analysis!$N$2:O120)),IF($Q$1=$P$4,INDEX(Table24[[#All],[Year]:[Details]],ROWS(prem_analysis!$M$420:N538),COLUMNS(Data!$Q$3:R121)))))),"")</f>
        <v/>
      </c>
      <c r="T120" s="1" t="str">
        <f>IFERROR(IF($Q$1=$P$3,INDEX(prem_analysis!$P$2:$Q$441,ROWS(Data!$P$2:S120),COLUMNS(Data!$P$3:R121)),IF($Q$1=$P$5,INDEX(prem_analysis!$BH$1:$BS$23,ROWS(Data!$Q$3:S121),COLUMNS(Data!$Q$3:S121)),IF($Q$1=$P$6,INDEX(prem_analysis!$BU$1:$CF$67,ROWS(prem_analysis!$N$2:P120),COLUMNS(prem_analysis!$N$2:P120)),IF($Q$1=$P$4,INDEX(Table24[[#All],[Year]:[Details]],ROWS(prem_analysis!$M$420:O538),COLUMNS(Data!$Q$3:S121)))))),"")</f>
        <v/>
      </c>
      <c r="U120" s="1" t="str">
        <f>IFERROR(IF($Q$1=$P$3,INDEX(prem_analysis!$P$2:$Q$441,ROWS(Data!$P$2:T120),COLUMNS(Data!$P$3:S121)),IF($Q$1=$P$5,INDEX(prem_analysis!$BH$1:$BS$23,ROWS(Data!$Q$3:T121),COLUMNS(Data!$Q$3:T121)),IF($Q$1=$P$6,INDEX(prem_analysis!$BU$1:$CF$67,ROWS(prem_analysis!$N$2:Q120),COLUMNS(prem_analysis!$N$2:Q120)),IF($Q$1=$P$4,INDEX(Table24[[#All],[Year]:[Details]],ROWS(prem_analysis!$M$420:P538),COLUMNS(Data!$Q$3:T121)))))),"")</f>
        <v/>
      </c>
      <c r="V120" s="1" t="str">
        <f>IFERROR(IF($Q$1=$P$3,INDEX(prem_analysis!$P$2:$Q$441,ROWS(Data!$P$2:U120),COLUMNS(Data!$P$3:T121)),IF($Q$1=$P$5,INDEX(prem_analysis!$BH$1:$BS$23,ROWS(Data!$Q$3:U121),COLUMNS(Data!$Q$3:U121)),IF($Q$1=$P$6,INDEX(prem_analysis!$BU$1:$CF$67,ROWS(prem_analysis!$N$2:R120),COLUMNS(prem_analysis!$N$2:R120)),IF($Q$1=$P$4,INDEX(Table24[[#All],[Year]:[Details]],ROWS(prem_analysis!$M$420:Q538),COLUMNS(Data!$Q$3:U121)))))),"")</f>
        <v/>
      </c>
      <c r="W120" s="1" t="str">
        <f>IFERROR(IF($Q$1=$P$3,INDEX(prem_analysis!$P$2:$Q$441,ROWS(Data!$P$2:V120),COLUMNS(Data!$P$3:U121)),IF($Q$1=$P$5,INDEX(prem_analysis!$BH$1:$BS$23,ROWS(Data!$Q$3:V121),COLUMNS(Data!$Q$3:V121)),IF($Q$1=$P$6,INDEX(prem_analysis!$BU$1:$CF$67,ROWS(prem_analysis!$N$2:S120),COLUMNS(prem_analysis!$N$2:S120)),IF($Q$1=$P$4,INDEX(Table24[[#All],[Year]:[Details]],ROWS(prem_analysis!$M$420:R538),COLUMNS(Data!$Q$3:V121)))))),"")</f>
        <v/>
      </c>
      <c r="X120" s="1" t="str">
        <f>IFERROR(IF($Q$1=$P$3,INDEX(prem_analysis!$P$2:$Q$441,ROWS(Data!$P$2:W120),COLUMNS(Data!$P$3:V121)),IF($Q$1=$P$5,INDEX(prem_analysis!$BH$1:$BS$23,ROWS(Data!$Q$3:W121),COLUMNS(Data!$Q$3:W121)),IF($Q$1=$P$6,INDEX(prem_analysis!$BU$1:$CF$67,ROWS(prem_analysis!$N$2:T120),COLUMNS(prem_analysis!$N$2:T120)),IF($Q$1=$P$4,INDEX(Table24[[#All],[Year]:[Details]],ROWS(prem_analysis!$M$420:S538),COLUMNS(Data!$Q$3:W121)))))),"")</f>
        <v/>
      </c>
      <c r="Y120" s="1" t="str">
        <f>IFERROR(IF($Q$1=$P$3,INDEX(prem_analysis!$P$2:$Q$441,ROWS(Data!$P$2:X120),COLUMNS(Data!$P$3:W121)),IF($Q$1=$P$5,INDEX(prem_analysis!$BH$1:$BS$23,ROWS(Data!$Q$3:X121),COLUMNS(Data!$Q$3:X121)),IF($Q$1=$P$6,INDEX(prem_analysis!$BU$1:$CF$67,ROWS(prem_analysis!$N$2:U120),COLUMNS(prem_analysis!$N$2:U120)),IF($Q$1=$P$4,INDEX(Table24[[#All],[Year]:[Details]],ROWS(prem_analysis!$M$420:T538),COLUMNS(Data!$Q$3:X121)))))),"")</f>
        <v/>
      </c>
      <c r="Z120" s="1" t="str">
        <f>IFERROR(IF($Q$1=$P$3,INDEX(prem_analysis!$P$2:$Q$441,ROWS(Data!$P$2:Y120),COLUMNS(Data!$P$3:X121)),IF($Q$1=$P$5,INDEX(prem_analysis!$BH$1:$BS$23,ROWS(Data!$Q$3:Y121),COLUMNS(Data!$Q$3:Y121)),IF($Q$1=$P$6,INDEX(prem_analysis!$BU$1:$CF$67,ROWS(prem_analysis!$N$2:V120),COLUMNS(prem_analysis!$N$2:V120)),IF($Q$1=$P$4,INDEX(Table24[[#All],[Year]:[Details]],ROWS(prem_analysis!$M$420:U538),COLUMNS(Data!$Q$3:Y121)))))),"")</f>
        <v/>
      </c>
      <c r="AA120" s="1" t="str">
        <f>IFERROR(IF($Q$1=$P$3,INDEX(prem_analysis!$P$2:$Q$441,ROWS(Data!$P$2:Z120),COLUMNS(Data!$P$3:Y121)),IF($Q$1=$P$5,INDEX(prem_analysis!$BH$1:$BS$23,ROWS(Data!$Q$3:Z121),COLUMNS(Data!$Q$3:Z121)),IF($Q$1=$P$6,INDEX(prem_analysis!$BU$1:$CF$67,ROWS(prem_analysis!$N$2:W120),COLUMNS(prem_analysis!$N$2:W120)),IF($Q$1=$P$4,INDEX(Table24[[#All],[Year]:[Details]],ROWS(prem_analysis!$M$420:V538),COLUMNS(Data!$Q$3:Z121)))))),"")</f>
        <v/>
      </c>
      <c r="AB120" s="1" t="str">
        <f>IFERROR(IF($Q$1=$P$3,INDEX(prem_analysis!$P$2:$Q$441,ROWS(Data!$P$2:AA120),COLUMNS(Data!$P$3:Z121)),IF($Q$1=$P$5,INDEX(prem_analysis!$BH$1:$BS$23,ROWS(Data!$Q$3:AA121),COLUMNS(Data!$Q$3:AA121)),IF($Q$1=$P$6,INDEX(prem_analysis!$BU$1:$CF$67,ROWS(prem_analysis!$N$2:X120),COLUMNS(prem_analysis!$N$2:X120)),IF($Q$1=$P$4,INDEX(Table24[[#All],[Year]:[Details]],ROWS(prem_analysis!$M$420:W538),COLUMNS(Data!$Q$3:AA121)))))),"")</f>
        <v/>
      </c>
      <c r="AC120" s="1" t="str">
        <f>IFERROR(IF($Q$1=$P$3,INDEX(prem_analysis!$P$2:$Q$441,ROWS(Data!$P$2:AB120),COLUMNS(Data!$P$3:AA121)),IF($Q$1=$P$5,INDEX(prem_analysis!$BH$1:$BS$23,ROWS(Data!$Q$3:AB121),COLUMNS(Data!$Q$3:AB121)),IF($Q$1=$P$6,INDEX(prem_analysis!$BU$1:$CF$67,ROWS(prem_analysis!$N$2:Y120),COLUMNS(prem_analysis!$N$2:Y120)),IF($Q$1=$P$4,INDEX(Table24[[#All],[Year]:[Details]],ROWS(prem_analysis!$M$420:X538),COLUMNS(Data!$Q$3:AB121)))))),"")</f>
        <v/>
      </c>
    </row>
    <row r="121" spans="1:29" x14ac:dyDescent="0.2">
      <c r="A121" s="5">
        <v>2005</v>
      </c>
      <c r="B121" s="5">
        <v>20</v>
      </c>
      <c r="C121" s="6" t="s">
        <v>17</v>
      </c>
      <c r="D121" s="5">
        <v>38</v>
      </c>
      <c r="E121" s="5">
        <v>3</v>
      </c>
      <c r="F121" s="5">
        <v>6</v>
      </c>
      <c r="G121" s="5">
        <v>29</v>
      </c>
      <c r="H121" s="5">
        <v>26</v>
      </c>
      <c r="I121" s="5">
        <v>69</v>
      </c>
      <c r="J121" s="5">
        <v>-43</v>
      </c>
      <c r="K121" s="5">
        <v>15</v>
      </c>
      <c r="L121" s="5" t="str">
        <f>IF(Table24[[#This Row],['#]]=1,"Champion", IF(Table24[[#This Row],['#]]&gt;=18,"Relegated",Table24[[#This Row],['#]]))</f>
        <v>Relegated</v>
      </c>
      <c r="M121" s="5" t="str">
        <f>IF(Table24[[#This Row],[Details]]=2,K120-Table24[[#This Row],[Pts]],IF(Table24[[#This Row],[Details]]=17,Table24[[#This Row],[Pts]]-K122,""))</f>
        <v/>
      </c>
      <c r="R121" s="1" t="str">
        <f>IFERROR(IF($Q$1=$P$3,INDEX(prem_analysis!$P$2:$Q$441,ROWS(Data!$P$2:Q121),COLUMNS(Data!$P$3:P122)),IF($Q$1=$P$5,INDEX(prem_analysis!$BH$1:$BS$23,ROWS(Data!$Q$3:Q122),COLUMNS(Data!$Q$3:Q122)),IF($Q$1=$P$6,INDEX(prem_analysis!$BU$1:$CF$67,ROWS(prem_analysis!$N$2:N121),COLUMNS(prem_analysis!$N$2:N121)),IF($Q$1=$P$4,INDEX(Table24[[#All],[Year]:[Details]],ROWS(prem_analysis!$M$420:M539),COLUMNS(Data!$Q$3:Q122)))))),"")</f>
        <v/>
      </c>
      <c r="S121" s="1" t="str">
        <f>IFERROR(IF($Q$1=$P$3,INDEX(prem_analysis!$P$2:$Q$441,ROWS(Data!$P$2:R121),COLUMNS(Data!$P$3:Q122)),IF($Q$1=$P$5,INDEX(prem_analysis!$BH$1:$BS$23,ROWS(Data!$Q$3:R122),COLUMNS(Data!$Q$3:R122)),IF($Q$1=$P$6,INDEX(prem_analysis!$BU$1:$CF$67,ROWS(prem_analysis!$N$2:O121),COLUMNS(prem_analysis!$N$2:O121)),IF($Q$1=$P$4,INDEX(Table24[[#All],[Year]:[Details]],ROWS(prem_analysis!$M$420:N539),COLUMNS(Data!$Q$3:R122)))))),"")</f>
        <v/>
      </c>
      <c r="T121" s="1" t="str">
        <f>IFERROR(IF($Q$1=$P$3,INDEX(prem_analysis!$P$2:$Q$441,ROWS(Data!$P$2:S121),COLUMNS(Data!$P$3:R122)),IF($Q$1=$P$5,INDEX(prem_analysis!$BH$1:$BS$23,ROWS(Data!$Q$3:S122),COLUMNS(Data!$Q$3:S122)),IF($Q$1=$P$6,INDEX(prem_analysis!$BU$1:$CF$67,ROWS(prem_analysis!$N$2:P121),COLUMNS(prem_analysis!$N$2:P121)),IF($Q$1=$P$4,INDEX(Table24[[#All],[Year]:[Details]],ROWS(prem_analysis!$M$420:O539),COLUMNS(Data!$Q$3:S122)))))),"")</f>
        <v/>
      </c>
      <c r="U121" s="1" t="str">
        <f>IFERROR(IF($Q$1=$P$3,INDEX(prem_analysis!$P$2:$Q$441,ROWS(Data!$P$2:T121),COLUMNS(Data!$P$3:S122)),IF($Q$1=$P$5,INDEX(prem_analysis!$BH$1:$BS$23,ROWS(Data!$Q$3:T122),COLUMNS(Data!$Q$3:T122)),IF($Q$1=$P$6,INDEX(prem_analysis!$BU$1:$CF$67,ROWS(prem_analysis!$N$2:Q121),COLUMNS(prem_analysis!$N$2:Q121)),IF($Q$1=$P$4,INDEX(Table24[[#All],[Year]:[Details]],ROWS(prem_analysis!$M$420:P539),COLUMNS(Data!$Q$3:T122)))))),"")</f>
        <v/>
      </c>
      <c r="V121" s="1" t="str">
        <f>IFERROR(IF($Q$1=$P$3,INDEX(prem_analysis!$P$2:$Q$441,ROWS(Data!$P$2:U121),COLUMNS(Data!$P$3:T122)),IF($Q$1=$P$5,INDEX(prem_analysis!$BH$1:$BS$23,ROWS(Data!$Q$3:U122),COLUMNS(Data!$Q$3:U122)),IF($Q$1=$P$6,INDEX(prem_analysis!$BU$1:$CF$67,ROWS(prem_analysis!$N$2:R121),COLUMNS(prem_analysis!$N$2:R121)),IF($Q$1=$P$4,INDEX(Table24[[#All],[Year]:[Details]],ROWS(prem_analysis!$M$420:Q539),COLUMNS(Data!$Q$3:U122)))))),"")</f>
        <v/>
      </c>
      <c r="W121" s="1" t="str">
        <f>IFERROR(IF($Q$1=$P$3,INDEX(prem_analysis!$P$2:$Q$441,ROWS(Data!$P$2:V121),COLUMNS(Data!$P$3:U122)),IF($Q$1=$P$5,INDEX(prem_analysis!$BH$1:$BS$23,ROWS(Data!$Q$3:V122),COLUMNS(Data!$Q$3:V122)),IF($Q$1=$P$6,INDEX(prem_analysis!$BU$1:$CF$67,ROWS(prem_analysis!$N$2:S121),COLUMNS(prem_analysis!$N$2:S121)),IF($Q$1=$P$4,INDEX(Table24[[#All],[Year]:[Details]],ROWS(prem_analysis!$M$420:R539),COLUMNS(Data!$Q$3:V122)))))),"")</f>
        <v/>
      </c>
      <c r="X121" s="1" t="str">
        <f>IFERROR(IF($Q$1=$P$3,INDEX(prem_analysis!$P$2:$Q$441,ROWS(Data!$P$2:W121),COLUMNS(Data!$P$3:V122)),IF($Q$1=$P$5,INDEX(prem_analysis!$BH$1:$BS$23,ROWS(Data!$Q$3:W122),COLUMNS(Data!$Q$3:W122)),IF($Q$1=$P$6,INDEX(prem_analysis!$BU$1:$CF$67,ROWS(prem_analysis!$N$2:T121),COLUMNS(prem_analysis!$N$2:T121)),IF($Q$1=$P$4,INDEX(Table24[[#All],[Year]:[Details]],ROWS(prem_analysis!$M$420:S539),COLUMNS(Data!$Q$3:W122)))))),"")</f>
        <v/>
      </c>
      <c r="Y121" s="1" t="str">
        <f>IFERROR(IF($Q$1=$P$3,INDEX(prem_analysis!$P$2:$Q$441,ROWS(Data!$P$2:X121),COLUMNS(Data!$P$3:W122)),IF($Q$1=$P$5,INDEX(prem_analysis!$BH$1:$BS$23,ROWS(Data!$Q$3:X122),COLUMNS(Data!$Q$3:X122)),IF($Q$1=$P$6,INDEX(prem_analysis!$BU$1:$CF$67,ROWS(prem_analysis!$N$2:U121),COLUMNS(prem_analysis!$N$2:U121)),IF($Q$1=$P$4,INDEX(Table24[[#All],[Year]:[Details]],ROWS(prem_analysis!$M$420:T539),COLUMNS(Data!$Q$3:X122)))))),"")</f>
        <v/>
      </c>
      <c r="Z121" s="1" t="str">
        <f>IFERROR(IF($Q$1=$P$3,INDEX(prem_analysis!$P$2:$Q$441,ROWS(Data!$P$2:Y121),COLUMNS(Data!$P$3:X122)),IF($Q$1=$P$5,INDEX(prem_analysis!$BH$1:$BS$23,ROWS(Data!$Q$3:Y122),COLUMNS(Data!$Q$3:Y122)),IF($Q$1=$P$6,INDEX(prem_analysis!$BU$1:$CF$67,ROWS(prem_analysis!$N$2:V121),COLUMNS(prem_analysis!$N$2:V121)),IF($Q$1=$P$4,INDEX(Table24[[#All],[Year]:[Details]],ROWS(prem_analysis!$M$420:U539),COLUMNS(Data!$Q$3:Y122)))))),"")</f>
        <v/>
      </c>
      <c r="AA121" s="1" t="str">
        <f>IFERROR(IF($Q$1=$P$3,INDEX(prem_analysis!$P$2:$Q$441,ROWS(Data!$P$2:Z121),COLUMNS(Data!$P$3:Y122)),IF($Q$1=$P$5,INDEX(prem_analysis!$BH$1:$BS$23,ROWS(Data!$Q$3:Z122),COLUMNS(Data!$Q$3:Z122)),IF($Q$1=$P$6,INDEX(prem_analysis!$BU$1:$CF$67,ROWS(prem_analysis!$N$2:W121),COLUMNS(prem_analysis!$N$2:W121)),IF($Q$1=$P$4,INDEX(Table24[[#All],[Year]:[Details]],ROWS(prem_analysis!$M$420:V539),COLUMNS(Data!$Q$3:Z122)))))),"")</f>
        <v/>
      </c>
      <c r="AB121" s="1" t="str">
        <f>IFERROR(IF($Q$1=$P$3,INDEX(prem_analysis!$P$2:$Q$441,ROWS(Data!$P$2:AA121),COLUMNS(Data!$P$3:Z122)),IF($Q$1=$P$5,INDEX(prem_analysis!$BH$1:$BS$23,ROWS(Data!$Q$3:AA122),COLUMNS(Data!$Q$3:AA122)),IF($Q$1=$P$6,INDEX(prem_analysis!$BU$1:$CF$67,ROWS(prem_analysis!$N$2:X121),COLUMNS(prem_analysis!$N$2:X121)),IF($Q$1=$P$4,INDEX(Table24[[#All],[Year]:[Details]],ROWS(prem_analysis!$M$420:W539),COLUMNS(Data!$Q$3:AA122)))))),"")</f>
        <v/>
      </c>
      <c r="AC121" s="1" t="str">
        <f>IFERROR(IF($Q$1=$P$3,INDEX(prem_analysis!$P$2:$Q$441,ROWS(Data!$P$2:AB121),COLUMNS(Data!$P$3:AA122)),IF($Q$1=$P$5,INDEX(prem_analysis!$BH$1:$BS$23,ROWS(Data!$Q$3:AB122),COLUMNS(Data!$Q$3:AB122)),IF($Q$1=$P$6,INDEX(prem_analysis!$BU$1:$CF$67,ROWS(prem_analysis!$N$2:Y121),COLUMNS(prem_analysis!$N$2:Y121)),IF($Q$1=$P$4,INDEX(Table24[[#All],[Year]:[Details]],ROWS(prem_analysis!$M$420:X539),COLUMNS(Data!$Q$3:AB122)))))),"")</f>
        <v/>
      </c>
    </row>
    <row r="122" spans="1:29" x14ac:dyDescent="0.2">
      <c r="A122" s="3">
        <v>2006</v>
      </c>
      <c r="B122" s="3">
        <v>1</v>
      </c>
      <c r="C122" s="4" t="s">
        <v>11</v>
      </c>
      <c r="D122" s="3">
        <v>38</v>
      </c>
      <c r="E122" s="3">
        <v>0</v>
      </c>
      <c r="F122" s="3">
        <v>0</v>
      </c>
      <c r="G122" s="3">
        <v>0</v>
      </c>
      <c r="H122" s="3">
        <v>0</v>
      </c>
      <c r="I122" s="3">
        <v>0</v>
      </c>
      <c r="J122" s="3">
        <v>0</v>
      </c>
      <c r="K122" s="3">
        <v>89</v>
      </c>
      <c r="L122" s="5" t="str">
        <f>IF(Table24[[#This Row],['#]]=1,"Champion", IF(Table24[[#This Row],['#]]&gt;=18,"Relegated",Table24[[#This Row],['#]]))</f>
        <v>Champion</v>
      </c>
      <c r="M122" s="5" t="str">
        <f>IF(Table24[[#This Row],[Details]]=2,K121-Table24[[#This Row],[Pts]],IF(Table24[[#This Row],[Details]]=17,Table24[[#This Row],[Pts]]-K123,""))</f>
        <v/>
      </c>
      <c r="R122" s="1" t="str">
        <f>IFERROR(IF($Q$1=$P$3,INDEX(prem_analysis!$P$2:$Q$441,ROWS(Data!$P$2:Q122),COLUMNS(Data!$P$3:P123)),IF($Q$1=$P$5,INDEX(prem_analysis!$BH$1:$BS$23,ROWS(Data!$Q$3:Q123),COLUMNS(Data!$Q$3:Q123)),IF($Q$1=$P$6,INDEX(prem_analysis!$BU$1:$CF$67,ROWS(prem_analysis!$N$2:N122),COLUMNS(prem_analysis!$N$2:N122)),IF($Q$1=$P$4,INDEX(Table24[[#All],[Year]:[Details]],ROWS(prem_analysis!$M$420:M540),COLUMNS(Data!$Q$3:Q123)))))),"")</f>
        <v/>
      </c>
      <c r="S122" s="1" t="str">
        <f>IFERROR(IF($Q$1=$P$3,INDEX(prem_analysis!$P$2:$Q$441,ROWS(Data!$P$2:R122),COLUMNS(Data!$P$3:Q123)),IF($Q$1=$P$5,INDEX(prem_analysis!$BH$1:$BS$23,ROWS(Data!$Q$3:R123),COLUMNS(Data!$Q$3:R123)),IF($Q$1=$P$6,INDEX(prem_analysis!$BU$1:$CF$67,ROWS(prem_analysis!$N$2:O122),COLUMNS(prem_analysis!$N$2:O122)),IF($Q$1=$P$4,INDEX(Table24[[#All],[Year]:[Details]],ROWS(prem_analysis!$M$420:N540),COLUMNS(Data!$Q$3:R123)))))),"")</f>
        <v/>
      </c>
      <c r="T122" s="1" t="str">
        <f>IFERROR(IF($Q$1=$P$3,INDEX(prem_analysis!$P$2:$Q$441,ROWS(Data!$P$2:S122),COLUMNS(Data!$P$3:R123)),IF($Q$1=$P$5,INDEX(prem_analysis!$BH$1:$BS$23,ROWS(Data!$Q$3:S123),COLUMNS(Data!$Q$3:S123)),IF($Q$1=$P$6,INDEX(prem_analysis!$BU$1:$CF$67,ROWS(prem_analysis!$N$2:P122),COLUMNS(prem_analysis!$N$2:P122)),IF($Q$1=$P$4,INDEX(Table24[[#All],[Year]:[Details]],ROWS(prem_analysis!$M$420:O540),COLUMNS(Data!$Q$3:S123)))))),"")</f>
        <v/>
      </c>
      <c r="U122" s="1" t="str">
        <f>IFERROR(IF($Q$1=$P$3,INDEX(prem_analysis!$P$2:$Q$441,ROWS(Data!$P$2:T122),COLUMNS(Data!$P$3:S123)),IF($Q$1=$P$5,INDEX(prem_analysis!$BH$1:$BS$23,ROWS(Data!$Q$3:T123),COLUMNS(Data!$Q$3:T123)),IF($Q$1=$P$6,INDEX(prem_analysis!$BU$1:$CF$67,ROWS(prem_analysis!$N$2:Q122),COLUMNS(prem_analysis!$N$2:Q122)),IF($Q$1=$P$4,INDEX(Table24[[#All],[Year]:[Details]],ROWS(prem_analysis!$M$420:P540),COLUMNS(Data!$Q$3:T123)))))),"")</f>
        <v/>
      </c>
      <c r="V122" s="1" t="str">
        <f>IFERROR(IF($Q$1=$P$3,INDEX(prem_analysis!$P$2:$Q$441,ROWS(Data!$P$2:U122),COLUMNS(Data!$P$3:T123)),IF($Q$1=$P$5,INDEX(prem_analysis!$BH$1:$BS$23,ROWS(Data!$Q$3:U123),COLUMNS(Data!$Q$3:U123)),IF($Q$1=$P$6,INDEX(prem_analysis!$BU$1:$CF$67,ROWS(prem_analysis!$N$2:R122),COLUMNS(prem_analysis!$N$2:R122)),IF($Q$1=$P$4,INDEX(Table24[[#All],[Year]:[Details]],ROWS(prem_analysis!$M$420:Q540),COLUMNS(Data!$Q$3:U123)))))),"")</f>
        <v/>
      </c>
      <c r="W122" s="1" t="str">
        <f>IFERROR(IF($Q$1=$P$3,INDEX(prem_analysis!$P$2:$Q$441,ROWS(Data!$P$2:V122),COLUMNS(Data!$P$3:U123)),IF($Q$1=$P$5,INDEX(prem_analysis!$BH$1:$BS$23,ROWS(Data!$Q$3:V123),COLUMNS(Data!$Q$3:V123)),IF($Q$1=$P$6,INDEX(prem_analysis!$BU$1:$CF$67,ROWS(prem_analysis!$N$2:S122),COLUMNS(prem_analysis!$N$2:S122)),IF($Q$1=$P$4,INDEX(Table24[[#All],[Year]:[Details]],ROWS(prem_analysis!$M$420:R540),COLUMNS(Data!$Q$3:V123)))))),"")</f>
        <v/>
      </c>
      <c r="X122" s="1" t="str">
        <f>IFERROR(IF($Q$1=$P$3,INDEX(prem_analysis!$P$2:$Q$441,ROWS(Data!$P$2:W122),COLUMNS(Data!$P$3:V123)),IF($Q$1=$P$5,INDEX(prem_analysis!$BH$1:$BS$23,ROWS(Data!$Q$3:W123),COLUMNS(Data!$Q$3:W123)),IF($Q$1=$P$6,INDEX(prem_analysis!$BU$1:$CF$67,ROWS(prem_analysis!$N$2:T122),COLUMNS(prem_analysis!$N$2:T122)),IF($Q$1=$P$4,INDEX(Table24[[#All],[Year]:[Details]],ROWS(prem_analysis!$M$420:S540),COLUMNS(Data!$Q$3:W123)))))),"")</f>
        <v/>
      </c>
      <c r="Y122" s="1" t="str">
        <f>IFERROR(IF($Q$1=$P$3,INDEX(prem_analysis!$P$2:$Q$441,ROWS(Data!$P$2:X122),COLUMNS(Data!$P$3:W123)),IF($Q$1=$P$5,INDEX(prem_analysis!$BH$1:$BS$23,ROWS(Data!$Q$3:X123),COLUMNS(Data!$Q$3:X123)),IF($Q$1=$P$6,INDEX(prem_analysis!$BU$1:$CF$67,ROWS(prem_analysis!$N$2:U122),COLUMNS(prem_analysis!$N$2:U122)),IF($Q$1=$P$4,INDEX(Table24[[#All],[Year]:[Details]],ROWS(prem_analysis!$M$420:T540),COLUMNS(Data!$Q$3:X123)))))),"")</f>
        <v/>
      </c>
      <c r="Z122" s="1" t="str">
        <f>IFERROR(IF($Q$1=$P$3,INDEX(prem_analysis!$P$2:$Q$441,ROWS(Data!$P$2:Y122),COLUMNS(Data!$P$3:X123)),IF($Q$1=$P$5,INDEX(prem_analysis!$BH$1:$BS$23,ROWS(Data!$Q$3:Y123),COLUMNS(Data!$Q$3:Y123)),IF($Q$1=$P$6,INDEX(prem_analysis!$BU$1:$CF$67,ROWS(prem_analysis!$N$2:V122),COLUMNS(prem_analysis!$N$2:V122)),IF($Q$1=$P$4,INDEX(Table24[[#All],[Year]:[Details]],ROWS(prem_analysis!$M$420:U540),COLUMNS(Data!$Q$3:Y123)))))),"")</f>
        <v/>
      </c>
      <c r="AA122" s="1" t="str">
        <f>IFERROR(IF($Q$1=$P$3,INDEX(prem_analysis!$P$2:$Q$441,ROWS(Data!$P$2:Z122),COLUMNS(Data!$P$3:Y123)),IF($Q$1=$P$5,INDEX(prem_analysis!$BH$1:$BS$23,ROWS(Data!$Q$3:Z123),COLUMNS(Data!$Q$3:Z123)),IF($Q$1=$P$6,INDEX(prem_analysis!$BU$1:$CF$67,ROWS(prem_analysis!$N$2:W122),COLUMNS(prem_analysis!$N$2:W122)),IF($Q$1=$P$4,INDEX(Table24[[#All],[Year]:[Details]],ROWS(prem_analysis!$M$420:V540),COLUMNS(Data!$Q$3:Z123)))))),"")</f>
        <v/>
      </c>
      <c r="AB122" s="1" t="str">
        <f>IFERROR(IF($Q$1=$P$3,INDEX(prem_analysis!$P$2:$Q$441,ROWS(Data!$P$2:AA122),COLUMNS(Data!$P$3:Z123)),IF($Q$1=$P$5,INDEX(prem_analysis!$BH$1:$BS$23,ROWS(Data!$Q$3:AA123),COLUMNS(Data!$Q$3:AA123)),IF($Q$1=$P$6,INDEX(prem_analysis!$BU$1:$CF$67,ROWS(prem_analysis!$N$2:X122),COLUMNS(prem_analysis!$N$2:X122)),IF($Q$1=$P$4,INDEX(Table24[[#All],[Year]:[Details]],ROWS(prem_analysis!$M$420:W540),COLUMNS(Data!$Q$3:AA123)))))),"")</f>
        <v/>
      </c>
      <c r="AC122" s="1" t="str">
        <f>IFERROR(IF($Q$1=$P$3,INDEX(prem_analysis!$P$2:$Q$441,ROWS(Data!$P$2:AB122),COLUMNS(Data!$P$3:AA123)),IF($Q$1=$P$5,INDEX(prem_analysis!$BH$1:$BS$23,ROWS(Data!$Q$3:AB123),COLUMNS(Data!$Q$3:AB123)),IF($Q$1=$P$6,INDEX(prem_analysis!$BU$1:$CF$67,ROWS(prem_analysis!$N$2:Y122),COLUMNS(prem_analysis!$N$2:Y122)),IF($Q$1=$P$4,INDEX(Table24[[#All],[Year]:[Details]],ROWS(prem_analysis!$M$420:X540),COLUMNS(Data!$Q$3:AB123)))))),"")</f>
        <v/>
      </c>
    </row>
    <row r="123" spans="1:29" x14ac:dyDescent="0.2">
      <c r="A123" s="5">
        <v>2006</v>
      </c>
      <c r="B123" s="5">
        <v>2</v>
      </c>
      <c r="C123" s="6" t="s">
        <v>16</v>
      </c>
      <c r="D123" s="5">
        <v>38</v>
      </c>
      <c r="E123" s="5">
        <v>0</v>
      </c>
      <c r="F123" s="5">
        <v>0</v>
      </c>
      <c r="G123" s="5">
        <v>0</v>
      </c>
      <c r="H123" s="5">
        <v>0</v>
      </c>
      <c r="I123" s="5">
        <v>0</v>
      </c>
      <c r="J123" s="5">
        <v>0</v>
      </c>
      <c r="K123" s="5">
        <v>83</v>
      </c>
      <c r="L123" s="5">
        <f>IF(Table24[[#This Row],['#]]=1,"Champion", IF(Table24[[#This Row],['#]]&gt;=18,"Relegated",Table24[[#This Row],['#]]))</f>
        <v>2</v>
      </c>
      <c r="M123" s="5">
        <f>IF(Table24[[#This Row],[Details]]=2,K122-Table24[[#This Row],[Pts]],IF(Table24[[#This Row],[Details]]=17,Table24[[#This Row],[Pts]]-K124,""))</f>
        <v>6</v>
      </c>
      <c r="R123" s="1" t="str">
        <f>IFERROR(IF($Q$1=$P$3,INDEX(prem_analysis!$P$2:$Q$441,ROWS(Data!$P$2:Q123),COLUMNS(Data!$P$3:P124)),IF($Q$1=$P$5,INDEX(prem_analysis!$BH$1:$BS$23,ROWS(Data!$Q$3:Q124),COLUMNS(Data!$Q$3:Q124)),IF($Q$1=$P$6,INDEX(prem_analysis!$BU$1:$CF$67,ROWS(prem_analysis!$N$2:N123),COLUMNS(prem_analysis!$N$2:N123)),IF($Q$1=$P$4,INDEX(Table24[[#All],[Year]:[Details]],ROWS(prem_analysis!$M$420:M541),COLUMNS(Data!$Q$3:Q124)))))),"")</f>
        <v/>
      </c>
      <c r="S123" s="1" t="str">
        <f>IFERROR(IF($Q$1=$P$3,INDEX(prem_analysis!$P$2:$Q$441,ROWS(Data!$P$2:R123),COLUMNS(Data!$P$3:Q124)),IF($Q$1=$P$5,INDEX(prem_analysis!$BH$1:$BS$23,ROWS(Data!$Q$3:R124),COLUMNS(Data!$Q$3:R124)),IF($Q$1=$P$6,INDEX(prem_analysis!$BU$1:$CF$67,ROWS(prem_analysis!$N$2:O123),COLUMNS(prem_analysis!$N$2:O123)),IF($Q$1=$P$4,INDEX(Table24[[#All],[Year]:[Details]],ROWS(prem_analysis!$M$420:N541),COLUMNS(Data!$Q$3:R124)))))),"")</f>
        <v/>
      </c>
      <c r="T123" s="1" t="str">
        <f>IFERROR(IF($Q$1=$P$3,INDEX(prem_analysis!$P$2:$Q$441,ROWS(Data!$P$2:S123),COLUMNS(Data!$P$3:R124)),IF($Q$1=$P$5,INDEX(prem_analysis!$BH$1:$BS$23,ROWS(Data!$Q$3:S124),COLUMNS(Data!$Q$3:S124)),IF($Q$1=$P$6,INDEX(prem_analysis!$BU$1:$CF$67,ROWS(prem_analysis!$N$2:P123),COLUMNS(prem_analysis!$N$2:P123)),IF($Q$1=$P$4,INDEX(Table24[[#All],[Year]:[Details]],ROWS(prem_analysis!$M$420:O541),COLUMNS(Data!$Q$3:S124)))))),"")</f>
        <v/>
      </c>
      <c r="U123" s="1" t="str">
        <f>IFERROR(IF($Q$1=$P$3,INDEX(prem_analysis!$P$2:$Q$441,ROWS(Data!$P$2:T123),COLUMNS(Data!$P$3:S124)),IF($Q$1=$P$5,INDEX(prem_analysis!$BH$1:$BS$23,ROWS(Data!$Q$3:T124),COLUMNS(Data!$Q$3:T124)),IF($Q$1=$P$6,INDEX(prem_analysis!$BU$1:$CF$67,ROWS(prem_analysis!$N$2:Q123),COLUMNS(prem_analysis!$N$2:Q123)),IF($Q$1=$P$4,INDEX(Table24[[#All],[Year]:[Details]],ROWS(prem_analysis!$M$420:P541),COLUMNS(Data!$Q$3:T124)))))),"")</f>
        <v/>
      </c>
      <c r="V123" s="1" t="str">
        <f>IFERROR(IF($Q$1=$P$3,INDEX(prem_analysis!$P$2:$Q$441,ROWS(Data!$P$2:U123),COLUMNS(Data!$P$3:T124)),IF($Q$1=$P$5,INDEX(prem_analysis!$BH$1:$BS$23,ROWS(Data!$Q$3:U124),COLUMNS(Data!$Q$3:U124)),IF($Q$1=$P$6,INDEX(prem_analysis!$BU$1:$CF$67,ROWS(prem_analysis!$N$2:R123),COLUMNS(prem_analysis!$N$2:R123)),IF($Q$1=$P$4,INDEX(Table24[[#All],[Year]:[Details]],ROWS(prem_analysis!$M$420:Q541),COLUMNS(Data!$Q$3:U124)))))),"")</f>
        <v/>
      </c>
      <c r="W123" s="1" t="str">
        <f>IFERROR(IF($Q$1=$P$3,INDEX(prem_analysis!$P$2:$Q$441,ROWS(Data!$P$2:V123),COLUMNS(Data!$P$3:U124)),IF($Q$1=$P$5,INDEX(prem_analysis!$BH$1:$BS$23,ROWS(Data!$Q$3:V124),COLUMNS(Data!$Q$3:V124)),IF($Q$1=$P$6,INDEX(prem_analysis!$BU$1:$CF$67,ROWS(prem_analysis!$N$2:S123),COLUMNS(prem_analysis!$N$2:S123)),IF($Q$1=$P$4,INDEX(Table24[[#All],[Year]:[Details]],ROWS(prem_analysis!$M$420:R541),COLUMNS(Data!$Q$3:V124)))))),"")</f>
        <v/>
      </c>
      <c r="X123" s="1" t="str">
        <f>IFERROR(IF($Q$1=$P$3,INDEX(prem_analysis!$P$2:$Q$441,ROWS(Data!$P$2:W123),COLUMNS(Data!$P$3:V124)),IF($Q$1=$P$5,INDEX(prem_analysis!$BH$1:$BS$23,ROWS(Data!$Q$3:W124),COLUMNS(Data!$Q$3:W124)),IF($Q$1=$P$6,INDEX(prem_analysis!$BU$1:$CF$67,ROWS(prem_analysis!$N$2:T123),COLUMNS(prem_analysis!$N$2:T123)),IF($Q$1=$P$4,INDEX(Table24[[#All],[Year]:[Details]],ROWS(prem_analysis!$M$420:S541),COLUMNS(Data!$Q$3:W124)))))),"")</f>
        <v/>
      </c>
      <c r="Y123" s="1" t="str">
        <f>IFERROR(IF($Q$1=$P$3,INDEX(prem_analysis!$P$2:$Q$441,ROWS(Data!$P$2:X123),COLUMNS(Data!$P$3:W124)),IF($Q$1=$P$5,INDEX(prem_analysis!$BH$1:$BS$23,ROWS(Data!$Q$3:X124),COLUMNS(Data!$Q$3:X124)),IF($Q$1=$P$6,INDEX(prem_analysis!$BU$1:$CF$67,ROWS(prem_analysis!$N$2:U123),COLUMNS(prem_analysis!$N$2:U123)),IF($Q$1=$P$4,INDEX(Table24[[#All],[Year]:[Details]],ROWS(prem_analysis!$M$420:T541),COLUMNS(Data!$Q$3:X124)))))),"")</f>
        <v/>
      </c>
      <c r="Z123" s="1" t="str">
        <f>IFERROR(IF($Q$1=$P$3,INDEX(prem_analysis!$P$2:$Q$441,ROWS(Data!$P$2:Y123),COLUMNS(Data!$P$3:X124)),IF($Q$1=$P$5,INDEX(prem_analysis!$BH$1:$BS$23,ROWS(Data!$Q$3:Y124),COLUMNS(Data!$Q$3:Y124)),IF($Q$1=$P$6,INDEX(prem_analysis!$BU$1:$CF$67,ROWS(prem_analysis!$N$2:V123),COLUMNS(prem_analysis!$N$2:V123)),IF($Q$1=$P$4,INDEX(Table24[[#All],[Year]:[Details]],ROWS(prem_analysis!$M$420:U541),COLUMNS(Data!$Q$3:Y124)))))),"")</f>
        <v/>
      </c>
      <c r="AA123" s="1" t="str">
        <f>IFERROR(IF($Q$1=$P$3,INDEX(prem_analysis!$P$2:$Q$441,ROWS(Data!$P$2:Z123),COLUMNS(Data!$P$3:Y124)),IF($Q$1=$P$5,INDEX(prem_analysis!$BH$1:$BS$23,ROWS(Data!$Q$3:Z124),COLUMNS(Data!$Q$3:Z124)),IF($Q$1=$P$6,INDEX(prem_analysis!$BU$1:$CF$67,ROWS(prem_analysis!$N$2:W123),COLUMNS(prem_analysis!$N$2:W123)),IF($Q$1=$P$4,INDEX(Table24[[#All],[Year]:[Details]],ROWS(prem_analysis!$M$420:V541),COLUMNS(Data!$Q$3:Z124)))))),"")</f>
        <v/>
      </c>
      <c r="AB123" s="1" t="str">
        <f>IFERROR(IF($Q$1=$P$3,INDEX(prem_analysis!$P$2:$Q$441,ROWS(Data!$P$2:AA123),COLUMNS(Data!$P$3:Z124)),IF($Q$1=$P$5,INDEX(prem_analysis!$BH$1:$BS$23,ROWS(Data!$Q$3:AA124),COLUMNS(Data!$Q$3:AA124)),IF($Q$1=$P$6,INDEX(prem_analysis!$BU$1:$CF$67,ROWS(prem_analysis!$N$2:X123),COLUMNS(prem_analysis!$N$2:X123)),IF($Q$1=$P$4,INDEX(Table24[[#All],[Year]:[Details]],ROWS(prem_analysis!$M$420:W541),COLUMNS(Data!$Q$3:AA124)))))),"")</f>
        <v/>
      </c>
      <c r="AC123" s="1" t="str">
        <f>IFERROR(IF($Q$1=$P$3,INDEX(prem_analysis!$P$2:$Q$441,ROWS(Data!$P$2:AB123),COLUMNS(Data!$P$3:AA124)),IF($Q$1=$P$5,INDEX(prem_analysis!$BH$1:$BS$23,ROWS(Data!$Q$3:AB124),COLUMNS(Data!$Q$3:AB124)),IF($Q$1=$P$6,INDEX(prem_analysis!$BU$1:$CF$67,ROWS(prem_analysis!$N$2:Y123),COLUMNS(prem_analysis!$N$2:Y123)),IF($Q$1=$P$4,INDEX(Table24[[#All],[Year]:[Details]],ROWS(prem_analysis!$M$420:X541),COLUMNS(Data!$Q$3:AB124)))))),"")</f>
        <v/>
      </c>
    </row>
    <row r="124" spans="1:29" x14ac:dyDescent="0.2">
      <c r="A124" s="3">
        <v>2006</v>
      </c>
      <c r="B124" s="3">
        <v>3</v>
      </c>
      <c r="C124" s="4" t="s">
        <v>13</v>
      </c>
      <c r="D124" s="3">
        <v>38</v>
      </c>
      <c r="E124" s="3">
        <v>0</v>
      </c>
      <c r="F124" s="3">
        <v>0</v>
      </c>
      <c r="G124" s="3">
        <v>0</v>
      </c>
      <c r="H124" s="3">
        <v>0</v>
      </c>
      <c r="I124" s="3">
        <v>0</v>
      </c>
      <c r="J124" s="3">
        <v>0</v>
      </c>
      <c r="K124" s="3">
        <v>68</v>
      </c>
      <c r="L124" s="5">
        <f>IF(Table24[[#This Row],['#]]=1,"Champion", IF(Table24[[#This Row],['#]]&gt;=18,"Relegated",Table24[[#This Row],['#]]))</f>
        <v>3</v>
      </c>
      <c r="M124" s="5" t="str">
        <f>IF(Table24[[#This Row],[Details]]=2,K123-Table24[[#This Row],[Pts]],IF(Table24[[#This Row],[Details]]=17,Table24[[#This Row],[Pts]]-K125,""))</f>
        <v/>
      </c>
      <c r="R124" s="1" t="str">
        <f>IFERROR(IF($Q$1=$P$3,INDEX(prem_analysis!$P$2:$Q$441,ROWS(Data!$P$2:Q124),COLUMNS(Data!$P$3:P125)),IF($Q$1=$P$5,INDEX(prem_analysis!$BH$1:$BS$23,ROWS(Data!$Q$3:Q125),COLUMNS(Data!$Q$3:Q125)),IF($Q$1=$P$6,INDEX(prem_analysis!$BU$1:$CF$67,ROWS(prem_analysis!$N$2:N124),COLUMNS(prem_analysis!$N$2:N124)),IF($Q$1=$P$4,INDEX(Table24[[#All],[Year]:[Details]],ROWS(prem_analysis!$M$420:M542),COLUMNS(Data!$Q$3:Q125)))))),"")</f>
        <v/>
      </c>
      <c r="S124" s="1" t="str">
        <f>IFERROR(IF($Q$1=$P$3,INDEX(prem_analysis!$P$2:$Q$441,ROWS(Data!$P$2:R124),COLUMNS(Data!$P$3:Q125)),IF($Q$1=$P$5,INDEX(prem_analysis!$BH$1:$BS$23,ROWS(Data!$Q$3:R125),COLUMNS(Data!$Q$3:R125)),IF($Q$1=$P$6,INDEX(prem_analysis!$BU$1:$CF$67,ROWS(prem_analysis!$N$2:O124),COLUMNS(prem_analysis!$N$2:O124)),IF($Q$1=$P$4,INDEX(Table24[[#All],[Year]:[Details]],ROWS(prem_analysis!$M$420:N542),COLUMNS(Data!$Q$3:R125)))))),"")</f>
        <v/>
      </c>
      <c r="T124" s="1" t="str">
        <f>IFERROR(IF($Q$1=$P$3,INDEX(prem_analysis!$P$2:$Q$441,ROWS(Data!$P$2:S124),COLUMNS(Data!$P$3:R125)),IF($Q$1=$P$5,INDEX(prem_analysis!$BH$1:$BS$23,ROWS(Data!$Q$3:S125),COLUMNS(Data!$Q$3:S125)),IF($Q$1=$P$6,INDEX(prem_analysis!$BU$1:$CF$67,ROWS(prem_analysis!$N$2:P124),COLUMNS(prem_analysis!$N$2:P124)),IF($Q$1=$P$4,INDEX(Table24[[#All],[Year]:[Details]],ROWS(prem_analysis!$M$420:O542),COLUMNS(Data!$Q$3:S125)))))),"")</f>
        <v/>
      </c>
      <c r="U124" s="1" t="str">
        <f>IFERROR(IF($Q$1=$P$3,INDEX(prem_analysis!$P$2:$Q$441,ROWS(Data!$P$2:T124),COLUMNS(Data!$P$3:S125)),IF($Q$1=$P$5,INDEX(prem_analysis!$BH$1:$BS$23,ROWS(Data!$Q$3:T125),COLUMNS(Data!$Q$3:T125)),IF($Q$1=$P$6,INDEX(prem_analysis!$BU$1:$CF$67,ROWS(prem_analysis!$N$2:Q124),COLUMNS(prem_analysis!$N$2:Q124)),IF($Q$1=$P$4,INDEX(Table24[[#All],[Year]:[Details]],ROWS(prem_analysis!$M$420:P542),COLUMNS(Data!$Q$3:T125)))))),"")</f>
        <v/>
      </c>
      <c r="V124" s="1" t="str">
        <f>IFERROR(IF($Q$1=$P$3,INDEX(prem_analysis!$P$2:$Q$441,ROWS(Data!$P$2:U124),COLUMNS(Data!$P$3:T125)),IF($Q$1=$P$5,INDEX(prem_analysis!$BH$1:$BS$23,ROWS(Data!$Q$3:U125),COLUMNS(Data!$Q$3:U125)),IF($Q$1=$P$6,INDEX(prem_analysis!$BU$1:$CF$67,ROWS(prem_analysis!$N$2:R124),COLUMNS(prem_analysis!$N$2:R124)),IF($Q$1=$P$4,INDEX(Table24[[#All],[Year]:[Details]],ROWS(prem_analysis!$M$420:Q542),COLUMNS(Data!$Q$3:U125)))))),"")</f>
        <v/>
      </c>
      <c r="W124" s="1" t="str">
        <f>IFERROR(IF($Q$1=$P$3,INDEX(prem_analysis!$P$2:$Q$441,ROWS(Data!$P$2:V124),COLUMNS(Data!$P$3:U125)),IF($Q$1=$P$5,INDEX(prem_analysis!$BH$1:$BS$23,ROWS(Data!$Q$3:V125),COLUMNS(Data!$Q$3:V125)),IF($Q$1=$P$6,INDEX(prem_analysis!$BU$1:$CF$67,ROWS(prem_analysis!$N$2:S124),COLUMNS(prem_analysis!$N$2:S124)),IF($Q$1=$P$4,INDEX(Table24[[#All],[Year]:[Details]],ROWS(prem_analysis!$M$420:R542),COLUMNS(Data!$Q$3:V125)))))),"")</f>
        <v/>
      </c>
      <c r="X124" s="1" t="str">
        <f>IFERROR(IF($Q$1=$P$3,INDEX(prem_analysis!$P$2:$Q$441,ROWS(Data!$P$2:W124),COLUMNS(Data!$P$3:V125)),IF($Q$1=$P$5,INDEX(prem_analysis!$BH$1:$BS$23,ROWS(Data!$Q$3:W125),COLUMNS(Data!$Q$3:W125)),IF($Q$1=$P$6,INDEX(prem_analysis!$BU$1:$CF$67,ROWS(prem_analysis!$N$2:T124),COLUMNS(prem_analysis!$N$2:T124)),IF($Q$1=$P$4,INDEX(Table24[[#All],[Year]:[Details]],ROWS(prem_analysis!$M$420:S542),COLUMNS(Data!$Q$3:W125)))))),"")</f>
        <v/>
      </c>
      <c r="Y124" s="1" t="str">
        <f>IFERROR(IF($Q$1=$P$3,INDEX(prem_analysis!$P$2:$Q$441,ROWS(Data!$P$2:X124),COLUMNS(Data!$P$3:W125)),IF($Q$1=$P$5,INDEX(prem_analysis!$BH$1:$BS$23,ROWS(Data!$Q$3:X125),COLUMNS(Data!$Q$3:X125)),IF($Q$1=$P$6,INDEX(prem_analysis!$BU$1:$CF$67,ROWS(prem_analysis!$N$2:U124),COLUMNS(prem_analysis!$N$2:U124)),IF($Q$1=$P$4,INDEX(Table24[[#All],[Year]:[Details]],ROWS(prem_analysis!$M$420:T542),COLUMNS(Data!$Q$3:X125)))))),"")</f>
        <v/>
      </c>
      <c r="Z124" s="1" t="str">
        <f>IFERROR(IF($Q$1=$P$3,INDEX(prem_analysis!$P$2:$Q$441,ROWS(Data!$P$2:Y124),COLUMNS(Data!$P$3:X125)),IF($Q$1=$P$5,INDEX(prem_analysis!$BH$1:$BS$23,ROWS(Data!$Q$3:Y125),COLUMNS(Data!$Q$3:Y125)),IF($Q$1=$P$6,INDEX(prem_analysis!$BU$1:$CF$67,ROWS(prem_analysis!$N$2:V124),COLUMNS(prem_analysis!$N$2:V124)),IF($Q$1=$P$4,INDEX(Table24[[#All],[Year]:[Details]],ROWS(prem_analysis!$M$420:U542),COLUMNS(Data!$Q$3:Y125)))))),"")</f>
        <v/>
      </c>
      <c r="AA124" s="1" t="str">
        <f>IFERROR(IF($Q$1=$P$3,INDEX(prem_analysis!$P$2:$Q$441,ROWS(Data!$P$2:Z124),COLUMNS(Data!$P$3:Y125)),IF($Q$1=$P$5,INDEX(prem_analysis!$BH$1:$BS$23,ROWS(Data!$Q$3:Z125),COLUMNS(Data!$Q$3:Z125)),IF($Q$1=$P$6,INDEX(prem_analysis!$BU$1:$CF$67,ROWS(prem_analysis!$N$2:W124),COLUMNS(prem_analysis!$N$2:W124)),IF($Q$1=$P$4,INDEX(Table24[[#All],[Year]:[Details]],ROWS(prem_analysis!$M$420:V542),COLUMNS(Data!$Q$3:Z125)))))),"")</f>
        <v/>
      </c>
      <c r="AB124" s="1" t="str">
        <f>IFERROR(IF($Q$1=$P$3,INDEX(prem_analysis!$P$2:$Q$441,ROWS(Data!$P$2:AA124),COLUMNS(Data!$P$3:Z125)),IF($Q$1=$P$5,INDEX(prem_analysis!$BH$1:$BS$23,ROWS(Data!$Q$3:AA125),COLUMNS(Data!$Q$3:AA125)),IF($Q$1=$P$6,INDEX(prem_analysis!$BU$1:$CF$67,ROWS(prem_analysis!$N$2:X124),COLUMNS(prem_analysis!$N$2:X124)),IF($Q$1=$P$4,INDEX(Table24[[#All],[Year]:[Details]],ROWS(prem_analysis!$M$420:W542),COLUMNS(Data!$Q$3:AA125)))))),"")</f>
        <v/>
      </c>
      <c r="AC124" s="1" t="str">
        <f>IFERROR(IF($Q$1=$P$3,INDEX(prem_analysis!$P$2:$Q$441,ROWS(Data!$P$2:AB124),COLUMNS(Data!$P$3:AA125)),IF($Q$1=$P$5,INDEX(prem_analysis!$BH$1:$BS$23,ROWS(Data!$Q$3:AB125),COLUMNS(Data!$Q$3:AB125)),IF($Q$1=$P$6,INDEX(prem_analysis!$BU$1:$CF$67,ROWS(prem_analysis!$N$2:Y124),COLUMNS(prem_analysis!$N$2:Y124)),IF($Q$1=$P$4,INDEX(Table24[[#All],[Year]:[Details]],ROWS(prem_analysis!$M$420:X542),COLUMNS(Data!$Q$3:AB125)))))),"")</f>
        <v/>
      </c>
    </row>
    <row r="125" spans="1:29" x14ac:dyDescent="0.2">
      <c r="A125" s="5">
        <v>2006</v>
      </c>
      <c r="B125" s="5">
        <v>4</v>
      </c>
      <c r="C125" s="6" t="s">
        <v>12</v>
      </c>
      <c r="D125" s="5">
        <v>38</v>
      </c>
      <c r="E125" s="5">
        <v>0</v>
      </c>
      <c r="F125" s="5">
        <v>0</v>
      </c>
      <c r="G125" s="5">
        <v>0</v>
      </c>
      <c r="H125" s="5">
        <v>0</v>
      </c>
      <c r="I125" s="5">
        <v>0</v>
      </c>
      <c r="J125" s="5">
        <v>0</v>
      </c>
      <c r="K125" s="5">
        <v>68</v>
      </c>
      <c r="L125" s="5">
        <f>IF(Table24[[#This Row],['#]]=1,"Champion", IF(Table24[[#This Row],['#]]&gt;=18,"Relegated",Table24[[#This Row],['#]]))</f>
        <v>4</v>
      </c>
      <c r="M125" s="5" t="str">
        <f>IF(Table24[[#This Row],[Details]]=2,K124-Table24[[#This Row],[Pts]],IF(Table24[[#This Row],[Details]]=17,Table24[[#This Row],[Pts]]-K126,""))</f>
        <v/>
      </c>
      <c r="R125" s="1" t="str">
        <f>IFERROR(IF($Q$1=$P$3,INDEX(prem_analysis!$P$2:$Q$441,ROWS(Data!$P$2:Q125),COLUMNS(Data!$P$3:P126)),IF($Q$1=$P$5,INDEX(prem_analysis!$BH$1:$BS$23,ROWS(Data!$Q$3:Q126),COLUMNS(Data!$Q$3:Q126)),IF($Q$1=$P$6,INDEX(prem_analysis!$BU$1:$CF$67,ROWS(prem_analysis!$N$2:N125),COLUMNS(prem_analysis!$N$2:N125)),IF($Q$1=$P$4,INDEX(Table24[[#All],[Year]:[Details]],ROWS(prem_analysis!$M$420:M543),COLUMNS(Data!$Q$3:Q126)))))),"")</f>
        <v/>
      </c>
      <c r="S125" s="1" t="str">
        <f>IFERROR(IF($Q$1=$P$3,INDEX(prem_analysis!$P$2:$Q$441,ROWS(Data!$P$2:R125),COLUMNS(Data!$P$3:Q126)),IF($Q$1=$P$5,INDEX(prem_analysis!$BH$1:$BS$23,ROWS(Data!$Q$3:R126),COLUMNS(Data!$Q$3:R126)),IF($Q$1=$P$6,INDEX(prem_analysis!$BU$1:$CF$67,ROWS(prem_analysis!$N$2:O125),COLUMNS(prem_analysis!$N$2:O125)),IF($Q$1=$P$4,INDEX(Table24[[#All],[Year]:[Details]],ROWS(prem_analysis!$M$420:N543),COLUMNS(Data!$Q$3:R126)))))),"")</f>
        <v/>
      </c>
      <c r="T125" s="1" t="str">
        <f>IFERROR(IF($Q$1=$P$3,INDEX(prem_analysis!$P$2:$Q$441,ROWS(Data!$P$2:S125),COLUMNS(Data!$P$3:R126)),IF($Q$1=$P$5,INDEX(prem_analysis!$BH$1:$BS$23,ROWS(Data!$Q$3:S126),COLUMNS(Data!$Q$3:S126)),IF($Q$1=$P$6,INDEX(prem_analysis!$BU$1:$CF$67,ROWS(prem_analysis!$N$2:P125),COLUMNS(prem_analysis!$N$2:P125)),IF($Q$1=$P$4,INDEX(Table24[[#All],[Year]:[Details]],ROWS(prem_analysis!$M$420:O543),COLUMNS(Data!$Q$3:S126)))))),"")</f>
        <v/>
      </c>
      <c r="U125" s="1" t="str">
        <f>IFERROR(IF($Q$1=$P$3,INDEX(prem_analysis!$P$2:$Q$441,ROWS(Data!$P$2:T125),COLUMNS(Data!$P$3:S126)),IF($Q$1=$P$5,INDEX(prem_analysis!$BH$1:$BS$23,ROWS(Data!$Q$3:T126),COLUMNS(Data!$Q$3:T126)),IF($Q$1=$P$6,INDEX(prem_analysis!$BU$1:$CF$67,ROWS(prem_analysis!$N$2:Q125),COLUMNS(prem_analysis!$N$2:Q125)),IF($Q$1=$P$4,INDEX(Table24[[#All],[Year]:[Details]],ROWS(prem_analysis!$M$420:P543),COLUMNS(Data!$Q$3:T126)))))),"")</f>
        <v/>
      </c>
      <c r="V125" s="1" t="str">
        <f>IFERROR(IF($Q$1=$P$3,INDEX(prem_analysis!$P$2:$Q$441,ROWS(Data!$P$2:U125),COLUMNS(Data!$P$3:T126)),IF($Q$1=$P$5,INDEX(prem_analysis!$BH$1:$BS$23,ROWS(Data!$Q$3:U126),COLUMNS(Data!$Q$3:U126)),IF($Q$1=$P$6,INDEX(prem_analysis!$BU$1:$CF$67,ROWS(prem_analysis!$N$2:R125),COLUMNS(prem_analysis!$N$2:R125)),IF($Q$1=$P$4,INDEX(Table24[[#All],[Year]:[Details]],ROWS(prem_analysis!$M$420:Q543),COLUMNS(Data!$Q$3:U126)))))),"")</f>
        <v/>
      </c>
      <c r="W125" s="1" t="str">
        <f>IFERROR(IF($Q$1=$P$3,INDEX(prem_analysis!$P$2:$Q$441,ROWS(Data!$P$2:V125),COLUMNS(Data!$P$3:U126)),IF($Q$1=$P$5,INDEX(prem_analysis!$BH$1:$BS$23,ROWS(Data!$Q$3:V126),COLUMNS(Data!$Q$3:V126)),IF($Q$1=$P$6,INDEX(prem_analysis!$BU$1:$CF$67,ROWS(prem_analysis!$N$2:S125),COLUMNS(prem_analysis!$N$2:S125)),IF($Q$1=$P$4,INDEX(Table24[[#All],[Year]:[Details]],ROWS(prem_analysis!$M$420:R543),COLUMNS(Data!$Q$3:V126)))))),"")</f>
        <v/>
      </c>
      <c r="X125" s="1" t="str">
        <f>IFERROR(IF($Q$1=$P$3,INDEX(prem_analysis!$P$2:$Q$441,ROWS(Data!$P$2:W125),COLUMNS(Data!$P$3:V126)),IF($Q$1=$P$5,INDEX(prem_analysis!$BH$1:$BS$23,ROWS(Data!$Q$3:W126),COLUMNS(Data!$Q$3:W126)),IF($Q$1=$P$6,INDEX(prem_analysis!$BU$1:$CF$67,ROWS(prem_analysis!$N$2:T125),COLUMNS(prem_analysis!$N$2:T125)),IF($Q$1=$P$4,INDEX(Table24[[#All],[Year]:[Details]],ROWS(prem_analysis!$M$420:S543),COLUMNS(Data!$Q$3:W126)))))),"")</f>
        <v/>
      </c>
      <c r="Y125" s="1" t="str">
        <f>IFERROR(IF($Q$1=$P$3,INDEX(prem_analysis!$P$2:$Q$441,ROWS(Data!$P$2:X125),COLUMNS(Data!$P$3:W126)),IF($Q$1=$P$5,INDEX(prem_analysis!$BH$1:$BS$23,ROWS(Data!$Q$3:X126),COLUMNS(Data!$Q$3:X126)),IF($Q$1=$P$6,INDEX(prem_analysis!$BU$1:$CF$67,ROWS(prem_analysis!$N$2:U125),COLUMNS(prem_analysis!$N$2:U125)),IF($Q$1=$P$4,INDEX(Table24[[#All],[Year]:[Details]],ROWS(prem_analysis!$M$420:T543),COLUMNS(Data!$Q$3:X126)))))),"")</f>
        <v/>
      </c>
      <c r="Z125" s="1" t="str">
        <f>IFERROR(IF($Q$1=$P$3,INDEX(prem_analysis!$P$2:$Q$441,ROWS(Data!$P$2:Y125),COLUMNS(Data!$P$3:X126)),IF($Q$1=$P$5,INDEX(prem_analysis!$BH$1:$BS$23,ROWS(Data!$Q$3:Y126),COLUMNS(Data!$Q$3:Y126)),IF($Q$1=$P$6,INDEX(prem_analysis!$BU$1:$CF$67,ROWS(prem_analysis!$N$2:V125),COLUMNS(prem_analysis!$N$2:V125)),IF($Q$1=$P$4,INDEX(Table24[[#All],[Year]:[Details]],ROWS(prem_analysis!$M$420:U543),COLUMNS(Data!$Q$3:Y126)))))),"")</f>
        <v/>
      </c>
      <c r="AA125" s="1" t="str">
        <f>IFERROR(IF($Q$1=$P$3,INDEX(prem_analysis!$P$2:$Q$441,ROWS(Data!$P$2:Z125),COLUMNS(Data!$P$3:Y126)),IF($Q$1=$P$5,INDEX(prem_analysis!$BH$1:$BS$23,ROWS(Data!$Q$3:Z126),COLUMNS(Data!$Q$3:Z126)),IF($Q$1=$P$6,INDEX(prem_analysis!$BU$1:$CF$67,ROWS(prem_analysis!$N$2:W125),COLUMNS(prem_analysis!$N$2:W125)),IF($Q$1=$P$4,INDEX(Table24[[#All],[Year]:[Details]],ROWS(prem_analysis!$M$420:V543),COLUMNS(Data!$Q$3:Z126)))))),"")</f>
        <v/>
      </c>
      <c r="AB125" s="1" t="str">
        <f>IFERROR(IF($Q$1=$P$3,INDEX(prem_analysis!$P$2:$Q$441,ROWS(Data!$P$2:AA125),COLUMNS(Data!$P$3:Z126)),IF($Q$1=$P$5,INDEX(prem_analysis!$BH$1:$BS$23,ROWS(Data!$Q$3:AA126),COLUMNS(Data!$Q$3:AA126)),IF($Q$1=$P$6,INDEX(prem_analysis!$BU$1:$CF$67,ROWS(prem_analysis!$N$2:X125),COLUMNS(prem_analysis!$N$2:X125)),IF($Q$1=$P$4,INDEX(Table24[[#All],[Year]:[Details]],ROWS(prem_analysis!$M$420:W543),COLUMNS(Data!$Q$3:AA126)))))),"")</f>
        <v/>
      </c>
      <c r="AC125" s="1" t="str">
        <f>IFERROR(IF($Q$1=$P$3,INDEX(prem_analysis!$P$2:$Q$441,ROWS(Data!$P$2:AB125),COLUMNS(Data!$P$3:AA126)),IF($Q$1=$P$5,INDEX(prem_analysis!$BH$1:$BS$23,ROWS(Data!$Q$3:AB126),COLUMNS(Data!$Q$3:AB126)),IF($Q$1=$P$6,INDEX(prem_analysis!$BU$1:$CF$67,ROWS(prem_analysis!$N$2:Y125),COLUMNS(prem_analysis!$N$2:Y125)),IF($Q$1=$P$4,INDEX(Table24[[#All],[Year]:[Details]],ROWS(prem_analysis!$M$420:X543),COLUMNS(Data!$Q$3:AB126)))))),"")</f>
        <v/>
      </c>
    </row>
    <row r="126" spans="1:29" x14ac:dyDescent="0.2">
      <c r="A126" s="3">
        <v>2006</v>
      </c>
      <c r="B126" s="3">
        <v>5</v>
      </c>
      <c r="C126" s="4" t="s">
        <v>22</v>
      </c>
      <c r="D126" s="3">
        <v>38</v>
      </c>
      <c r="E126" s="3">
        <v>0</v>
      </c>
      <c r="F126" s="3">
        <v>0</v>
      </c>
      <c r="G126" s="3">
        <v>0</v>
      </c>
      <c r="H126" s="3">
        <v>0</v>
      </c>
      <c r="I126" s="3">
        <v>0</v>
      </c>
      <c r="J126" s="3">
        <v>0</v>
      </c>
      <c r="K126" s="3">
        <v>60</v>
      </c>
      <c r="L126" s="5">
        <f>IF(Table24[[#This Row],['#]]=1,"Champion", IF(Table24[[#This Row],['#]]&gt;=18,"Relegated",Table24[[#This Row],['#]]))</f>
        <v>5</v>
      </c>
      <c r="M126" s="5" t="str">
        <f>IF(Table24[[#This Row],[Details]]=2,K125-Table24[[#This Row],[Pts]],IF(Table24[[#This Row],[Details]]=17,Table24[[#This Row],[Pts]]-K127,""))</f>
        <v/>
      </c>
      <c r="R126" s="1" t="str">
        <f>IFERROR(IF($Q$1=$P$3,INDEX(prem_analysis!$P$2:$Q$441,ROWS(Data!$P$2:Q126),COLUMNS(Data!$P$3:P127)),IF($Q$1=$P$5,INDEX(prem_analysis!$BH$1:$BS$23,ROWS(Data!$Q$3:Q127),COLUMNS(Data!$Q$3:Q127)),IF($Q$1=$P$6,INDEX(prem_analysis!$BU$1:$CF$67,ROWS(prem_analysis!$N$2:N126),COLUMNS(prem_analysis!$N$2:N126)),IF($Q$1=$P$4,INDEX(Table24[[#All],[Year]:[Details]],ROWS(prem_analysis!$M$420:M544),COLUMNS(Data!$Q$3:Q127)))))),"")</f>
        <v/>
      </c>
      <c r="S126" s="1" t="str">
        <f>IFERROR(IF($Q$1=$P$3,INDEX(prem_analysis!$P$2:$Q$441,ROWS(Data!$P$2:R126),COLUMNS(Data!$P$3:Q127)),IF($Q$1=$P$5,INDEX(prem_analysis!$BH$1:$BS$23,ROWS(Data!$Q$3:R127),COLUMNS(Data!$Q$3:R127)),IF($Q$1=$P$6,INDEX(prem_analysis!$BU$1:$CF$67,ROWS(prem_analysis!$N$2:O126),COLUMNS(prem_analysis!$N$2:O126)),IF($Q$1=$P$4,INDEX(Table24[[#All],[Year]:[Details]],ROWS(prem_analysis!$M$420:N544),COLUMNS(Data!$Q$3:R127)))))),"")</f>
        <v/>
      </c>
      <c r="T126" s="1" t="str">
        <f>IFERROR(IF($Q$1=$P$3,INDEX(prem_analysis!$P$2:$Q$441,ROWS(Data!$P$2:S126),COLUMNS(Data!$P$3:R127)),IF($Q$1=$P$5,INDEX(prem_analysis!$BH$1:$BS$23,ROWS(Data!$Q$3:S127),COLUMNS(Data!$Q$3:S127)),IF($Q$1=$P$6,INDEX(prem_analysis!$BU$1:$CF$67,ROWS(prem_analysis!$N$2:P126),COLUMNS(prem_analysis!$N$2:P126)),IF($Q$1=$P$4,INDEX(Table24[[#All],[Year]:[Details]],ROWS(prem_analysis!$M$420:O544),COLUMNS(Data!$Q$3:S127)))))),"")</f>
        <v/>
      </c>
      <c r="U126" s="1" t="str">
        <f>IFERROR(IF($Q$1=$P$3,INDEX(prem_analysis!$P$2:$Q$441,ROWS(Data!$P$2:T126),COLUMNS(Data!$P$3:S127)),IF($Q$1=$P$5,INDEX(prem_analysis!$BH$1:$BS$23,ROWS(Data!$Q$3:T127),COLUMNS(Data!$Q$3:T127)),IF($Q$1=$P$6,INDEX(prem_analysis!$BU$1:$CF$67,ROWS(prem_analysis!$N$2:Q126),COLUMNS(prem_analysis!$N$2:Q126)),IF($Q$1=$P$4,INDEX(Table24[[#All],[Year]:[Details]],ROWS(prem_analysis!$M$420:P544),COLUMNS(Data!$Q$3:T127)))))),"")</f>
        <v/>
      </c>
      <c r="V126" s="1" t="str">
        <f>IFERROR(IF($Q$1=$P$3,INDEX(prem_analysis!$P$2:$Q$441,ROWS(Data!$P$2:U126),COLUMNS(Data!$P$3:T127)),IF($Q$1=$P$5,INDEX(prem_analysis!$BH$1:$BS$23,ROWS(Data!$Q$3:U127),COLUMNS(Data!$Q$3:U127)),IF($Q$1=$P$6,INDEX(prem_analysis!$BU$1:$CF$67,ROWS(prem_analysis!$N$2:R126),COLUMNS(prem_analysis!$N$2:R126)),IF($Q$1=$P$4,INDEX(Table24[[#All],[Year]:[Details]],ROWS(prem_analysis!$M$420:Q544),COLUMNS(Data!$Q$3:U127)))))),"")</f>
        <v/>
      </c>
      <c r="W126" s="1" t="str">
        <f>IFERROR(IF($Q$1=$P$3,INDEX(prem_analysis!$P$2:$Q$441,ROWS(Data!$P$2:V126),COLUMNS(Data!$P$3:U127)),IF($Q$1=$P$5,INDEX(prem_analysis!$BH$1:$BS$23,ROWS(Data!$Q$3:V127),COLUMNS(Data!$Q$3:V127)),IF($Q$1=$P$6,INDEX(prem_analysis!$BU$1:$CF$67,ROWS(prem_analysis!$N$2:S126),COLUMNS(prem_analysis!$N$2:S126)),IF($Q$1=$P$4,INDEX(Table24[[#All],[Year]:[Details]],ROWS(prem_analysis!$M$420:R544),COLUMNS(Data!$Q$3:V127)))))),"")</f>
        <v/>
      </c>
      <c r="X126" s="1" t="str">
        <f>IFERROR(IF($Q$1=$P$3,INDEX(prem_analysis!$P$2:$Q$441,ROWS(Data!$P$2:W126),COLUMNS(Data!$P$3:V127)),IF($Q$1=$P$5,INDEX(prem_analysis!$BH$1:$BS$23,ROWS(Data!$Q$3:W127),COLUMNS(Data!$Q$3:W127)),IF($Q$1=$P$6,INDEX(prem_analysis!$BU$1:$CF$67,ROWS(prem_analysis!$N$2:T126),COLUMNS(prem_analysis!$N$2:T126)),IF($Q$1=$P$4,INDEX(Table24[[#All],[Year]:[Details]],ROWS(prem_analysis!$M$420:S544),COLUMNS(Data!$Q$3:W127)))))),"")</f>
        <v/>
      </c>
      <c r="Y126" s="1" t="str">
        <f>IFERROR(IF($Q$1=$P$3,INDEX(prem_analysis!$P$2:$Q$441,ROWS(Data!$P$2:X126),COLUMNS(Data!$P$3:W127)),IF($Q$1=$P$5,INDEX(prem_analysis!$BH$1:$BS$23,ROWS(Data!$Q$3:X127),COLUMNS(Data!$Q$3:X127)),IF($Q$1=$P$6,INDEX(prem_analysis!$BU$1:$CF$67,ROWS(prem_analysis!$N$2:U126),COLUMNS(prem_analysis!$N$2:U126)),IF($Q$1=$P$4,INDEX(Table24[[#All],[Year]:[Details]],ROWS(prem_analysis!$M$420:T544),COLUMNS(Data!$Q$3:X127)))))),"")</f>
        <v/>
      </c>
      <c r="Z126" s="1" t="str">
        <f>IFERROR(IF($Q$1=$P$3,INDEX(prem_analysis!$P$2:$Q$441,ROWS(Data!$P$2:Y126),COLUMNS(Data!$P$3:X127)),IF($Q$1=$P$5,INDEX(prem_analysis!$BH$1:$BS$23,ROWS(Data!$Q$3:Y127),COLUMNS(Data!$Q$3:Y127)),IF($Q$1=$P$6,INDEX(prem_analysis!$BU$1:$CF$67,ROWS(prem_analysis!$N$2:V126),COLUMNS(prem_analysis!$N$2:V126)),IF($Q$1=$P$4,INDEX(Table24[[#All],[Year]:[Details]],ROWS(prem_analysis!$M$420:U544),COLUMNS(Data!$Q$3:Y127)))))),"")</f>
        <v/>
      </c>
      <c r="AA126" s="1" t="str">
        <f>IFERROR(IF($Q$1=$P$3,INDEX(prem_analysis!$P$2:$Q$441,ROWS(Data!$P$2:Z126),COLUMNS(Data!$P$3:Y127)),IF($Q$1=$P$5,INDEX(prem_analysis!$BH$1:$BS$23,ROWS(Data!$Q$3:Z127),COLUMNS(Data!$Q$3:Z127)),IF($Q$1=$P$6,INDEX(prem_analysis!$BU$1:$CF$67,ROWS(prem_analysis!$N$2:W126),COLUMNS(prem_analysis!$N$2:W126)),IF($Q$1=$P$4,INDEX(Table24[[#All],[Year]:[Details]],ROWS(prem_analysis!$M$420:V544),COLUMNS(Data!$Q$3:Z127)))))),"")</f>
        <v/>
      </c>
      <c r="AB126" s="1" t="str">
        <f>IFERROR(IF($Q$1=$P$3,INDEX(prem_analysis!$P$2:$Q$441,ROWS(Data!$P$2:AA126),COLUMNS(Data!$P$3:Z127)),IF($Q$1=$P$5,INDEX(prem_analysis!$BH$1:$BS$23,ROWS(Data!$Q$3:AA127),COLUMNS(Data!$Q$3:AA127)),IF($Q$1=$P$6,INDEX(prem_analysis!$BU$1:$CF$67,ROWS(prem_analysis!$N$2:X126),COLUMNS(prem_analysis!$N$2:X126)),IF($Q$1=$P$4,INDEX(Table24[[#All],[Year]:[Details]],ROWS(prem_analysis!$M$420:W544),COLUMNS(Data!$Q$3:AA127)))))),"")</f>
        <v/>
      </c>
      <c r="AC126" s="1" t="str">
        <f>IFERROR(IF($Q$1=$P$3,INDEX(prem_analysis!$P$2:$Q$441,ROWS(Data!$P$2:AB126),COLUMNS(Data!$P$3:AA127)),IF($Q$1=$P$5,INDEX(prem_analysis!$BH$1:$BS$23,ROWS(Data!$Q$3:AB127),COLUMNS(Data!$Q$3:AB127)),IF($Q$1=$P$6,INDEX(prem_analysis!$BU$1:$CF$67,ROWS(prem_analysis!$N$2:Y126),COLUMNS(prem_analysis!$N$2:Y126)),IF($Q$1=$P$4,INDEX(Table24[[#All],[Year]:[Details]],ROWS(prem_analysis!$M$420:X544),COLUMNS(Data!$Q$3:AB127)))))),"")</f>
        <v/>
      </c>
    </row>
    <row r="127" spans="1:29" x14ac:dyDescent="0.2">
      <c r="A127" s="5">
        <v>2006</v>
      </c>
      <c r="B127" s="5">
        <v>6</v>
      </c>
      <c r="C127" s="6" t="s">
        <v>26</v>
      </c>
      <c r="D127" s="5">
        <v>38</v>
      </c>
      <c r="E127" s="5">
        <v>0</v>
      </c>
      <c r="F127" s="5">
        <v>0</v>
      </c>
      <c r="G127" s="5">
        <v>0</v>
      </c>
      <c r="H127" s="5">
        <v>0</v>
      </c>
      <c r="I127" s="5">
        <v>0</v>
      </c>
      <c r="J127" s="5">
        <v>0</v>
      </c>
      <c r="K127" s="5">
        <v>58</v>
      </c>
      <c r="L127" s="5">
        <f>IF(Table24[[#This Row],['#]]=1,"Champion", IF(Table24[[#This Row],['#]]&gt;=18,"Relegated",Table24[[#This Row],['#]]))</f>
        <v>6</v>
      </c>
      <c r="M127" s="5" t="str">
        <f>IF(Table24[[#This Row],[Details]]=2,K126-Table24[[#This Row],[Pts]],IF(Table24[[#This Row],[Details]]=17,Table24[[#This Row],[Pts]]-K128,""))</f>
        <v/>
      </c>
      <c r="R127" s="1" t="str">
        <f>IFERROR(IF($Q$1=$P$3,INDEX(prem_analysis!$P$2:$Q$441,ROWS(Data!$P$2:Q127),COLUMNS(Data!$P$3:P128)),IF($Q$1=$P$5,INDEX(prem_analysis!$BH$1:$BS$23,ROWS(Data!$Q$3:Q128),COLUMNS(Data!$Q$3:Q128)),IF($Q$1=$P$6,INDEX(prem_analysis!$BU$1:$CF$67,ROWS(prem_analysis!$N$2:N127),COLUMNS(prem_analysis!$N$2:N127)),IF($Q$1=$P$4,INDEX(Table24[[#All],[Year]:[Details]],ROWS(prem_analysis!$M$420:M545),COLUMNS(Data!$Q$3:Q128)))))),"")</f>
        <v/>
      </c>
      <c r="S127" s="1" t="str">
        <f>IFERROR(IF($Q$1=$P$3,INDEX(prem_analysis!$P$2:$Q$441,ROWS(Data!$P$2:R127),COLUMNS(Data!$P$3:Q128)),IF($Q$1=$P$5,INDEX(prem_analysis!$BH$1:$BS$23,ROWS(Data!$Q$3:R128),COLUMNS(Data!$Q$3:R128)),IF($Q$1=$P$6,INDEX(prem_analysis!$BU$1:$CF$67,ROWS(prem_analysis!$N$2:O127),COLUMNS(prem_analysis!$N$2:O127)),IF($Q$1=$P$4,INDEX(Table24[[#All],[Year]:[Details]],ROWS(prem_analysis!$M$420:N545),COLUMNS(Data!$Q$3:R128)))))),"")</f>
        <v/>
      </c>
      <c r="T127" s="1" t="str">
        <f>IFERROR(IF($Q$1=$P$3,INDEX(prem_analysis!$P$2:$Q$441,ROWS(Data!$P$2:S127),COLUMNS(Data!$P$3:R128)),IF($Q$1=$P$5,INDEX(prem_analysis!$BH$1:$BS$23,ROWS(Data!$Q$3:S128),COLUMNS(Data!$Q$3:S128)),IF($Q$1=$P$6,INDEX(prem_analysis!$BU$1:$CF$67,ROWS(prem_analysis!$N$2:P127),COLUMNS(prem_analysis!$N$2:P127)),IF($Q$1=$P$4,INDEX(Table24[[#All],[Year]:[Details]],ROWS(prem_analysis!$M$420:O545),COLUMNS(Data!$Q$3:S128)))))),"")</f>
        <v/>
      </c>
      <c r="U127" s="1" t="str">
        <f>IFERROR(IF($Q$1=$P$3,INDEX(prem_analysis!$P$2:$Q$441,ROWS(Data!$P$2:T127),COLUMNS(Data!$P$3:S128)),IF($Q$1=$P$5,INDEX(prem_analysis!$BH$1:$BS$23,ROWS(Data!$Q$3:T128),COLUMNS(Data!$Q$3:T128)),IF($Q$1=$P$6,INDEX(prem_analysis!$BU$1:$CF$67,ROWS(prem_analysis!$N$2:Q127),COLUMNS(prem_analysis!$N$2:Q127)),IF($Q$1=$P$4,INDEX(Table24[[#All],[Year]:[Details]],ROWS(prem_analysis!$M$420:P545),COLUMNS(Data!$Q$3:T128)))))),"")</f>
        <v/>
      </c>
      <c r="V127" s="1" t="str">
        <f>IFERROR(IF($Q$1=$P$3,INDEX(prem_analysis!$P$2:$Q$441,ROWS(Data!$P$2:U127),COLUMNS(Data!$P$3:T128)),IF($Q$1=$P$5,INDEX(prem_analysis!$BH$1:$BS$23,ROWS(Data!$Q$3:U128),COLUMNS(Data!$Q$3:U128)),IF($Q$1=$P$6,INDEX(prem_analysis!$BU$1:$CF$67,ROWS(prem_analysis!$N$2:R127),COLUMNS(prem_analysis!$N$2:R127)),IF($Q$1=$P$4,INDEX(Table24[[#All],[Year]:[Details]],ROWS(prem_analysis!$M$420:Q545),COLUMNS(Data!$Q$3:U128)))))),"")</f>
        <v/>
      </c>
      <c r="W127" s="1" t="str">
        <f>IFERROR(IF($Q$1=$P$3,INDEX(prem_analysis!$P$2:$Q$441,ROWS(Data!$P$2:V127),COLUMNS(Data!$P$3:U128)),IF($Q$1=$P$5,INDEX(prem_analysis!$BH$1:$BS$23,ROWS(Data!$Q$3:V128),COLUMNS(Data!$Q$3:V128)),IF($Q$1=$P$6,INDEX(prem_analysis!$BU$1:$CF$67,ROWS(prem_analysis!$N$2:S127),COLUMNS(prem_analysis!$N$2:S127)),IF($Q$1=$P$4,INDEX(Table24[[#All],[Year]:[Details]],ROWS(prem_analysis!$M$420:R545),COLUMNS(Data!$Q$3:V128)))))),"")</f>
        <v/>
      </c>
      <c r="X127" s="1" t="str">
        <f>IFERROR(IF($Q$1=$P$3,INDEX(prem_analysis!$P$2:$Q$441,ROWS(Data!$P$2:W127),COLUMNS(Data!$P$3:V128)),IF($Q$1=$P$5,INDEX(prem_analysis!$BH$1:$BS$23,ROWS(Data!$Q$3:W128),COLUMNS(Data!$Q$3:W128)),IF($Q$1=$P$6,INDEX(prem_analysis!$BU$1:$CF$67,ROWS(prem_analysis!$N$2:T127),COLUMNS(prem_analysis!$N$2:T127)),IF($Q$1=$P$4,INDEX(Table24[[#All],[Year]:[Details]],ROWS(prem_analysis!$M$420:S545),COLUMNS(Data!$Q$3:W128)))))),"")</f>
        <v/>
      </c>
      <c r="Y127" s="1" t="str">
        <f>IFERROR(IF($Q$1=$P$3,INDEX(prem_analysis!$P$2:$Q$441,ROWS(Data!$P$2:X127),COLUMNS(Data!$P$3:W128)),IF($Q$1=$P$5,INDEX(prem_analysis!$BH$1:$BS$23,ROWS(Data!$Q$3:X128),COLUMNS(Data!$Q$3:X128)),IF($Q$1=$P$6,INDEX(prem_analysis!$BU$1:$CF$67,ROWS(prem_analysis!$N$2:U127),COLUMNS(prem_analysis!$N$2:U127)),IF($Q$1=$P$4,INDEX(Table24[[#All],[Year]:[Details]],ROWS(prem_analysis!$M$420:T545),COLUMNS(Data!$Q$3:X128)))))),"")</f>
        <v/>
      </c>
      <c r="Z127" s="1" t="str">
        <f>IFERROR(IF($Q$1=$P$3,INDEX(prem_analysis!$P$2:$Q$441,ROWS(Data!$P$2:Y127),COLUMNS(Data!$P$3:X128)),IF($Q$1=$P$5,INDEX(prem_analysis!$BH$1:$BS$23,ROWS(Data!$Q$3:Y128),COLUMNS(Data!$Q$3:Y128)),IF($Q$1=$P$6,INDEX(prem_analysis!$BU$1:$CF$67,ROWS(prem_analysis!$N$2:V127),COLUMNS(prem_analysis!$N$2:V127)),IF($Q$1=$P$4,INDEX(Table24[[#All],[Year]:[Details]],ROWS(prem_analysis!$M$420:U545),COLUMNS(Data!$Q$3:Y128)))))),"")</f>
        <v/>
      </c>
      <c r="AA127" s="1" t="str">
        <f>IFERROR(IF($Q$1=$P$3,INDEX(prem_analysis!$P$2:$Q$441,ROWS(Data!$P$2:Z127),COLUMNS(Data!$P$3:Y128)),IF($Q$1=$P$5,INDEX(prem_analysis!$BH$1:$BS$23,ROWS(Data!$Q$3:Z128),COLUMNS(Data!$Q$3:Z128)),IF($Q$1=$P$6,INDEX(prem_analysis!$BU$1:$CF$67,ROWS(prem_analysis!$N$2:W127),COLUMNS(prem_analysis!$N$2:W127)),IF($Q$1=$P$4,INDEX(Table24[[#All],[Year]:[Details]],ROWS(prem_analysis!$M$420:V545),COLUMNS(Data!$Q$3:Z128)))))),"")</f>
        <v/>
      </c>
      <c r="AB127" s="1" t="str">
        <f>IFERROR(IF($Q$1=$P$3,INDEX(prem_analysis!$P$2:$Q$441,ROWS(Data!$P$2:AA127),COLUMNS(Data!$P$3:Z128)),IF($Q$1=$P$5,INDEX(prem_analysis!$BH$1:$BS$23,ROWS(Data!$Q$3:AA128),COLUMNS(Data!$Q$3:AA128)),IF($Q$1=$P$6,INDEX(prem_analysis!$BU$1:$CF$67,ROWS(prem_analysis!$N$2:X127),COLUMNS(prem_analysis!$N$2:X127)),IF($Q$1=$P$4,INDEX(Table24[[#All],[Year]:[Details]],ROWS(prem_analysis!$M$420:W545),COLUMNS(Data!$Q$3:AA128)))))),"")</f>
        <v/>
      </c>
      <c r="AC127" s="1" t="str">
        <f>IFERROR(IF($Q$1=$P$3,INDEX(prem_analysis!$P$2:$Q$441,ROWS(Data!$P$2:AB127),COLUMNS(Data!$P$3:AA128)),IF($Q$1=$P$5,INDEX(prem_analysis!$BH$1:$BS$23,ROWS(Data!$Q$3:AB128),COLUMNS(Data!$Q$3:AB128)),IF($Q$1=$P$6,INDEX(prem_analysis!$BU$1:$CF$67,ROWS(prem_analysis!$N$2:Y127),COLUMNS(prem_analysis!$N$2:Y127)),IF($Q$1=$P$4,INDEX(Table24[[#All],[Year]:[Details]],ROWS(prem_analysis!$M$420:X545),COLUMNS(Data!$Q$3:AB128)))))),"")</f>
        <v/>
      </c>
    </row>
    <row r="128" spans="1:29" x14ac:dyDescent="0.2">
      <c r="A128" s="3">
        <v>2006</v>
      </c>
      <c r="B128" s="3">
        <v>7</v>
      </c>
      <c r="C128" s="4" t="s">
        <v>33</v>
      </c>
      <c r="D128" s="3">
        <v>38</v>
      </c>
      <c r="E128" s="3">
        <v>0</v>
      </c>
      <c r="F128" s="3">
        <v>0</v>
      </c>
      <c r="G128" s="3">
        <v>0</v>
      </c>
      <c r="H128" s="3">
        <v>0</v>
      </c>
      <c r="I128" s="3">
        <v>0</v>
      </c>
      <c r="J128" s="3">
        <v>0</v>
      </c>
      <c r="K128" s="3">
        <v>56</v>
      </c>
      <c r="L128" s="5">
        <f>IF(Table24[[#This Row],['#]]=1,"Champion", IF(Table24[[#This Row],['#]]&gt;=18,"Relegated",Table24[[#This Row],['#]]))</f>
        <v>7</v>
      </c>
      <c r="M128" s="5" t="str">
        <f>IF(Table24[[#This Row],[Details]]=2,K127-Table24[[#This Row],[Pts]],IF(Table24[[#This Row],[Details]]=17,Table24[[#This Row],[Pts]]-K129,""))</f>
        <v/>
      </c>
      <c r="R128" s="1" t="str">
        <f>IFERROR(IF($Q$1=$P$3,INDEX(prem_analysis!$P$2:$Q$441,ROWS(Data!$P$2:Q128),COLUMNS(Data!$P$3:P129)),IF($Q$1=$P$5,INDEX(prem_analysis!$BH$1:$BS$23,ROWS(Data!$Q$3:Q129),COLUMNS(Data!$Q$3:Q129)),IF($Q$1=$P$6,INDEX(prem_analysis!$BU$1:$CF$67,ROWS(prem_analysis!$N$2:N128),COLUMNS(prem_analysis!$N$2:N128)),IF($Q$1=$P$4,INDEX(Table24[[#All],[Year]:[Details]],ROWS(prem_analysis!$M$420:M546),COLUMNS(Data!$Q$3:Q129)))))),"")</f>
        <v/>
      </c>
      <c r="S128" s="1" t="str">
        <f>IFERROR(IF($Q$1=$P$3,INDEX(prem_analysis!$P$2:$Q$441,ROWS(Data!$P$2:R128),COLUMNS(Data!$P$3:Q129)),IF($Q$1=$P$5,INDEX(prem_analysis!$BH$1:$BS$23,ROWS(Data!$Q$3:R129),COLUMNS(Data!$Q$3:R129)),IF($Q$1=$P$6,INDEX(prem_analysis!$BU$1:$CF$67,ROWS(prem_analysis!$N$2:O128),COLUMNS(prem_analysis!$N$2:O128)),IF($Q$1=$P$4,INDEX(Table24[[#All],[Year]:[Details]],ROWS(prem_analysis!$M$420:N546),COLUMNS(Data!$Q$3:R129)))))),"")</f>
        <v/>
      </c>
      <c r="T128" s="1" t="str">
        <f>IFERROR(IF($Q$1=$P$3,INDEX(prem_analysis!$P$2:$Q$441,ROWS(Data!$P$2:S128),COLUMNS(Data!$P$3:R129)),IF($Q$1=$P$5,INDEX(prem_analysis!$BH$1:$BS$23,ROWS(Data!$Q$3:S129),COLUMNS(Data!$Q$3:S129)),IF($Q$1=$P$6,INDEX(prem_analysis!$BU$1:$CF$67,ROWS(prem_analysis!$N$2:P128),COLUMNS(prem_analysis!$N$2:P128)),IF($Q$1=$P$4,INDEX(Table24[[#All],[Year]:[Details]],ROWS(prem_analysis!$M$420:O546),COLUMNS(Data!$Q$3:S129)))))),"")</f>
        <v/>
      </c>
      <c r="U128" s="1" t="str">
        <f>IFERROR(IF($Q$1=$P$3,INDEX(prem_analysis!$P$2:$Q$441,ROWS(Data!$P$2:T128),COLUMNS(Data!$P$3:S129)),IF($Q$1=$P$5,INDEX(prem_analysis!$BH$1:$BS$23,ROWS(Data!$Q$3:T129),COLUMNS(Data!$Q$3:T129)),IF($Q$1=$P$6,INDEX(prem_analysis!$BU$1:$CF$67,ROWS(prem_analysis!$N$2:Q128),COLUMNS(prem_analysis!$N$2:Q128)),IF($Q$1=$P$4,INDEX(Table24[[#All],[Year]:[Details]],ROWS(prem_analysis!$M$420:P546),COLUMNS(Data!$Q$3:T129)))))),"")</f>
        <v/>
      </c>
      <c r="V128" s="1" t="str">
        <f>IFERROR(IF($Q$1=$P$3,INDEX(prem_analysis!$P$2:$Q$441,ROWS(Data!$P$2:U128),COLUMNS(Data!$P$3:T129)),IF($Q$1=$P$5,INDEX(prem_analysis!$BH$1:$BS$23,ROWS(Data!$Q$3:U129),COLUMNS(Data!$Q$3:U129)),IF($Q$1=$P$6,INDEX(prem_analysis!$BU$1:$CF$67,ROWS(prem_analysis!$N$2:R128),COLUMNS(prem_analysis!$N$2:R128)),IF($Q$1=$P$4,INDEX(Table24[[#All],[Year]:[Details]],ROWS(prem_analysis!$M$420:Q546),COLUMNS(Data!$Q$3:U129)))))),"")</f>
        <v/>
      </c>
      <c r="W128" s="1" t="str">
        <f>IFERROR(IF($Q$1=$P$3,INDEX(prem_analysis!$P$2:$Q$441,ROWS(Data!$P$2:V128),COLUMNS(Data!$P$3:U129)),IF($Q$1=$P$5,INDEX(prem_analysis!$BH$1:$BS$23,ROWS(Data!$Q$3:V129),COLUMNS(Data!$Q$3:V129)),IF($Q$1=$P$6,INDEX(prem_analysis!$BU$1:$CF$67,ROWS(prem_analysis!$N$2:S128),COLUMNS(prem_analysis!$N$2:S128)),IF($Q$1=$P$4,INDEX(Table24[[#All],[Year]:[Details]],ROWS(prem_analysis!$M$420:R546),COLUMNS(Data!$Q$3:V129)))))),"")</f>
        <v/>
      </c>
      <c r="X128" s="1" t="str">
        <f>IFERROR(IF($Q$1=$P$3,INDEX(prem_analysis!$P$2:$Q$441,ROWS(Data!$P$2:W128),COLUMNS(Data!$P$3:V129)),IF($Q$1=$P$5,INDEX(prem_analysis!$BH$1:$BS$23,ROWS(Data!$Q$3:W129),COLUMNS(Data!$Q$3:W129)),IF($Q$1=$P$6,INDEX(prem_analysis!$BU$1:$CF$67,ROWS(prem_analysis!$N$2:T128),COLUMNS(prem_analysis!$N$2:T128)),IF($Q$1=$P$4,INDEX(Table24[[#All],[Year]:[Details]],ROWS(prem_analysis!$M$420:S546),COLUMNS(Data!$Q$3:W129)))))),"")</f>
        <v/>
      </c>
      <c r="Y128" s="1" t="str">
        <f>IFERROR(IF($Q$1=$P$3,INDEX(prem_analysis!$P$2:$Q$441,ROWS(Data!$P$2:X128),COLUMNS(Data!$P$3:W129)),IF($Q$1=$P$5,INDEX(prem_analysis!$BH$1:$BS$23,ROWS(Data!$Q$3:X129),COLUMNS(Data!$Q$3:X129)),IF($Q$1=$P$6,INDEX(prem_analysis!$BU$1:$CF$67,ROWS(prem_analysis!$N$2:U128),COLUMNS(prem_analysis!$N$2:U128)),IF($Q$1=$P$4,INDEX(Table24[[#All],[Year]:[Details]],ROWS(prem_analysis!$M$420:T546),COLUMNS(Data!$Q$3:X129)))))),"")</f>
        <v/>
      </c>
      <c r="Z128" s="1" t="str">
        <f>IFERROR(IF($Q$1=$P$3,INDEX(prem_analysis!$P$2:$Q$441,ROWS(Data!$P$2:Y128),COLUMNS(Data!$P$3:X129)),IF($Q$1=$P$5,INDEX(prem_analysis!$BH$1:$BS$23,ROWS(Data!$Q$3:Y129),COLUMNS(Data!$Q$3:Y129)),IF($Q$1=$P$6,INDEX(prem_analysis!$BU$1:$CF$67,ROWS(prem_analysis!$N$2:V128),COLUMNS(prem_analysis!$N$2:V128)),IF($Q$1=$P$4,INDEX(Table24[[#All],[Year]:[Details]],ROWS(prem_analysis!$M$420:U546),COLUMNS(Data!$Q$3:Y129)))))),"")</f>
        <v/>
      </c>
      <c r="AA128" s="1" t="str">
        <f>IFERROR(IF($Q$1=$P$3,INDEX(prem_analysis!$P$2:$Q$441,ROWS(Data!$P$2:Z128),COLUMNS(Data!$P$3:Y129)),IF($Q$1=$P$5,INDEX(prem_analysis!$BH$1:$BS$23,ROWS(Data!$Q$3:Z129),COLUMNS(Data!$Q$3:Z129)),IF($Q$1=$P$6,INDEX(prem_analysis!$BU$1:$CF$67,ROWS(prem_analysis!$N$2:W128),COLUMNS(prem_analysis!$N$2:W128)),IF($Q$1=$P$4,INDEX(Table24[[#All],[Year]:[Details]],ROWS(prem_analysis!$M$420:V546),COLUMNS(Data!$Q$3:Z129)))))),"")</f>
        <v/>
      </c>
      <c r="AB128" s="1" t="str">
        <f>IFERROR(IF($Q$1=$P$3,INDEX(prem_analysis!$P$2:$Q$441,ROWS(Data!$P$2:AA128),COLUMNS(Data!$P$3:Z129)),IF($Q$1=$P$5,INDEX(prem_analysis!$BH$1:$BS$23,ROWS(Data!$Q$3:AA129),COLUMNS(Data!$Q$3:AA129)),IF($Q$1=$P$6,INDEX(prem_analysis!$BU$1:$CF$67,ROWS(prem_analysis!$N$2:X128),COLUMNS(prem_analysis!$N$2:X128)),IF($Q$1=$P$4,INDEX(Table24[[#All],[Year]:[Details]],ROWS(prem_analysis!$M$420:W546),COLUMNS(Data!$Q$3:AA129)))))),"")</f>
        <v/>
      </c>
      <c r="AC128" s="1" t="str">
        <f>IFERROR(IF($Q$1=$P$3,INDEX(prem_analysis!$P$2:$Q$441,ROWS(Data!$P$2:AB128),COLUMNS(Data!$P$3:AA129)),IF($Q$1=$P$5,INDEX(prem_analysis!$BH$1:$BS$23,ROWS(Data!$Q$3:AB129),COLUMNS(Data!$Q$3:AB129)),IF($Q$1=$P$6,INDEX(prem_analysis!$BU$1:$CF$67,ROWS(prem_analysis!$N$2:Y128),COLUMNS(prem_analysis!$N$2:Y128)),IF($Q$1=$P$4,INDEX(Table24[[#All],[Year]:[Details]],ROWS(prem_analysis!$M$420:X546),COLUMNS(Data!$Q$3:AB129)))))),"")</f>
        <v/>
      </c>
    </row>
    <row r="129" spans="1:29" x14ac:dyDescent="0.2">
      <c r="A129" s="5">
        <v>2006</v>
      </c>
      <c r="B129" s="5">
        <v>8</v>
      </c>
      <c r="C129" s="6" t="s">
        <v>41</v>
      </c>
      <c r="D129" s="5">
        <v>38</v>
      </c>
      <c r="E129" s="5">
        <v>0</v>
      </c>
      <c r="F129" s="5">
        <v>0</v>
      </c>
      <c r="G129" s="5">
        <v>0</v>
      </c>
      <c r="H129" s="5">
        <v>0</v>
      </c>
      <c r="I129" s="5">
        <v>0</v>
      </c>
      <c r="J129" s="5">
        <v>0</v>
      </c>
      <c r="K129" s="5">
        <v>55</v>
      </c>
      <c r="L129" s="5">
        <f>IF(Table24[[#This Row],['#]]=1,"Champion", IF(Table24[[#This Row],['#]]&gt;=18,"Relegated",Table24[[#This Row],['#]]))</f>
        <v>8</v>
      </c>
      <c r="M129" s="5" t="str">
        <f>IF(Table24[[#This Row],[Details]]=2,K128-Table24[[#This Row],[Pts]],IF(Table24[[#This Row],[Details]]=17,Table24[[#This Row],[Pts]]-K130,""))</f>
        <v/>
      </c>
      <c r="R129" s="1" t="str">
        <f>IFERROR(IF($Q$1=$P$3,INDEX(prem_analysis!$P$2:$Q$441,ROWS(Data!$P$2:Q129),COLUMNS(Data!$P$3:P130)),IF($Q$1=$P$5,INDEX(prem_analysis!$BH$1:$BS$23,ROWS(Data!$Q$3:Q130),COLUMNS(Data!$Q$3:Q130)),IF($Q$1=$P$6,INDEX(prem_analysis!$BU$1:$CF$67,ROWS(prem_analysis!$N$2:N129),COLUMNS(prem_analysis!$N$2:N129)),IF($Q$1=$P$4,INDEX(Table24[[#All],[Year]:[Details]],ROWS(prem_analysis!$M$420:M547),COLUMNS(Data!$Q$3:Q130)))))),"")</f>
        <v/>
      </c>
      <c r="S129" s="1" t="str">
        <f>IFERROR(IF($Q$1=$P$3,INDEX(prem_analysis!$P$2:$Q$441,ROWS(Data!$P$2:R129),COLUMNS(Data!$P$3:Q130)),IF($Q$1=$P$5,INDEX(prem_analysis!$BH$1:$BS$23,ROWS(Data!$Q$3:R130),COLUMNS(Data!$Q$3:R130)),IF($Q$1=$P$6,INDEX(prem_analysis!$BU$1:$CF$67,ROWS(prem_analysis!$N$2:O129),COLUMNS(prem_analysis!$N$2:O129)),IF($Q$1=$P$4,INDEX(Table24[[#All],[Year]:[Details]],ROWS(prem_analysis!$M$420:N547),COLUMNS(Data!$Q$3:R130)))))),"")</f>
        <v/>
      </c>
      <c r="T129" s="1" t="str">
        <f>IFERROR(IF($Q$1=$P$3,INDEX(prem_analysis!$P$2:$Q$441,ROWS(Data!$P$2:S129),COLUMNS(Data!$P$3:R130)),IF($Q$1=$P$5,INDEX(prem_analysis!$BH$1:$BS$23,ROWS(Data!$Q$3:S130),COLUMNS(Data!$Q$3:S130)),IF($Q$1=$P$6,INDEX(prem_analysis!$BU$1:$CF$67,ROWS(prem_analysis!$N$2:P129),COLUMNS(prem_analysis!$N$2:P129)),IF($Q$1=$P$4,INDEX(Table24[[#All],[Year]:[Details]],ROWS(prem_analysis!$M$420:O547),COLUMNS(Data!$Q$3:S130)))))),"")</f>
        <v/>
      </c>
      <c r="U129" s="1" t="str">
        <f>IFERROR(IF($Q$1=$P$3,INDEX(prem_analysis!$P$2:$Q$441,ROWS(Data!$P$2:T129),COLUMNS(Data!$P$3:S130)),IF($Q$1=$P$5,INDEX(prem_analysis!$BH$1:$BS$23,ROWS(Data!$Q$3:T130),COLUMNS(Data!$Q$3:T130)),IF($Q$1=$P$6,INDEX(prem_analysis!$BU$1:$CF$67,ROWS(prem_analysis!$N$2:Q129),COLUMNS(prem_analysis!$N$2:Q129)),IF($Q$1=$P$4,INDEX(Table24[[#All],[Year]:[Details]],ROWS(prem_analysis!$M$420:P547),COLUMNS(Data!$Q$3:T130)))))),"")</f>
        <v/>
      </c>
      <c r="V129" s="1" t="str">
        <f>IFERROR(IF($Q$1=$P$3,INDEX(prem_analysis!$P$2:$Q$441,ROWS(Data!$P$2:U129),COLUMNS(Data!$P$3:T130)),IF($Q$1=$P$5,INDEX(prem_analysis!$BH$1:$BS$23,ROWS(Data!$Q$3:U130),COLUMNS(Data!$Q$3:U130)),IF($Q$1=$P$6,INDEX(prem_analysis!$BU$1:$CF$67,ROWS(prem_analysis!$N$2:R129),COLUMNS(prem_analysis!$N$2:R129)),IF($Q$1=$P$4,INDEX(Table24[[#All],[Year]:[Details]],ROWS(prem_analysis!$M$420:Q547),COLUMNS(Data!$Q$3:U130)))))),"")</f>
        <v/>
      </c>
      <c r="W129" s="1" t="str">
        <f>IFERROR(IF($Q$1=$P$3,INDEX(prem_analysis!$P$2:$Q$441,ROWS(Data!$P$2:V129),COLUMNS(Data!$P$3:U130)),IF($Q$1=$P$5,INDEX(prem_analysis!$BH$1:$BS$23,ROWS(Data!$Q$3:V130),COLUMNS(Data!$Q$3:V130)),IF($Q$1=$P$6,INDEX(prem_analysis!$BU$1:$CF$67,ROWS(prem_analysis!$N$2:S129),COLUMNS(prem_analysis!$N$2:S129)),IF($Q$1=$P$4,INDEX(Table24[[#All],[Year]:[Details]],ROWS(prem_analysis!$M$420:R547),COLUMNS(Data!$Q$3:V130)))))),"")</f>
        <v/>
      </c>
      <c r="X129" s="1" t="str">
        <f>IFERROR(IF($Q$1=$P$3,INDEX(prem_analysis!$P$2:$Q$441,ROWS(Data!$P$2:W129),COLUMNS(Data!$P$3:V130)),IF($Q$1=$P$5,INDEX(prem_analysis!$BH$1:$BS$23,ROWS(Data!$Q$3:W130),COLUMNS(Data!$Q$3:W130)),IF($Q$1=$P$6,INDEX(prem_analysis!$BU$1:$CF$67,ROWS(prem_analysis!$N$2:T129),COLUMNS(prem_analysis!$N$2:T129)),IF($Q$1=$P$4,INDEX(Table24[[#All],[Year]:[Details]],ROWS(prem_analysis!$M$420:S547),COLUMNS(Data!$Q$3:W130)))))),"")</f>
        <v/>
      </c>
      <c r="Y129" s="1" t="str">
        <f>IFERROR(IF($Q$1=$P$3,INDEX(prem_analysis!$P$2:$Q$441,ROWS(Data!$P$2:X129),COLUMNS(Data!$P$3:W130)),IF($Q$1=$P$5,INDEX(prem_analysis!$BH$1:$BS$23,ROWS(Data!$Q$3:X130),COLUMNS(Data!$Q$3:X130)),IF($Q$1=$P$6,INDEX(prem_analysis!$BU$1:$CF$67,ROWS(prem_analysis!$N$2:U129),COLUMNS(prem_analysis!$N$2:U129)),IF($Q$1=$P$4,INDEX(Table24[[#All],[Year]:[Details]],ROWS(prem_analysis!$M$420:T547),COLUMNS(Data!$Q$3:X130)))))),"")</f>
        <v/>
      </c>
      <c r="Z129" s="1" t="str">
        <f>IFERROR(IF($Q$1=$P$3,INDEX(prem_analysis!$P$2:$Q$441,ROWS(Data!$P$2:Y129),COLUMNS(Data!$P$3:X130)),IF($Q$1=$P$5,INDEX(prem_analysis!$BH$1:$BS$23,ROWS(Data!$Q$3:Y130),COLUMNS(Data!$Q$3:Y130)),IF($Q$1=$P$6,INDEX(prem_analysis!$BU$1:$CF$67,ROWS(prem_analysis!$N$2:V129),COLUMNS(prem_analysis!$N$2:V129)),IF($Q$1=$P$4,INDEX(Table24[[#All],[Year]:[Details]],ROWS(prem_analysis!$M$420:U547),COLUMNS(Data!$Q$3:Y130)))))),"")</f>
        <v/>
      </c>
      <c r="AA129" s="1" t="str">
        <f>IFERROR(IF($Q$1=$P$3,INDEX(prem_analysis!$P$2:$Q$441,ROWS(Data!$P$2:Z129),COLUMNS(Data!$P$3:Y130)),IF($Q$1=$P$5,INDEX(prem_analysis!$BH$1:$BS$23,ROWS(Data!$Q$3:Z130),COLUMNS(Data!$Q$3:Z130)),IF($Q$1=$P$6,INDEX(prem_analysis!$BU$1:$CF$67,ROWS(prem_analysis!$N$2:W129),COLUMNS(prem_analysis!$N$2:W129)),IF($Q$1=$P$4,INDEX(Table24[[#All],[Year]:[Details]],ROWS(prem_analysis!$M$420:V547),COLUMNS(Data!$Q$3:Z130)))))),"")</f>
        <v/>
      </c>
      <c r="AB129" s="1" t="str">
        <f>IFERROR(IF($Q$1=$P$3,INDEX(prem_analysis!$P$2:$Q$441,ROWS(Data!$P$2:AA129),COLUMNS(Data!$P$3:Z130)),IF($Q$1=$P$5,INDEX(prem_analysis!$BH$1:$BS$23,ROWS(Data!$Q$3:AA130),COLUMNS(Data!$Q$3:AA130)),IF($Q$1=$P$6,INDEX(prem_analysis!$BU$1:$CF$67,ROWS(prem_analysis!$N$2:X129),COLUMNS(prem_analysis!$N$2:X129)),IF($Q$1=$P$4,INDEX(Table24[[#All],[Year]:[Details]],ROWS(prem_analysis!$M$420:W547),COLUMNS(Data!$Q$3:AA130)))))),"")</f>
        <v/>
      </c>
      <c r="AC129" s="1" t="str">
        <f>IFERROR(IF($Q$1=$P$3,INDEX(prem_analysis!$P$2:$Q$441,ROWS(Data!$P$2:AB129),COLUMNS(Data!$P$3:AA130)),IF($Q$1=$P$5,INDEX(prem_analysis!$BH$1:$BS$23,ROWS(Data!$Q$3:AB130),COLUMNS(Data!$Q$3:AB130)),IF($Q$1=$P$6,INDEX(prem_analysis!$BU$1:$CF$67,ROWS(prem_analysis!$N$2:Y129),COLUMNS(prem_analysis!$N$2:Y129)),IF($Q$1=$P$4,INDEX(Table24[[#All],[Year]:[Details]],ROWS(prem_analysis!$M$420:X547),COLUMNS(Data!$Q$3:AB130)))))),"")</f>
        <v/>
      </c>
    </row>
    <row r="130" spans="1:29" x14ac:dyDescent="0.2">
      <c r="A130" s="3">
        <v>2006</v>
      </c>
      <c r="B130" s="3">
        <v>9</v>
      </c>
      <c r="C130" s="4" t="s">
        <v>36</v>
      </c>
      <c r="D130" s="3">
        <v>38</v>
      </c>
      <c r="E130" s="3">
        <v>0</v>
      </c>
      <c r="F130" s="3">
        <v>0</v>
      </c>
      <c r="G130" s="3">
        <v>0</v>
      </c>
      <c r="H130" s="3">
        <v>0</v>
      </c>
      <c r="I130" s="3">
        <v>0</v>
      </c>
      <c r="J130" s="3">
        <v>0</v>
      </c>
      <c r="K130" s="3">
        <v>54</v>
      </c>
      <c r="L130" s="5">
        <f>IF(Table24[[#This Row],['#]]=1,"Champion", IF(Table24[[#This Row],['#]]&gt;=18,"Relegated",Table24[[#This Row],['#]]))</f>
        <v>9</v>
      </c>
      <c r="M130" s="5" t="str">
        <f>IF(Table24[[#This Row],[Details]]=2,K129-Table24[[#This Row],[Pts]],IF(Table24[[#This Row],[Details]]=17,Table24[[#This Row],[Pts]]-K131,""))</f>
        <v/>
      </c>
      <c r="R130" s="1" t="str">
        <f>IFERROR(IF($Q$1=$P$3,INDEX(prem_analysis!$P$2:$Q$441,ROWS(Data!$P$2:Q130),COLUMNS(Data!$P$3:P131)),IF($Q$1=$P$5,INDEX(prem_analysis!$BH$1:$BS$23,ROWS(Data!$Q$3:Q131),COLUMNS(Data!$Q$3:Q131)),IF($Q$1=$P$6,INDEX(prem_analysis!$BU$1:$CF$67,ROWS(prem_analysis!$N$2:N130),COLUMNS(prem_analysis!$N$2:N130)),IF($Q$1=$P$4,INDEX(Table24[[#All],[Year]:[Details]],ROWS(prem_analysis!$M$420:M548),COLUMNS(Data!$Q$3:Q131)))))),"")</f>
        <v/>
      </c>
      <c r="S130" s="1" t="str">
        <f>IFERROR(IF($Q$1=$P$3,INDEX(prem_analysis!$P$2:$Q$441,ROWS(Data!$P$2:R130),COLUMNS(Data!$P$3:Q131)),IF($Q$1=$P$5,INDEX(prem_analysis!$BH$1:$BS$23,ROWS(Data!$Q$3:R131),COLUMNS(Data!$Q$3:R131)),IF($Q$1=$P$6,INDEX(prem_analysis!$BU$1:$CF$67,ROWS(prem_analysis!$N$2:O130),COLUMNS(prem_analysis!$N$2:O130)),IF($Q$1=$P$4,INDEX(Table24[[#All],[Year]:[Details]],ROWS(prem_analysis!$M$420:N548),COLUMNS(Data!$Q$3:R131)))))),"")</f>
        <v/>
      </c>
      <c r="T130" s="1" t="str">
        <f>IFERROR(IF($Q$1=$P$3,INDEX(prem_analysis!$P$2:$Q$441,ROWS(Data!$P$2:S130),COLUMNS(Data!$P$3:R131)),IF($Q$1=$P$5,INDEX(prem_analysis!$BH$1:$BS$23,ROWS(Data!$Q$3:S131),COLUMNS(Data!$Q$3:S131)),IF($Q$1=$P$6,INDEX(prem_analysis!$BU$1:$CF$67,ROWS(prem_analysis!$N$2:P130),COLUMNS(prem_analysis!$N$2:P130)),IF($Q$1=$P$4,INDEX(Table24[[#All],[Year]:[Details]],ROWS(prem_analysis!$M$420:O548),COLUMNS(Data!$Q$3:S131)))))),"")</f>
        <v/>
      </c>
      <c r="U130" s="1" t="str">
        <f>IFERROR(IF($Q$1=$P$3,INDEX(prem_analysis!$P$2:$Q$441,ROWS(Data!$P$2:T130),COLUMNS(Data!$P$3:S131)),IF($Q$1=$P$5,INDEX(prem_analysis!$BH$1:$BS$23,ROWS(Data!$Q$3:T131),COLUMNS(Data!$Q$3:T131)),IF($Q$1=$P$6,INDEX(prem_analysis!$BU$1:$CF$67,ROWS(prem_analysis!$N$2:Q130),COLUMNS(prem_analysis!$N$2:Q130)),IF($Q$1=$P$4,INDEX(Table24[[#All],[Year]:[Details]],ROWS(prem_analysis!$M$420:P548),COLUMNS(Data!$Q$3:T131)))))),"")</f>
        <v/>
      </c>
      <c r="V130" s="1" t="str">
        <f>IFERROR(IF($Q$1=$P$3,INDEX(prem_analysis!$P$2:$Q$441,ROWS(Data!$P$2:U130),COLUMNS(Data!$P$3:T131)),IF($Q$1=$P$5,INDEX(prem_analysis!$BH$1:$BS$23,ROWS(Data!$Q$3:U131),COLUMNS(Data!$Q$3:U131)),IF($Q$1=$P$6,INDEX(prem_analysis!$BU$1:$CF$67,ROWS(prem_analysis!$N$2:R130),COLUMNS(prem_analysis!$N$2:R130)),IF($Q$1=$P$4,INDEX(Table24[[#All],[Year]:[Details]],ROWS(prem_analysis!$M$420:Q548),COLUMNS(Data!$Q$3:U131)))))),"")</f>
        <v/>
      </c>
      <c r="W130" s="1" t="str">
        <f>IFERROR(IF($Q$1=$P$3,INDEX(prem_analysis!$P$2:$Q$441,ROWS(Data!$P$2:V130),COLUMNS(Data!$P$3:U131)),IF($Q$1=$P$5,INDEX(prem_analysis!$BH$1:$BS$23,ROWS(Data!$Q$3:V131),COLUMNS(Data!$Q$3:V131)),IF($Q$1=$P$6,INDEX(prem_analysis!$BU$1:$CF$67,ROWS(prem_analysis!$N$2:S130),COLUMNS(prem_analysis!$N$2:S130)),IF($Q$1=$P$4,INDEX(Table24[[#All],[Year]:[Details]],ROWS(prem_analysis!$M$420:R548),COLUMNS(Data!$Q$3:V131)))))),"")</f>
        <v/>
      </c>
      <c r="X130" s="1" t="str">
        <f>IFERROR(IF($Q$1=$P$3,INDEX(prem_analysis!$P$2:$Q$441,ROWS(Data!$P$2:W130),COLUMNS(Data!$P$3:V131)),IF($Q$1=$P$5,INDEX(prem_analysis!$BH$1:$BS$23,ROWS(Data!$Q$3:W131),COLUMNS(Data!$Q$3:W131)),IF($Q$1=$P$6,INDEX(prem_analysis!$BU$1:$CF$67,ROWS(prem_analysis!$N$2:T130),COLUMNS(prem_analysis!$N$2:T130)),IF($Q$1=$P$4,INDEX(Table24[[#All],[Year]:[Details]],ROWS(prem_analysis!$M$420:S548),COLUMNS(Data!$Q$3:W131)))))),"")</f>
        <v/>
      </c>
      <c r="Y130" s="1" t="str">
        <f>IFERROR(IF($Q$1=$P$3,INDEX(prem_analysis!$P$2:$Q$441,ROWS(Data!$P$2:X130),COLUMNS(Data!$P$3:W131)),IF($Q$1=$P$5,INDEX(prem_analysis!$BH$1:$BS$23,ROWS(Data!$Q$3:X131),COLUMNS(Data!$Q$3:X131)),IF($Q$1=$P$6,INDEX(prem_analysis!$BU$1:$CF$67,ROWS(prem_analysis!$N$2:U130),COLUMNS(prem_analysis!$N$2:U130)),IF($Q$1=$P$4,INDEX(Table24[[#All],[Year]:[Details]],ROWS(prem_analysis!$M$420:T548),COLUMNS(Data!$Q$3:X131)))))),"")</f>
        <v/>
      </c>
      <c r="Z130" s="1" t="str">
        <f>IFERROR(IF($Q$1=$P$3,INDEX(prem_analysis!$P$2:$Q$441,ROWS(Data!$P$2:Y130),COLUMNS(Data!$P$3:X131)),IF($Q$1=$P$5,INDEX(prem_analysis!$BH$1:$BS$23,ROWS(Data!$Q$3:Y131),COLUMNS(Data!$Q$3:Y131)),IF($Q$1=$P$6,INDEX(prem_analysis!$BU$1:$CF$67,ROWS(prem_analysis!$N$2:V130),COLUMNS(prem_analysis!$N$2:V130)),IF($Q$1=$P$4,INDEX(Table24[[#All],[Year]:[Details]],ROWS(prem_analysis!$M$420:U548),COLUMNS(Data!$Q$3:Y131)))))),"")</f>
        <v/>
      </c>
      <c r="AA130" s="1" t="str">
        <f>IFERROR(IF($Q$1=$P$3,INDEX(prem_analysis!$P$2:$Q$441,ROWS(Data!$P$2:Z130),COLUMNS(Data!$P$3:Y131)),IF($Q$1=$P$5,INDEX(prem_analysis!$BH$1:$BS$23,ROWS(Data!$Q$3:Z131),COLUMNS(Data!$Q$3:Z131)),IF($Q$1=$P$6,INDEX(prem_analysis!$BU$1:$CF$67,ROWS(prem_analysis!$N$2:W130),COLUMNS(prem_analysis!$N$2:W130)),IF($Q$1=$P$4,INDEX(Table24[[#All],[Year]:[Details]],ROWS(prem_analysis!$M$420:V548),COLUMNS(Data!$Q$3:Z131)))))),"")</f>
        <v/>
      </c>
      <c r="AB130" s="1" t="str">
        <f>IFERROR(IF($Q$1=$P$3,INDEX(prem_analysis!$P$2:$Q$441,ROWS(Data!$P$2:AA130),COLUMNS(Data!$P$3:Z131)),IF($Q$1=$P$5,INDEX(prem_analysis!$BH$1:$BS$23,ROWS(Data!$Q$3:AA131),COLUMNS(Data!$Q$3:AA131)),IF($Q$1=$P$6,INDEX(prem_analysis!$BU$1:$CF$67,ROWS(prem_analysis!$N$2:X130),COLUMNS(prem_analysis!$N$2:X130)),IF($Q$1=$P$4,INDEX(Table24[[#All],[Year]:[Details]],ROWS(prem_analysis!$M$420:W548),COLUMNS(Data!$Q$3:AA131)))))),"")</f>
        <v/>
      </c>
      <c r="AC130" s="1" t="str">
        <f>IFERROR(IF($Q$1=$P$3,INDEX(prem_analysis!$P$2:$Q$441,ROWS(Data!$P$2:AB130),COLUMNS(Data!$P$3:AA131)),IF($Q$1=$P$5,INDEX(prem_analysis!$BH$1:$BS$23,ROWS(Data!$Q$3:AB131),COLUMNS(Data!$Q$3:AB131)),IF($Q$1=$P$6,INDEX(prem_analysis!$BU$1:$CF$67,ROWS(prem_analysis!$N$2:Y130),COLUMNS(prem_analysis!$N$2:Y130)),IF($Q$1=$P$4,INDEX(Table24[[#All],[Year]:[Details]],ROWS(prem_analysis!$M$420:X548),COLUMNS(Data!$Q$3:AB131)))))),"")</f>
        <v/>
      </c>
    </row>
    <row r="131" spans="1:29" x14ac:dyDescent="0.2">
      <c r="A131" s="5">
        <v>2006</v>
      </c>
      <c r="B131" s="5">
        <v>10</v>
      </c>
      <c r="C131" s="6" t="s">
        <v>31</v>
      </c>
      <c r="D131" s="5">
        <v>38</v>
      </c>
      <c r="E131" s="5">
        <v>0</v>
      </c>
      <c r="F131" s="5">
        <v>0</v>
      </c>
      <c r="G131" s="5">
        <v>0</v>
      </c>
      <c r="H131" s="5">
        <v>0</v>
      </c>
      <c r="I131" s="5">
        <v>0</v>
      </c>
      <c r="J131" s="5">
        <v>0</v>
      </c>
      <c r="K131" s="5">
        <v>52</v>
      </c>
      <c r="L131" s="5">
        <f>IF(Table24[[#This Row],['#]]=1,"Champion", IF(Table24[[#This Row],['#]]&gt;=18,"Relegated",Table24[[#This Row],['#]]))</f>
        <v>10</v>
      </c>
      <c r="M131" s="5" t="str">
        <f>IF(Table24[[#This Row],[Details]]=2,K130-Table24[[#This Row],[Pts]],IF(Table24[[#This Row],[Details]]=17,Table24[[#This Row],[Pts]]-K132,""))</f>
        <v/>
      </c>
      <c r="R131" s="1" t="str">
        <f>IFERROR(IF($Q$1=$P$3,INDEX(prem_analysis!$P$2:$Q$441,ROWS(Data!$P$2:Q131),COLUMNS(Data!$P$3:P132)),IF($Q$1=$P$5,INDEX(prem_analysis!$BH$1:$BS$23,ROWS(Data!$Q$3:Q132),COLUMNS(Data!$Q$3:Q132)),IF($Q$1=$P$6,INDEX(prem_analysis!$BU$1:$CF$67,ROWS(prem_analysis!$N$2:N131),COLUMNS(prem_analysis!$N$2:N131)),IF($Q$1=$P$4,INDEX(Table24[[#All],[Year]:[Details]],ROWS(prem_analysis!$M$420:M549),COLUMNS(Data!$Q$3:Q132)))))),"")</f>
        <v/>
      </c>
      <c r="S131" s="1" t="str">
        <f>IFERROR(IF($Q$1=$P$3,INDEX(prem_analysis!$P$2:$Q$441,ROWS(Data!$P$2:R131),COLUMNS(Data!$P$3:Q132)),IF($Q$1=$P$5,INDEX(prem_analysis!$BH$1:$BS$23,ROWS(Data!$Q$3:R132),COLUMNS(Data!$Q$3:R132)),IF($Q$1=$P$6,INDEX(prem_analysis!$BU$1:$CF$67,ROWS(prem_analysis!$N$2:O131),COLUMNS(prem_analysis!$N$2:O131)),IF($Q$1=$P$4,INDEX(Table24[[#All],[Year]:[Details]],ROWS(prem_analysis!$M$420:N549),COLUMNS(Data!$Q$3:R132)))))),"")</f>
        <v/>
      </c>
      <c r="T131" s="1" t="str">
        <f>IFERROR(IF($Q$1=$P$3,INDEX(prem_analysis!$P$2:$Q$441,ROWS(Data!$P$2:S131),COLUMNS(Data!$P$3:R132)),IF($Q$1=$P$5,INDEX(prem_analysis!$BH$1:$BS$23,ROWS(Data!$Q$3:S132),COLUMNS(Data!$Q$3:S132)),IF($Q$1=$P$6,INDEX(prem_analysis!$BU$1:$CF$67,ROWS(prem_analysis!$N$2:P131),COLUMNS(prem_analysis!$N$2:P131)),IF($Q$1=$P$4,INDEX(Table24[[#All],[Year]:[Details]],ROWS(prem_analysis!$M$420:O549),COLUMNS(Data!$Q$3:S132)))))),"")</f>
        <v/>
      </c>
      <c r="U131" s="1" t="str">
        <f>IFERROR(IF($Q$1=$P$3,INDEX(prem_analysis!$P$2:$Q$441,ROWS(Data!$P$2:T131),COLUMNS(Data!$P$3:S132)),IF($Q$1=$P$5,INDEX(prem_analysis!$BH$1:$BS$23,ROWS(Data!$Q$3:T132),COLUMNS(Data!$Q$3:T132)),IF($Q$1=$P$6,INDEX(prem_analysis!$BU$1:$CF$67,ROWS(prem_analysis!$N$2:Q131),COLUMNS(prem_analysis!$N$2:Q131)),IF($Q$1=$P$4,INDEX(Table24[[#All],[Year]:[Details]],ROWS(prem_analysis!$M$420:P549),COLUMNS(Data!$Q$3:T132)))))),"")</f>
        <v/>
      </c>
      <c r="V131" s="1" t="str">
        <f>IFERROR(IF($Q$1=$P$3,INDEX(prem_analysis!$P$2:$Q$441,ROWS(Data!$P$2:U131),COLUMNS(Data!$P$3:T132)),IF($Q$1=$P$5,INDEX(prem_analysis!$BH$1:$BS$23,ROWS(Data!$Q$3:U132),COLUMNS(Data!$Q$3:U132)),IF($Q$1=$P$6,INDEX(prem_analysis!$BU$1:$CF$67,ROWS(prem_analysis!$N$2:R131),COLUMNS(prem_analysis!$N$2:R131)),IF($Q$1=$P$4,INDEX(Table24[[#All],[Year]:[Details]],ROWS(prem_analysis!$M$420:Q549),COLUMNS(Data!$Q$3:U132)))))),"")</f>
        <v/>
      </c>
      <c r="W131" s="1" t="str">
        <f>IFERROR(IF($Q$1=$P$3,INDEX(prem_analysis!$P$2:$Q$441,ROWS(Data!$P$2:V131),COLUMNS(Data!$P$3:U132)),IF($Q$1=$P$5,INDEX(prem_analysis!$BH$1:$BS$23,ROWS(Data!$Q$3:V132),COLUMNS(Data!$Q$3:V132)),IF($Q$1=$P$6,INDEX(prem_analysis!$BU$1:$CF$67,ROWS(prem_analysis!$N$2:S131),COLUMNS(prem_analysis!$N$2:S131)),IF($Q$1=$P$4,INDEX(Table24[[#All],[Year]:[Details]],ROWS(prem_analysis!$M$420:R549),COLUMNS(Data!$Q$3:V132)))))),"")</f>
        <v/>
      </c>
      <c r="X131" s="1" t="str">
        <f>IFERROR(IF($Q$1=$P$3,INDEX(prem_analysis!$P$2:$Q$441,ROWS(Data!$P$2:W131),COLUMNS(Data!$P$3:V132)),IF($Q$1=$P$5,INDEX(prem_analysis!$BH$1:$BS$23,ROWS(Data!$Q$3:W132),COLUMNS(Data!$Q$3:W132)),IF($Q$1=$P$6,INDEX(prem_analysis!$BU$1:$CF$67,ROWS(prem_analysis!$N$2:T131),COLUMNS(prem_analysis!$N$2:T131)),IF($Q$1=$P$4,INDEX(Table24[[#All],[Year]:[Details]],ROWS(prem_analysis!$M$420:S549),COLUMNS(Data!$Q$3:W132)))))),"")</f>
        <v/>
      </c>
      <c r="Y131" s="1" t="str">
        <f>IFERROR(IF($Q$1=$P$3,INDEX(prem_analysis!$P$2:$Q$441,ROWS(Data!$P$2:X131),COLUMNS(Data!$P$3:W132)),IF($Q$1=$P$5,INDEX(prem_analysis!$BH$1:$BS$23,ROWS(Data!$Q$3:X132),COLUMNS(Data!$Q$3:X132)),IF($Q$1=$P$6,INDEX(prem_analysis!$BU$1:$CF$67,ROWS(prem_analysis!$N$2:U131),COLUMNS(prem_analysis!$N$2:U131)),IF($Q$1=$P$4,INDEX(Table24[[#All],[Year]:[Details]],ROWS(prem_analysis!$M$420:T549),COLUMNS(Data!$Q$3:X132)))))),"")</f>
        <v/>
      </c>
      <c r="Z131" s="1" t="str">
        <f>IFERROR(IF($Q$1=$P$3,INDEX(prem_analysis!$P$2:$Q$441,ROWS(Data!$P$2:Y131),COLUMNS(Data!$P$3:X132)),IF($Q$1=$P$5,INDEX(prem_analysis!$BH$1:$BS$23,ROWS(Data!$Q$3:Y132),COLUMNS(Data!$Q$3:Y132)),IF($Q$1=$P$6,INDEX(prem_analysis!$BU$1:$CF$67,ROWS(prem_analysis!$N$2:V131),COLUMNS(prem_analysis!$N$2:V131)),IF($Q$1=$P$4,INDEX(Table24[[#All],[Year]:[Details]],ROWS(prem_analysis!$M$420:U549),COLUMNS(Data!$Q$3:Y132)))))),"")</f>
        <v/>
      </c>
      <c r="AA131" s="1" t="str">
        <f>IFERROR(IF($Q$1=$P$3,INDEX(prem_analysis!$P$2:$Q$441,ROWS(Data!$P$2:Z131),COLUMNS(Data!$P$3:Y132)),IF($Q$1=$P$5,INDEX(prem_analysis!$BH$1:$BS$23,ROWS(Data!$Q$3:Z132),COLUMNS(Data!$Q$3:Z132)),IF($Q$1=$P$6,INDEX(prem_analysis!$BU$1:$CF$67,ROWS(prem_analysis!$N$2:W131),COLUMNS(prem_analysis!$N$2:W131)),IF($Q$1=$P$4,INDEX(Table24[[#All],[Year]:[Details]],ROWS(prem_analysis!$M$420:V549),COLUMNS(Data!$Q$3:Z132)))))),"")</f>
        <v/>
      </c>
      <c r="AB131" s="1" t="str">
        <f>IFERROR(IF($Q$1=$P$3,INDEX(prem_analysis!$P$2:$Q$441,ROWS(Data!$P$2:AA131),COLUMNS(Data!$P$3:Z132)),IF($Q$1=$P$5,INDEX(prem_analysis!$BH$1:$BS$23,ROWS(Data!$Q$3:AA132),COLUMNS(Data!$Q$3:AA132)),IF($Q$1=$P$6,INDEX(prem_analysis!$BU$1:$CF$67,ROWS(prem_analysis!$N$2:X131),COLUMNS(prem_analysis!$N$2:X131)),IF($Q$1=$P$4,INDEX(Table24[[#All],[Year]:[Details]],ROWS(prem_analysis!$M$420:W549),COLUMNS(Data!$Q$3:AA132)))))),"")</f>
        <v/>
      </c>
      <c r="AC131" s="1" t="str">
        <f>IFERROR(IF($Q$1=$P$3,INDEX(prem_analysis!$P$2:$Q$441,ROWS(Data!$P$2:AB131),COLUMNS(Data!$P$3:AA132)),IF($Q$1=$P$5,INDEX(prem_analysis!$BH$1:$BS$23,ROWS(Data!$Q$3:AB132),COLUMNS(Data!$Q$3:AB132)),IF($Q$1=$P$6,INDEX(prem_analysis!$BU$1:$CF$67,ROWS(prem_analysis!$N$2:Y131),COLUMNS(prem_analysis!$N$2:Y131)),IF($Q$1=$P$4,INDEX(Table24[[#All],[Year]:[Details]],ROWS(prem_analysis!$M$420:X549),COLUMNS(Data!$Q$3:AB132)))))),"")</f>
        <v/>
      </c>
    </row>
    <row r="132" spans="1:29" x14ac:dyDescent="0.2">
      <c r="A132" s="3">
        <v>2006</v>
      </c>
      <c r="B132" s="3">
        <v>11</v>
      </c>
      <c r="C132" s="4" t="s">
        <v>18</v>
      </c>
      <c r="D132" s="3">
        <v>38</v>
      </c>
      <c r="E132" s="3">
        <v>0</v>
      </c>
      <c r="F132" s="3">
        <v>0</v>
      </c>
      <c r="G132" s="3">
        <v>0</v>
      </c>
      <c r="H132" s="3">
        <v>0</v>
      </c>
      <c r="I132" s="3">
        <v>0</v>
      </c>
      <c r="J132" s="3">
        <v>0</v>
      </c>
      <c r="K132" s="3">
        <v>50</v>
      </c>
      <c r="L132" s="5">
        <f>IF(Table24[[#This Row],['#]]=1,"Champion", IF(Table24[[#This Row],['#]]&gt;=18,"Relegated",Table24[[#This Row],['#]]))</f>
        <v>11</v>
      </c>
      <c r="M132" s="5" t="str">
        <f>IF(Table24[[#This Row],[Details]]=2,K131-Table24[[#This Row],[Pts]],IF(Table24[[#This Row],[Details]]=17,Table24[[#This Row],[Pts]]-K133,""))</f>
        <v/>
      </c>
      <c r="R132" s="1" t="str">
        <f>IFERROR(IF($Q$1=$P$3,INDEX(prem_analysis!$P$2:$Q$441,ROWS(Data!$P$2:Q132),COLUMNS(Data!$P$3:P133)),IF($Q$1=$P$5,INDEX(prem_analysis!$BH$1:$BS$23,ROWS(Data!$Q$3:Q133),COLUMNS(Data!$Q$3:Q133)),IF($Q$1=$P$6,INDEX(prem_analysis!$BU$1:$CF$67,ROWS(prem_analysis!$N$2:N132),COLUMNS(prem_analysis!$N$2:N132)),IF($Q$1=$P$4,INDEX(Table24[[#All],[Year]:[Details]],ROWS(prem_analysis!$M$420:M550),COLUMNS(Data!$Q$3:Q133)))))),"")</f>
        <v/>
      </c>
      <c r="S132" s="1" t="str">
        <f>IFERROR(IF($Q$1=$P$3,INDEX(prem_analysis!$P$2:$Q$441,ROWS(Data!$P$2:R132),COLUMNS(Data!$P$3:Q133)),IF($Q$1=$P$5,INDEX(prem_analysis!$BH$1:$BS$23,ROWS(Data!$Q$3:R133),COLUMNS(Data!$Q$3:R133)),IF($Q$1=$P$6,INDEX(prem_analysis!$BU$1:$CF$67,ROWS(prem_analysis!$N$2:O132),COLUMNS(prem_analysis!$N$2:O132)),IF($Q$1=$P$4,INDEX(Table24[[#All],[Year]:[Details]],ROWS(prem_analysis!$M$420:N550),COLUMNS(Data!$Q$3:R133)))))),"")</f>
        <v/>
      </c>
      <c r="T132" s="1" t="str">
        <f>IFERROR(IF($Q$1=$P$3,INDEX(prem_analysis!$P$2:$Q$441,ROWS(Data!$P$2:S132),COLUMNS(Data!$P$3:R133)),IF($Q$1=$P$5,INDEX(prem_analysis!$BH$1:$BS$23,ROWS(Data!$Q$3:S133),COLUMNS(Data!$Q$3:S133)),IF($Q$1=$P$6,INDEX(prem_analysis!$BU$1:$CF$67,ROWS(prem_analysis!$N$2:P132),COLUMNS(prem_analysis!$N$2:P132)),IF($Q$1=$P$4,INDEX(Table24[[#All],[Year]:[Details]],ROWS(prem_analysis!$M$420:O550),COLUMNS(Data!$Q$3:S133)))))),"")</f>
        <v/>
      </c>
      <c r="U132" s="1" t="str">
        <f>IFERROR(IF($Q$1=$P$3,INDEX(prem_analysis!$P$2:$Q$441,ROWS(Data!$P$2:T132),COLUMNS(Data!$P$3:S133)),IF($Q$1=$P$5,INDEX(prem_analysis!$BH$1:$BS$23,ROWS(Data!$Q$3:T133),COLUMNS(Data!$Q$3:T133)),IF($Q$1=$P$6,INDEX(prem_analysis!$BU$1:$CF$67,ROWS(prem_analysis!$N$2:Q132),COLUMNS(prem_analysis!$N$2:Q132)),IF($Q$1=$P$4,INDEX(Table24[[#All],[Year]:[Details]],ROWS(prem_analysis!$M$420:P550),COLUMNS(Data!$Q$3:T133)))))),"")</f>
        <v/>
      </c>
      <c r="V132" s="1" t="str">
        <f>IFERROR(IF($Q$1=$P$3,INDEX(prem_analysis!$P$2:$Q$441,ROWS(Data!$P$2:U132),COLUMNS(Data!$P$3:T133)),IF($Q$1=$P$5,INDEX(prem_analysis!$BH$1:$BS$23,ROWS(Data!$Q$3:U133),COLUMNS(Data!$Q$3:U133)),IF($Q$1=$P$6,INDEX(prem_analysis!$BU$1:$CF$67,ROWS(prem_analysis!$N$2:R132),COLUMNS(prem_analysis!$N$2:R132)),IF($Q$1=$P$4,INDEX(Table24[[#All],[Year]:[Details]],ROWS(prem_analysis!$M$420:Q550),COLUMNS(Data!$Q$3:U133)))))),"")</f>
        <v/>
      </c>
      <c r="W132" s="1" t="str">
        <f>IFERROR(IF($Q$1=$P$3,INDEX(prem_analysis!$P$2:$Q$441,ROWS(Data!$P$2:V132),COLUMNS(Data!$P$3:U133)),IF($Q$1=$P$5,INDEX(prem_analysis!$BH$1:$BS$23,ROWS(Data!$Q$3:V133),COLUMNS(Data!$Q$3:V133)),IF($Q$1=$P$6,INDEX(prem_analysis!$BU$1:$CF$67,ROWS(prem_analysis!$N$2:S132),COLUMNS(prem_analysis!$N$2:S132)),IF($Q$1=$P$4,INDEX(Table24[[#All],[Year]:[Details]],ROWS(prem_analysis!$M$420:R550),COLUMNS(Data!$Q$3:V133)))))),"")</f>
        <v/>
      </c>
      <c r="X132" s="1" t="str">
        <f>IFERROR(IF($Q$1=$P$3,INDEX(prem_analysis!$P$2:$Q$441,ROWS(Data!$P$2:W132),COLUMNS(Data!$P$3:V133)),IF($Q$1=$P$5,INDEX(prem_analysis!$BH$1:$BS$23,ROWS(Data!$Q$3:W133),COLUMNS(Data!$Q$3:W133)),IF($Q$1=$P$6,INDEX(prem_analysis!$BU$1:$CF$67,ROWS(prem_analysis!$N$2:T132),COLUMNS(prem_analysis!$N$2:T132)),IF($Q$1=$P$4,INDEX(Table24[[#All],[Year]:[Details]],ROWS(prem_analysis!$M$420:S550),COLUMNS(Data!$Q$3:W133)))))),"")</f>
        <v/>
      </c>
      <c r="Y132" s="1" t="str">
        <f>IFERROR(IF($Q$1=$P$3,INDEX(prem_analysis!$P$2:$Q$441,ROWS(Data!$P$2:X132),COLUMNS(Data!$P$3:W133)),IF($Q$1=$P$5,INDEX(prem_analysis!$BH$1:$BS$23,ROWS(Data!$Q$3:X133),COLUMNS(Data!$Q$3:X133)),IF($Q$1=$P$6,INDEX(prem_analysis!$BU$1:$CF$67,ROWS(prem_analysis!$N$2:U132),COLUMNS(prem_analysis!$N$2:U132)),IF($Q$1=$P$4,INDEX(Table24[[#All],[Year]:[Details]],ROWS(prem_analysis!$M$420:T550),COLUMNS(Data!$Q$3:X133)))))),"")</f>
        <v/>
      </c>
      <c r="Z132" s="1" t="str">
        <f>IFERROR(IF($Q$1=$P$3,INDEX(prem_analysis!$P$2:$Q$441,ROWS(Data!$P$2:Y132),COLUMNS(Data!$P$3:X133)),IF($Q$1=$P$5,INDEX(prem_analysis!$BH$1:$BS$23,ROWS(Data!$Q$3:Y133),COLUMNS(Data!$Q$3:Y133)),IF($Q$1=$P$6,INDEX(prem_analysis!$BU$1:$CF$67,ROWS(prem_analysis!$N$2:V132),COLUMNS(prem_analysis!$N$2:V132)),IF($Q$1=$P$4,INDEX(Table24[[#All],[Year]:[Details]],ROWS(prem_analysis!$M$420:U550),COLUMNS(Data!$Q$3:Y133)))))),"")</f>
        <v/>
      </c>
      <c r="AA132" s="1" t="str">
        <f>IFERROR(IF($Q$1=$P$3,INDEX(prem_analysis!$P$2:$Q$441,ROWS(Data!$P$2:Z132),COLUMNS(Data!$P$3:Y133)),IF($Q$1=$P$5,INDEX(prem_analysis!$BH$1:$BS$23,ROWS(Data!$Q$3:Z133),COLUMNS(Data!$Q$3:Z133)),IF($Q$1=$P$6,INDEX(prem_analysis!$BU$1:$CF$67,ROWS(prem_analysis!$N$2:W132),COLUMNS(prem_analysis!$N$2:W132)),IF($Q$1=$P$4,INDEX(Table24[[#All],[Year]:[Details]],ROWS(prem_analysis!$M$420:V550),COLUMNS(Data!$Q$3:Z133)))))),"")</f>
        <v/>
      </c>
      <c r="AB132" s="1" t="str">
        <f>IFERROR(IF($Q$1=$P$3,INDEX(prem_analysis!$P$2:$Q$441,ROWS(Data!$P$2:AA132),COLUMNS(Data!$P$3:Z133)),IF($Q$1=$P$5,INDEX(prem_analysis!$BH$1:$BS$23,ROWS(Data!$Q$3:AA133),COLUMNS(Data!$Q$3:AA133)),IF($Q$1=$P$6,INDEX(prem_analysis!$BU$1:$CF$67,ROWS(prem_analysis!$N$2:X132),COLUMNS(prem_analysis!$N$2:X132)),IF($Q$1=$P$4,INDEX(Table24[[#All],[Year]:[Details]],ROWS(prem_analysis!$M$420:W550),COLUMNS(Data!$Q$3:AA133)))))),"")</f>
        <v/>
      </c>
      <c r="AC132" s="1" t="str">
        <f>IFERROR(IF($Q$1=$P$3,INDEX(prem_analysis!$P$2:$Q$441,ROWS(Data!$P$2:AB132),COLUMNS(Data!$P$3:AA133)),IF($Q$1=$P$5,INDEX(prem_analysis!$BH$1:$BS$23,ROWS(Data!$Q$3:AB133),COLUMNS(Data!$Q$3:AB133)),IF($Q$1=$P$6,INDEX(prem_analysis!$BU$1:$CF$67,ROWS(prem_analysis!$N$2:Y132),COLUMNS(prem_analysis!$N$2:Y132)),IF($Q$1=$P$4,INDEX(Table24[[#All],[Year]:[Details]],ROWS(prem_analysis!$M$420:X550),COLUMNS(Data!$Q$3:AB133)))))),"")</f>
        <v/>
      </c>
    </row>
    <row r="133" spans="1:29" x14ac:dyDescent="0.2">
      <c r="A133" s="5">
        <v>2006</v>
      </c>
      <c r="B133" s="5">
        <v>12</v>
      </c>
      <c r="C133" s="6" t="s">
        <v>24</v>
      </c>
      <c r="D133" s="5">
        <v>38</v>
      </c>
      <c r="E133" s="5">
        <v>0</v>
      </c>
      <c r="F133" s="5">
        <v>0</v>
      </c>
      <c r="G133" s="5">
        <v>0</v>
      </c>
      <c r="H133" s="5">
        <v>0</v>
      </c>
      <c r="I133" s="5">
        <v>0</v>
      </c>
      <c r="J133" s="5">
        <v>0</v>
      </c>
      <c r="K133" s="5">
        <v>46</v>
      </c>
      <c r="L133" s="5">
        <f>IF(Table24[[#This Row],['#]]=1,"Champion", IF(Table24[[#This Row],['#]]&gt;=18,"Relegated",Table24[[#This Row],['#]]))</f>
        <v>12</v>
      </c>
      <c r="M133" s="5" t="str">
        <f>IF(Table24[[#This Row],[Details]]=2,K132-Table24[[#This Row],[Pts]],IF(Table24[[#This Row],[Details]]=17,Table24[[#This Row],[Pts]]-K134,""))</f>
        <v/>
      </c>
      <c r="R133" s="1" t="str">
        <f>IFERROR(IF($Q$1=$P$3,INDEX(prem_analysis!$P$2:$Q$441,ROWS(Data!$P$2:Q133),COLUMNS(Data!$P$3:P134)),IF($Q$1=$P$5,INDEX(prem_analysis!$BH$1:$BS$23,ROWS(Data!$Q$3:Q134),COLUMNS(Data!$Q$3:Q134)),IF($Q$1=$P$6,INDEX(prem_analysis!$BU$1:$CF$67,ROWS(prem_analysis!$N$2:N133),COLUMNS(prem_analysis!$N$2:N133)),IF($Q$1=$P$4,INDEX(Table24[[#All],[Year]:[Details]],ROWS(prem_analysis!$M$420:M551),COLUMNS(Data!$Q$3:Q134)))))),"")</f>
        <v/>
      </c>
      <c r="S133" s="1" t="str">
        <f>IFERROR(IF($Q$1=$P$3,INDEX(prem_analysis!$P$2:$Q$441,ROWS(Data!$P$2:R133),COLUMNS(Data!$P$3:Q134)),IF($Q$1=$P$5,INDEX(prem_analysis!$BH$1:$BS$23,ROWS(Data!$Q$3:R134),COLUMNS(Data!$Q$3:R134)),IF($Q$1=$P$6,INDEX(prem_analysis!$BU$1:$CF$67,ROWS(prem_analysis!$N$2:O133),COLUMNS(prem_analysis!$N$2:O133)),IF($Q$1=$P$4,INDEX(Table24[[#All],[Year]:[Details]],ROWS(prem_analysis!$M$420:N551),COLUMNS(Data!$Q$3:R134)))))),"")</f>
        <v/>
      </c>
      <c r="T133" s="1" t="str">
        <f>IFERROR(IF($Q$1=$P$3,INDEX(prem_analysis!$P$2:$Q$441,ROWS(Data!$P$2:S133),COLUMNS(Data!$P$3:R134)),IF($Q$1=$P$5,INDEX(prem_analysis!$BH$1:$BS$23,ROWS(Data!$Q$3:S134),COLUMNS(Data!$Q$3:S134)),IF($Q$1=$P$6,INDEX(prem_analysis!$BU$1:$CF$67,ROWS(prem_analysis!$N$2:P133),COLUMNS(prem_analysis!$N$2:P133)),IF($Q$1=$P$4,INDEX(Table24[[#All],[Year]:[Details]],ROWS(prem_analysis!$M$420:O551),COLUMNS(Data!$Q$3:S134)))))),"")</f>
        <v/>
      </c>
      <c r="U133" s="1" t="str">
        <f>IFERROR(IF($Q$1=$P$3,INDEX(prem_analysis!$P$2:$Q$441,ROWS(Data!$P$2:T133),COLUMNS(Data!$P$3:S134)),IF($Q$1=$P$5,INDEX(prem_analysis!$BH$1:$BS$23,ROWS(Data!$Q$3:T134),COLUMNS(Data!$Q$3:T134)),IF($Q$1=$P$6,INDEX(prem_analysis!$BU$1:$CF$67,ROWS(prem_analysis!$N$2:Q133),COLUMNS(prem_analysis!$N$2:Q133)),IF($Q$1=$P$4,INDEX(Table24[[#All],[Year]:[Details]],ROWS(prem_analysis!$M$420:P551),COLUMNS(Data!$Q$3:T134)))))),"")</f>
        <v/>
      </c>
      <c r="V133" s="1" t="str">
        <f>IFERROR(IF($Q$1=$P$3,INDEX(prem_analysis!$P$2:$Q$441,ROWS(Data!$P$2:U133),COLUMNS(Data!$P$3:T134)),IF($Q$1=$P$5,INDEX(prem_analysis!$BH$1:$BS$23,ROWS(Data!$Q$3:U134),COLUMNS(Data!$Q$3:U134)),IF($Q$1=$P$6,INDEX(prem_analysis!$BU$1:$CF$67,ROWS(prem_analysis!$N$2:R133),COLUMNS(prem_analysis!$N$2:R133)),IF($Q$1=$P$4,INDEX(Table24[[#All],[Year]:[Details]],ROWS(prem_analysis!$M$420:Q551),COLUMNS(Data!$Q$3:U134)))))),"")</f>
        <v/>
      </c>
      <c r="W133" s="1" t="str">
        <f>IFERROR(IF($Q$1=$P$3,INDEX(prem_analysis!$P$2:$Q$441,ROWS(Data!$P$2:V133),COLUMNS(Data!$P$3:U134)),IF($Q$1=$P$5,INDEX(prem_analysis!$BH$1:$BS$23,ROWS(Data!$Q$3:V134),COLUMNS(Data!$Q$3:V134)),IF($Q$1=$P$6,INDEX(prem_analysis!$BU$1:$CF$67,ROWS(prem_analysis!$N$2:S133),COLUMNS(prem_analysis!$N$2:S133)),IF($Q$1=$P$4,INDEX(Table24[[#All],[Year]:[Details]],ROWS(prem_analysis!$M$420:R551),COLUMNS(Data!$Q$3:V134)))))),"")</f>
        <v/>
      </c>
      <c r="X133" s="1" t="str">
        <f>IFERROR(IF($Q$1=$P$3,INDEX(prem_analysis!$P$2:$Q$441,ROWS(Data!$P$2:W133),COLUMNS(Data!$P$3:V134)),IF($Q$1=$P$5,INDEX(prem_analysis!$BH$1:$BS$23,ROWS(Data!$Q$3:W134),COLUMNS(Data!$Q$3:W134)),IF($Q$1=$P$6,INDEX(prem_analysis!$BU$1:$CF$67,ROWS(prem_analysis!$N$2:T133),COLUMNS(prem_analysis!$N$2:T133)),IF($Q$1=$P$4,INDEX(Table24[[#All],[Year]:[Details]],ROWS(prem_analysis!$M$420:S551),COLUMNS(Data!$Q$3:W134)))))),"")</f>
        <v/>
      </c>
      <c r="Y133" s="1" t="str">
        <f>IFERROR(IF($Q$1=$P$3,INDEX(prem_analysis!$P$2:$Q$441,ROWS(Data!$P$2:X133),COLUMNS(Data!$P$3:W134)),IF($Q$1=$P$5,INDEX(prem_analysis!$BH$1:$BS$23,ROWS(Data!$Q$3:X134),COLUMNS(Data!$Q$3:X134)),IF($Q$1=$P$6,INDEX(prem_analysis!$BU$1:$CF$67,ROWS(prem_analysis!$N$2:U133),COLUMNS(prem_analysis!$N$2:U133)),IF($Q$1=$P$4,INDEX(Table24[[#All],[Year]:[Details]],ROWS(prem_analysis!$M$420:T551),COLUMNS(Data!$Q$3:X134)))))),"")</f>
        <v/>
      </c>
      <c r="Z133" s="1" t="str">
        <f>IFERROR(IF($Q$1=$P$3,INDEX(prem_analysis!$P$2:$Q$441,ROWS(Data!$P$2:Y133),COLUMNS(Data!$P$3:X134)),IF($Q$1=$P$5,INDEX(prem_analysis!$BH$1:$BS$23,ROWS(Data!$Q$3:Y134),COLUMNS(Data!$Q$3:Y134)),IF($Q$1=$P$6,INDEX(prem_analysis!$BU$1:$CF$67,ROWS(prem_analysis!$N$2:V133),COLUMNS(prem_analysis!$N$2:V133)),IF($Q$1=$P$4,INDEX(Table24[[#All],[Year]:[Details]],ROWS(prem_analysis!$M$420:U551),COLUMNS(Data!$Q$3:Y134)))))),"")</f>
        <v/>
      </c>
      <c r="AA133" s="1" t="str">
        <f>IFERROR(IF($Q$1=$P$3,INDEX(prem_analysis!$P$2:$Q$441,ROWS(Data!$P$2:Z133),COLUMNS(Data!$P$3:Y134)),IF($Q$1=$P$5,INDEX(prem_analysis!$BH$1:$BS$23,ROWS(Data!$Q$3:Z134),COLUMNS(Data!$Q$3:Z134)),IF($Q$1=$P$6,INDEX(prem_analysis!$BU$1:$CF$67,ROWS(prem_analysis!$N$2:W133),COLUMNS(prem_analysis!$N$2:W133)),IF($Q$1=$P$4,INDEX(Table24[[#All],[Year]:[Details]],ROWS(prem_analysis!$M$420:V551),COLUMNS(Data!$Q$3:Z134)))))),"")</f>
        <v/>
      </c>
      <c r="AB133" s="1" t="str">
        <f>IFERROR(IF($Q$1=$P$3,INDEX(prem_analysis!$P$2:$Q$441,ROWS(Data!$P$2:AA133),COLUMNS(Data!$P$3:Z134)),IF($Q$1=$P$5,INDEX(prem_analysis!$BH$1:$BS$23,ROWS(Data!$Q$3:AA134),COLUMNS(Data!$Q$3:AA134)),IF($Q$1=$P$6,INDEX(prem_analysis!$BU$1:$CF$67,ROWS(prem_analysis!$N$2:X133),COLUMNS(prem_analysis!$N$2:X133)),IF($Q$1=$P$4,INDEX(Table24[[#All],[Year]:[Details]],ROWS(prem_analysis!$M$420:W551),COLUMNS(Data!$Q$3:AA134)))))),"")</f>
        <v/>
      </c>
      <c r="AC133" s="1" t="str">
        <f>IFERROR(IF($Q$1=$P$3,INDEX(prem_analysis!$P$2:$Q$441,ROWS(Data!$P$2:AB133),COLUMNS(Data!$P$3:AA134)),IF($Q$1=$P$5,INDEX(prem_analysis!$BH$1:$BS$23,ROWS(Data!$Q$3:AB134),COLUMNS(Data!$Q$3:AB134)),IF($Q$1=$P$6,INDEX(prem_analysis!$BU$1:$CF$67,ROWS(prem_analysis!$N$2:Y133),COLUMNS(prem_analysis!$N$2:Y133)),IF($Q$1=$P$4,INDEX(Table24[[#All],[Year]:[Details]],ROWS(prem_analysis!$M$420:X551),COLUMNS(Data!$Q$3:AB134)))))),"")</f>
        <v/>
      </c>
    </row>
    <row r="134" spans="1:29" x14ac:dyDescent="0.2">
      <c r="A134" s="3">
        <v>2006</v>
      </c>
      <c r="B134" s="3">
        <v>13</v>
      </c>
      <c r="C134" s="4" t="s">
        <v>21</v>
      </c>
      <c r="D134" s="3">
        <v>38</v>
      </c>
      <c r="E134" s="3">
        <v>0</v>
      </c>
      <c r="F134" s="3">
        <v>0</v>
      </c>
      <c r="G134" s="3">
        <v>0</v>
      </c>
      <c r="H134" s="3">
        <v>0</v>
      </c>
      <c r="I134" s="3">
        <v>0</v>
      </c>
      <c r="J134" s="3">
        <v>0</v>
      </c>
      <c r="K134" s="3">
        <v>43</v>
      </c>
      <c r="L134" s="5">
        <f>IF(Table24[[#This Row],['#]]=1,"Champion", IF(Table24[[#This Row],['#]]&gt;=18,"Relegated",Table24[[#This Row],['#]]))</f>
        <v>13</v>
      </c>
      <c r="M134" s="5" t="str">
        <f>IF(Table24[[#This Row],[Details]]=2,K133-Table24[[#This Row],[Pts]],IF(Table24[[#This Row],[Details]]=17,Table24[[#This Row],[Pts]]-K135,""))</f>
        <v/>
      </c>
      <c r="R134" s="1" t="str">
        <f>IFERROR(IF($Q$1=$P$3,INDEX(prem_analysis!$P$2:$Q$441,ROWS(Data!$P$2:Q134),COLUMNS(Data!$P$3:P135)),IF($Q$1=$P$5,INDEX(prem_analysis!$BH$1:$BS$23,ROWS(Data!$Q$3:Q135),COLUMNS(Data!$Q$3:Q135)),IF($Q$1=$P$6,INDEX(prem_analysis!$BU$1:$CF$67,ROWS(prem_analysis!$N$2:N134),COLUMNS(prem_analysis!$N$2:N134)),IF($Q$1=$P$4,INDEX(Table24[[#All],[Year]:[Details]],ROWS(prem_analysis!$M$420:M552),COLUMNS(Data!$Q$3:Q135)))))),"")</f>
        <v/>
      </c>
      <c r="S134" s="1" t="str">
        <f>IFERROR(IF($Q$1=$P$3,INDEX(prem_analysis!$P$2:$Q$441,ROWS(Data!$P$2:R134),COLUMNS(Data!$P$3:Q135)),IF($Q$1=$P$5,INDEX(prem_analysis!$BH$1:$BS$23,ROWS(Data!$Q$3:R135),COLUMNS(Data!$Q$3:R135)),IF($Q$1=$P$6,INDEX(prem_analysis!$BU$1:$CF$67,ROWS(prem_analysis!$N$2:O134),COLUMNS(prem_analysis!$N$2:O134)),IF($Q$1=$P$4,INDEX(Table24[[#All],[Year]:[Details]],ROWS(prem_analysis!$M$420:N552),COLUMNS(Data!$Q$3:R135)))))),"")</f>
        <v/>
      </c>
      <c r="T134" s="1" t="str">
        <f>IFERROR(IF($Q$1=$P$3,INDEX(prem_analysis!$P$2:$Q$441,ROWS(Data!$P$2:S134),COLUMNS(Data!$P$3:R135)),IF($Q$1=$P$5,INDEX(prem_analysis!$BH$1:$BS$23,ROWS(Data!$Q$3:S135),COLUMNS(Data!$Q$3:S135)),IF($Q$1=$P$6,INDEX(prem_analysis!$BU$1:$CF$67,ROWS(prem_analysis!$N$2:P134),COLUMNS(prem_analysis!$N$2:P134)),IF($Q$1=$P$4,INDEX(Table24[[#All],[Year]:[Details]],ROWS(prem_analysis!$M$420:O552),COLUMNS(Data!$Q$3:S135)))))),"")</f>
        <v/>
      </c>
      <c r="U134" s="1" t="str">
        <f>IFERROR(IF($Q$1=$P$3,INDEX(prem_analysis!$P$2:$Q$441,ROWS(Data!$P$2:T134),COLUMNS(Data!$P$3:S135)),IF($Q$1=$P$5,INDEX(prem_analysis!$BH$1:$BS$23,ROWS(Data!$Q$3:T135),COLUMNS(Data!$Q$3:T135)),IF($Q$1=$P$6,INDEX(prem_analysis!$BU$1:$CF$67,ROWS(prem_analysis!$N$2:Q134),COLUMNS(prem_analysis!$N$2:Q134)),IF($Q$1=$P$4,INDEX(Table24[[#All],[Year]:[Details]],ROWS(prem_analysis!$M$420:P552),COLUMNS(Data!$Q$3:T135)))))),"")</f>
        <v/>
      </c>
      <c r="V134" s="1" t="str">
        <f>IFERROR(IF($Q$1=$P$3,INDEX(prem_analysis!$P$2:$Q$441,ROWS(Data!$P$2:U134),COLUMNS(Data!$P$3:T135)),IF($Q$1=$P$5,INDEX(prem_analysis!$BH$1:$BS$23,ROWS(Data!$Q$3:U135),COLUMNS(Data!$Q$3:U135)),IF($Q$1=$P$6,INDEX(prem_analysis!$BU$1:$CF$67,ROWS(prem_analysis!$N$2:R134),COLUMNS(prem_analysis!$N$2:R134)),IF($Q$1=$P$4,INDEX(Table24[[#All],[Year]:[Details]],ROWS(prem_analysis!$M$420:Q552),COLUMNS(Data!$Q$3:U135)))))),"")</f>
        <v/>
      </c>
      <c r="W134" s="1" t="str">
        <f>IFERROR(IF($Q$1=$P$3,INDEX(prem_analysis!$P$2:$Q$441,ROWS(Data!$P$2:V134),COLUMNS(Data!$P$3:U135)),IF($Q$1=$P$5,INDEX(prem_analysis!$BH$1:$BS$23,ROWS(Data!$Q$3:V135),COLUMNS(Data!$Q$3:V135)),IF($Q$1=$P$6,INDEX(prem_analysis!$BU$1:$CF$67,ROWS(prem_analysis!$N$2:S134),COLUMNS(prem_analysis!$N$2:S134)),IF($Q$1=$P$4,INDEX(Table24[[#All],[Year]:[Details]],ROWS(prem_analysis!$M$420:R552),COLUMNS(Data!$Q$3:V135)))))),"")</f>
        <v/>
      </c>
      <c r="X134" s="1" t="str">
        <f>IFERROR(IF($Q$1=$P$3,INDEX(prem_analysis!$P$2:$Q$441,ROWS(Data!$P$2:W134),COLUMNS(Data!$P$3:V135)),IF($Q$1=$P$5,INDEX(prem_analysis!$BH$1:$BS$23,ROWS(Data!$Q$3:W135),COLUMNS(Data!$Q$3:W135)),IF($Q$1=$P$6,INDEX(prem_analysis!$BU$1:$CF$67,ROWS(prem_analysis!$N$2:T134),COLUMNS(prem_analysis!$N$2:T134)),IF($Q$1=$P$4,INDEX(Table24[[#All],[Year]:[Details]],ROWS(prem_analysis!$M$420:S552),COLUMNS(Data!$Q$3:W135)))))),"")</f>
        <v/>
      </c>
      <c r="Y134" s="1" t="str">
        <f>IFERROR(IF($Q$1=$P$3,INDEX(prem_analysis!$P$2:$Q$441,ROWS(Data!$P$2:X134),COLUMNS(Data!$P$3:W135)),IF($Q$1=$P$5,INDEX(prem_analysis!$BH$1:$BS$23,ROWS(Data!$Q$3:X135),COLUMNS(Data!$Q$3:X135)),IF($Q$1=$P$6,INDEX(prem_analysis!$BU$1:$CF$67,ROWS(prem_analysis!$N$2:U134),COLUMNS(prem_analysis!$N$2:U134)),IF($Q$1=$P$4,INDEX(Table24[[#All],[Year]:[Details]],ROWS(prem_analysis!$M$420:T552),COLUMNS(Data!$Q$3:X135)))))),"")</f>
        <v/>
      </c>
      <c r="Z134" s="1" t="str">
        <f>IFERROR(IF($Q$1=$P$3,INDEX(prem_analysis!$P$2:$Q$441,ROWS(Data!$P$2:Y134),COLUMNS(Data!$P$3:X135)),IF($Q$1=$P$5,INDEX(prem_analysis!$BH$1:$BS$23,ROWS(Data!$Q$3:Y135),COLUMNS(Data!$Q$3:Y135)),IF($Q$1=$P$6,INDEX(prem_analysis!$BU$1:$CF$67,ROWS(prem_analysis!$N$2:V134),COLUMNS(prem_analysis!$N$2:V134)),IF($Q$1=$P$4,INDEX(Table24[[#All],[Year]:[Details]],ROWS(prem_analysis!$M$420:U552),COLUMNS(Data!$Q$3:Y135)))))),"")</f>
        <v/>
      </c>
      <c r="AA134" s="1" t="str">
        <f>IFERROR(IF($Q$1=$P$3,INDEX(prem_analysis!$P$2:$Q$441,ROWS(Data!$P$2:Z134),COLUMNS(Data!$P$3:Y135)),IF($Q$1=$P$5,INDEX(prem_analysis!$BH$1:$BS$23,ROWS(Data!$Q$3:Z135),COLUMNS(Data!$Q$3:Z135)),IF($Q$1=$P$6,INDEX(prem_analysis!$BU$1:$CF$67,ROWS(prem_analysis!$N$2:W134),COLUMNS(prem_analysis!$N$2:W134)),IF($Q$1=$P$4,INDEX(Table24[[#All],[Year]:[Details]],ROWS(prem_analysis!$M$420:V552),COLUMNS(Data!$Q$3:Z135)))))),"")</f>
        <v/>
      </c>
      <c r="AB134" s="1" t="str">
        <f>IFERROR(IF($Q$1=$P$3,INDEX(prem_analysis!$P$2:$Q$441,ROWS(Data!$P$2:AA134),COLUMNS(Data!$P$3:Z135)),IF($Q$1=$P$5,INDEX(prem_analysis!$BH$1:$BS$23,ROWS(Data!$Q$3:AA135),COLUMNS(Data!$Q$3:AA135)),IF($Q$1=$P$6,INDEX(prem_analysis!$BU$1:$CF$67,ROWS(prem_analysis!$N$2:X134),COLUMNS(prem_analysis!$N$2:X134)),IF($Q$1=$P$4,INDEX(Table24[[#All],[Year]:[Details]],ROWS(prem_analysis!$M$420:W552),COLUMNS(Data!$Q$3:AA135)))))),"")</f>
        <v/>
      </c>
      <c r="AC134" s="1" t="str">
        <f>IFERROR(IF($Q$1=$P$3,INDEX(prem_analysis!$P$2:$Q$441,ROWS(Data!$P$2:AB134),COLUMNS(Data!$P$3:AA135)),IF($Q$1=$P$5,INDEX(prem_analysis!$BH$1:$BS$23,ROWS(Data!$Q$3:AB135),COLUMNS(Data!$Q$3:AB135)),IF($Q$1=$P$6,INDEX(prem_analysis!$BU$1:$CF$67,ROWS(prem_analysis!$N$2:Y134),COLUMNS(prem_analysis!$N$2:Y134)),IF($Q$1=$P$4,INDEX(Table24[[#All],[Year]:[Details]],ROWS(prem_analysis!$M$420:X552),COLUMNS(Data!$Q$3:AB135)))))),"")</f>
        <v/>
      </c>
    </row>
    <row r="135" spans="1:29" x14ac:dyDescent="0.2">
      <c r="A135" s="5">
        <v>2006</v>
      </c>
      <c r="B135" s="5">
        <v>14</v>
      </c>
      <c r="C135" s="6" t="s">
        <v>28</v>
      </c>
      <c r="D135" s="5">
        <v>38</v>
      </c>
      <c r="E135" s="5">
        <v>0</v>
      </c>
      <c r="F135" s="5">
        <v>0</v>
      </c>
      <c r="G135" s="5">
        <v>0</v>
      </c>
      <c r="H135" s="5">
        <v>0</v>
      </c>
      <c r="I135" s="5">
        <v>0</v>
      </c>
      <c r="J135" s="5">
        <v>0</v>
      </c>
      <c r="K135" s="5">
        <v>42</v>
      </c>
      <c r="L135" s="5">
        <f>IF(Table24[[#This Row],['#]]=1,"Champion", IF(Table24[[#This Row],['#]]&gt;=18,"Relegated",Table24[[#This Row],['#]]))</f>
        <v>14</v>
      </c>
      <c r="M135" s="5" t="str">
        <f>IF(Table24[[#This Row],[Details]]=2,K134-Table24[[#This Row],[Pts]],IF(Table24[[#This Row],[Details]]=17,Table24[[#This Row],[Pts]]-K136,""))</f>
        <v/>
      </c>
      <c r="R135" s="1" t="str">
        <f>IFERROR(IF($Q$1=$P$3,INDEX(prem_analysis!$P$2:$Q$441,ROWS(Data!$P$2:Q135),COLUMNS(Data!$P$3:P136)),IF($Q$1=$P$5,INDEX(prem_analysis!$BH$1:$BS$23,ROWS(Data!$Q$3:Q136),COLUMNS(Data!$Q$3:Q136)),IF($Q$1=$P$6,INDEX(prem_analysis!$BU$1:$CF$67,ROWS(prem_analysis!$N$2:N135),COLUMNS(prem_analysis!$N$2:N135)),IF($Q$1=$P$4,INDEX(Table24[[#All],[Year]:[Details]],ROWS(prem_analysis!$M$420:M553),COLUMNS(Data!$Q$3:Q136)))))),"")</f>
        <v/>
      </c>
      <c r="S135" s="1" t="str">
        <f>IFERROR(IF($Q$1=$P$3,INDEX(prem_analysis!$P$2:$Q$441,ROWS(Data!$P$2:R135),COLUMNS(Data!$P$3:Q136)),IF($Q$1=$P$5,INDEX(prem_analysis!$BH$1:$BS$23,ROWS(Data!$Q$3:R136),COLUMNS(Data!$Q$3:R136)),IF($Q$1=$P$6,INDEX(prem_analysis!$BU$1:$CF$67,ROWS(prem_analysis!$N$2:O135),COLUMNS(prem_analysis!$N$2:O135)),IF($Q$1=$P$4,INDEX(Table24[[#All],[Year]:[Details]],ROWS(prem_analysis!$M$420:N553),COLUMNS(Data!$Q$3:R136)))))),"")</f>
        <v/>
      </c>
      <c r="T135" s="1" t="str">
        <f>IFERROR(IF($Q$1=$P$3,INDEX(prem_analysis!$P$2:$Q$441,ROWS(Data!$P$2:S135),COLUMNS(Data!$P$3:R136)),IF($Q$1=$P$5,INDEX(prem_analysis!$BH$1:$BS$23,ROWS(Data!$Q$3:S136),COLUMNS(Data!$Q$3:S136)),IF($Q$1=$P$6,INDEX(prem_analysis!$BU$1:$CF$67,ROWS(prem_analysis!$N$2:P135),COLUMNS(prem_analysis!$N$2:P135)),IF($Q$1=$P$4,INDEX(Table24[[#All],[Year]:[Details]],ROWS(prem_analysis!$M$420:O553),COLUMNS(Data!$Q$3:S136)))))),"")</f>
        <v/>
      </c>
      <c r="U135" s="1" t="str">
        <f>IFERROR(IF($Q$1=$P$3,INDEX(prem_analysis!$P$2:$Q$441,ROWS(Data!$P$2:T135),COLUMNS(Data!$P$3:S136)),IF($Q$1=$P$5,INDEX(prem_analysis!$BH$1:$BS$23,ROWS(Data!$Q$3:T136),COLUMNS(Data!$Q$3:T136)),IF($Q$1=$P$6,INDEX(prem_analysis!$BU$1:$CF$67,ROWS(prem_analysis!$N$2:Q135),COLUMNS(prem_analysis!$N$2:Q135)),IF($Q$1=$P$4,INDEX(Table24[[#All],[Year]:[Details]],ROWS(prem_analysis!$M$420:P553),COLUMNS(Data!$Q$3:T136)))))),"")</f>
        <v/>
      </c>
      <c r="V135" s="1" t="str">
        <f>IFERROR(IF($Q$1=$P$3,INDEX(prem_analysis!$P$2:$Q$441,ROWS(Data!$P$2:U135),COLUMNS(Data!$P$3:T136)),IF($Q$1=$P$5,INDEX(prem_analysis!$BH$1:$BS$23,ROWS(Data!$Q$3:U136),COLUMNS(Data!$Q$3:U136)),IF($Q$1=$P$6,INDEX(prem_analysis!$BU$1:$CF$67,ROWS(prem_analysis!$N$2:R135),COLUMNS(prem_analysis!$N$2:R135)),IF($Q$1=$P$4,INDEX(Table24[[#All],[Year]:[Details]],ROWS(prem_analysis!$M$420:Q553),COLUMNS(Data!$Q$3:U136)))))),"")</f>
        <v/>
      </c>
      <c r="W135" s="1" t="str">
        <f>IFERROR(IF($Q$1=$P$3,INDEX(prem_analysis!$P$2:$Q$441,ROWS(Data!$P$2:V135),COLUMNS(Data!$P$3:U136)),IF($Q$1=$P$5,INDEX(prem_analysis!$BH$1:$BS$23,ROWS(Data!$Q$3:V136),COLUMNS(Data!$Q$3:V136)),IF($Q$1=$P$6,INDEX(prem_analysis!$BU$1:$CF$67,ROWS(prem_analysis!$N$2:S135),COLUMNS(prem_analysis!$N$2:S135)),IF($Q$1=$P$4,INDEX(Table24[[#All],[Year]:[Details]],ROWS(prem_analysis!$M$420:R553),COLUMNS(Data!$Q$3:V136)))))),"")</f>
        <v/>
      </c>
      <c r="X135" s="1" t="str">
        <f>IFERROR(IF($Q$1=$P$3,INDEX(prem_analysis!$P$2:$Q$441,ROWS(Data!$P$2:W135),COLUMNS(Data!$P$3:V136)),IF($Q$1=$P$5,INDEX(prem_analysis!$BH$1:$BS$23,ROWS(Data!$Q$3:W136),COLUMNS(Data!$Q$3:W136)),IF($Q$1=$P$6,INDEX(prem_analysis!$BU$1:$CF$67,ROWS(prem_analysis!$N$2:T135),COLUMNS(prem_analysis!$N$2:T135)),IF($Q$1=$P$4,INDEX(Table24[[#All],[Year]:[Details]],ROWS(prem_analysis!$M$420:S553),COLUMNS(Data!$Q$3:W136)))))),"")</f>
        <v/>
      </c>
      <c r="Y135" s="1" t="str">
        <f>IFERROR(IF($Q$1=$P$3,INDEX(prem_analysis!$P$2:$Q$441,ROWS(Data!$P$2:X135),COLUMNS(Data!$P$3:W136)),IF($Q$1=$P$5,INDEX(prem_analysis!$BH$1:$BS$23,ROWS(Data!$Q$3:X136),COLUMNS(Data!$Q$3:X136)),IF($Q$1=$P$6,INDEX(prem_analysis!$BU$1:$CF$67,ROWS(prem_analysis!$N$2:U135),COLUMNS(prem_analysis!$N$2:U135)),IF($Q$1=$P$4,INDEX(Table24[[#All],[Year]:[Details]],ROWS(prem_analysis!$M$420:T553),COLUMNS(Data!$Q$3:X136)))))),"")</f>
        <v/>
      </c>
      <c r="Z135" s="1" t="str">
        <f>IFERROR(IF($Q$1=$P$3,INDEX(prem_analysis!$P$2:$Q$441,ROWS(Data!$P$2:Y135),COLUMNS(Data!$P$3:X136)),IF($Q$1=$P$5,INDEX(prem_analysis!$BH$1:$BS$23,ROWS(Data!$Q$3:Y136),COLUMNS(Data!$Q$3:Y136)),IF($Q$1=$P$6,INDEX(prem_analysis!$BU$1:$CF$67,ROWS(prem_analysis!$N$2:V135),COLUMNS(prem_analysis!$N$2:V135)),IF($Q$1=$P$4,INDEX(Table24[[#All],[Year]:[Details]],ROWS(prem_analysis!$M$420:U553),COLUMNS(Data!$Q$3:Y136)))))),"")</f>
        <v/>
      </c>
      <c r="AA135" s="1" t="str">
        <f>IFERROR(IF($Q$1=$P$3,INDEX(prem_analysis!$P$2:$Q$441,ROWS(Data!$P$2:Z135),COLUMNS(Data!$P$3:Y136)),IF($Q$1=$P$5,INDEX(prem_analysis!$BH$1:$BS$23,ROWS(Data!$Q$3:Z136),COLUMNS(Data!$Q$3:Z136)),IF($Q$1=$P$6,INDEX(prem_analysis!$BU$1:$CF$67,ROWS(prem_analysis!$N$2:W135),COLUMNS(prem_analysis!$N$2:W135)),IF($Q$1=$P$4,INDEX(Table24[[#All],[Year]:[Details]],ROWS(prem_analysis!$M$420:V553),COLUMNS(Data!$Q$3:Z136)))))),"")</f>
        <v/>
      </c>
      <c r="AB135" s="1" t="str">
        <f>IFERROR(IF($Q$1=$P$3,INDEX(prem_analysis!$P$2:$Q$441,ROWS(Data!$P$2:AA135),COLUMNS(Data!$P$3:Z136)),IF($Q$1=$P$5,INDEX(prem_analysis!$BH$1:$BS$23,ROWS(Data!$Q$3:AA136),COLUMNS(Data!$Q$3:AA136)),IF($Q$1=$P$6,INDEX(prem_analysis!$BU$1:$CF$67,ROWS(prem_analysis!$N$2:X135),COLUMNS(prem_analysis!$N$2:X135)),IF($Q$1=$P$4,INDEX(Table24[[#All],[Year]:[Details]],ROWS(prem_analysis!$M$420:W553),COLUMNS(Data!$Q$3:AA136)))))),"")</f>
        <v/>
      </c>
      <c r="AC135" s="1" t="str">
        <f>IFERROR(IF($Q$1=$P$3,INDEX(prem_analysis!$P$2:$Q$441,ROWS(Data!$P$2:AB135),COLUMNS(Data!$P$3:AA136)),IF($Q$1=$P$5,INDEX(prem_analysis!$BH$1:$BS$23,ROWS(Data!$Q$3:AB136),COLUMNS(Data!$Q$3:AB136)),IF($Q$1=$P$6,INDEX(prem_analysis!$BU$1:$CF$67,ROWS(prem_analysis!$N$2:Y135),COLUMNS(prem_analysis!$N$2:Y135)),IF($Q$1=$P$4,INDEX(Table24[[#All],[Year]:[Details]],ROWS(prem_analysis!$M$420:X553),COLUMNS(Data!$Q$3:AB136)))))),"")</f>
        <v/>
      </c>
    </row>
    <row r="136" spans="1:29" x14ac:dyDescent="0.2">
      <c r="A136" s="3">
        <v>2006</v>
      </c>
      <c r="B136" s="3">
        <v>15</v>
      </c>
      <c r="C136" s="4" t="s">
        <v>25</v>
      </c>
      <c r="D136" s="3">
        <v>38</v>
      </c>
      <c r="E136" s="3">
        <v>0</v>
      </c>
      <c r="F136" s="3">
        <v>0</v>
      </c>
      <c r="G136" s="3">
        <v>0</v>
      </c>
      <c r="H136" s="3">
        <v>0</v>
      </c>
      <c r="I136" s="3">
        <v>0</v>
      </c>
      <c r="J136" s="3">
        <v>0</v>
      </c>
      <c r="K136" s="3">
        <v>41</v>
      </c>
      <c r="L136" s="5">
        <f>IF(Table24[[#This Row],['#]]=1,"Champion", IF(Table24[[#This Row],['#]]&gt;=18,"Relegated",Table24[[#This Row],['#]]))</f>
        <v>15</v>
      </c>
      <c r="M136" s="5" t="str">
        <f>IF(Table24[[#This Row],[Details]]=2,K135-Table24[[#This Row],[Pts]],IF(Table24[[#This Row],[Details]]=17,Table24[[#This Row],[Pts]]-K137,""))</f>
        <v/>
      </c>
      <c r="R136" s="1" t="str">
        <f>IFERROR(IF($Q$1=$P$3,INDEX(prem_analysis!$P$2:$Q$441,ROWS(Data!$P$2:Q136),COLUMNS(Data!$P$3:P137)),IF($Q$1=$P$5,INDEX(prem_analysis!$BH$1:$BS$23,ROWS(Data!$Q$3:Q137),COLUMNS(Data!$Q$3:Q137)),IF($Q$1=$P$6,INDEX(prem_analysis!$BU$1:$CF$67,ROWS(prem_analysis!$N$2:N136),COLUMNS(prem_analysis!$N$2:N136)),IF($Q$1=$P$4,INDEX(Table24[[#All],[Year]:[Details]],ROWS(prem_analysis!$M$420:M554),COLUMNS(Data!$Q$3:Q137)))))),"")</f>
        <v/>
      </c>
      <c r="S136" s="1" t="str">
        <f>IFERROR(IF($Q$1=$P$3,INDEX(prem_analysis!$P$2:$Q$441,ROWS(Data!$P$2:R136),COLUMNS(Data!$P$3:Q137)),IF($Q$1=$P$5,INDEX(prem_analysis!$BH$1:$BS$23,ROWS(Data!$Q$3:R137),COLUMNS(Data!$Q$3:R137)),IF($Q$1=$P$6,INDEX(prem_analysis!$BU$1:$CF$67,ROWS(prem_analysis!$N$2:O136),COLUMNS(prem_analysis!$N$2:O136)),IF($Q$1=$P$4,INDEX(Table24[[#All],[Year]:[Details]],ROWS(prem_analysis!$M$420:N554),COLUMNS(Data!$Q$3:R137)))))),"")</f>
        <v/>
      </c>
      <c r="T136" s="1" t="str">
        <f>IFERROR(IF($Q$1=$P$3,INDEX(prem_analysis!$P$2:$Q$441,ROWS(Data!$P$2:S136),COLUMNS(Data!$P$3:R137)),IF($Q$1=$P$5,INDEX(prem_analysis!$BH$1:$BS$23,ROWS(Data!$Q$3:S137),COLUMNS(Data!$Q$3:S137)),IF($Q$1=$P$6,INDEX(prem_analysis!$BU$1:$CF$67,ROWS(prem_analysis!$N$2:P136),COLUMNS(prem_analysis!$N$2:P136)),IF($Q$1=$P$4,INDEX(Table24[[#All],[Year]:[Details]],ROWS(prem_analysis!$M$420:O554),COLUMNS(Data!$Q$3:S137)))))),"")</f>
        <v/>
      </c>
      <c r="U136" s="1" t="str">
        <f>IFERROR(IF($Q$1=$P$3,INDEX(prem_analysis!$P$2:$Q$441,ROWS(Data!$P$2:T136),COLUMNS(Data!$P$3:S137)),IF($Q$1=$P$5,INDEX(prem_analysis!$BH$1:$BS$23,ROWS(Data!$Q$3:T137),COLUMNS(Data!$Q$3:T137)),IF($Q$1=$P$6,INDEX(prem_analysis!$BU$1:$CF$67,ROWS(prem_analysis!$N$2:Q136),COLUMNS(prem_analysis!$N$2:Q136)),IF($Q$1=$P$4,INDEX(Table24[[#All],[Year]:[Details]],ROWS(prem_analysis!$M$420:P554),COLUMNS(Data!$Q$3:T137)))))),"")</f>
        <v/>
      </c>
      <c r="V136" s="1" t="str">
        <f>IFERROR(IF($Q$1=$P$3,INDEX(prem_analysis!$P$2:$Q$441,ROWS(Data!$P$2:U136),COLUMNS(Data!$P$3:T137)),IF($Q$1=$P$5,INDEX(prem_analysis!$BH$1:$BS$23,ROWS(Data!$Q$3:U137),COLUMNS(Data!$Q$3:U137)),IF($Q$1=$P$6,INDEX(prem_analysis!$BU$1:$CF$67,ROWS(prem_analysis!$N$2:R136),COLUMNS(prem_analysis!$N$2:R136)),IF($Q$1=$P$4,INDEX(Table24[[#All],[Year]:[Details]],ROWS(prem_analysis!$M$420:Q554),COLUMNS(Data!$Q$3:U137)))))),"")</f>
        <v/>
      </c>
      <c r="W136" s="1" t="str">
        <f>IFERROR(IF($Q$1=$P$3,INDEX(prem_analysis!$P$2:$Q$441,ROWS(Data!$P$2:V136),COLUMNS(Data!$P$3:U137)),IF($Q$1=$P$5,INDEX(prem_analysis!$BH$1:$BS$23,ROWS(Data!$Q$3:V137),COLUMNS(Data!$Q$3:V137)),IF($Q$1=$P$6,INDEX(prem_analysis!$BU$1:$CF$67,ROWS(prem_analysis!$N$2:S136),COLUMNS(prem_analysis!$N$2:S136)),IF($Q$1=$P$4,INDEX(Table24[[#All],[Year]:[Details]],ROWS(prem_analysis!$M$420:R554),COLUMNS(Data!$Q$3:V137)))))),"")</f>
        <v/>
      </c>
      <c r="X136" s="1" t="str">
        <f>IFERROR(IF($Q$1=$P$3,INDEX(prem_analysis!$P$2:$Q$441,ROWS(Data!$P$2:W136),COLUMNS(Data!$P$3:V137)),IF($Q$1=$P$5,INDEX(prem_analysis!$BH$1:$BS$23,ROWS(Data!$Q$3:W137),COLUMNS(Data!$Q$3:W137)),IF($Q$1=$P$6,INDEX(prem_analysis!$BU$1:$CF$67,ROWS(prem_analysis!$N$2:T136),COLUMNS(prem_analysis!$N$2:T136)),IF($Q$1=$P$4,INDEX(Table24[[#All],[Year]:[Details]],ROWS(prem_analysis!$M$420:S554),COLUMNS(Data!$Q$3:W137)))))),"")</f>
        <v/>
      </c>
      <c r="Y136" s="1" t="str">
        <f>IFERROR(IF($Q$1=$P$3,INDEX(prem_analysis!$P$2:$Q$441,ROWS(Data!$P$2:X136),COLUMNS(Data!$P$3:W137)),IF($Q$1=$P$5,INDEX(prem_analysis!$BH$1:$BS$23,ROWS(Data!$Q$3:X137),COLUMNS(Data!$Q$3:X137)),IF($Q$1=$P$6,INDEX(prem_analysis!$BU$1:$CF$67,ROWS(prem_analysis!$N$2:U136),COLUMNS(prem_analysis!$N$2:U136)),IF($Q$1=$P$4,INDEX(Table24[[#All],[Year]:[Details]],ROWS(prem_analysis!$M$420:T554),COLUMNS(Data!$Q$3:X137)))))),"")</f>
        <v/>
      </c>
      <c r="Z136" s="1" t="str">
        <f>IFERROR(IF($Q$1=$P$3,INDEX(prem_analysis!$P$2:$Q$441,ROWS(Data!$P$2:Y136),COLUMNS(Data!$P$3:X137)),IF($Q$1=$P$5,INDEX(prem_analysis!$BH$1:$BS$23,ROWS(Data!$Q$3:Y137),COLUMNS(Data!$Q$3:Y137)),IF($Q$1=$P$6,INDEX(prem_analysis!$BU$1:$CF$67,ROWS(prem_analysis!$N$2:V136),COLUMNS(prem_analysis!$N$2:V136)),IF($Q$1=$P$4,INDEX(Table24[[#All],[Year]:[Details]],ROWS(prem_analysis!$M$420:U554),COLUMNS(Data!$Q$3:Y137)))))),"")</f>
        <v/>
      </c>
      <c r="AA136" s="1" t="str">
        <f>IFERROR(IF($Q$1=$P$3,INDEX(prem_analysis!$P$2:$Q$441,ROWS(Data!$P$2:Z136),COLUMNS(Data!$P$3:Y137)),IF($Q$1=$P$5,INDEX(prem_analysis!$BH$1:$BS$23,ROWS(Data!$Q$3:Z137),COLUMNS(Data!$Q$3:Z137)),IF($Q$1=$P$6,INDEX(prem_analysis!$BU$1:$CF$67,ROWS(prem_analysis!$N$2:W136),COLUMNS(prem_analysis!$N$2:W136)),IF($Q$1=$P$4,INDEX(Table24[[#All],[Year]:[Details]],ROWS(prem_analysis!$M$420:V554),COLUMNS(Data!$Q$3:Z137)))))),"")</f>
        <v/>
      </c>
      <c r="AB136" s="1" t="str">
        <f>IFERROR(IF($Q$1=$P$3,INDEX(prem_analysis!$P$2:$Q$441,ROWS(Data!$P$2:AA136),COLUMNS(Data!$P$3:Z137)),IF($Q$1=$P$5,INDEX(prem_analysis!$BH$1:$BS$23,ROWS(Data!$Q$3:AA137),COLUMNS(Data!$Q$3:AA137)),IF($Q$1=$P$6,INDEX(prem_analysis!$BU$1:$CF$67,ROWS(prem_analysis!$N$2:X136),COLUMNS(prem_analysis!$N$2:X136)),IF($Q$1=$P$4,INDEX(Table24[[#All],[Year]:[Details]],ROWS(prem_analysis!$M$420:W554),COLUMNS(Data!$Q$3:AA137)))))),"")</f>
        <v/>
      </c>
      <c r="AC136" s="1" t="str">
        <f>IFERROR(IF($Q$1=$P$3,INDEX(prem_analysis!$P$2:$Q$441,ROWS(Data!$P$2:AB136),COLUMNS(Data!$P$3:AA137)),IF($Q$1=$P$5,INDEX(prem_analysis!$BH$1:$BS$23,ROWS(Data!$Q$3:AB137),COLUMNS(Data!$Q$3:AB137)),IF($Q$1=$P$6,INDEX(prem_analysis!$BU$1:$CF$67,ROWS(prem_analysis!$N$2:Y136),COLUMNS(prem_analysis!$N$2:Y136)),IF($Q$1=$P$4,INDEX(Table24[[#All],[Year]:[Details]],ROWS(prem_analysis!$M$420:X554),COLUMNS(Data!$Q$3:AB137)))))),"")</f>
        <v/>
      </c>
    </row>
    <row r="137" spans="1:29" x14ac:dyDescent="0.2">
      <c r="A137" s="5">
        <v>2006</v>
      </c>
      <c r="B137" s="5">
        <v>16</v>
      </c>
      <c r="C137" s="6" t="s">
        <v>32</v>
      </c>
      <c r="D137" s="5">
        <v>38</v>
      </c>
      <c r="E137" s="5">
        <v>0</v>
      </c>
      <c r="F137" s="5">
        <v>0</v>
      </c>
      <c r="G137" s="5">
        <v>0</v>
      </c>
      <c r="H137" s="5">
        <v>0</v>
      </c>
      <c r="I137" s="5">
        <v>0</v>
      </c>
      <c r="J137" s="5">
        <v>0</v>
      </c>
      <c r="K137" s="5">
        <v>39</v>
      </c>
      <c r="L137" s="5">
        <f>IF(Table24[[#This Row],['#]]=1,"Champion", IF(Table24[[#This Row],['#]]&gt;=18,"Relegated",Table24[[#This Row],['#]]))</f>
        <v>16</v>
      </c>
      <c r="M137" s="5" t="str">
        <f>IF(Table24[[#This Row],[Details]]=2,K136-Table24[[#This Row],[Pts]],IF(Table24[[#This Row],[Details]]=17,Table24[[#This Row],[Pts]]-K138,""))</f>
        <v/>
      </c>
      <c r="R137" s="1" t="str">
        <f>IFERROR(IF($Q$1=$P$3,INDEX(prem_analysis!$P$2:$Q$441,ROWS(Data!$P$2:Q137),COLUMNS(Data!$P$3:P138)),IF($Q$1=$P$5,INDEX(prem_analysis!$BH$1:$BS$23,ROWS(Data!$Q$3:Q138),COLUMNS(Data!$Q$3:Q138)),IF($Q$1=$P$6,INDEX(prem_analysis!$BU$1:$CF$67,ROWS(prem_analysis!$N$2:N137),COLUMNS(prem_analysis!$N$2:N137)),IF($Q$1=$P$4,INDEX(Table24[[#All],[Year]:[Details]],ROWS(prem_analysis!$M$420:M555),COLUMNS(Data!$Q$3:Q138)))))),"")</f>
        <v/>
      </c>
      <c r="S137" s="1" t="str">
        <f>IFERROR(IF($Q$1=$P$3,INDEX(prem_analysis!$P$2:$Q$441,ROWS(Data!$P$2:R137),COLUMNS(Data!$P$3:Q138)),IF($Q$1=$P$5,INDEX(prem_analysis!$BH$1:$BS$23,ROWS(Data!$Q$3:R138),COLUMNS(Data!$Q$3:R138)),IF($Q$1=$P$6,INDEX(prem_analysis!$BU$1:$CF$67,ROWS(prem_analysis!$N$2:O137),COLUMNS(prem_analysis!$N$2:O137)),IF($Q$1=$P$4,INDEX(Table24[[#All],[Year]:[Details]],ROWS(prem_analysis!$M$420:N555),COLUMNS(Data!$Q$3:R138)))))),"")</f>
        <v/>
      </c>
      <c r="T137" s="1" t="str">
        <f>IFERROR(IF($Q$1=$P$3,INDEX(prem_analysis!$P$2:$Q$441,ROWS(Data!$P$2:S137),COLUMNS(Data!$P$3:R138)),IF($Q$1=$P$5,INDEX(prem_analysis!$BH$1:$BS$23,ROWS(Data!$Q$3:S138),COLUMNS(Data!$Q$3:S138)),IF($Q$1=$P$6,INDEX(prem_analysis!$BU$1:$CF$67,ROWS(prem_analysis!$N$2:P137),COLUMNS(prem_analysis!$N$2:P137)),IF($Q$1=$P$4,INDEX(Table24[[#All],[Year]:[Details]],ROWS(prem_analysis!$M$420:O555),COLUMNS(Data!$Q$3:S138)))))),"")</f>
        <v/>
      </c>
      <c r="U137" s="1" t="str">
        <f>IFERROR(IF($Q$1=$P$3,INDEX(prem_analysis!$P$2:$Q$441,ROWS(Data!$P$2:T137),COLUMNS(Data!$P$3:S138)),IF($Q$1=$P$5,INDEX(prem_analysis!$BH$1:$BS$23,ROWS(Data!$Q$3:T138),COLUMNS(Data!$Q$3:T138)),IF($Q$1=$P$6,INDEX(prem_analysis!$BU$1:$CF$67,ROWS(prem_analysis!$N$2:Q137),COLUMNS(prem_analysis!$N$2:Q137)),IF($Q$1=$P$4,INDEX(Table24[[#All],[Year]:[Details]],ROWS(prem_analysis!$M$420:P555),COLUMNS(Data!$Q$3:T138)))))),"")</f>
        <v/>
      </c>
      <c r="V137" s="1" t="str">
        <f>IFERROR(IF($Q$1=$P$3,INDEX(prem_analysis!$P$2:$Q$441,ROWS(Data!$P$2:U137),COLUMNS(Data!$P$3:T138)),IF($Q$1=$P$5,INDEX(prem_analysis!$BH$1:$BS$23,ROWS(Data!$Q$3:U138),COLUMNS(Data!$Q$3:U138)),IF($Q$1=$P$6,INDEX(prem_analysis!$BU$1:$CF$67,ROWS(prem_analysis!$N$2:R137),COLUMNS(prem_analysis!$N$2:R137)),IF($Q$1=$P$4,INDEX(Table24[[#All],[Year]:[Details]],ROWS(prem_analysis!$M$420:Q555),COLUMNS(Data!$Q$3:U138)))))),"")</f>
        <v/>
      </c>
      <c r="W137" s="1" t="str">
        <f>IFERROR(IF($Q$1=$P$3,INDEX(prem_analysis!$P$2:$Q$441,ROWS(Data!$P$2:V137),COLUMNS(Data!$P$3:U138)),IF($Q$1=$P$5,INDEX(prem_analysis!$BH$1:$BS$23,ROWS(Data!$Q$3:V138),COLUMNS(Data!$Q$3:V138)),IF($Q$1=$P$6,INDEX(prem_analysis!$BU$1:$CF$67,ROWS(prem_analysis!$N$2:S137),COLUMNS(prem_analysis!$N$2:S137)),IF($Q$1=$P$4,INDEX(Table24[[#All],[Year]:[Details]],ROWS(prem_analysis!$M$420:R555),COLUMNS(Data!$Q$3:V138)))))),"")</f>
        <v/>
      </c>
      <c r="X137" s="1" t="str">
        <f>IFERROR(IF($Q$1=$P$3,INDEX(prem_analysis!$P$2:$Q$441,ROWS(Data!$P$2:W137),COLUMNS(Data!$P$3:V138)),IF($Q$1=$P$5,INDEX(prem_analysis!$BH$1:$BS$23,ROWS(Data!$Q$3:W138),COLUMNS(Data!$Q$3:W138)),IF($Q$1=$P$6,INDEX(prem_analysis!$BU$1:$CF$67,ROWS(prem_analysis!$N$2:T137),COLUMNS(prem_analysis!$N$2:T137)),IF($Q$1=$P$4,INDEX(Table24[[#All],[Year]:[Details]],ROWS(prem_analysis!$M$420:S555),COLUMNS(Data!$Q$3:W138)))))),"")</f>
        <v/>
      </c>
      <c r="Y137" s="1" t="str">
        <f>IFERROR(IF($Q$1=$P$3,INDEX(prem_analysis!$P$2:$Q$441,ROWS(Data!$P$2:X137),COLUMNS(Data!$P$3:W138)),IF($Q$1=$P$5,INDEX(prem_analysis!$BH$1:$BS$23,ROWS(Data!$Q$3:X138),COLUMNS(Data!$Q$3:X138)),IF($Q$1=$P$6,INDEX(prem_analysis!$BU$1:$CF$67,ROWS(prem_analysis!$N$2:U137),COLUMNS(prem_analysis!$N$2:U137)),IF($Q$1=$P$4,INDEX(Table24[[#All],[Year]:[Details]],ROWS(prem_analysis!$M$420:T555),COLUMNS(Data!$Q$3:X138)))))),"")</f>
        <v/>
      </c>
      <c r="Z137" s="1" t="str">
        <f>IFERROR(IF($Q$1=$P$3,INDEX(prem_analysis!$P$2:$Q$441,ROWS(Data!$P$2:Y137),COLUMNS(Data!$P$3:X138)),IF($Q$1=$P$5,INDEX(prem_analysis!$BH$1:$BS$23,ROWS(Data!$Q$3:Y138),COLUMNS(Data!$Q$3:Y138)),IF($Q$1=$P$6,INDEX(prem_analysis!$BU$1:$CF$67,ROWS(prem_analysis!$N$2:V137),COLUMNS(prem_analysis!$N$2:V137)),IF($Q$1=$P$4,INDEX(Table24[[#All],[Year]:[Details]],ROWS(prem_analysis!$M$420:U555),COLUMNS(Data!$Q$3:Y138)))))),"")</f>
        <v/>
      </c>
      <c r="AA137" s="1" t="str">
        <f>IFERROR(IF($Q$1=$P$3,INDEX(prem_analysis!$P$2:$Q$441,ROWS(Data!$P$2:Z137),COLUMNS(Data!$P$3:Y138)),IF($Q$1=$P$5,INDEX(prem_analysis!$BH$1:$BS$23,ROWS(Data!$Q$3:Z138),COLUMNS(Data!$Q$3:Z138)),IF($Q$1=$P$6,INDEX(prem_analysis!$BU$1:$CF$67,ROWS(prem_analysis!$N$2:W137),COLUMNS(prem_analysis!$N$2:W137)),IF($Q$1=$P$4,INDEX(Table24[[#All],[Year]:[Details]],ROWS(prem_analysis!$M$420:V555),COLUMNS(Data!$Q$3:Z138)))))),"")</f>
        <v/>
      </c>
      <c r="AB137" s="1" t="str">
        <f>IFERROR(IF($Q$1=$P$3,INDEX(prem_analysis!$P$2:$Q$441,ROWS(Data!$P$2:AA137),COLUMNS(Data!$P$3:Z138)),IF($Q$1=$P$5,INDEX(prem_analysis!$BH$1:$BS$23,ROWS(Data!$Q$3:AA138),COLUMNS(Data!$Q$3:AA138)),IF($Q$1=$P$6,INDEX(prem_analysis!$BU$1:$CF$67,ROWS(prem_analysis!$N$2:X137),COLUMNS(prem_analysis!$N$2:X137)),IF($Q$1=$P$4,INDEX(Table24[[#All],[Year]:[Details]],ROWS(prem_analysis!$M$420:W555),COLUMNS(Data!$Q$3:AA138)))))),"")</f>
        <v/>
      </c>
      <c r="AC137" s="1" t="str">
        <f>IFERROR(IF($Q$1=$P$3,INDEX(prem_analysis!$P$2:$Q$441,ROWS(Data!$P$2:AB137),COLUMNS(Data!$P$3:AA138)),IF($Q$1=$P$5,INDEX(prem_analysis!$BH$1:$BS$23,ROWS(Data!$Q$3:AB138),COLUMNS(Data!$Q$3:AB138)),IF($Q$1=$P$6,INDEX(prem_analysis!$BU$1:$CF$67,ROWS(prem_analysis!$N$2:Y137),COLUMNS(prem_analysis!$N$2:Y137)),IF($Q$1=$P$4,INDEX(Table24[[#All],[Year]:[Details]],ROWS(prem_analysis!$M$420:X555),COLUMNS(Data!$Q$3:AB138)))))),"")</f>
        <v/>
      </c>
    </row>
    <row r="138" spans="1:29" x14ac:dyDescent="0.2">
      <c r="A138" s="3">
        <v>2006</v>
      </c>
      <c r="B138" s="3">
        <v>17</v>
      </c>
      <c r="C138" s="4" t="s">
        <v>40</v>
      </c>
      <c r="D138" s="3">
        <v>38</v>
      </c>
      <c r="E138" s="3">
        <v>0</v>
      </c>
      <c r="F138" s="3">
        <v>0</v>
      </c>
      <c r="G138" s="3">
        <v>0</v>
      </c>
      <c r="H138" s="3">
        <v>0</v>
      </c>
      <c r="I138" s="3">
        <v>0</v>
      </c>
      <c r="J138" s="3">
        <v>0</v>
      </c>
      <c r="K138" s="3">
        <v>38</v>
      </c>
      <c r="L138" s="5">
        <f>IF(Table24[[#This Row],['#]]=1,"Champion", IF(Table24[[#This Row],['#]]&gt;=18,"Relegated",Table24[[#This Row],['#]]))</f>
        <v>17</v>
      </c>
      <c r="M138" s="5">
        <f>IF(Table24[[#This Row],[Details]]=2,K137-Table24[[#This Row],[Pts]],IF(Table24[[#This Row],[Details]]=17,Table24[[#This Row],[Pts]]-K139,""))</f>
        <v>0</v>
      </c>
      <c r="R138" s="1" t="str">
        <f>IFERROR(IF($Q$1=$P$3,INDEX(prem_analysis!$P$2:$Q$441,ROWS(Data!$P$2:Q138),COLUMNS(Data!$P$3:P139)),IF($Q$1=$P$5,INDEX(prem_analysis!$BH$1:$BS$23,ROWS(Data!$Q$3:Q139),COLUMNS(Data!$Q$3:Q139)),IF($Q$1=$P$6,INDEX(prem_analysis!$BU$1:$CF$67,ROWS(prem_analysis!$N$2:N138),COLUMNS(prem_analysis!$N$2:N138)),IF($Q$1=$P$4,INDEX(Table24[[#All],[Year]:[Details]],ROWS(prem_analysis!$M$420:M556),COLUMNS(Data!$Q$3:Q139)))))),"")</f>
        <v/>
      </c>
      <c r="S138" s="1" t="str">
        <f>IFERROR(IF($Q$1=$P$3,INDEX(prem_analysis!$P$2:$Q$441,ROWS(Data!$P$2:R138),COLUMNS(Data!$P$3:Q139)),IF($Q$1=$P$5,INDEX(prem_analysis!$BH$1:$BS$23,ROWS(Data!$Q$3:R139),COLUMNS(Data!$Q$3:R139)),IF($Q$1=$P$6,INDEX(prem_analysis!$BU$1:$CF$67,ROWS(prem_analysis!$N$2:O138),COLUMNS(prem_analysis!$N$2:O138)),IF($Q$1=$P$4,INDEX(Table24[[#All],[Year]:[Details]],ROWS(prem_analysis!$M$420:N556),COLUMNS(Data!$Q$3:R139)))))),"")</f>
        <v/>
      </c>
      <c r="T138" s="1" t="str">
        <f>IFERROR(IF($Q$1=$P$3,INDEX(prem_analysis!$P$2:$Q$441,ROWS(Data!$P$2:S138),COLUMNS(Data!$P$3:R139)),IF($Q$1=$P$5,INDEX(prem_analysis!$BH$1:$BS$23,ROWS(Data!$Q$3:S139),COLUMNS(Data!$Q$3:S139)),IF($Q$1=$P$6,INDEX(prem_analysis!$BU$1:$CF$67,ROWS(prem_analysis!$N$2:P138),COLUMNS(prem_analysis!$N$2:P138)),IF($Q$1=$P$4,INDEX(Table24[[#All],[Year]:[Details]],ROWS(prem_analysis!$M$420:O556),COLUMNS(Data!$Q$3:S139)))))),"")</f>
        <v/>
      </c>
      <c r="U138" s="1" t="str">
        <f>IFERROR(IF($Q$1=$P$3,INDEX(prem_analysis!$P$2:$Q$441,ROWS(Data!$P$2:T138),COLUMNS(Data!$P$3:S139)),IF($Q$1=$P$5,INDEX(prem_analysis!$BH$1:$BS$23,ROWS(Data!$Q$3:T139),COLUMNS(Data!$Q$3:T139)),IF($Q$1=$P$6,INDEX(prem_analysis!$BU$1:$CF$67,ROWS(prem_analysis!$N$2:Q138),COLUMNS(prem_analysis!$N$2:Q138)),IF($Q$1=$P$4,INDEX(Table24[[#All],[Year]:[Details]],ROWS(prem_analysis!$M$420:P556),COLUMNS(Data!$Q$3:T139)))))),"")</f>
        <v/>
      </c>
      <c r="V138" s="1" t="str">
        <f>IFERROR(IF($Q$1=$P$3,INDEX(prem_analysis!$P$2:$Q$441,ROWS(Data!$P$2:U138),COLUMNS(Data!$P$3:T139)),IF($Q$1=$P$5,INDEX(prem_analysis!$BH$1:$BS$23,ROWS(Data!$Q$3:U139),COLUMNS(Data!$Q$3:U139)),IF($Q$1=$P$6,INDEX(prem_analysis!$BU$1:$CF$67,ROWS(prem_analysis!$N$2:R138),COLUMNS(prem_analysis!$N$2:R138)),IF($Q$1=$P$4,INDEX(Table24[[#All],[Year]:[Details]],ROWS(prem_analysis!$M$420:Q556),COLUMNS(Data!$Q$3:U139)))))),"")</f>
        <v/>
      </c>
      <c r="W138" s="1" t="str">
        <f>IFERROR(IF($Q$1=$P$3,INDEX(prem_analysis!$P$2:$Q$441,ROWS(Data!$P$2:V138),COLUMNS(Data!$P$3:U139)),IF($Q$1=$P$5,INDEX(prem_analysis!$BH$1:$BS$23,ROWS(Data!$Q$3:V139),COLUMNS(Data!$Q$3:V139)),IF($Q$1=$P$6,INDEX(prem_analysis!$BU$1:$CF$67,ROWS(prem_analysis!$N$2:S138),COLUMNS(prem_analysis!$N$2:S138)),IF($Q$1=$P$4,INDEX(Table24[[#All],[Year]:[Details]],ROWS(prem_analysis!$M$420:R556),COLUMNS(Data!$Q$3:V139)))))),"")</f>
        <v/>
      </c>
      <c r="X138" s="1" t="str">
        <f>IFERROR(IF($Q$1=$P$3,INDEX(prem_analysis!$P$2:$Q$441,ROWS(Data!$P$2:W138),COLUMNS(Data!$P$3:V139)),IF($Q$1=$P$5,INDEX(prem_analysis!$BH$1:$BS$23,ROWS(Data!$Q$3:W139),COLUMNS(Data!$Q$3:W139)),IF($Q$1=$P$6,INDEX(prem_analysis!$BU$1:$CF$67,ROWS(prem_analysis!$N$2:T138),COLUMNS(prem_analysis!$N$2:T138)),IF($Q$1=$P$4,INDEX(Table24[[#All],[Year]:[Details]],ROWS(prem_analysis!$M$420:S556),COLUMNS(Data!$Q$3:W139)))))),"")</f>
        <v/>
      </c>
      <c r="Y138" s="1" t="str">
        <f>IFERROR(IF($Q$1=$P$3,INDEX(prem_analysis!$P$2:$Q$441,ROWS(Data!$P$2:X138),COLUMNS(Data!$P$3:W139)),IF($Q$1=$P$5,INDEX(prem_analysis!$BH$1:$BS$23,ROWS(Data!$Q$3:X139),COLUMNS(Data!$Q$3:X139)),IF($Q$1=$P$6,INDEX(prem_analysis!$BU$1:$CF$67,ROWS(prem_analysis!$N$2:U138),COLUMNS(prem_analysis!$N$2:U138)),IF($Q$1=$P$4,INDEX(Table24[[#All],[Year]:[Details]],ROWS(prem_analysis!$M$420:T556),COLUMNS(Data!$Q$3:X139)))))),"")</f>
        <v/>
      </c>
      <c r="Z138" s="1" t="str">
        <f>IFERROR(IF($Q$1=$P$3,INDEX(prem_analysis!$P$2:$Q$441,ROWS(Data!$P$2:Y138),COLUMNS(Data!$P$3:X139)),IF($Q$1=$P$5,INDEX(prem_analysis!$BH$1:$BS$23,ROWS(Data!$Q$3:Y139),COLUMNS(Data!$Q$3:Y139)),IF($Q$1=$P$6,INDEX(prem_analysis!$BU$1:$CF$67,ROWS(prem_analysis!$N$2:V138),COLUMNS(prem_analysis!$N$2:V138)),IF($Q$1=$P$4,INDEX(Table24[[#All],[Year]:[Details]],ROWS(prem_analysis!$M$420:U556),COLUMNS(Data!$Q$3:Y139)))))),"")</f>
        <v/>
      </c>
      <c r="AA138" s="1" t="str">
        <f>IFERROR(IF($Q$1=$P$3,INDEX(prem_analysis!$P$2:$Q$441,ROWS(Data!$P$2:Z138),COLUMNS(Data!$P$3:Y139)),IF($Q$1=$P$5,INDEX(prem_analysis!$BH$1:$BS$23,ROWS(Data!$Q$3:Z139),COLUMNS(Data!$Q$3:Z139)),IF($Q$1=$P$6,INDEX(prem_analysis!$BU$1:$CF$67,ROWS(prem_analysis!$N$2:W138),COLUMNS(prem_analysis!$N$2:W138)),IF($Q$1=$P$4,INDEX(Table24[[#All],[Year]:[Details]],ROWS(prem_analysis!$M$420:V556),COLUMNS(Data!$Q$3:Z139)))))),"")</f>
        <v/>
      </c>
      <c r="AB138" s="1" t="str">
        <f>IFERROR(IF($Q$1=$P$3,INDEX(prem_analysis!$P$2:$Q$441,ROWS(Data!$P$2:AA138),COLUMNS(Data!$P$3:Z139)),IF($Q$1=$P$5,INDEX(prem_analysis!$BH$1:$BS$23,ROWS(Data!$Q$3:AA139),COLUMNS(Data!$Q$3:AA139)),IF($Q$1=$P$6,INDEX(prem_analysis!$BU$1:$CF$67,ROWS(prem_analysis!$N$2:X138),COLUMNS(prem_analysis!$N$2:X138)),IF($Q$1=$P$4,INDEX(Table24[[#All],[Year]:[Details]],ROWS(prem_analysis!$M$420:W556),COLUMNS(Data!$Q$3:AA139)))))),"")</f>
        <v/>
      </c>
      <c r="AC138" s="1" t="str">
        <f>IFERROR(IF($Q$1=$P$3,INDEX(prem_analysis!$P$2:$Q$441,ROWS(Data!$P$2:AB138),COLUMNS(Data!$P$3:AA139)),IF($Q$1=$P$5,INDEX(prem_analysis!$BH$1:$BS$23,ROWS(Data!$Q$3:AB139),COLUMNS(Data!$Q$3:AB139)),IF($Q$1=$P$6,INDEX(prem_analysis!$BU$1:$CF$67,ROWS(prem_analysis!$N$2:Y138),COLUMNS(prem_analysis!$N$2:Y138)),IF($Q$1=$P$4,INDEX(Table24[[#All],[Year]:[Details]],ROWS(prem_analysis!$M$420:X556),COLUMNS(Data!$Q$3:AB139)))))),"")</f>
        <v/>
      </c>
    </row>
    <row r="139" spans="1:29" x14ac:dyDescent="0.2">
      <c r="A139" s="5">
        <v>2006</v>
      </c>
      <c r="B139" s="5">
        <v>18</v>
      </c>
      <c r="C139" s="6" t="s">
        <v>42</v>
      </c>
      <c r="D139" s="5">
        <v>38</v>
      </c>
      <c r="E139" s="5">
        <v>0</v>
      </c>
      <c r="F139" s="5">
        <v>0</v>
      </c>
      <c r="G139" s="5">
        <v>0</v>
      </c>
      <c r="H139" s="5">
        <v>0</v>
      </c>
      <c r="I139" s="5">
        <v>0</v>
      </c>
      <c r="J139" s="5">
        <v>0</v>
      </c>
      <c r="K139" s="5">
        <v>38</v>
      </c>
      <c r="L139" s="5" t="str">
        <f>IF(Table24[[#This Row],['#]]=1,"Champion", IF(Table24[[#This Row],['#]]&gt;=18,"Relegated",Table24[[#This Row],['#]]))</f>
        <v>Relegated</v>
      </c>
      <c r="M139" s="5" t="str">
        <f>IF(Table24[[#This Row],[Details]]=2,K138-Table24[[#This Row],[Pts]],IF(Table24[[#This Row],[Details]]=17,Table24[[#This Row],[Pts]]-K140,""))</f>
        <v/>
      </c>
      <c r="R139" s="1" t="str">
        <f>IFERROR(IF($Q$1=$P$3,INDEX(prem_analysis!$P$2:$Q$441,ROWS(Data!$P$2:Q139),COLUMNS(Data!$P$3:P140)),IF($Q$1=$P$5,INDEX(prem_analysis!$BH$1:$BS$23,ROWS(Data!$Q$3:Q140),COLUMNS(Data!$Q$3:Q140)),IF($Q$1=$P$6,INDEX(prem_analysis!$BU$1:$CF$67,ROWS(prem_analysis!$N$2:N139),COLUMNS(prem_analysis!$N$2:N139)),IF($Q$1=$P$4,INDEX(Table24[[#All],[Year]:[Details]],ROWS(prem_analysis!$M$420:M557),COLUMNS(Data!$Q$3:Q140)))))),"")</f>
        <v/>
      </c>
      <c r="S139" s="1" t="str">
        <f>IFERROR(IF($Q$1=$P$3,INDEX(prem_analysis!$P$2:$Q$441,ROWS(Data!$P$2:R139),COLUMNS(Data!$P$3:Q140)),IF($Q$1=$P$5,INDEX(prem_analysis!$BH$1:$BS$23,ROWS(Data!$Q$3:R140),COLUMNS(Data!$Q$3:R140)),IF($Q$1=$P$6,INDEX(prem_analysis!$BU$1:$CF$67,ROWS(prem_analysis!$N$2:O139),COLUMNS(prem_analysis!$N$2:O139)),IF($Q$1=$P$4,INDEX(Table24[[#All],[Year]:[Details]],ROWS(prem_analysis!$M$420:N557),COLUMNS(Data!$Q$3:R140)))))),"")</f>
        <v/>
      </c>
      <c r="T139" s="1" t="str">
        <f>IFERROR(IF($Q$1=$P$3,INDEX(prem_analysis!$P$2:$Q$441,ROWS(Data!$P$2:S139),COLUMNS(Data!$P$3:R140)),IF($Q$1=$P$5,INDEX(prem_analysis!$BH$1:$BS$23,ROWS(Data!$Q$3:S140),COLUMNS(Data!$Q$3:S140)),IF($Q$1=$P$6,INDEX(prem_analysis!$BU$1:$CF$67,ROWS(prem_analysis!$N$2:P139),COLUMNS(prem_analysis!$N$2:P139)),IF($Q$1=$P$4,INDEX(Table24[[#All],[Year]:[Details]],ROWS(prem_analysis!$M$420:O557),COLUMNS(Data!$Q$3:S140)))))),"")</f>
        <v/>
      </c>
      <c r="U139" s="1" t="str">
        <f>IFERROR(IF($Q$1=$P$3,INDEX(prem_analysis!$P$2:$Q$441,ROWS(Data!$P$2:T139),COLUMNS(Data!$P$3:S140)),IF($Q$1=$P$5,INDEX(prem_analysis!$BH$1:$BS$23,ROWS(Data!$Q$3:T140),COLUMNS(Data!$Q$3:T140)),IF($Q$1=$P$6,INDEX(prem_analysis!$BU$1:$CF$67,ROWS(prem_analysis!$N$2:Q139),COLUMNS(prem_analysis!$N$2:Q139)),IF($Q$1=$P$4,INDEX(Table24[[#All],[Year]:[Details]],ROWS(prem_analysis!$M$420:P557),COLUMNS(Data!$Q$3:T140)))))),"")</f>
        <v/>
      </c>
      <c r="V139" s="1" t="str">
        <f>IFERROR(IF($Q$1=$P$3,INDEX(prem_analysis!$P$2:$Q$441,ROWS(Data!$P$2:U139),COLUMNS(Data!$P$3:T140)),IF($Q$1=$P$5,INDEX(prem_analysis!$BH$1:$BS$23,ROWS(Data!$Q$3:U140),COLUMNS(Data!$Q$3:U140)),IF($Q$1=$P$6,INDEX(prem_analysis!$BU$1:$CF$67,ROWS(prem_analysis!$N$2:R139),COLUMNS(prem_analysis!$N$2:R139)),IF($Q$1=$P$4,INDEX(Table24[[#All],[Year]:[Details]],ROWS(prem_analysis!$M$420:Q557),COLUMNS(Data!$Q$3:U140)))))),"")</f>
        <v/>
      </c>
      <c r="W139" s="1" t="str">
        <f>IFERROR(IF($Q$1=$P$3,INDEX(prem_analysis!$P$2:$Q$441,ROWS(Data!$P$2:V139),COLUMNS(Data!$P$3:U140)),IF($Q$1=$P$5,INDEX(prem_analysis!$BH$1:$BS$23,ROWS(Data!$Q$3:V140),COLUMNS(Data!$Q$3:V140)),IF($Q$1=$P$6,INDEX(prem_analysis!$BU$1:$CF$67,ROWS(prem_analysis!$N$2:S139),COLUMNS(prem_analysis!$N$2:S139)),IF($Q$1=$P$4,INDEX(Table24[[#All],[Year]:[Details]],ROWS(prem_analysis!$M$420:R557),COLUMNS(Data!$Q$3:V140)))))),"")</f>
        <v/>
      </c>
      <c r="X139" s="1" t="str">
        <f>IFERROR(IF($Q$1=$P$3,INDEX(prem_analysis!$P$2:$Q$441,ROWS(Data!$P$2:W139),COLUMNS(Data!$P$3:V140)),IF($Q$1=$P$5,INDEX(prem_analysis!$BH$1:$BS$23,ROWS(Data!$Q$3:W140),COLUMNS(Data!$Q$3:W140)),IF($Q$1=$P$6,INDEX(prem_analysis!$BU$1:$CF$67,ROWS(prem_analysis!$N$2:T139),COLUMNS(prem_analysis!$N$2:T139)),IF($Q$1=$P$4,INDEX(Table24[[#All],[Year]:[Details]],ROWS(prem_analysis!$M$420:S557),COLUMNS(Data!$Q$3:W140)))))),"")</f>
        <v/>
      </c>
      <c r="Y139" s="1" t="str">
        <f>IFERROR(IF($Q$1=$P$3,INDEX(prem_analysis!$P$2:$Q$441,ROWS(Data!$P$2:X139),COLUMNS(Data!$P$3:W140)),IF($Q$1=$P$5,INDEX(prem_analysis!$BH$1:$BS$23,ROWS(Data!$Q$3:X140),COLUMNS(Data!$Q$3:X140)),IF($Q$1=$P$6,INDEX(prem_analysis!$BU$1:$CF$67,ROWS(prem_analysis!$N$2:U139),COLUMNS(prem_analysis!$N$2:U139)),IF($Q$1=$P$4,INDEX(Table24[[#All],[Year]:[Details]],ROWS(prem_analysis!$M$420:T557),COLUMNS(Data!$Q$3:X140)))))),"")</f>
        <v/>
      </c>
      <c r="Z139" s="1" t="str">
        <f>IFERROR(IF($Q$1=$P$3,INDEX(prem_analysis!$P$2:$Q$441,ROWS(Data!$P$2:Y139),COLUMNS(Data!$P$3:X140)),IF($Q$1=$P$5,INDEX(prem_analysis!$BH$1:$BS$23,ROWS(Data!$Q$3:Y140),COLUMNS(Data!$Q$3:Y140)),IF($Q$1=$P$6,INDEX(prem_analysis!$BU$1:$CF$67,ROWS(prem_analysis!$N$2:V139),COLUMNS(prem_analysis!$N$2:V139)),IF($Q$1=$P$4,INDEX(Table24[[#All],[Year]:[Details]],ROWS(prem_analysis!$M$420:U557),COLUMNS(Data!$Q$3:Y140)))))),"")</f>
        <v/>
      </c>
      <c r="AA139" s="1" t="str">
        <f>IFERROR(IF($Q$1=$P$3,INDEX(prem_analysis!$P$2:$Q$441,ROWS(Data!$P$2:Z139),COLUMNS(Data!$P$3:Y140)),IF($Q$1=$P$5,INDEX(prem_analysis!$BH$1:$BS$23,ROWS(Data!$Q$3:Z140),COLUMNS(Data!$Q$3:Z140)),IF($Q$1=$P$6,INDEX(prem_analysis!$BU$1:$CF$67,ROWS(prem_analysis!$N$2:W139),COLUMNS(prem_analysis!$N$2:W139)),IF($Q$1=$P$4,INDEX(Table24[[#All],[Year]:[Details]],ROWS(prem_analysis!$M$420:V557),COLUMNS(Data!$Q$3:Z140)))))),"")</f>
        <v/>
      </c>
      <c r="AB139" s="1" t="str">
        <f>IFERROR(IF($Q$1=$P$3,INDEX(prem_analysis!$P$2:$Q$441,ROWS(Data!$P$2:AA139),COLUMNS(Data!$P$3:Z140)),IF($Q$1=$P$5,INDEX(prem_analysis!$BH$1:$BS$23,ROWS(Data!$Q$3:AA140),COLUMNS(Data!$Q$3:AA140)),IF($Q$1=$P$6,INDEX(prem_analysis!$BU$1:$CF$67,ROWS(prem_analysis!$N$2:X139),COLUMNS(prem_analysis!$N$2:X139)),IF($Q$1=$P$4,INDEX(Table24[[#All],[Year]:[Details]],ROWS(prem_analysis!$M$420:W557),COLUMNS(Data!$Q$3:AA140)))))),"")</f>
        <v/>
      </c>
      <c r="AC139" s="1" t="str">
        <f>IFERROR(IF($Q$1=$P$3,INDEX(prem_analysis!$P$2:$Q$441,ROWS(Data!$P$2:AB139),COLUMNS(Data!$P$3:AA140)),IF($Q$1=$P$5,INDEX(prem_analysis!$BH$1:$BS$23,ROWS(Data!$Q$3:AB140),COLUMNS(Data!$Q$3:AB140)),IF($Q$1=$P$6,INDEX(prem_analysis!$BU$1:$CF$67,ROWS(prem_analysis!$N$2:Y139),COLUMNS(prem_analysis!$N$2:Y139)),IF($Q$1=$P$4,INDEX(Table24[[#All],[Year]:[Details]],ROWS(prem_analysis!$M$420:X557),COLUMNS(Data!$Q$3:AB140)))))),"")</f>
        <v/>
      </c>
    </row>
    <row r="140" spans="1:29" x14ac:dyDescent="0.2">
      <c r="A140" s="3">
        <v>2006</v>
      </c>
      <c r="B140" s="3">
        <v>19</v>
      </c>
      <c r="C140" s="4" t="s">
        <v>19</v>
      </c>
      <c r="D140" s="3">
        <v>38</v>
      </c>
      <c r="E140" s="3">
        <v>0</v>
      </c>
      <c r="F140" s="3">
        <v>0</v>
      </c>
      <c r="G140" s="3">
        <v>0</v>
      </c>
      <c r="H140" s="3">
        <v>0</v>
      </c>
      <c r="I140" s="3">
        <v>0</v>
      </c>
      <c r="J140" s="3">
        <v>0</v>
      </c>
      <c r="K140" s="3">
        <v>34</v>
      </c>
      <c r="L140" s="5" t="str">
        <f>IF(Table24[[#This Row],['#]]=1,"Champion", IF(Table24[[#This Row],['#]]&gt;=18,"Relegated",Table24[[#This Row],['#]]))</f>
        <v>Relegated</v>
      </c>
      <c r="M140" s="5" t="str">
        <f>IF(Table24[[#This Row],[Details]]=2,K139-Table24[[#This Row],[Pts]],IF(Table24[[#This Row],[Details]]=17,Table24[[#This Row],[Pts]]-K141,""))</f>
        <v/>
      </c>
      <c r="R140" s="1" t="str">
        <f>IFERROR(IF($Q$1=$P$3,INDEX(prem_analysis!$P$2:$Q$441,ROWS(Data!$P$2:Q140),COLUMNS(Data!$P$3:P141)),IF($Q$1=$P$5,INDEX(prem_analysis!$BH$1:$BS$23,ROWS(Data!$Q$3:Q141),COLUMNS(Data!$Q$3:Q141)),IF($Q$1=$P$6,INDEX(prem_analysis!$BU$1:$CF$67,ROWS(prem_analysis!$N$2:N140),COLUMNS(prem_analysis!$N$2:N140)),IF($Q$1=$P$4,INDEX(Table24[[#All],[Year]:[Details]],ROWS(prem_analysis!$M$420:M558),COLUMNS(Data!$Q$3:Q141)))))),"")</f>
        <v/>
      </c>
      <c r="S140" s="1" t="str">
        <f>IFERROR(IF($Q$1=$P$3,INDEX(prem_analysis!$P$2:$Q$441,ROWS(Data!$P$2:R140),COLUMNS(Data!$P$3:Q141)),IF($Q$1=$P$5,INDEX(prem_analysis!$BH$1:$BS$23,ROWS(Data!$Q$3:R141),COLUMNS(Data!$Q$3:R141)),IF($Q$1=$P$6,INDEX(prem_analysis!$BU$1:$CF$67,ROWS(prem_analysis!$N$2:O140),COLUMNS(prem_analysis!$N$2:O140)),IF($Q$1=$P$4,INDEX(Table24[[#All],[Year]:[Details]],ROWS(prem_analysis!$M$420:N558),COLUMNS(Data!$Q$3:R141)))))),"")</f>
        <v/>
      </c>
      <c r="T140" s="1" t="str">
        <f>IFERROR(IF($Q$1=$P$3,INDEX(prem_analysis!$P$2:$Q$441,ROWS(Data!$P$2:S140),COLUMNS(Data!$P$3:R141)),IF($Q$1=$P$5,INDEX(prem_analysis!$BH$1:$BS$23,ROWS(Data!$Q$3:S141),COLUMNS(Data!$Q$3:S141)),IF($Q$1=$P$6,INDEX(prem_analysis!$BU$1:$CF$67,ROWS(prem_analysis!$N$2:P140),COLUMNS(prem_analysis!$N$2:P140)),IF($Q$1=$P$4,INDEX(Table24[[#All],[Year]:[Details]],ROWS(prem_analysis!$M$420:O558),COLUMNS(Data!$Q$3:S141)))))),"")</f>
        <v/>
      </c>
      <c r="U140" s="1" t="str">
        <f>IFERROR(IF($Q$1=$P$3,INDEX(prem_analysis!$P$2:$Q$441,ROWS(Data!$P$2:T140),COLUMNS(Data!$P$3:S141)),IF($Q$1=$P$5,INDEX(prem_analysis!$BH$1:$BS$23,ROWS(Data!$Q$3:T141),COLUMNS(Data!$Q$3:T141)),IF($Q$1=$P$6,INDEX(prem_analysis!$BU$1:$CF$67,ROWS(prem_analysis!$N$2:Q140),COLUMNS(prem_analysis!$N$2:Q140)),IF($Q$1=$P$4,INDEX(Table24[[#All],[Year]:[Details]],ROWS(prem_analysis!$M$420:P558),COLUMNS(Data!$Q$3:T141)))))),"")</f>
        <v/>
      </c>
      <c r="V140" s="1" t="str">
        <f>IFERROR(IF($Q$1=$P$3,INDEX(prem_analysis!$P$2:$Q$441,ROWS(Data!$P$2:U140),COLUMNS(Data!$P$3:T141)),IF($Q$1=$P$5,INDEX(prem_analysis!$BH$1:$BS$23,ROWS(Data!$Q$3:U141),COLUMNS(Data!$Q$3:U141)),IF($Q$1=$P$6,INDEX(prem_analysis!$BU$1:$CF$67,ROWS(prem_analysis!$N$2:R140),COLUMNS(prem_analysis!$N$2:R140)),IF($Q$1=$P$4,INDEX(Table24[[#All],[Year]:[Details]],ROWS(prem_analysis!$M$420:Q558),COLUMNS(Data!$Q$3:U141)))))),"")</f>
        <v/>
      </c>
      <c r="W140" s="1" t="str">
        <f>IFERROR(IF($Q$1=$P$3,INDEX(prem_analysis!$P$2:$Q$441,ROWS(Data!$P$2:V140),COLUMNS(Data!$P$3:U141)),IF($Q$1=$P$5,INDEX(prem_analysis!$BH$1:$BS$23,ROWS(Data!$Q$3:V141),COLUMNS(Data!$Q$3:V141)),IF($Q$1=$P$6,INDEX(prem_analysis!$BU$1:$CF$67,ROWS(prem_analysis!$N$2:S140),COLUMNS(prem_analysis!$N$2:S140)),IF($Q$1=$P$4,INDEX(Table24[[#All],[Year]:[Details]],ROWS(prem_analysis!$M$420:R558),COLUMNS(Data!$Q$3:V141)))))),"")</f>
        <v/>
      </c>
      <c r="X140" s="1" t="str">
        <f>IFERROR(IF($Q$1=$P$3,INDEX(prem_analysis!$P$2:$Q$441,ROWS(Data!$P$2:W140),COLUMNS(Data!$P$3:V141)),IF($Q$1=$P$5,INDEX(prem_analysis!$BH$1:$BS$23,ROWS(Data!$Q$3:W141),COLUMNS(Data!$Q$3:W141)),IF($Q$1=$P$6,INDEX(prem_analysis!$BU$1:$CF$67,ROWS(prem_analysis!$N$2:T140),COLUMNS(prem_analysis!$N$2:T140)),IF($Q$1=$P$4,INDEX(Table24[[#All],[Year]:[Details]],ROWS(prem_analysis!$M$420:S558),COLUMNS(Data!$Q$3:W141)))))),"")</f>
        <v/>
      </c>
      <c r="Y140" s="1" t="str">
        <f>IFERROR(IF($Q$1=$P$3,INDEX(prem_analysis!$P$2:$Q$441,ROWS(Data!$P$2:X140),COLUMNS(Data!$P$3:W141)),IF($Q$1=$P$5,INDEX(prem_analysis!$BH$1:$BS$23,ROWS(Data!$Q$3:X141),COLUMNS(Data!$Q$3:X141)),IF($Q$1=$P$6,INDEX(prem_analysis!$BU$1:$CF$67,ROWS(prem_analysis!$N$2:U140),COLUMNS(prem_analysis!$N$2:U140)),IF($Q$1=$P$4,INDEX(Table24[[#All],[Year]:[Details]],ROWS(prem_analysis!$M$420:T558),COLUMNS(Data!$Q$3:X141)))))),"")</f>
        <v/>
      </c>
      <c r="Z140" s="1" t="str">
        <f>IFERROR(IF($Q$1=$P$3,INDEX(prem_analysis!$P$2:$Q$441,ROWS(Data!$P$2:Y140),COLUMNS(Data!$P$3:X141)),IF($Q$1=$P$5,INDEX(prem_analysis!$BH$1:$BS$23,ROWS(Data!$Q$3:Y141),COLUMNS(Data!$Q$3:Y141)),IF($Q$1=$P$6,INDEX(prem_analysis!$BU$1:$CF$67,ROWS(prem_analysis!$N$2:V140),COLUMNS(prem_analysis!$N$2:V140)),IF($Q$1=$P$4,INDEX(Table24[[#All],[Year]:[Details]],ROWS(prem_analysis!$M$420:U558),COLUMNS(Data!$Q$3:Y141)))))),"")</f>
        <v/>
      </c>
      <c r="AA140" s="1" t="str">
        <f>IFERROR(IF($Q$1=$P$3,INDEX(prem_analysis!$P$2:$Q$441,ROWS(Data!$P$2:Z140),COLUMNS(Data!$P$3:Y141)),IF($Q$1=$P$5,INDEX(prem_analysis!$BH$1:$BS$23,ROWS(Data!$Q$3:Z141),COLUMNS(Data!$Q$3:Z141)),IF($Q$1=$P$6,INDEX(prem_analysis!$BU$1:$CF$67,ROWS(prem_analysis!$N$2:W140),COLUMNS(prem_analysis!$N$2:W140)),IF($Q$1=$P$4,INDEX(Table24[[#All],[Year]:[Details]],ROWS(prem_analysis!$M$420:V558),COLUMNS(Data!$Q$3:Z141)))))),"")</f>
        <v/>
      </c>
      <c r="AB140" s="1" t="str">
        <f>IFERROR(IF($Q$1=$P$3,INDEX(prem_analysis!$P$2:$Q$441,ROWS(Data!$P$2:AA140),COLUMNS(Data!$P$3:Z141)),IF($Q$1=$P$5,INDEX(prem_analysis!$BH$1:$BS$23,ROWS(Data!$Q$3:AA141),COLUMNS(Data!$Q$3:AA141)),IF($Q$1=$P$6,INDEX(prem_analysis!$BU$1:$CF$67,ROWS(prem_analysis!$N$2:X140),COLUMNS(prem_analysis!$N$2:X140)),IF($Q$1=$P$4,INDEX(Table24[[#All],[Year]:[Details]],ROWS(prem_analysis!$M$420:W558),COLUMNS(Data!$Q$3:AA141)))))),"")</f>
        <v/>
      </c>
      <c r="AC140" s="1" t="str">
        <f>IFERROR(IF($Q$1=$P$3,INDEX(prem_analysis!$P$2:$Q$441,ROWS(Data!$P$2:AB140),COLUMNS(Data!$P$3:AA141)),IF($Q$1=$P$5,INDEX(prem_analysis!$BH$1:$BS$23,ROWS(Data!$Q$3:AB141),COLUMNS(Data!$Q$3:AB141)),IF($Q$1=$P$6,INDEX(prem_analysis!$BU$1:$CF$67,ROWS(prem_analysis!$N$2:Y140),COLUMNS(prem_analysis!$N$2:Y140)),IF($Q$1=$P$4,INDEX(Table24[[#All],[Year]:[Details]],ROWS(prem_analysis!$M$420:X558),COLUMNS(Data!$Q$3:AB141)))))),"")</f>
        <v/>
      </c>
    </row>
    <row r="141" spans="1:29" x14ac:dyDescent="0.2">
      <c r="A141" s="5">
        <v>2006</v>
      </c>
      <c r="B141" s="5">
        <v>20</v>
      </c>
      <c r="C141" s="6" t="s">
        <v>43</v>
      </c>
      <c r="D141" s="5">
        <v>38</v>
      </c>
      <c r="E141" s="5">
        <v>0</v>
      </c>
      <c r="F141" s="5">
        <v>0</v>
      </c>
      <c r="G141" s="5">
        <v>0</v>
      </c>
      <c r="H141" s="5">
        <v>0</v>
      </c>
      <c r="I141" s="5">
        <v>0</v>
      </c>
      <c r="J141" s="5">
        <v>0</v>
      </c>
      <c r="K141" s="5">
        <v>28</v>
      </c>
      <c r="L141" s="5" t="str">
        <f>IF(Table24[[#This Row],['#]]=1,"Champion", IF(Table24[[#This Row],['#]]&gt;=18,"Relegated",Table24[[#This Row],['#]]))</f>
        <v>Relegated</v>
      </c>
      <c r="M141" s="5" t="str">
        <f>IF(Table24[[#This Row],[Details]]=2,K140-Table24[[#This Row],[Pts]],IF(Table24[[#This Row],[Details]]=17,Table24[[#This Row],[Pts]]-K142,""))</f>
        <v/>
      </c>
      <c r="R141" s="1" t="str">
        <f>IFERROR(IF($Q$1=$P$3,INDEX(prem_analysis!$P$2:$Q$441,ROWS(Data!$P$2:Q141),COLUMNS(Data!$P$3:P142)),IF($Q$1=$P$5,INDEX(prem_analysis!$BH$1:$BS$23,ROWS(Data!$Q$3:Q142),COLUMNS(Data!$Q$3:Q142)),IF($Q$1=$P$6,INDEX(prem_analysis!$BU$1:$CF$67,ROWS(prem_analysis!$N$2:N141),COLUMNS(prem_analysis!$N$2:N141)),IF($Q$1=$P$4,INDEX(Table24[[#All],[Year]:[Details]],ROWS(prem_analysis!$M$420:M559),COLUMNS(Data!$Q$3:Q142)))))),"")</f>
        <v/>
      </c>
      <c r="S141" s="1" t="str">
        <f>IFERROR(IF($Q$1=$P$3,INDEX(prem_analysis!$P$2:$Q$441,ROWS(Data!$P$2:R141),COLUMNS(Data!$P$3:Q142)),IF($Q$1=$P$5,INDEX(prem_analysis!$BH$1:$BS$23,ROWS(Data!$Q$3:R142),COLUMNS(Data!$Q$3:R142)),IF($Q$1=$P$6,INDEX(prem_analysis!$BU$1:$CF$67,ROWS(prem_analysis!$N$2:O141),COLUMNS(prem_analysis!$N$2:O141)),IF($Q$1=$P$4,INDEX(Table24[[#All],[Year]:[Details]],ROWS(prem_analysis!$M$420:N559),COLUMNS(Data!$Q$3:R142)))))),"")</f>
        <v/>
      </c>
      <c r="T141" s="1" t="str">
        <f>IFERROR(IF($Q$1=$P$3,INDEX(prem_analysis!$P$2:$Q$441,ROWS(Data!$P$2:S141),COLUMNS(Data!$P$3:R142)),IF($Q$1=$P$5,INDEX(prem_analysis!$BH$1:$BS$23,ROWS(Data!$Q$3:S142),COLUMNS(Data!$Q$3:S142)),IF($Q$1=$P$6,INDEX(prem_analysis!$BU$1:$CF$67,ROWS(prem_analysis!$N$2:P141),COLUMNS(prem_analysis!$N$2:P141)),IF($Q$1=$P$4,INDEX(Table24[[#All],[Year]:[Details]],ROWS(prem_analysis!$M$420:O559),COLUMNS(Data!$Q$3:S142)))))),"")</f>
        <v/>
      </c>
      <c r="U141" s="1" t="str">
        <f>IFERROR(IF($Q$1=$P$3,INDEX(prem_analysis!$P$2:$Q$441,ROWS(Data!$P$2:T141),COLUMNS(Data!$P$3:S142)),IF($Q$1=$P$5,INDEX(prem_analysis!$BH$1:$BS$23,ROWS(Data!$Q$3:T142),COLUMNS(Data!$Q$3:T142)),IF($Q$1=$P$6,INDEX(prem_analysis!$BU$1:$CF$67,ROWS(prem_analysis!$N$2:Q141),COLUMNS(prem_analysis!$N$2:Q141)),IF($Q$1=$P$4,INDEX(Table24[[#All],[Year]:[Details]],ROWS(prem_analysis!$M$420:P559),COLUMNS(Data!$Q$3:T142)))))),"")</f>
        <v/>
      </c>
      <c r="V141" s="1" t="str">
        <f>IFERROR(IF($Q$1=$P$3,INDEX(prem_analysis!$P$2:$Q$441,ROWS(Data!$P$2:U141),COLUMNS(Data!$P$3:T142)),IF($Q$1=$P$5,INDEX(prem_analysis!$BH$1:$BS$23,ROWS(Data!$Q$3:U142),COLUMNS(Data!$Q$3:U142)),IF($Q$1=$P$6,INDEX(prem_analysis!$BU$1:$CF$67,ROWS(prem_analysis!$N$2:R141),COLUMNS(prem_analysis!$N$2:R141)),IF($Q$1=$P$4,INDEX(Table24[[#All],[Year]:[Details]],ROWS(prem_analysis!$M$420:Q559),COLUMNS(Data!$Q$3:U142)))))),"")</f>
        <v/>
      </c>
      <c r="W141" s="1" t="str">
        <f>IFERROR(IF($Q$1=$P$3,INDEX(prem_analysis!$P$2:$Q$441,ROWS(Data!$P$2:V141),COLUMNS(Data!$P$3:U142)),IF($Q$1=$P$5,INDEX(prem_analysis!$BH$1:$BS$23,ROWS(Data!$Q$3:V142),COLUMNS(Data!$Q$3:V142)),IF($Q$1=$P$6,INDEX(prem_analysis!$BU$1:$CF$67,ROWS(prem_analysis!$N$2:S141),COLUMNS(prem_analysis!$N$2:S141)),IF($Q$1=$P$4,INDEX(Table24[[#All],[Year]:[Details]],ROWS(prem_analysis!$M$420:R559),COLUMNS(Data!$Q$3:V142)))))),"")</f>
        <v/>
      </c>
      <c r="X141" s="1" t="str">
        <f>IFERROR(IF($Q$1=$P$3,INDEX(prem_analysis!$P$2:$Q$441,ROWS(Data!$P$2:W141),COLUMNS(Data!$P$3:V142)),IF($Q$1=$P$5,INDEX(prem_analysis!$BH$1:$BS$23,ROWS(Data!$Q$3:W142),COLUMNS(Data!$Q$3:W142)),IF($Q$1=$P$6,INDEX(prem_analysis!$BU$1:$CF$67,ROWS(prem_analysis!$N$2:T141),COLUMNS(prem_analysis!$N$2:T141)),IF($Q$1=$P$4,INDEX(Table24[[#All],[Year]:[Details]],ROWS(prem_analysis!$M$420:S559),COLUMNS(Data!$Q$3:W142)))))),"")</f>
        <v/>
      </c>
      <c r="Y141" s="1" t="str">
        <f>IFERROR(IF($Q$1=$P$3,INDEX(prem_analysis!$P$2:$Q$441,ROWS(Data!$P$2:X141),COLUMNS(Data!$P$3:W142)),IF($Q$1=$P$5,INDEX(prem_analysis!$BH$1:$BS$23,ROWS(Data!$Q$3:X142),COLUMNS(Data!$Q$3:X142)),IF($Q$1=$P$6,INDEX(prem_analysis!$BU$1:$CF$67,ROWS(prem_analysis!$N$2:U141),COLUMNS(prem_analysis!$N$2:U141)),IF($Q$1=$P$4,INDEX(Table24[[#All],[Year]:[Details]],ROWS(prem_analysis!$M$420:T559),COLUMNS(Data!$Q$3:X142)))))),"")</f>
        <v/>
      </c>
      <c r="Z141" s="1" t="str">
        <f>IFERROR(IF($Q$1=$P$3,INDEX(prem_analysis!$P$2:$Q$441,ROWS(Data!$P$2:Y141),COLUMNS(Data!$P$3:X142)),IF($Q$1=$P$5,INDEX(prem_analysis!$BH$1:$BS$23,ROWS(Data!$Q$3:Y142),COLUMNS(Data!$Q$3:Y142)),IF($Q$1=$P$6,INDEX(prem_analysis!$BU$1:$CF$67,ROWS(prem_analysis!$N$2:V141),COLUMNS(prem_analysis!$N$2:V141)),IF($Q$1=$P$4,INDEX(Table24[[#All],[Year]:[Details]],ROWS(prem_analysis!$M$420:U559),COLUMNS(Data!$Q$3:Y142)))))),"")</f>
        <v/>
      </c>
      <c r="AA141" s="1" t="str">
        <f>IFERROR(IF($Q$1=$P$3,INDEX(prem_analysis!$P$2:$Q$441,ROWS(Data!$P$2:Z141),COLUMNS(Data!$P$3:Y142)),IF($Q$1=$P$5,INDEX(prem_analysis!$BH$1:$BS$23,ROWS(Data!$Q$3:Z142),COLUMNS(Data!$Q$3:Z142)),IF($Q$1=$P$6,INDEX(prem_analysis!$BU$1:$CF$67,ROWS(prem_analysis!$N$2:W141),COLUMNS(prem_analysis!$N$2:W141)),IF($Q$1=$P$4,INDEX(Table24[[#All],[Year]:[Details]],ROWS(prem_analysis!$M$420:V559),COLUMNS(Data!$Q$3:Z142)))))),"")</f>
        <v/>
      </c>
      <c r="AB141" s="1" t="str">
        <f>IFERROR(IF($Q$1=$P$3,INDEX(prem_analysis!$P$2:$Q$441,ROWS(Data!$P$2:AA141),COLUMNS(Data!$P$3:Z142)),IF($Q$1=$P$5,INDEX(prem_analysis!$BH$1:$BS$23,ROWS(Data!$Q$3:AA142),COLUMNS(Data!$Q$3:AA142)),IF($Q$1=$P$6,INDEX(prem_analysis!$BU$1:$CF$67,ROWS(prem_analysis!$N$2:X141),COLUMNS(prem_analysis!$N$2:X141)),IF($Q$1=$P$4,INDEX(Table24[[#All],[Year]:[Details]],ROWS(prem_analysis!$M$420:W559),COLUMNS(Data!$Q$3:AA142)))))),"")</f>
        <v/>
      </c>
      <c r="AC141" s="1" t="str">
        <f>IFERROR(IF($Q$1=$P$3,INDEX(prem_analysis!$P$2:$Q$441,ROWS(Data!$P$2:AB141),COLUMNS(Data!$P$3:AA142)),IF($Q$1=$P$5,INDEX(prem_analysis!$BH$1:$BS$23,ROWS(Data!$Q$3:AB142),COLUMNS(Data!$Q$3:AB142)),IF($Q$1=$P$6,INDEX(prem_analysis!$BU$1:$CF$67,ROWS(prem_analysis!$N$2:Y141),COLUMNS(prem_analysis!$N$2:Y141)),IF($Q$1=$P$4,INDEX(Table24[[#All],[Year]:[Details]],ROWS(prem_analysis!$M$420:X559),COLUMNS(Data!$Q$3:AB142)))))),"")</f>
        <v/>
      </c>
    </row>
    <row r="142" spans="1:29" x14ac:dyDescent="0.2">
      <c r="A142" s="3">
        <v>2007</v>
      </c>
      <c r="B142" s="3">
        <v>1</v>
      </c>
      <c r="C142" s="4" t="s">
        <v>11</v>
      </c>
      <c r="D142" s="3">
        <v>38</v>
      </c>
      <c r="E142" s="3">
        <v>27</v>
      </c>
      <c r="F142" s="3">
        <v>6</v>
      </c>
      <c r="G142" s="3">
        <v>5</v>
      </c>
      <c r="H142" s="3">
        <v>80</v>
      </c>
      <c r="I142" s="3">
        <v>22</v>
      </c>
      <c r="J142" s="3">
        <v>58</v>
      </c>
      <c r="K142" s="3">
        <v>87</v>
      </c>
      <c r="L142" s="5" t="str">
        <f>IF(Table24[[#This Row],['#]]=1,"Champion", IF(Table24[[#This Row],['#]]&gt;=18,"Relegated",Table24[[#This Row],['#]]))</f>
        <v>Champion</v>
      </c>
      <c r="M142" s="5" t="str">
        <f>IF(Table24[[#This Row],[Details]]=2,K141-Table24[[#This Row],[Pts]],IF(Table24[[#This Row],[Details]]=17,Table24[[#This Row],[Pts]]-K143,""))</f>
        <v/>
      </c>
      <c r="R142" s="1" t="str">
        <f>IFERROR(IF($Q$1=$P$3,INDEX(prem_analysis!$P$2:$Q$441,ROWS(Data!$P$2:Q142),COLUMNS(Data!$P$3:P143)),IF($Q$1=$P$5,INDEX(prem_analysis!$BH$1:$BS$23,ROWS(Data!$Q$3:Q143),COLUMNS(Data!$Q$3:Q143)),IF($Q$1=$P$6,INDEX(prem_analysis!$BU$1:$CF$67,ROWS(prem_analysis!$N$2:N142),COLUMNS(prem_analysis!$N$2:N142)),IF($Q$1=$P$4,INDEX(Table24[[#All],[Year]:[Details]],ROWS(prem_analysis!$M$420:M560),COLUMNS(Data!$Q$3:Q143)))))),"")</f>
        <v/>
      </c>
      <c r="S142" s="1" t="str">
        <f>IFERROR(IF($Q$1=$P$3,INDEX(prem_analysis!$P$2:$Q$441,ROWS(Data!$P$2:R142),COLUMNS(Data!$P$3:Q143)),IF($Q$1=$P$5,INDEX(prem_analysis!$BH$1:$BS$23,ROWS(Data!$Q$3:R143),COLUMNS(Data!$Q$3:R143)),IF($Q$1=$P$6,INDEX(prem_analysis!$BU$1:$CF$67,ROWS(prem_analysis!$N$2:O142),COLUMNS(prem_analysis!$N$2:O142)),IF($Q$1=$P$4,INDEX(Table24[[#All],[Year]:[Details]],ROWS(prem_analysis!$M$420:N560),COLUMNS(Data!$Q$3:R143)))))),"")</f>
        <v/>
      </c>
      <c r="T142" s="1" t="str">
        <f>IFERROR(IF($Q$1=$P$3,INDEX(prem_analysis!$P$2:$Q$441,ROWS(Data!$P$2:S142),COLUMNS(Data!$P$3:R143)),IF($Q$1=$P$5,INDEX(prem_analysis!$BH$1:$BS$23,ROWS(Data!$Q$3:S143),COLUMNS(Data!$Q$3:S143)),IF($Q$1=$P$6,INDEX(prem_analysis!$BU$1:$CF$67,ROWS(prem_analysis!$N$2:P142),COLUMNS(prem_analysis!$N$2:P142)),IF($Q$1=$P$4,INDEX(Table24[[#All],[Year]:[Details]],ROWS(prem_analysis!$M$420:O560),COLUMNS(Data!$Q$3:S143)))))),"")</f>
        <v/>
      </c>
      <c r="U142" s="1" t="str">
        <f>IFERROR(IF($Q$1=$P$3,INDEX(prem_analysis!$P$2:$Q$441,ROWS(Data!$P$2:T142),COLUMNS(Data!$P$3:S143)),IF($Q$1=$P$5,INDEX(prem_analysis!$BH$1:$BS$23,ROWS(Data!$Q$3:T143),COLUMNS(Data!$Q$3:T143)),IF($Q$1=$P$6,INDEX(prem_analysis!$BU$1:$CF$67,ROWS(prem_analysis!$N$2:Q142),COLUMNS(prem_analysis!$N$2:Q142)),IF($Q$1=$P$4,INDEX(Table24[[#All],[Year]:[Details]],ROWS(prem_analysis!$M$420:P560),COLUMNS(Data!$Q$3:T143)))))),"")</f>
        <v/>
      </c>
      <c r="V142" s="1" t="str">
        <f>IFERROR(IF($Q$1=$P$3,INDEX(prem_analysis!$P$2:$Q$441,ROWS(Data!$P$2:U142),COLUMNS(Data!$P$3:T143)),IF($Q$1=$P$5,INDEX(prem_analysis!$BH$1:$BS$23,ROWS(Data!$Q$3:U143),COLUMNS(Data!$Q$3:U143)),IF($Q$1=$P$6,INDEX(prem_analysis!$BU$1:$CF$67,ROWS(prem_analysis!$N$2:R142),COLUMNS(prem_analysis!$N$2:R142)),IF($Q$1=$P$4,INDEX(Table24[[#All],[Year]:[Details]],ROWS(prem_analysis!$M$420:Q560),COLUMNS(Data!$Q$3:U143)))))),"")</f>
        <v/>
      </c>
      <c r="W142" s="1" t="str">
        <f>IFERROR(IF($Q$1=$P$3,INDEX(prem_analysis!$P$2:$Q$441,ROWS(Data!$P$2:V142),COLUMNS(Data!$P$3:U143)),IF($Q$1=$P$5,INDEX(prem_analysis!$BH$1:$BS$23,ROWS(Data!$Q$3:V143),COLUMNS(Data!$Q$3:V143)),IF($Q$1=$P$6,INDEX(prem_analysis!$BU$1:$CF$67,ROWS(prem_analysis!$N$2:S142),COLUMNS(prem_analysis!$N$2:S142)),IF($Q$1=$P$4,INDEX(Table24[[#All],[Year]:[Details]],ROWS(prem_analysis!$M$420:R560),COLUMNS(Data!$Q$3:V143)))))),"")</f>
        <v/>
      </c>
      <c r="X142" s="1" t="str">
        <f>IFERROR(IF($Q$1=$P$3,INDEX(prem_analysis!$P$2:$Q$441,ROWS(Data!$P$2:W142),COLUMNS(Data!$P$3:V143)),IF($Q$1=$P$5,INDEX(prem_analysis!$BH$1:$BS$23,ROWS(Data!$Q$3:W143),COLUMNS(Data!$Q$3:W143)),IF($Q$1=$P$6,INDEX(prem_analysis!$BU$1:$CF$67,ROWS(prem_analysis!$N$2:T142),COLUMNS(prem_analysis!$N$2:T142)),IF($Q$1=$P$4,INDEX(Table24[[#All],[Year]:[Details]],ROWS(prem_analysis!$M$420:S560),COLUMNS(Data!$Q$3:W143)))))),"")</f>
        <v/>
      </c>
      <c r="Y142" s="1" t="str">
        <f>IFERROR(IF($Q$1=$P$3,INDEX(prem_analysis!$P$2:$Q$441,ROWS(Data!$P$2:X142),COLUMNS(Data!$P$3:W143)),IF($Q$1=$P$5,INDEX(prem_analysis!$BH$1:$BS$23,ROWS(Data!$Q$3:X143),COLUMNS(Data!$Q$3:X143)),IF($Q$1=$P$6,INDEX(prem_analysis!$BU$1:$CF$67,ROWS(prem_analysis!$N$2:U142),COLUMNS(prem_analysis!$N$2:U142)),IF($Q$1=$P$4,INDEX(Table24[[#All],[Year]:[Details]],ROWS(prem_analysis!$M$420:T560),COLUMNS(Data!$Q$3:X143)))))),"")</f>
        <v/>
      </c>
      <c r="Z142" s="1" t="str">
        <f>IFERROR(IF($Q$1=$P$3,INDEX(prem_analysis!$P$2:$Q$441,ROWS(Data!$P$2:Y142),COLUMNS(Data!$P$3:X143)),IF($Q$1=$P$5,INDEX(prem_analysis!$BH$1:$BS$23,ROWS(Data!$Q$3:Y143),COLUMNS(Data!$Q$3:Y143)),IF($Q$1=$P$6,INDEX(prem_analysis!$BU$1:$CF$67,ROWS(prem_analysis!$N$2:V142),COLUMNS(prem_analysis!$N$2:V142)),IF($Q$1=$P$4,INDEX(Table24[[#All],[Year]:[Details]],ROWS(prem_analysis!$M$420:U560),COLUMNS(Data!$Q$3:Y143)))))),"")</f>
        <v/>
      </c>
      <c r="AA142" s="1" t="str">
        <f>IFERROR(IF($Q$1=$P$3,INDEX(prem_analysis!$P$2:$Q$441,ROWS(Data!$P$2:Z142),COLUMNS(Data!$P$3:Y143)),IF($Q$1=$P$5,INDEX(prem_analysis!$BH$1:$BS$23,ROWS(Data!$Q$3:Z143),COLUMNS(Data!$Q$3:Z143)),IF($Q$1=$P$6,INDEX(prem_analysis!$BU$1:$CF$67,ROWS(prem_analysis!$N$2:W142),COLUMNS(prem_analysis!$N$2:W142)),IF($Q$1=$P$4,INDEX(Table24[[#All],[Year]:[Details]],ROWS(prem_analysis!$M$420:V560),COLUMNS(Data!$Q$3:Z143)))))),"")</f>
        <v/>
      </c>
      <c r="AB142" s="1" t="str">
        <f>IFERROR(IF($Q$1=$P$3,INDEX(prem_analysis!$P$2:$Q$441,ROWS(Data!$P$2:AA142),COLUMNS(Data!$P$3:Z143)),IF($Q$1=$P$5,INDEX(prem_analysis!$BH$1:$BS$23,ROWS(Data!$Q$3:AA143),COLUMNS(Data!$Q$3:AA143)),IF($Q$1=$P$6,INDEX(prem_analysis!$BU$1:$CF$67,ROWS(prem_analysis!$N$2:X142),COLUMNS(prem_analysis!$N$2:X142)),IF($Q$1=$P$4,INDEX(Table24[[#All],[Year]:[Details]],ROWS(prem_analysis!$M$420:W560),COLUMNS(Data!$Q$3:AA143)))))),"")</f>
        <v/>
      </c>
      <c r="AC142" s="1" t="str">
        <f>IFERROR(IF($Q$1=$P$3,INDEX(prem_analysis!$P$2:$Q$441,ROWS(Data!$P$2:AB142),COLUMNS(Data!$P$3:AA143)),IF($Q$1=$P$5,INDEX(prem_analysis!$BH$1:$BS$23,ROWS(Data!$Q$3:AB143),COLUMNS(Data!$Q$3:AB143)),IF($Q$1=$P$6,INDEX(prem_analysis!$BU$1:$CF$67,ROWS(prem_analysis!$N$2:Y142),COLUMNS(prem_analysis!$N$2:Y142)),IF($Q$1=$P$4,INDEX(Table24[[#All],[Year]:[Details]],ROWS(prem_analysis!$M$420:X560),COLUMNS(Data!$Q$3:AB143)))))),"")</f>
        <v/>
      </c>
    </row>
    <row r="143" spans="1:29" x14ac:dyDescent="0.2">
      <c r="A143" s="5">
        <v>2007</v>
      </c>
      <c r="B143" s="5">
        <v>2</v>
      </c>
      <c r="C143" s="6" t="s">
        <v>16</v>
      </c>
      <c r="D143" s="5">
        <v>38</v>
      </c>
      <c r="E143" s="5">
        <v>25</v>
      </c>
      <c r="F143" s="5">
        <v>10</v>
      </c>
      <c r="G143" s="5">
        <v>3</v>
      </c>
      <c r="H143" s="5">
        <v>65</v>
      </c>
      <c r="I143" s="5">
        <v>26</v>
      </c>
      <c r="J143" s="5">
        <v>39</v>
      </c>
      <c r="K143" s="5">
        <v>85</v>
      </c>
      <c r="L143" s="5">
        <f>IF(Table24[[#This Row],['#]]=1,"Champion", IF(Table24[[#This Row],['#]]&gt;=18,"Relegated",Table24[[#This Row],['#]]))</f>
        <v>2</v>
      </c>
      <c r="M143" s="5">
        <f>IF(Table24[[#This Row],[Details]]=2,K142-Table24[[#This Row],[Pts]],IF(Table24[[#This Row],[Details]]=17,Table24[[#This Row],[Pts]]-K144,""))</f>
        <v>2</v>
      </c>
      <c r="R143" s="1" t="str">
        <f>IFERROR(IF($Q$1=$P$3,INDEX(prem_analysis!$P$2:$Q$441,ROWS(Data!$P$2:Q143),COLUMNS(Data!$P$3:P144)),IF($Q$1=$P$5,INDEX(prem_analysis!$BH$1:$BS$23,ROWS(Data!$Q$3:Q144),COLUMNS(Data!$Q$3:Q144)),IF($Q$1=$P$6,INDEX(prem_analysis!$BU$1:$CF$67,ROWS(prem_analysis!$N$2:N143),COLUMNS(prem_analysis!$N$2:N143)),IF($Q$1=$P$4,INDEX(Table24[[#All],[Year]:[Details]],ROWS(prem_analysis!$M$420:M561),COLUMNS(Data!$Q$3:Q144)))))),"")</f>
        <v/>
      </c>
      <c r="S143" s="1" t="str">
        <f>IFERROR(IF($Q$1=$P$3,INDEX(prem_analysis!$P$2:$Q$441,ROWS(Data!$P$2:R143),COLUMNS(Data!$P$3:Q144)),IF($Q$1=$P$5,INDEX(prem_analysis!$BH$1:$BS$23,ROWS(Data!$Q$3:R144),COLUMNS(Data!$Q$3:R144)),IF($Q$1=$P$6,INDEX(prem_analysis!$BU$1:$CF$67,ROWS(prem_analysis!$N$2:O143),COLUMNS(prem_analysis!$N$2:O143)),IF($Q$1=$P$4,INDEX(Table24[[#All],[Year]:[Details]],ROWS(prem_analysis!$M$420:N561),COLUMNS(Data!$Q$3:R144)))))),"")</f>
        <v/>
      </c>
      <c r="T143" s="1" t="str">
        <f>IFERROR(IF($Q$1=$P$3,INDEX(prem_analysis!$P$2:$Q$441,ROWS(Data!$P$2:S143),COLUMNS(Data!$P$3:R144)),IF($Q$1=$P$5,INDEX(prem_analysis!$BH$1:$BS$23,ROWS(Data!$Q$3:S144),COLUMNS(Data!$Q$3:S144)),IF($Q$1=$P$6,INDEX(prem_analysis!$BU$1:$CF$67,ROWS(prem_analysis!$N$2:P143),COLUMNS(prem_analysis!$N$2:P143)),IF($Q$1=$P$4,INDEX(Table24[[#All],[Year]:[Details]],ROWS(prem_analysis!$M$420:O561),COLUMNS(Data!$Q$3:S144)))))),"")</f>
        <v/>
      </c>
      <c r="U143" s="1" t="str">
        <f>IFERROR(IF($Q$1=$P$3,INDEX(prem_analysis!$P$2:$Q$441,ROWS(Data!$P$2:T143),COLUMNS(Data!$P$3:S144)),IF($Q$1=$P$5,INDEX(prem_analysis!$BH$1:$BS$23,ROWS(Data!$Q$3:T144),COLUMNS(Data!$Q$3:T144)),IF($Q$1=$P$6,INDEX(prem_analysis!$BU$1:$CF$67,ROWS(prem_analysis!$N$2:Q143),COLUMNS(prem_analysis!$N$2:Q143)),IF($Q$1=$P$4,INDEX(Table24[[#All],[Year]:[Details]],ROWS(prem_analysis!$M$420:P561),COLUMNS(Data!$Q$3:T144)))))),"")</f>
        <v/>
      </c>
      <c r="V143" s="1" t="str">
        <f>IFERROR(IF($Q$1=$P$3,INDEX(prem_analysis!$P$2:$Q$441,ROWS(Data!$P$2:U143),COLUMNS(Data!$P$3:T144)),IF($Q$1=$P$5,INDEX(prem_analysis!$BH$1:$BS$23,ROWS(Data!$Q$3:U144),COLUMNS(Data!$Q$3:U144)),IF($Q$1=$P$6,INDEX(prem_analysis!$BU$1:$CF$67,ROWS(prem_analysis!$N$2:R143),COLUMNS(prem_analysis!$N$2:R143)),IF($Q$1=$P$4,INDEX(Table24[[#All],[Year]:[Details]],ROWS(prem_analysis!$M$420:Q561),COLUMNS(Data!$Q$3:U144)))))),"")</f>
        <v/>
      </c>
      <c r="W143" s="1" t="str">
        <f>IFERROR(IF($Q$1=$P$3,INDEX(prem_analysis!$P$2:$Q$441,ROWS(Data!$P$2:V143),COLUMNS(Data!$P$3:U144)),IF($Q$1=$P$5,INDEX(prem_analysis!$BH$1:$BS$23,ROWS(Data!$Q$3:V144),COLUMNS(Data!$Q$3:V144)),IF($Q$1=$P$6,INDEX(prem_analysis!$BU$1:$CF$67,ROWS(prem_analysis!$N$2:S143),COLUMNS(prem_analysis!$N$2:S143)),IF($Q$1=$P$4,INDEX(Table24[[#All],[Year]:[Details]],ROWS(prem_analysis!$M$420:R561),COLUMNS(Data!$Q$3:V144)))))),"")</f>
        <v/>
      </c>
      <c r="X143" s="1" t="str">
        <f>IFERROR(IF($Q$1=$P$3,INDEX(prem_analysis!$P$2:$Q$441,ROWS(Data!$P$2:W143),COLUMNS(Data!$P$3:V144)),IF($Q$1=$P$5,INDEX(prem_analysis!$BH$1:$BS$23,ROWS(Data!$Q$3:W144),COLUMNS(Data!$Q$3:W144)),IF($Q$1=$P$6,INDEX(prem_analysis!$BU$1:$CF$67,ROWS(prem_analysis!$N$2:T143),COLUMNS(prem_analysis!$N$2:T143)),IF($Q$1=$P$4,INDEX(Table24[[#All],[Year]:[Details]],ROWS(prem_analysis!$M$420:S561),COLUMNS(Data!$Q$3:W144)))))),"")</f>
        <v/>
      </c>
      <c r="Y143" s="1" t="str">
        <f>IFERROR(IF($Q$1=$P$3,INDEX(prem_analysis!$P$2:$Q$441,ROWS(Data!$P$2:X143),COLUMNS(Data!$P$3:W144)),IF($Q$1=$P$5,INDEX(prem_analysis!$BH$1:$BS$23,ROWS(Data!$Q$3:X144),COLUMNS(Data!$Q$3:X144)),IF($Q$1=$P$6,INDEX(prem_analysis!$BU$1:$CF$67,ROWS(prem_analysis!$N$2:U143),COLUMNS(prem_analysis!$N$2:U143)),IF($Q$1=$P$4,INDEX(Table24[[#All],[Year]:[Details]],ROWS(prem_analysis!$M$420:T561),COLUMNS(Data!$Q$3:X144)))))),"")</f>
        <v/>
      </c>
      <c r="Z143" s="1" t="str">
        <f>IFERROR(IF($Q$1=$P$3,INDEX(prem_analysis!$P$2:$Q$441,ROWS(Data!$P$2:Y143),COLUMNS(Data!$P$3:X144)),IF($Q$1=$P$5,INDEX(prem_analysis!$BH$1:$BS$23,ROWS(Data!$Q$3:Y144),COLUMNS(Data!$Q$3:Y144)),IF($Q$1=$P$6,INDEX(prem_analysis!$BU$1:$CF$67,ROWS(prem_analysis!$N$2:V143),COLUMNS(prem_analysis!$N$2:V143)),IF($Q$1=$P$4,INDEX(Table24[[#All],[Year]:[Details]],ROWS(prem_analysis!$M$420:U561),COLUMNS(Data!$Q$3:Y144)))))),"")</f>
        <v/>
      </c>
      <c r="AA143" s="1" t="str">
        <f>IFERROR(IF($Q$1=$P$3,INDEX(prem_analysis!$P$2:$Q$441,ROWS(Data!$P$2:Z143),COLUMNS(Data!$P$3:Y144)),IF($Q$1=$P$5,INDEX(prem_analysis!$BH$1:$BS$23,ROWS(Data!$Q$3:Z144),COLUMNS(Data!$Q$3:Z144)),IF($Q$1=$P$6,INDEX(prem_analysis!$BU$1:$CF$67,ROWS(prem_analysis!$N$2:W143),COLUMNS(prem_analysis!$N$2:W143)),IF($Q$1=$P$4,INDEX(Table24[[#All],[Year]:[Details]],ROWS(prem_analysis!$M$420:V561),COLUMNS(Data!$Q$3:Z144)))))),"")</f>
        <v/>
      </c>
      <c r="AB143" s="1" t="str">
        <f>IFERROR(IF($Q$1=$P$3,INDEX(prem_analysis!$P$2:$Q$441,ROWS(Data!$P$2:AA143),COLUMNS(Data!$P$3:Z144)),IF($Q$1=$P$5,INDEX(prem_analysis!$BH$1:$BS$23,ROWS(Data!$Q$3:AA144),COLUMNS(Data!$Q$3:AA144)),IF($Q$1=$P$6,INDEX(prem_analysis!$BU$1:$CF$67,ROWS(prem_analysis!$N$2:X143),COLUMNS(prem_analysis!$N$2:X143)),IF($Q$1=$P$4,INDEX(Table24[[#All],[Year]:[Details]],ROWS(prem_analysis!$M$420:W561),COLUMNS(Data!$Q$3:AA144)))))),"")</f>
        <v/>
      </c>
      <c r="AC143" s="1" t="str">
        <f>IFERROR(IF($Q$1=$P$3,INDEX(prem_analysis!$P$2:$Q$441,ROWS(Data!$P$2:AB143),COLUMNS(Data!$P$3:AA144)),IF($Q$1=$P$5,INDEX(prem_analysis!$BH$1:$BS$23,ROWS(Data!$Q$3:AB144),COLUMNS(Data!$Q$3:AB144)),IF($Q$1=$P$6,INDEX(prem_analysis!$BU$1:$CF$67,ROWS(prem_analysis!$N$2:Y143),COLUMNS(prem_analysis!$N$2:Y143)),IF($Q$1=$P$4,INDEX(Table24[[#All],[Year]:[Details]],ROWS(prem_analysis!$M$420:X561),COLUMNS(Data!$Q$3:AB144)))))),"")</f>
        <v/>
      </c>
    </row>
    <row r="144" spans="1:29" x14ac:dyDescent="0.2">
      <c r="A144" s="3">
        <v>2007</v>
      </c>
      <c r="B144" s="3">
        <v>3</v>
      </c>
      <c r="C144" s="6" t="s">
        <v>12</v>
      </c>
      <c r="D144" s="3">
        <v>38</v>
      </c>
      <c r="E144" s="3">
        <v>24</v>
      </c>
      <c r="F144" s="3">
        <v>11</v>
      </c>
      <c r="G144" s="3">
        <v>3</v>
      </c>
      <c r="H144" s="3">
        <v>74</v>
      </c>
      <c r="I144" s="3">
        <v>31</v>
      </c>
      <c r="J144" s="3">
        <v>43</v>
      </c>
      <c r="K144" s="3">
        <v>83</v>
      </c>
      <c r="L144" s="5">
        <f>IF(Table24[[#This Row],['#]]=1,"Champion", IF(Table24[[#This Row],['#]]&gt;=18,"Relegated",Table24[[#This Row],['#]]))</f>
        <v>3</v>
      </c>
      <c r="M144" s="5" t="str">
        <f>IF(Table24[[#This Row],[Details]]=2,K143-Table24[[#This Row],[Pts]],IF(Table24[[#This Row],[Details]]=17,Table24[[#This Row],[Pts]]-K145,""))</f>
        <v/>
      </c>
      <c r="R144" s="1" t="str">
        <f>IFERROR(IF($Q$1=$P$3,INDEX(prem_analysis!$P$2:$Q$441,ROWS(Data!$P$2:Q144),COLUMNS(Data!$P$3:P145)),IF($Q$1=$P$5,INDEX(prem_analysis!$BH$1:$BS$23,ROWS(Data!$Q$3:Q145),COLUMNS(Data!$Q$3:Q145)),IF($Q$1=$P$6,INDEX(prem_analysis!$BU$1:$CF$67,ROWS(prem_analysis!$N$2:N144),COLUMNS(prem_analysis!$N$2:N144)),IF($Q$1=$P$4,INDEX(Table24[[#All],[Year]:[Details]],ROWS(prem_analysis!$M$420:M562),COLUMNS(Data!$Q$3:Q145)))))),"")</f>
        <v/>
      </c>
      <c r="S144" s="1" t="str">
        <f>IFERROR(IF($Q$1=$P$3,INDEX(prem_analysis!$P$2:$Q$441,ROWS(Data!$P$2:R144),COLUMNS(Data!$P$3:Q145)),IF($Q$1=$P$5,INDEX(prem_analysis!$BH$1:$BS$23,ROWS(Data!$Q$3:R145),COLUMNS(Data!$Q$3:R145)),IF($Q$1=$P$6,INDEX(prem_analysis!$BU$1:$CF$67,ROWS(prem_analysis!$N$2:O144),COLUMNS(prem_analysis!$N$2:O144)),IF($Q$1=$P$4,INDEX(Table24[[#All],[Year]:[Details]],ROWS(prem_analysis!$M$420:N562),COLUMNS(Data!$Q$3:R145)))))),"")</f>
        <v/>
      </c>
      <c r="T144" s="1" t="str">
        <f>IFERROR(IF($Q$1=$P$3,INDEX(prem_analysis!$P$2:$Q$441,ROWS(Data!$P$2:S144),COLUMNS(Data!$P$3:R145)),IF($Q$1=$P$5,INDEX(prem_analysis!$BH$1:$BS$23,ROWS(Data!$Q$3:S145),COLUMNS(Data!$Q$3:S145)),IF($Q$1=$P$6,INDEX(prem_analysis!$BU$1:$CF$67,ROWS(prem_analysis!$N$2:P144),COLUMNS(prem_analysis!$N$2:P144)),IF($Q$1=$P$4,INDEX(Table24[[#All],[Year]:[Details]],ROWS(prem_analysis!$M$420:O562),COLUMNS(Data!$Q$3:S145)))))),"")</f>
        <v/>
      </c>
      <c r="U144" s="1" t="str">
        <f>IFERROR(IF($Q$1=$P$3,INDEX(prem_analysis!$P$2:$Q$441,ROWS(Data!$P$2:T144),COLUMNS(Data!$P$3:S145)),IF($Q$1=$P$5,INDEX(prem_analysis!$BH$1:$BS$23,ROWS(Data!$Q$3:T145),COLUMNS(Data!$Q$3:T145)),IF($Q$1=$P$6,INDEX(prem_analysis!$BU$1:$CF$67,ROWS(prem_analysis!$N$2:Q144),COLUMNS(prem_analysis!$N$2:Q144)),IF($Q$1=$P$4,INDEX(Table24[[#All],[Year]:[Details]],ROWS(prem_analysis!$M$420:P562),COLUMNS(Data!$Q$3:T145)))))),"")</f>
        <v/>
      </c>
      <c r="V144" s="1" t="str">
        <f>IFERROR(IF($Q$1=$P$3,INDEX(prem_analysis!$P$2:$Q$441,ROWS(Data!$P$2:U144),COLUMNS(Data!$P$3:T145)),IF($Q$1=$P$5,INDEX(prem_analysis!$BH$1:$BS$23,ROWS(Data!$Q$3:U145),COLUMNS(Data!$Q$3:U145)),IF($Q$1=$P$6,INDEX(prem_analysis!$BU$1:$CF$67,ROWS(prem_analysis!$N$2:R144),COLUMNS(prem_analysis!$N$2:R144)),IF($Q$1=$P$4,INDEX(Table24[[#All],[Year]:[Details]],ROWS(prem_analysis!$M$420:Q562),COLUMNS(Data!$Q$3:U145)))))),"")</f>
        <v/>
      </c>
      <c r="W144" s="1" t="str">
        <f>IFERROR(IF($Q$1=$P$3,INDEX(prem_analysis!$P$2:$Q$441,ROWS(Data!$P$2:V144),COLUMNS(Data!$P$3:U145)),IF($Q$1=$P$5,INDEX(prem_analysis!$BH$1:$BS$23,ROWS(Data!$Q$3:V145),COLUMNS(Data!$Q$3:V145)),IF($Q$1=$P$6,INDEX(prem_analysis!$BU$1:$CF$67,ROWS(prem_analysis!$N$2:S144),COLUMNS(prem_analysis!$N$2:S144)),IF($Q$1=$P$4,INDEX(Table24[[#All],[Year]:[Details]],ROWS(prem_analysis!$M$420:R562),COLUMNS(Data!$Q$3:V145)))))),"")</f>
        <v/>
      </c>
      <c r="X144" s="1" t="str">
        <f>IFERROR(IF($Q$1=$P$3,INDEX(prem_analysis!$P$2:$Q$441,ROWS(Data!$P$2:W144),COLUMNS(Data!$P$3:V145)),IF($Q$1=$P$5,INDEX(prem_analysis!$BH$1:$BS$23,ROWS(Data!$Q$3:W145),COLUMNS(Data!$Q$3:W145)),IF($Q$1=$P$6,INDEX(prem_analysis!$BU$1:$CF$67,ROWS(prem_analysis!$N$2:T144),COLUMNS(prem_analysis!$N$2:T144)),IF($Q$1=$P$4,INDEX(Table24[[#All],[Year]:[Details]],ROWS(prem_analysis!$M$420:S562),COLUMNS(Data!$Q$3:W145)))))),"")</f>
        <v/>
      </c>
      <c r="Y144" s="1" t="str">
        <f>IFERROR(IF($Q$1=$P$3,INDEX(prem_analysis!$P$2:$Q$441,ROWS(Data!$P$2:X144),COLUMNS(Data!$P$3:W145)),IF($Q$1=$P$5,INDEX(prem_analysis!$BH$1:$BS$23,ROWS(Data!$Q$3:X145),COLUMNS(Data!$Q$3:X145)),IF($Q$1=$P$6,INDEX(prem_analysis!$BU$1:$CF$67,ROWS(prem_analysis!$N$2:U144),COLUMNS(prem_analysis!$N$2:U144)),IF($Q$1=$P$4,INDEX(Table24[[#All],[Year]:[Details]],ROWS(prem_analysis!$M$420:T562),COLUMNS(Data!$Q$3:X145)))))),"")</f>
        <v/>
      </c>
      <c r="Z144" s="1" t="str">
        <f>IFERROR(IF($Q$1=$P$3,INDEX(prem_analysis!$P$2:$Q$441,ROWS(Data!$P$2:Y144),COLUMNS(Data!$P$3:X145)),IF($Q$1=$P$5,INDEX(prem_analysis!$BH$1:$BS$23,ROWS(Data!$Q$3:Y145),COLUMNS(Data!$Q$3:Y145)),IF($Q$1=$P$6,INDEX(prem_analysis!$BU$1:$CF$67,ROWS(prem_analysis!$N$2:V144),COLUMNS(prem_analysis!$N$2:V144)),IF($Q$1=$P$4,INDEX(Table24[[#All],[Year]:[Details]],ROWS(prem_analysis!$M$420:U562),COLUMNS(Data!$Q$3:Y145)))))),"")</f>
        <v/>
      </c>
      <c r="AA144" s="1" t="str">
        <f>IFERROR(IF($Q$1=$P$3,INDEX(prem_analysis!$P$2:$Q$441,ROWS(Data!$P$2:Z144),COLUMNS(Data!$P$3:Y145)),IF($Q$1=$P$5,INDEX(prem_analysis!$BH$1:$BS$23,ROWS(Data!$Q$3:Z145),COLUMNS(Data!$Q$3:Z145)),IF($Q$1=$P$6,INDEX(prem_analysis!$BU$1:$CF$67,ROWS(prem_analysis!$N$2:W144),COLUMNS(prem_analysis!$N$2:W144)),IF($Q$1=$P$4,INDEX(Table24[[#All],[Year]:[Details]],ROWS(prem_analysis!$M$420:V562),COLUMNS(Data!$Q$3:Z145)))))),"")</f>
        <v/>
      </c>
      <c r="AB144" s="1" t="str">
        <f>IFERROR(IF($Q$1=$P$3,INDEX(prem_analysis!$P$2:$Q$441,ROWS(Data!$P$2:AA144),COLUMNS(Data!$P$3:Z145)),IF($Q$1=$P$5,INDEX(prem_analysis!$BH$1:$BS$23,ROWS(Data!$Q$3:AA145),COLUMNS(Data!$Q$3:AA145)),IF($Q$1=$P$6,INDEX(prem_analysis!$BU$1:$CF$67,ROWS(prem_analysis!$N$2:X144),COLUMNS(prem_analysis!$N$2:X144)),IF($Q$1=$P$4,INDEX(Table24[[#All],[Year]:[Details]],ROWS(prem_analysis!$M$420:W562),COLUMNS(Data!$Q$3:AA145)))))),"")</f>
        <v/>
      </c>
      <c r="AC144" s="1" t="str">
        <f>IFERROR(IF($Q$1=$P$3,INDEX(prem_analysis!$P$2:$Q$441,ROWS(Data!$P$2:AB144),COLUMNS(Data!$P$3:AA145)),IF($Q$1=$P$5,INDEX(prem_analysis!$BH$1:$BS$23,ROWS(Data!$Q$3:AB145),COLUMNS(Data!$Q$3:AB145)),IF($Q$1=$P$6,INDEX(prem_analysis!$BU$1:$CF$67,ROWS(prem_analysis!$N$2:Y144),COLUMNS(prem_analysis!$N$2:Y144)),IF($Q$1=$P$4,INDEX(Table24[[#All],[Year]:[Details]],ROWS(prem_analysis!$M$420:X562),COLUMNS(Data!$Q$3:AB145)))))),"")</f>
        <v/>
      </c>
    </row>
    <row r="145" spans="1:29" x14ac:dyDescent="0.2">
      <c r="A145" s="5">
        <v>2007</v>
      </c>
      <c r="B145" s="5">
        <v>4</v>
      </c>
      <c r="C145" s="4" t="s">
        <v>13</v>
      </c>
      <c r="D145" s="5">
        <v>38</v>
      </c>
      <c r="E145" s="5">
        <v>21</v>
      </c>
      <c r="F145" s="5">
        <v>13</v>
      </c>
      <c r="G145" s="5">
        <v>4</v>
      </c>
      <c r="H145" s="5">
        <v>67</v>
      </c>
      <c r="I145" s="5">
        <v>28</v>
      </c>
      <c r="J145" s="5">
        <v>39</v>
      </c>
      <c r="K145" s="5">
        <v>76</v>
      </c>
      <c r="L145" s="5">
        <f>IF(Table24[[#This Row],['#]]=1,"Champion", IF(Table24[[#This Row],['#]]&gt;=18,"Relegated",Table24[[#This Row],['#]]))</f>
        <v>4</v>
      </c>
      <c r="M145" s="5" t="str">
        <f>IF(Table24[[#This Row],[Details]]=2,K144-Table24[[#This Row],[Pts]],IF(Table24[[#This Row],[Details]]=17,Table24[[#This Row],[Pts]]-K146,""))</f>
        <v/>
      </c>
      <c r="R145" s="1" t="str">
        <f>IFERROR(IF($Q$1=$P$3,INDEX(prem_analysis!$P$2:$Q$441,ROWS(Data!$P$2:Q145),COLUMNS(Data!$P$3:P146)),IF($Q$1=$P$5,INDEX(prem_analysis!$BH$1:$BS$23,ROWS(Data!$Q$3:Q146),COLUMNS(Data!$Q$3:Q146)),IF($Q$1=$P$6,INDEX(prem_analysis!$BU$1:$CF$67,ROWS(prem_analysis!$N$2:N145),COLUMNS(prem_analysis!$N$2:N145)),IF($Q$1=$P$4,INDEX(Table24[[#All],[Year]:[Details]],ROWS(prem_analysis!$M$420:M563),COLUMNS(Data!$Q$3:Q146)))))),"")</f>
        <v/>
      </c>
      <c r="S145" s="1" t="str">
        <f>IFERROR(IF($Q$1=$P$3,INDEX(prem_analysis!$P$2:$Q$441,ROWS(Data!$P$2:R145),COLUMNS(Data!$P$3:Q146)),IF($Q$1=$P$5,INDEX(prem_analysis!$BH$1:$BS$23,ROWS(Data!$Q$3:R146),COLUMNS(Data!$Q$3:R146)),IF($Q$1=$P$6,INDEX(prem_analysis!$BU$1:$CF$67,ROWS(prem_analysis!$N$2:O145),COLUMNS(prem_analysis!$N$2:O145)),IF($Q$1=$P$4,INDEX(Table24[[#All],[Year]:[Details]],ROWS(prem_analysis!$M$420:N563),COLUMNS(Data!$Q$3:R146)))))),"")</f>
        <v/>
      </c>
      <c r="T145" s="1" t="str">
        <f>IFERROR(IF($Q$1=$P$3,INDEX(prem_analysis!$P$2:$Q$441,ROWS(Data!$P$2:S145),COLUMNS(Data!$P$3:R146)),IF($Q$1=$P$5,INDEX(prem_analysis!$BH$1:$BS$23,ROWS(Data!$Q$3:S146),COLUMNS(Data!$Q$3:S146)),IF($Q$1=$P$6,INDEX(prem_analysis!$BU$1:$CF$67,ROWS(prem_analysis!$N$2:P145),COLUMNS(prem_analysis!$N$2:P145)),IF($Q$1=$P$4,INDEX(Table24[[#All],[Year]:[Details]],ROWS(prem_analysis!$M$420:O563),COLUMNS(Data!$Q$3:S146)))))),"")</f>
        <v/>
      </c>
      <c r="U145" s="1" t="str">
        <f>IFERROR(IF($Q$1=$P$3,INDEX(prem_analysis!$P$2:$Q$441,ROWS(Data!$P$2:T145),COLUMNS(Data!$P$3:S146)),IF($Q$1=$P$5,INDEX(prem_analysis!$BH$1:$BS$23,ROWS(Data!$Q$3:T146),COLUMNS(Data!$Q$3:T146)),IF($Q$1=$P$6,INDEX(prem_analysis!$BU$1:$CF$67,ROWS(prem_analysis!$N$2:Q145),COLUMNS(prem_analysis!$N$2:Q145)),IF($Q$1=$P$4,INDEX(Table24[[#All],[Year]:[Details]],ROWS(prem_analysis!$M$420:P563),COLUMNS(Data!$Q$3:T146)))))),"")</f>
        <v/>
      </c>
      <c r="V145" s="1" t="str">
        <f>IFERROR(IF($Q$1=$P$3,INDEX(prem_analysis!$P$2:$Q$441,ROWS(Data!$P$2:U145),COLUMNS(Data!$P$3:T146)),IF($Q$1=$P$5,INDEX(prem_analysis!$BH$1:$BS$23,ROWS(Data!$Q$3:U146),COLUMNS(Data!$Q$3:U146)),IF($Q$1=$P$6,INDEX(prem_analysis!$BU$1:$CF$67,ROWS(prem_analysis!$N$2:R145),COLUMNS(prem_analysis!$N$2:R145)),IF($Q$1=$P$4,INDEX(Table24[[#All],[Year]:[Details]],ROWS(prem_analysis!$M$420:Q563),COLUMNS(Data!$Q$3:U146)))))),"")</f>
        <v/>
      </c>
      <c r="W145" s="1" t="str">
        <f>IFERROR(IF($Q$1=$P$3,INDEX(prem_analysis!$P$2:$Q$441,ROWS(Data!$P$2:V145),COLUMNS(Data!$P$3:U146)),IF($Q$1=$P$5,INDEX(prem_analysis!$BH$1:$BS$23,ROWS(Data!$Q$3:V146),COLUMNS(Data!$Q$3:V146)),IF($Q$1=$P$6,INDEX(prem_analysis!$BU$1:$CF$67,ROWS(prem_analysis!$N$2:S145),COLUMNS(prem_analysis!$N$2:S145)),IF($Q$1=$P$4,INDEX(Table24[[#All],[Year]:[Details]],ROWS(prem_analysis!$M$420:R563),COLUMNS(Data!$Q$3:V146)))))),"")</f>
        <v/>
      </c>
      <c r="X145" s="1" t="str">
        <f>IFERROR(IF($Q$1=$P$3,INDEX(prem_analysis!$P$2:$Q$441,ROWS(Data!$P$2:W145),COLUMNS(Data!$P$3:V146)),IF($Q$1=$P$5,INDEX(prem_analysis!$BH$1:$BS$23,ROWS(Data!$Q$3:W146),COLUMNS(Data!$Q$3:W146)),IF($Q$1=$P$6,INDEX(prem_analysis!$BU$1:$CF$67,ROWS(prem_analysis!$N$2:T145),COLUMNS(prem_analysis!$N$2:T145)),IF($Q$1=$P$4,INDEX(Table24[[#All],[Year]:[Details]],ROWS(prem_analysis!$M$420:S563),COLUMNS(Data!$Q$3:W146)))))),"")</f>
        <v/>
      </c>
      <c r="Y145" s="1" t="str">
        <f>IFERROR(IF($Q$1=$P$3,INDEX(prem_analysis!$P$2:$Q$441,ROWS(Data!$P$2:X145),COLUMNS(Data!$P$3:W146)),IF($Q$1=$P$5,INDEX(prem_analysis!$BH$1:$BS$23,ROWS(Data!$Q$3:X146),COLUMNS(Data!$Q$3:X146)),IF($Q$1=$P$6,INDEX(prem_analysis!$BU$1:$CF$67,ROWS(prem_analysis!$N$2:U145),COLUMNS(prem_analysis!$N$2:U145)),IF($Q$1=$P$4,INDEX(Table24[[#All],[Year]:[Details]],ROWS(prem_analysis!$M$420:T563),COLUMNS(Data!$Q$3:X146)))))),"")</f>
        <v/>
      </c>
      <c r="Z145" s="1" t="str">
        <f>IFERROR(IF($Q$1=$P$3,INDEX(prem_analysis!$P$2:$Q$441,ROWS(Data!$P$2:Y145),COLUMNS(Data!$P$3:X146)),IF($Q$1=$P$5,INDEX(prem_analysis!$BH$1:$BS$23,ROWS(Data!$Q$3:Y146),COLUMNS(Data!$Q$3:Y146)),IF($Q$1=$P$6,INDEX(prem_analysis!$BU$1:$CF$67,ROWS(prem_analysis!$N$2:V145),COLUMNS(prem_analysis!$N$2:V145)),IF($Q$1=$P$4,INDEX(Table24[[#All],[Year]:[Details]],ROWS(prem_analysis!$M$420:U563),COLUMNS(Data!$Q$3:Y146)))))),"")</f>
        <v/>
      </c>
      <c r="AA145" s="1" t="str">
        <f>IFERROR(IF($Q$1=$P$3,INDEX(prem_analysis!$P$2:$Q$441,ROWS(Data!$P$2:Z145),COLUMNS(Data!$P$3:Y146)),IF($Q$1=$P$5,INDEX(prem_analysis!$BH$1:$BS$23,ROWS(Data!$Q$3:Z146),COLUMNS(Data!$Q$3:Z146)),IF($Q$1=$P$6,INDEX(prem_analysis!$BU$1:$CF$67,ROWS(prem_analysis!$N$2:W145),COLUMNS(prem_analysis!$N$2:W145)),IF($Q$1=$P$4,INDEX(Table24[[#All],[Year]:[Details]],ROWS(prem_analysis!$M$420:V563),COLUMNS(Data!$Q$3:Z146)))))),"")</f>
        <v/>
      </c>
      <c r="AB145" s="1" t="str">
        <f>IFERROR(IF($Q$1=$P$3,INDEX(prem_analysis!$P$2:$Q$441,ROWS(Data!$P$2:AA145),COLUMNS(Data!$P$3:Z146)),IF($Q$1=$P$5,INDEX(prem_analysis!$BH$1:$BS$23,ROWS(Data!$Q$3:AA146),COLUMNS(Data!$Q$3:AA146)),IF($Q$1=$P$6,INDEX(prem_analysis!$BU$1:$CF$67,ROWS(prem_analysis!$N$2:X145),COLUMNS(prem_analysis!$N$2:X145)),IF($Q$1=$P$4,INDEX(Table24[[#All],[Year]:[Details]],ROWS(prem_analysis!$M$420:W563),COLUMNS(Data!$Q$3:AA146)))))),"")</f>
        <v/>
      </c>
      <c r="AC145" s="1" t="str">
        <f>IFERROR(IF($Q$1=$P$3,INDEX(prem_analysis!$P$2:$Q$441,ROWS(Data!$P$2:AB145),COLUMNS(Data!$P$3:AA146)),IF($Q$1=$P$5,INDEX(prem_analysis!$BH$1:$BS$23,ROWS(Data!$Q$3:AB146),COLUMNS(Data!$Q$3:AB146)),IF($Q$1=$P$6,INDEX(prem_analysis!$BU$1:$CF$67,ROWS(prem_analysis!$N$2:Y145),COLUMNS(prem_analysis!$N$2:Y145)),IF($Q$1=$P$4,INDEX(Table24[[#All],[Year]:[Details]],ROWS(prem_analysis!$M$420:X563),COLUMNS(Data!$Q$3:AB146)))))),"")</f>
        <v/>
      </c>
    </row>
    <row r="146" spans="1:29" x14ac:dyDescent="0.2">
      <c r="A146" s="3">
        <v>2007</v>
      </c>
      <c r="B146" s="3">
        <v>5</v>
      </c>
      <c r="C146" s="4" t="s">
        <v>26</v>
      </c>
      <c r="D146" s="3">
        <v>38</v>
      </c>
      <c r="E146" s="3">
        <v>19</v>
      </c>
      <c r="F146" s="3">
        <v>8</v>
      </c>
      <c r="G146" s="3">
        <v>11</v>
      </c>
      <c r="H146" s="3">
        <v>55</v>
      </c>
      <c r="I146" s="3">
        <v>33</v>
      </c>
      <c r="J146" s="3">
        <v>22</v>
      </c>
      <c r="K146" s="3">
        <v>65</v>
      </c>
      <c r="L146" s="5">
        <f>IF(Table24[[#This Row],['#]]=1,"Champion", IF(Table24[[#This Row],['#]]&gt;=18,"Relegated",Table24[[#This Row],['#]]))</f>
        <v>5</v>
      </c>
      <c r="M146" s="5" t="str">
        <f>IF(Table24[[#This Row],[Details]]=2,K145-Table24[[#This Row],[Pts]],IF(Table24[[#This Row],[Details]]=17,Table24[[#This Row],[Pts]]-K147,""))</f>
        <v/>
      </c>
      <c r="R146" s="1" t="str">
        <f>IFERROR(IF($Q$1=$P$3,INDEX(prem_analysis!$P$2:$Q$441,ROWS(Data!$P$2:Q146),COLUMNS(Data!$P$3:P147)),IF($Q$1=$P$5,INDEX(prem_analysis!$BH$1:$BS$23,ROWS(Data!$Q$3:Q147),COLUMNS(Data!$Q$3:Q147)),IF($Q$1=$P$6,INDEX(prem_analysis!$BU$1:$CF$67,ROWS(prem_analysis!$N$2:N146),COLUMNS(prem_analysis!$N$2:N146)),IF($Q$1=$P$4,INDEX(Table24[[#All],[Year]:[Details]],ROWS(prem_analysis!$M$420:M564),COLUMNS(Data!$Q$3:Q147)))))),"")</f>
        <v/>
      </c>
      <c r="S146" s="1" t="str">
        <f>IFERROR(IF($Q$1=$P$3,INDEX(prem_analysis!$P$2:$Q$441,ROWS(Data!$P$2:R146),COLUMNS(Data!$P$3:Q147)),IF($Q$1=$P$5,INDEX(prem_analysis!$BH$1:$BS$23,ROWS(Data!$Q$3:R147),COLUMNS(Data!$Q$3:R147)),IF($Q$1=$P$6,INDEX(prem_analysis!$BU$1:$CF$67,ROWS(prem_analysis!$N$2:O146),COLUMNS(prem_analysis!$N$2:O146)),IF($Q$1=$P$4,INDEX(Table24[[#All],[Year]:[Details]],ROWS(prem_analysis!$M$420:N564),COLUMNS(Data!$Q$3:R147)))))),"")</f>
        <v/>
      </c>
      <c r="T146" s="1" t="str">
        <f>IFERROR(IF($Q$1=$P$3,INDEX(prem_analysis!$P$2:$Q$441,ROWS(Data!$P$2:S146),COLUMNS(Data!$P$3:R147)),IF($Q$1=$P$5,INDEX(prem_analysis!$BH$1:$BS$23,ROWS(Data!$Q$3:S147),COLUMNS(Data!$Q$3:S147)),IF($Q$1=$P$6,INDEX(prem_analysis!$BU$1:$CF$67,ROWS(prem_analysis!$N$2:P146),COLUMNS(prem_analysis!$N$2:P146)),IF($Q$1=$P$4,INDEX(Table24[[#All],[Year]:[Details]],ROWS(prem_analysis!$M$420:O564),COLUMNS(Data!$Q$3:S147)))))),"")</f>
        <v/>
      </c>
      <c r="U146" s="1" t="str">
        <f>IFERROR(IF($Q$1=$P$3,INDEX(prem_analysis!$P$2:$Q$441,ROWS(Data!$P$2:T146),COLUMNS(Data!$P$3:S147)),IF($Q$1=$P$5,INDEX(prem_analysis!$BH$1:$BS$23,ROWS(Data!$Q$3:T147),COLUMNS(Data!$Q$3:T147)),IF($Q$1=$P$6,INDEX(prem_analysis!$BU$1:$CF$67,ROWS(prem_analysis!$N$2:Q146),COLUMNS(prem_analysis!$N$2:Q146)),IF($Q$1=$P$4,INDEX(Table24[[#All],[Year]:[Details]],ROWS(prem_analysis!$M$420:P564),COLUMNS(Data!$Q$3:T147)))))),"")</f>
        <v/>
      </c>
      <c r="V146" s="1" t="str">
        <f>IFERROR(IF($Q$1=$P$3,INDEX(prem_analysis!$P$2:$Q$441,ROWS(Data!$P$2:U146),COLUMNS(Data!$P$3:T147)),IF($Q$1=$P$5,INDEX(prem_analysis!$BH$1:$BS$23,ROWS(Data!$Q$3:U147),COLUMNS(Data!$Q$3:U147)),IF($Q$1=$P$6,INDEX(prem_analysis!$BU$1:$CF$67,ROWS(prem_analysis!$N$2:R146),COLUMNS(prem_analysis!$N$2:R146)),IF($Q$1=$P$4,INDEX(Table24[[#All],[Year]:[Details]],ROWS(prem_analysis!$M$420:Q564),COLUMNS(Data!$Q$3:U147)))))),"")</f>
        <v/>
      </c>
      <c r="W146" s="1" t="str">
        <f>IFERROR(IF($Q$1=$P$3,INDEX(prem_analysis!$P$2:$Q$441,ROWS(Data!$P$2:V146),COLUMNS(Data!$P$3:U147)),IF($Q$1=$P$5,INDEX(prem_analysis!$BH$1:$BS$23,ROWS(Data!$Q$3:V147),COLUMNS(Data!$Q$3:V147)),IF($Q$1=$P$6,INDEX(prem_analysis!$BU$1:$CF$67,ROWS(prem_analysis!$N$2:S146),COLUMNS(prem_analysis!$N$2:S146)),IF($Q$1=$P$4,INDEX(Table24[[#All],[Year]:[Details]],ROWS(prem_analysis!$M$420:R564),COLUMNS(Data!$Q$3:V147)))))),"")</f>
        <v/>
      </c>
      <c r="X146" s="1" t="str">
        <f>IFERROR(IF($Q$1=$P$3,INDEX(prem_analysis!$P$2:$Q$441,ROWS(Data!$P$2:W146),COLUMNS(Data!$P$3:V147)),IF($Q$1=$P$5,INDEX(prem_analysis!$BH$1:$BS$23,ROWS(Data!$Q$3:W147),COLUMNS(Data!$Q$3:W147)),IF($Q$1=$P$6,INDEX(prem_analysis!$BU$1:$CF$67,ROWS(prem_analysis!$N$2:T146),COLUMNS(prem_analysis!$N$2:T146)),IF($Q$1=$P$4,INDEX(Table24[[#All],[Year]:[Details]],ROWS(prem_analysis!$M$420:S564),COLUMNS(Data!$Q$3:W147)))))),"")</f>
        <v/>
      </c>
      <c r="Y146" s="1" t="str">
        <f>IFERROR(IF($Q$1=$P$3,INDEX(prem_analysis!$P$2:$Q$441,ROWS(Data!$P$2:X146),COLUMNS(Data!$P$3:W147)),IF($Q$1=$P$5,INDEX(prem_analysis!$BH$1:$BS$23,ROWS(Data!$Q$3:X147),COLUMNS(Data!$Q$3:X147)),IF($Q$1=$P$6,INDEX(prem_analysis!$BU$1:$CF$67,ROWS(prem_analysis!$N$2:U146),COLUMNS(prem_analysis!$N$2:U146)),IF($Q$1=$P$4,INDEX(Table24[[#All],[Year]:[Details]],ROWS(prem_analysis!$M$420:T564),COLUMNS(Data!$Q$3:X147)))))),"")</f>
        <v/>
      </c>
      <c r="Z146" s="1" t="str">
        <f>IFERROR(IF($Q$1=$P$3,INDEX(prem_analysis!$P$2:$Q$441,ROWS(Data!$P$2:Y146),COLUMNS(Data!$P$3:X147)),IF($Q$1=$P$5,INDEX(prem_analysis!$BH$1:$BS$23,ROWS(Data!$Q$3:Y147),COLUMNS(Data!$Q$3:Y147)),IF($Q$1=$P$6,INDEX(prem_analysis!$BU$1:$CF$67,ROWS(prem_analysis!$N$2:V146),COLUMNS(prem_analysis!$N$2:V146)),IF($Q$1=$P$4,INDEX(Table24[[#All],[Year]:[Details]],ROWS(prem_analysis!$M$420:U564),COLUMNS(Data!$Q$3:Y147)))))),"")</f>
        <v/>
      </c>
      <c r="AA146" s="1" t="str">
        <f>IFERROR(IF($Q$1=$P$3,INDEX(prem_analysis!$P$2:$Q$441,ROWS(Data!$P$2:Z146),COLUMNS(Data!$P$3:Y147)),IF($Q$1=$P$5,INDEX(prem_analysis!$BH$1:$BS$23,ROWS(Data!$Q$3:Z147),COLUMNS(Data!$Q$3:Z147)),IF($Q$1=$P$6,INDEX(prem_analysis!$BU$1:$CF$67,ROWS(prem_analysis!$N$2:W146),COLUMNS(prem_analysis!$N$2:W146)),IF($Q$1=$P$4,INDEX(Table24[[#All],[Year]:[Details]],ROWS(prem_analysis!$M$420:V564),COLUMNS(Data!$Q$3:Z147)))))),"")</f>
        <v/>
      </c>
      <c r="AB146" s="1" t="str">
        <f>IFERROR(IF($Q$1=$P$3,INDEX(prem_analysis!$P$2:$Q$441,ROWS(Data!$P$2:AA146),COLUMNS(Data!$P$3:Z147)),IF($Q$1=$P$5,INDEX(prem_analysis!$BH$1:$BS$23,ROWS(Data!$Q$3:AA147),COLUMNS(Data!$Q$3:AA147)),IF($Q$1=$P$6,INDEX(prem_analysis!$BU$1:$CF$67,ROWS(prem_analysis!$N$2:X146),COLUMNS(prem_analysis!$N$2:X146)),IF($Q$1=$P$4,INDEX(Table24[[#All],[Year]:[Details]],ROWS(prem_analysis!$M$420:W564),COLUMNS(Data!$Q$3:AA147)))))),"")</f>
        <v/>
      </c>
      <c r="AC146" s="1" t="str">
        <f>IFERROR(IF($Q$1=$P$3,INDEX(prem_analysis!$P$2:$Q$441,ROWS(Data!$P$2:AB146),COLUMNS(Data!$P$3:AA147)),IF($Q$1=$P$5,INDEX(prem_analysis!$BH$1:$BS$23,ROWS(Data!$Q$3:AB147),COLUMNS(Data!$Q$3:AB147)),IF($Q$1=$P$6,INDEX(prem_analysis!$BU$1:$CF$67,ROWS(prem_analysis!$N$2:Y146),COLUMNS(prem_analysis!$N$2:Y146)),IF($Q$1=$P$4,INDEX(Table24[[#All],[Year]:[Details]],ROWS(prem_analysis!$M$420:X564),COLUMNS(Data!$Q$3:AB147)))))),"")</f>
        <v/>
      </c>
    </row>
    <row r="147" spans="1:29" x14ac:dyDescent="0.2">
      <c r="A147" s="5">
        <v>2007</v>
      </c>
      <c r="B147" s="5">
        <v>6</v>
      </c>
      <c r="C147" s="6" t="s">
        <v>18</v>
      </c>
      <c r="D147" s="5">
        <v>38</v>
      </c>
      <c r="E147" s="5">
        <v>16</v>
      </c>
      <c r="F147" s="5">
        <v>12</v>
      </c>
      <c r="G147" s="5">
        <v>10</v>
      </c>
      <c r="H147" s="5">
        <v>71</v>
      </c>
      <c r="I147" s="5">
        <v>51</v>
      </c>
      <c r="J147" s="5">
        <v>20</v>
      </c>
      <c r="K147" s="5">
        <v>60</v>
      </c>
      <c r="L147" s="5">
        <f>IF(Table24[[#This Row],['#]]=1,"Champion", IF(Table24[[#This Row],['#]]&gt;=18,"Relegated",Table24[[#This Row],['#]]))</f>
        <v>6</v>
      </c>
      <c r="M147" s="5" t="str">
        <f>IF(Table24[[#This Row],[Details]]=2,K146-Table24[[#This Row],[Pts]],IF(Table24[[#This Row],[Details]]=17,Table24[[#This Row],[Pts]]-K148,""))</f>
        <v/>
      </c>
      <c r="R147" s="1" t="str">
        <f>IFERROR(IF($Q$1=$P$3,INDEX(prem_analysis!$P$2:$Q$441,ROWS(Data!$P$2:Q147),COLUMNS(Data!$P$3:P148)),IF($Q$1=$P$5,INDEX(prem_analysis!$BH$1:$BS$23,ROWS(Data!$Q$3:Q148),COLUMNS(Data!$Q$3:Q148)),IF($Q$1=$P$6,INDEX(prem_analysis!$BU$1:$CF$67,ROWS(prem_analysis!$N$2:N147),COLUMNS(prem_analysis!$N$2:N147)),IF($Q$1=$P$4,INDEX(Table24[[#All],[Year]:[Details]],ROWS(prem_analysis!$M$420:M565),COLUMNS(Data!$Q$3:Q148)))))),"")</f>
        <v/>
      </c>
      <c r="S147" s="1" t="str">
        <f>IFERROR(IF($Q$1=$P$3,INDEX(prem_analysis!$P$2:$Q$441,ROWS(Data!$P$2:R147),COLUMNS(Data!$P$3:Q148)),IF($Q$1=$P$5,INDEX(prem_analysis!$BH$1:$BS$23,ROWS(Data!$Q$3:R148),COLUMNS(Data!$Q$3:R148)),IF($Q$1=$P$6,INDEX(prem_analysis!$BU$1:$CF$67,ROWS(prem_analysis!$N$2:O147),COLUMNS(prem_analysis!$N$2:O147)),IF($Q$1=$P$4,INDEX(Table24[[#All],[Year]:[Details]],ROWS(prem_analysis!$M$420:N565),COLUMNS(Data!$Q$3:R148)))))),"")</f>
        <v/>
      </c>
      <c r="T147" s="1" t="str">
        <f>IFERROR(IF($Q$1=$P$3,INDEX(prem_analysis!$P$2:$Q$441,ROWS(Data!$P$2:S147),COLUMNS(Data!$P$3:R148)),IF($Q$1=$P$5,INDEX(prem_analysis!$BH$1:$BS$23,ROWS(Data!$Q$3:S148),COLUMNS(Data!$Q$3:S148)),IF($Q$1=$P$6,INDEX(prem_analysis!$BU$1:$CF$67,ROWS(prem_analysis!$N$2:P147),COLUMNS(prem_analysis!$N$2:P147)),IF($Q$1=$P$4,INDEX(Table24[[#All],[Year]:[Details]],ROWS(prem_analysis!$M$420:O565),COLUMNS(Data!$Q$3:S148)))))),"")</f>
        <v/>
      </c>
      <c r="U147" s="1" t="str">
        <f>IFERROR(IF($Q$1=$P$3,INDEX(prem_analysis!$P$2:$Q$441,ROWS(Data!$P$2:T147),COLUMNS(Data!$P$3:S148)),IF($Q$1=$P$5,INDEX(prem_analysis!$BH$1:$BS$23,ROWS(Data!$Q$3:T148),COLUMNS(Data!$Q$3:T148)),IF($Q$1=$P$6,INDEX(prem_analysis!$BU$1:$CF$67,ROWS(prem_analysis!$N$2:Q147),COLUMNS(prem_analysis!$N$2:Q147)),IF($Q$1=$P$4,INDEX(Table24[[#All],[Year]:[Details]],ROWS(prem_analysis!$M$420:P565),COLUMNS(Data!$Q$3:T148)))))),"")</f>
        <v/>
      </c>
      <c r="V147" s="1" t="str">
        <f>IFERROR(IF($Q$1=$P$3,INDEX(prem_analysis!$P$2:$Q$441,ROWS(Data!$P$2:U147),COLUMNS(Data!$P$3:T148)),IF($Q$1=$P$5,INDEX(prem_analysis!$BH$1:$BS$23,ROWS(Data!$Q$3:U148),COLUMNS(Data!$Q$3:U148)),IF($Q$1=$P$6,INDEX(prem_analysis!$BU$1:$CF$67,ROWS(prem_analysis!$N$2:R147),COLUMNS(prem_analysis!$N$2:R147)),IF($Q$1=$P$4,INDEX(Table24[[#All],[Year]:[Details]],ROWS(prem_analysis!$M$420:Q565),COLUMNS(Data!$Q$3:U148)))))),"")</f>
        <v/>
      </c>
      <c r="W147" s="1" t="str">
        <f>IFERROR(IF($Q$1=$P$3,INDEX(prem_analysis!$P$2:$Q$441,ROWS(Data!$P$2:V147),COLUMNS(Data!$P$3:U148)),IF($Q$1=$P$5,INDEX(prem_analysis!$BH$1:$BS$23,ROWS(Data!$Q$3:V148),COLUMNS(Data!$Q$3:V148)),IF($Q$1=$P$6,INDEX(prem_analysis!$BU$1:$CF$67,ROWS(prem_analysis!$N$2:S147),COLUMNS(prem_analysis!$N$2:S147)),IF($Q$1=$P$4,INDEX(Table24[[#All],[Year]:[Details]],ROWS(prem_analysis!$M$420:R565),COLUMNS(Data!$Q$3:V148)))))),"")</f>
        <v/>
      </c>
      <c r="X147" s="1" t="str">
        <f>IFERROR(IF($Q$1=$P$3,INDEX(prem_analysis!$P$2:$Q$441,ROWS(Data!$P$2:W147),COLUMNS(Data!$P$3:V148)),IF($Q$1=$P$5,INDEX(prem_analysis!$BH$1:$BS$23,ROWS(Data!$Q$3:W148),COLUMNS(Data!$Q$3:W148)),IF($Q$1=$P$6,INDEX(prem_analysis!$BU$1:$CF$67,ROWS(prem_analysis!$N$2:T147),COLUMNS(prem_analysis!$N$2:T147)),IF($Q$1=$P$4,INDEX(Table24[[#All],[Year]:[Details]],ROWS(prem_analysis!$M$420:S565),COLUMNS(Data!$Q$3:W148)))))),"")</f>
        <v/>
      </c>
      <c r="Y147" s="1" t="str">
        <f>IFERROR(IF($Q$1=$P$3,INDEX(prem_analysis!$P$2:$Q$441,ROWS(Data!$P$2:X147),COLUMNS(Data!$P$3:W148)),IF($Q$1=$P$5,INDEX(prem_analysis!$BH$1:$BS$23,ROWS(Data!$Q$3:X148),COLUMNS(Data!$Q$3:X148)),IF($Q$1=$P$6,INDEX(prem_analysis!$BU$1:$CF$67,ROWS(prem_analysis!$N$2:U147),COLUMNS(prem_analysis!$N$2:U147)),IF($Q$1=$P$4,INDEX(Table24[[#All],[Year]:[Details]],ROWS(prem_analysis!$M$420:T565),COLUMNS(Data!$Q$3:X148)))))),"")</f>
        <v/>
      </c>
      <c r="Z147" s="1" t="str">
        <f>IFERROR(IF($Q$1=$P$3,INDEX(prem_analysis!$P$2:$Q$441,ROWS(Data!$P$2:Y147),COLUMNS(Data!$P$3:X148)),IF($Q$1=$P$5,INDEX(prem_analysis!$BH$1:$BS$23,ROWS(Data!$Q$3:Y148),COLUMNS(Data!$Q$3:Y148)),IF($Q$1=$P$6,INDEX(prem_analysis!$BU$1:$CF$67,ROWS(prem_analysis!$N$2:V147),COLUMNS(prem_analysis!$N$2:V147)),IF($Q$1=$P$4,INDEX(Table24[[#All],[Year]:[Details]],ROWS(prem_analysis!$M$420:U565),COLUMNS(Data!$Q$3:Y148)))))),"")</f>
        <v/>
      </c>
      <c r="AA147" s="1" t="str">
        <f>IFERROR(IF($Q$1=$P$3,INDEX(prem_analysis!$P$2:$Q$441,ROWS(Data!$P$2:Z147),COLUMNS(Data!$P$3:Y148)),IF($Q$1=$P$5,INDEX(prem_analysis!$BH$1:$BS$23,ROWS(Data!$Q$3:Z148),COLUMNS(Data!$Q$3:Z148)),IF($Q$1=$P$6,INDEX(prem_analysis!$BU$1:$CF$67,ROWS(prem_analysis!$N$2:W147),COLUMNS(prem_analysis!$N$2:W147)),IF($Q$1=$P$4,INDEX(Table24[[#All],[Year]:[Details]],ROWS(prem_analysis!$M$420:V565),COLUMNS(Data!$Q$3:Z148)))))),"")</f>
        <v/>
      </c>
      <c r="AB147" s="1" t="str">
        <f>IFERROR(IF($Q$1=$P$3,INDEX(prem_analysis!$P$2:$Q$441,ROWS(Data!$P$2:AA147),COLUMNS(Data!$P$3:Z148)),IF($Q$1=$P$5,INDEX(prem_analysis!$BH$1:$BS$23,ROWS(Data!$Q$3:AA148),COLUMNS(Data!$Q$3:AA148)),IF($Q$1=$P$6,INDEX(prem_analysis!$BU$1:$CF$67,ROWS(prem_analysis!$N$2:X147),COLUMNS(prem_analysis!$N$2:X147)),IF($Q$1=$P$4,INDEX(Table24[[#All],[Year]:[Details]],ROWS(prem_analysis!$M$420:W565),COLUMNS(Data!$Q$3:AA148)))))),"")</f>
        <v/>
      </c>
      <c r="AC147" s="1" t="str">
        <f>IFERROR(IF($Q$1=$P$3,INDEX(prem_analysis!$P$2:$Q$441,ROWS(Data!$P$2:AB147),COLUMNS(Data!$P$3:AA148)),IF($Q$1=$P$5,INDEX(prem_analysis!$BH$1:$BS$23,ROWS(Data!$Q$3:AB148),COLUMNS(Data!$Q$3:AB148)),IF($Q$1=$P$6,INDEX(prem_analysis!$BU$1:$CF$67,ROWS(prem_analysis!$N$2:Y147),COLUMNS(prem_analysis!$N$2:Y147)),IF($Q$1=$P$4,INDEX(Table24[[#All],[Year]:[Details]],ROWS(prem_analysis!$M$420:X565),COLUMNS(Data!$Q$3:AB148)))))),"")</f>
        <v/>
      </c>
    </row>
    <row r="148" spans="1:29" x14ac:dyDescent="0.2">
      <c r="A148" s="3">
        <v>2007</v>
      </c>
      <c r="B148" s="3">
        <v>7</v>
      </c>
      <c r="C148" s="4" t="s">
        <v>31</v>
      </c>
      <c r="D148" s="3">
        <v>38</v>
      </c>
      <c r="E148" s="3">
        <v>15</v>
      </c>
      <c r="F148" s="3">
        <v>13</v>
      </c>
      <c r="G148" s="3">
        <v>10</v>
      </c>
      <c r="H148" s="3">
        <v>50</v>
      </c>
      <c r="I148" s="3">
        <v>48</v>
      </c>
      <c r="J148" s="3">
        <v>2</v>
      </c>
      <c r="K148" s="3">
        <v>58</v>
      </c>
      <c r="L148" s="5">
        <f>IF(Table24[[#This Row],['#]]=1,"Champion", IF(Table24[[#This Row],['#]]&gt;=18,"Relegated",Table24[[#This Row],['#]]))</f>
        <v>7</v>
      </c>
      <c r="M148" s="5" t="str">
        <f>IF(Table24[[#This Row],[Details]]=2,K147-Table24[[#This Row],[Pts]],IF(Table24[[#This Row],[Details]]=17,Table24[[#This Row],[Pts]]-K149,""))</f>
        <v/>
      </c>
      <c r="R148" s="1" t="str">
        <f>IFERROR(IF($Q$1=$P$3,INDEX(prem_analysis!$P$2:$Q$441,ROWS(Data!$P$2:Q148),COLUMNS(Data!$P$3:P149)),IF($Q$1=$P$5,INDEX(prem_analysis!$BH$1:$BS$23,ROWS(Data!$Q$3:Q149),COLUMNS(Data!$Q$3:Q149)),IF($Q$1=$P$6,INDEX(prem_analysis!$BU$1:$CF$67,ROWS(prem_analysis!$N$2:N148),COLUMNS(prem_analysis!$N$2:N148)),IF($Q$1=$P$4,INDEX(Table24[[#All],[Year]:[Details]],ROWS(prem_analysis!$M$420:M566),COLUMNS(Data!$Q$3:Q149)))))),"")</f>
        <v/>
      </c>
      <c r="S148" s="1" t="str">
        <f>IFERROR(IF($Q$1=$P$3,INDEX(prem_analysis!$P$2:$Q$441,ROWS(Data!$P$2:R148),COLUMNS(Data!$P$3:Q149)),IF($Q$1=$P$5,INDEX(prem_analysis!$BH$1:$BS$23,ROWS(Data!$Q$3:R149),COLUMNS(Data!$Q$3:R149)),IF($Q$1=$P$6,INDEX(prem_analysis!$BU$1:$CF$67,ROWS(prem_analysis!$N$2:O148),COLUMNS(prem_analysis!$N$2:O148)),IF($Q$1=$P$4,INDEX(Table24[[#All],[Year]:[Details]],ROWS(prem_analysis!$M$420:N566),COLUMNS(Data!$Q$3:R149)))))),"")</f>
        <v/>
      </c>
      <c r="T148" s="1" t="str">
        <f>IFERROR(IF($Q$1=$P$3,INDEX(prem_analysis!$P$2:$Q$441,ROWS(Data!$P$2:S148),COLUMNS(Data!$P$3:R149)),IF($Q$1=$P$5,INDEX(prem_analysis!$BH$1:$BS$23,ROWS(Data!$Q$3:S149),COLUMNS(Data!$Q$3:S149)),IF($Q$1=$P$6,INDEX(prem_analysis!$BU$1:$CF$67,ROWS(prem_analysis!$N$2:P148),COLUMNS(prem_analysis!$N$2:P148)),IF($Q$1=$P$4,INDEX(Table24[[#All],[Year]:[Details]],ROWS(prem_analysis!$M$420:O566),COLUMNS(Data!$Q$3:S149)))))),"")</f>
        <v/>
      </c>
      <c r="U148" s="1" t="str">
        <f>IFERROR(IF($Q$1=$P$3,INDEX(prem_analysis!$P$2:$Q$441,ROWS(Data!$P$2:T148),COLUMNS(Data!$P$3:S149)),IF($Q$1=$P$5,INDEX(prem_analysis!$BH$1:$BS$23,ROWS(Data!$Q$3:T149),COLUMNS(Data!$Q$3:T149)),IF($Q$1=$P$6,INDEX(prem_analysis!$BU$1:$CF$67,ROWS(prem_analysis!$N$2:Q148),COLUMNS(prem_analysis!$N$2:Q148)),IF($Q$1=$P$4,INDEX(Table24[[#All],[Year]:[Details]],ROWS(prem_analysis!$M$420:P566),COLUMNS(Data!$Q$3:T149)))))),"")</f>
        <v/>
      </c>
      <c r="V148" s="1" t="str">
        <f>IFERROR(IF($Q$1=$P$3,INDEX(prem_analysis!$P$2:$Q$441,ROWS(Data!$P$2:U148),COLUMNS(Data!$P$3:T149)),IF($Q$1=$P$5,INDEX(prem_analysis!$BH$1:$BS$23,ROWS(Data!$Q$3:U149),COLUMNS(Data!$Q$3:U149)),IF($Q$1=$P$6,INDEX(prem_analysis!$BU$1:$CF$67,ROWS(prem_analysis!$N$2:R148),COLUMNS(prem_analysis!$N$2:R148)),IF($Q$1=$P$4,INDEX(Table24[[#All],[Year]:[Details]],ROWS(prem_analysis!$M$420:Q566),COLUMNS(Data!$Q$3:U149)))))),"")</f>
        <v/>
      </c>
      <c r="W148" s="1" t="str">
        <f>IFERROR(IF($Q$1=$P$3,INDEX(prem_analysis!$P$2:$Q$441,ROWS(Data!$P$2:V148),COLUMNS(Data!$P$3:U149)),IF($Q$1=$P$5,INDEX(prem_analysis!$BH$1:$BS$23,ROWS(Data!$Q$3:V149),COLUMNS(Data!$Q$3:V149)),IF($Q$1=$P$6,INDEX(prem_analysis!$BU$1:$CF$67,ROWS(prem_analysis!$N$2:S148),COLUMNS(prem_analysis!$N$2:S148)),IF($Q$1=$P$4,INDEX(Table24[[#All],[Year]:[Details]],ROWS(prem_analysis!$M$420:R566),COLUMNS(Data!$Q$3:V149)))))),"")</f>
        <v/>
      </c>
      <c r="X148" s="1" t="str">
        <f>IFERROR(IF($Q$1=$P$3,INDEX(prem_analysis!$P$2:$Q$441,ROWS(Data!$P$2:W148),COLUMNS(Data!$P$3:V149)),IF($Q$1=$P$5,INDEX(prem_analysis!$BH$1:$BS$23,ROWS(Data!$Q$3:W149),COLUMNS(Data!$Q$3:W149)),IF($Q$1=$P$6,INDEX(prem_analysis!$BU$1:$CF$67,ROWS(prem_analysis!$N$2:T148),COLUMNS(prem_analysis!$N$2:T148)),IF($Q$1=$P$4,INDEX(Table24[[#All],[Year]:[Details]],ROWS(prem_analysis!$M$420:S566),COLUMNS(Data!$Q$3:W149)))))),"")</f>
        <v/>
      </c>
      <c r="Y148" s="1" t="str">
        <f>IFERROR(IF($Q$1=$P$3,INDEX(prem_analysis!$P$2:$Q$441,ROWS(Data!$P$2:X148),COLUMNS(Data!$P$3:W149)),IF($Q$1=$P$5,INDEX(prem_analysis!$BH$1:$BS$23,ROWS(Data!$Q$3:X149),COLUMNS(Data!$Q$3:X149)),IF($Q$1=$P$6,INDEX(prem_analysis!$BU$1:$CF$67,ROWS(prem_analysis!$N$2:U148),COLUMNS(prem_analysis!$N$2:U148)),IF($Q$1=$P$4,INDEX(Table24[[#All],[Year]:[Details]],ROWS(prem_analysis!$M$420:T566),COLUMNS(Data!$Q$3:X149)))))),"")</f>
        <v/>
      </c>
      <c r="Z148" s="1" t="str">
        <f>IFERROR(IF($Q$1=$P$3,INDEX(prem_analysis!$P$2:$Q$441,ROWS(Data!$P$2:Y148),COLUMNS(Data!$P$3:X149)),IF($Q$1=$P$5,INDEX(prem_analysis!$BH$1:$BS$23,ROWS(Data!$Q$3:Y149),COLUMNS(Data!$Q$3:Y149)),IF($Q$1=$P$6,INDEX(prem_analysis!$BU$1:$CF$67,ROWS(prem_analysis!$N$2:V148),COLUMNS(prem_analysis!$N$2:V148)),IF($Q$1=$P$4,INDEX(Table24[[#All],[Year]:[Details]],ROWS(prem_analysis!$M$420:U566),COLUMNS(Data!$Q$3:Y149)))))),"")</f>
        <v/>
      </c>
      <c r="AA148" s="1" t="str">
        <f>IFERROR(IF($Q$1=$P$3,INDEX(prem_analysis!$P$2:$Q$441,ROWS(Data!$P$2:Z148),COLUMNS(Data!$P$3:Y149)),IF($Q$1=$P$5,INDEX(prem_analysis!$BH$1:$BS$23,ROWS(Data!$Q$3:Z149),COLUMNS(Data!$Q$3:Z149)),IF($Q$1=$P$6,INDEX(prem_analysis!$BU$1:$CF$67,ROWS(prem_analysis!$N$2:W148),COLUMNS(prem_analysis!$N$2:W148)),IF($Q$1=$P$4,INDEX(Table24[[#All],[Year]:[Details]],ROWS(prem_analysis!$M$420:V566),COLUMNS(Data!$Q$3:Z149)))))),"")</f>
        <v/>
      </c>
      <c r="AB148" s="1" t="str">
        <f>IFERROR(IF($Q$1=$P$3,INDEX(prem_analysis!$P$2:$Q$441,ROWS(Data!$P$2:AA148),COLUMNS(Data!$P$3:Z149)),IF($Q$1=$P$5,INDEX(prem_analysis!$BH$1:$BS$23,ROWS(Data!$Q$3:AA149),COLUMNS(Data!$Q$3:AA149)),IF($Q$1=$P$6,INDEX(prem_analysis!$BU$1:$CF$67,ROWS(prem_analysis!$N$2:X148),COLUMNS(prem_analysis!$N$2:X148)),IF($Q$1=$P$4,INDEX(Table24[[#All],[Year]:[Details]],ROWS(prem_analysis!$M$420:W566),COLUMNS(Data!$Q$3:AA149)))))),"")</f>
        <v/>
      </c>
      <c r="AC148" s="1" t="str">
        <f>IFERROR(IF($Q$1=$P$3,INDEX(prem_analysis!$P$2:$Q$441,ROWS(Data!$P$2:AB148),COLUMNS(Data!$P$3:AA149)),IF($Q$1=$P$5,INDEX(prem_analysis!$BH$1:$BS$23,ROWS(Data!$Q$3:AB149),COLUMNS(Data!$Q$3:AB149)),IF($Q$1=$P$6,INDEX(prem_analysis!$BU$1:$CF$67,ROWS(prem_analysis!$N$2:Y148),COLUMNS(prem_analysis!$N$2:Y148)),IF($Q$1=$P$4,INDEX(Table24[[#All],[Year]:[Details]],ROWS(prem_analysis!$M$420:X566),COLUMNS(Data!$Q$3:AB149)))))),"")</f>
        <v/>
      </c>
    </row>
    <row r="149" spans="1:29" x14ac:dyDescent="0.2">
      <c r="A149" s="5">
        <v>2007</v>
      </c>
      <c r="B149" s="5">
        <v>8</v>
      </c>
      <c r="C149" s="6" t="s">
        <v>36</v>
      </c>
      <c r="D149" s="5">
        <v>38</v>
      </c>
      <c r="E149" s="5">
        <v>16</v>
      </c>
      <c r="F149" s="5">
        <v>9</v>
      </c>
      <c r="G149" s="5">
        <v>13</v>
      </c>
      <c r="H149" s="5">
        <v>48</v>
      </c>
      <c r="I149" s="5">
        <v>40</v>
      </c>
      <c r="J149" s="5">
        <v>8</v>
      </c>
      <c r="K149" s="5">
        <v>57</v>
      </c>
      <c r="L149" s="5">
        <f>IF(Table24[[#This Row],['#]]=1,"Champion", IF(Table24[[#This Row],['#]]&gt;=18,"Relegated",Table24[[#This Row],['#]]))</f>
        <v>8</v>
      </c>
      <c r="M149" s="5" t="str">
        <f>IF(Table24[[#This Row],[Details]]=2,K148-Table24[[#This Row],[Pts]],IF(Table24[[#This Row],[Details]]=17,Table24[[#This Row],[Pts]]-K150,""))</f>
        <v/>
      </c>
      <c r="R149" s="1" t="str">
        <f>IFERROR(IF($Q$1=$P$3,INDEX(prem_analysis!$P$2:$Q$441,ROWS(Data!$P$2:Q149),COLUMNS(Data!$P$3:P150)),IF($Q$1=$P$5,INDEX(prem_analysis!$BH$1:$BS$23,ROWS(Data!$Q$3:Q150),COLUMNS(Data!$Q$3:Q150)),IF($Q$1=$P$6,INDEX(prem_analysis!$BU$1:$CF$67,ROWS(prem_analysis!$N$2:N149),COLUMNS(prem_analysis!$N$2:N149)),IF($Q$1=$P$4,INDEX(Table24[[#All],[Year]:[Details]],ROWS(prem_analysis!$M$420:M567),COLUMNS(Data!$Q$3:Q150)))))),"")</f>
        <v/>
      </c>
      <c r="S149" s="1" t="str">
        <f>IFERROR(IF($Q$1=$P$3,INDEX(prem_analysis!$P$2:$Q$441,ROWS(Data!$P$2:R149),COLUMNS(Data!$P$3:Q150)),IF($Q$1=$P$5,INDEX(prem_analysis!$BH$1:$BS$23,ROWS(Data!$Q$3:R150),COLUMNS(Data!$Q$3:R150)),IF($Q$1=$P$6,INDEX(prem_analysis!$BU$1:$CF$67,ROWS(prem_analysis!$N$2:O149),COLUMNS(prem_analysis!$N$2:O149)),IF($Q$1=$P$4,INDEX(Table24[[#All],[Year]:[Details]],ROWS(prem_analysis!$M$420:N567),COLUMNS(Data!$Q$3:R150)))))),"")</f>
        <v/>
      </c>
      <c r="T149" s="1" t="str">
        <f>IFERROR(IF($Q$1=$P$3,INDEX(prem_analysis!$P$2:$Q$441,ROWS(Data!$P$2:S149),COLUMNS(Data!$P$3:R150)),IF($Q$1=$P$5,INDEX(prem_analysis!$BH$1:$BS$23,ROWS(Data!$Q$3:S150),COLUMNS(Data!$Q$3:S150)),IF($Q$1=$P$6,INDEX(prem_analysis!$BU$1:$CF$67,ROWS(prem_analysis!$N$2:P149),COLUMNS(prem_analysis!$N$2:P149)),IF($Q$1=$P$4,INDEX(Table24[[#All],[Year]:[Details]],ROWS(prem_analysis!$M$420:O567),COLUMNS(Data!$Q$3:S150)))))),"")</f>
        <v/>
      </c>
      <c r="U149" s="1" t="str">
        <f>IFERROR(IF($Q$1=$P$3,INDEX(prem_analysis!$P$2:$Q$441,ROWS(Data!$P$2:T149),COLUMNS(Data!$P$3:S150)),IF($Q$1=$P$5,INDEX(prem_analysis!$BH$1:$BS$23,ROWS(Data!$Q$3:T150),COLUMNS(Data!$Q$3:T150)),IF($Q$1=$P$6,INDEX(prem_analysis!$BU$1:$CF$67,ROWS(prem_analysis!$N$2:Q149),COLUMNS(prem_analysis!$N$2:Q149)),IF($Q$1=$P$4,INDEX(Table24[[#All],[Year]:[Details]],ROWS(prem_analysis!$M$420:P567),COLUMNS(Data!$Q$3:T150)))))),"")</f>
        <v/>
      </c>
      <c r="V149" s="1" t="str">
        <f>IFERROR(IF($Q$1=$P$3,INDEX(prem_analysis!$P$2:$Q$441,ROWS(Data!$P$2:U149),COLUMNS(Data!$P$3:T150)),IF($Q$1=$P$5,INDEX(prem_analysis!$BH$1:$BS$23,ROWS(Data!$Q$3:U150),COLUMNS(Data!$Q$3:U150)),IF($Q$1=$P$6,INDEX(prem_analysis!$BU$1:$CF$67,ROWS(prem_analysis!$N$2:R149),COLUMNS(prem_analysis!$N$2:R149)),IF($Q$1=$P$4,INDEX(Table24[[#All],[Year]:[Details]],ROWS(prem_analysis!$M$420:Q567),COLUMNS(Data!$Q$3:U150)))))),"")</f>
        <v/>
      </c>
      <c r="W149" s="1" t="str">
        <f>IFERROR(IF($Q$1=$P$3,INDEX(prem_analysis!$P$2:$Q$441,ROWS(Data!$P$2:V149),COLUMNS(Data!$P$3:U150)),IF($Q$1=$P$5,INDEX(prem_analysis!$BH$1:$BS$23,ROWS(Data!$Q$3:V150),COLUMNS(Data!$Q$3:V150)),IF($Q$1=$P$6,INDEX(prem_analysis!$BU$1:$CF$67,ROWS(prem_analysis!$N$2:S149),COLUMNS(prem_analysis!$N$2:S149)),IF($Q$1=$P$4,INDEX(Table24[[#All],[Year]:[Details]],ROWS(prem_analysis!$M$420:R567),COLUMNS(Data!$Q$3:V150)))))),"")</f>
        <v/>
      </c>
      <c r="X149" s="1" t="str">
        <f>IFERROR(IF($Q$1=$P$3,INDEX(prem_analysis!$P$2:$Q$441,ROWS(Data!$P$2:W149),COLUMNS(Data!$P$3:V150)),IF($Q$1=$P$5,INDEX(prem_analysis!$BH$1:$BS$23,ROWS(Data!$Q$3:W150),COLUMNS(Data!$Q$3:W150)),IF($Q$1=$P$6,INDEX(prem_analysis!$BU$1:$CF$67,ROWS(prem_analysis!$N$2:T149),COLUMNS(prem_analysis!$N$2:T149)),IF($Q$1=$P$4,INDEX(Table24[[#All],[Year]:[Details]],ROWS(prem_analysis!$M$420:S567),COLUMNS(Data!$Q$3:W150)))))),"")</f>
        <v/>
      </c>
      <c r="Y149" s="1" t="str">
        <f>IFERROR(IF($Q$1=$P$3,INDEX(prem_analysis!$P$2:$Q$441,ROWS(Data!$P$2:X149),COLUMNS(Data!$P$3:W150)),IF($Q$1=$P$5,INDEX(prem_analysis!$BH$1:$BS$23,ROWS(Data!$Q$3:X150),COLUMNS(Data!$Q$3:X150)),IF($Q$1=$P$6,INDEX(prem_analysis!$BU$1:$CF$67,ROWS(prem_analysis!$N$2:U149),COLUMNS(prem_analysis!$N$2:U149)),IF($Q$1=$P$4,INDEX(Table24[[#All],[Year]:[Details]],ROWS(prem_analysis!$M$420:T567),COLUMNS(Data!$Q$3:X150)))))),"")</f>
        <v/>
      </c>
      <c r="Z149" s="1" t="str">
        <f>IFERROR(IF($Q$1=$P$3,INDEX(prem_analysis!$P$2:$Q$441,ROWS(Data!$P$2:Y149),COLUMNS(Data!$P$3:X150)),IF($Q$1=$P$5,INDEX(prem_analysis!$BH$1:$BS$23,ROWS(Data!$Q$3:Y150),COLUMNS(Data!$Q$3:Y150)),IF($Q$1=$P$6,INDEX(prem_analysis!$BU$1:$CF$67,ROWS(prem_analysis!$N$2:V149),COLUMNS(prem_analysis!$N$2:V149)),IF($Q$1=$P$4,INDEX(Table24[[#All],[Year]:[Details]],ROWS(prem_analysis!$M$420:U567),COLUMNS(Data!$Q$3:Y150)))))),"")</f>
        <v/>
      </c>
      <c r="AA149" s="1" t="str">
        <f>IFERROR(IF($Q$1=$P$3,INDEX(prem_analysis!$P$2:$Q$441,ROWS(Data!$P$2:Z149),COLUMNS(Data!$P$3:Y150)),IF($Q$1=$P$5,INDEX(prem_analysis!$BH$1:$BS$23,ROWS(Data!$Q$3:Z150),COLUMNS(Data!$Q$3:Z150)),IF($Q$1=$P$6,INDEX(prem_analysis!$BU$1:$CF$67,ROWS(prem_analysis!$N$2:W149),COLUMNS(prem_analysis!$N$2:W149)),IF($Q$1=$P$4,INDEX(Table24[[#All],[Year]:[Details]],ROWS(prem_analysis!$M$420:V567),COLUMNS(Data!$Q$3:Z150)))))),"")</f>
        <v/>
      </c>
      <c r="AB149" s="1" t="str">
        <f>IFERROR(IF($Q$1=$P$3,INDEX(prem_analysis!$P$2:$Q$441,ROWS(Data!$P$2:AA149),COLUMNS(Data!$P$3:Z150)),IF($Q$1=$P$5,INDEX(prem_analysis!$BH$1:$BS$23,ROWS(Data!$Q$3:AA150),COLUMNS(Data!$Q$3:AA150)),IF($Q$1=$P$6,INDEX(prem_analysis!$BU$1:$CF$67,ROWS(prem_analysis!$N$2:X149),COLUMNS(prem_analysis!$N$2:X149)),IF($Q$1=$P$4,INDEX(Table24[[#All],[Year]:[Details]],ROWS(prem_analysis!$M$420:W567),COLUMNS(Data!$Q$3:AA150)))))),"")</f>
        <v/>
      </c>
      <c r="AC149" s="1" t="str">
        <f>IFERROR(IF($Q$1=$P$3,INDEX(prem_analysis!$P$2:$Q$441,ROWS(Data!$P$2:AB149),COLUMNS(Data!$P$3:AA150)),IF($Q$1=$P$5,INDEX(prem_analysis!$BH$1:$BS$23,ROWS(Data!$Q$3:AB150),COLUMNS(Data!$Q$3:AB150)),IF($Q$1=$P$6,INDEX(prem_analysis!$BU$1:$CF$67,ROWS(prem_analysis!$N$2:Y149),COLUMNS(prem_analysis!$N$2:Y149)),IF($Q$1=$P$4,INDEX(Table24[[#All],[Year]:[Details]],ROWS(prem_analysis!$M$420:X567),COLUMNS(Data!$Q$3:AB150)))))),"")</f>
        <v/>
      </c>
    </row>
    <row r="150" spans="1:29" x14ac:dyDescent="0.2">
      <c r="A150" s="3">
        <v>2007</v>
      </c>
      <c r="B150" s="3">
        <v>9</v>
      </c>
      <c r="C150" s="4" t="s">
        <v>28</v>
      </c>
      <c r="D150" s="3">
        <v>38</v>
      </c>
      <c r="E150" s="3">
        <v>15</v>
      </c>
      <c r="F150" s="3">
        <v>10</v>
      </c>
      <c r="G150" s="3">
        <v>13</v>
      </c>
      <c r="H150" s="3">
        <v>45</v>
      </c>
      <c r="I150" s="3">
        <v>53</v>
      </c>
      <c r="J150" s="3">
        <v>-8</v>
      </c>
      <c r="K150" s="3">
        <v>55</v>
      </c>
      <c r="L150" s="5">
        <f>IF(Table24[[#This Row],['#]]=1,"Champion", IF(Table24[[#This Row],['#]]&gt;=18,"Relegated",Table24[[#This Row],['#]]))</f>
        <v>9</v>
      </c>
      <c r="M150" s="5" t="str">
        <f>IF(Table24[[#This Row],[Details]]=2,K149-Table24[[#This Row],[Pts]],IF(Table24[[#This Row],[Details]]=17,Table24[[#This Row],[Pts]]-K151,""))</f>
        <v/>
      </c>
      <c r="R150" s="1" t="str">
        <f>IFERROR(IF($Q$1=$P$3,INDEX(prem_analysis!$P$2:$Q$441,ROWS(Data!$P$2:Q150),COLUMNS(Data!$P$3:P151)),IF($Q$1=$P$5,INDEX(prem_analysis!$BH$1:$BS$23,ROWS(Data!$Q$3:Q151),COLUMNS(Data!$Q$3:Q151)),IF($Q$1=$P$6,INDEX(prem_analysis!$BU$1:$CF$67,ROWS(prem_analysis!$N$2:N150),COLUMNS(prem_analysis!$N$2:N150)),IF($Q$1=$P$4,INDEX(Table24[[#All],[Year]:[Details]],ROWS(prem_analysis!$M$420:M568),COLUMNS(Data!$Q$3:Q151)))))),"")</f>
        <v/>
      </c>
      <c r="S150" s="1" t="str">
        <f>IFERROR(IF($Q$1=$P$3,INDEX(prem_analysis!$P$2:$Q$441,ROWS(Data!$P$2:R150),COLUMNS(Data!$P$3:Q151)),IF($Q$1=$P$5,INDEX(prem_analysis!$BH$1:$BS$23,ROWS(Data!$Q$3:R151),COLUMNS(Data!$Q$3:R151)),IF($Q$1=$P$6,INDEX(prem_analysis!$BU$1:$CF$67,ROWS(prem_analysis!$N$2:O150),COLUMNS(prem_analysis!$N$2:O150)),IF($Q$1=$P$4,INDEX(Table24[[#All],[Year]:[Details]],ROWS(prem_analysis!$M$420:N568),COLUMNS(Data!$Q$3:R151)))))),"")</f>
        <v/>
      </c>
      <c r="T150" s="1" t="str">
        <f>IFERROR(IF($Q$1=$P$3,INDEX(prem_analysis!$P$2:$Q$441,ROWS(Data!$P$2:S150),COLUMNS(Data!$P$3:R151)),IF($Q$1=$P$5,INDEX(prem_analysis!$BH$1:$BS$23,ROWS(Data!$Q$3:S151),COLUMNS(Data!$Q$3:S151)),IF($Q$1=$P$6,INDEX(prem_analysis!$BU$1:$CF$67,ROWS(prem_analysis!$N$2:P150),COLUMNS(prem_analysis!$N$2:P150)),IF($Q$1=$P$4,INDEX(Table24[[#All],[Year]:[Details]],ROWS(prem_analysis!$M$420:O568),COLUMNS(Data!$Q$3:S151)))))),"")</f>
        <v/>
      </c>
      <c r="U150" s="1" t="str">
        <f>IFERROR(IF($Q$1=$P$3,INDEX(prem_analysis!$P$2:$Q$441,ROWS(Data!$P$2:T150),COLUMNS(Data!$P$3:S151)),IF($Q$1=$P$5,INDEX(prem_analysis!$BH$1:$BS$23,ROWS(Data!$Q$3:T151),COLUMNS(Data!$Q$3:T151)),IF($Q$1=$P$6,INDEX(prem_analysis!$BU$1:$CF$67,ROWS(prem_analysis!$N$2:Q150),COLUMNS(prem_analysis!$N$2:Q150)),IF($Q$1=$P$4,INDEX(Table24[[#All],[Year]:[Details]],ROWS(prem_analysis!$M$420:P568),COLUMNS(Data!$Q$3:T151)))))),"")</f>
        <v/>
      </c>
      <c r="V150" s="1" t="str">
        <f>IFERROR(IF($Q$1=$P$3,INDEX(prem_analysis!$P$2:$Q$441,ROWS(Data!$P$2:U150),COLUMNS(Data!$P$3:T151)),IF($Q$1=$P$5,INDEX(prem_analysis!$BH$1:$BS$23,ROWS(Data!$Q$3:U151),COLUMNS(Data!$Q$3:U151)),IF($Q$1=$P$6,INDEX(prem_analysis!$BU$1:$CF$67,ROWS(prem_analysis!$N$2:R150),COLUMNS(prem_analysis!$N$2:R150)),IF($Q$1=$P$4,INDEX(Table24[[#All],[Year]:[Details]],ROWS(prem_analysis!$M$420:Q568),COLUMNS(Data!$Q$3:U151)))))),"")</f>
        <v/>
      </c>
      <c r="W150" s="1" t="str">
        <f>IFERROR(IF($Q$1=$P$3,INDEX(prem_analysis!$P$2:$Q$441,ROWS(Data!$P$2:V150),COLUMNS(Data!$P$3:U151)),IF($Q$1=$P$5,INDEX(prem_analysis!$BH$1:$BS$23,ROWS(Data!$Q$3:V151),COLUMNS(Data!$Q$3:V151)),IF($Q$1=$P$6,INDEX(prem_analysis!$BU$1:$CF$67,ROWS(prem_analysis!$N$2:S150),COLUMNS(prem_analysis!$N$2:S150)),IF($Q$1=$P$4,INDEX(Table24[[#All],[Year]:[Details]],ROWS(prem_analysis!$M$420:R568),COLUMNS(Data!$Q$3:V151)))))),"")</f>
        <v/>
      </c>
      <c r="X150" s="1" t="str">
        <f>IFERROR(IF($Q$1=$P$3,INDEX(prem_analysis!$P$2:$Q$441,ROWS(Data!$P$2:W150),COLUMNS(Data!$P$3:V151)),IF($Q$1=$P$5,INDEX(prem_analysis!$BH$1:$BS$23,ROWS(Data!$Q$3:W151),COLUMNS(Data!$Q$3:W151)),IF($Q$1=$P$6,INDEX(prem_analysis!$BU$1:$CF$67,ROWS(prem_analysis!$N$2:T150),COLUMNS(prem_analysis!$N$2:T150)),IF($Q$1=$P$4,INDEX(Table24[[#All],[Year]:[Details]],ROWS(prem_analysis!$M$420:S568),COLUMNS(Data!$Q$3:W151)))))),"")</f>
        <v/>
      </c>
      <c r="Y150" s="1" t="str">
        <f>IFERROR(IF($Q$1=$P$3,INDEX(prem_analysis!$P$2:$Q$441,ROWS(Data!$P$2:X150),COLUMNS(Data!$P$3:W151)),IF($Q$1=$P$5,INDEX(prem_analysis!$BH$1:$BS$23,ROWS(Data!$Q$3:X151),COLUMNS(Data!$Q$3:X151)),IF($Q$1=$P$6,INDEX(prem_analysis!$BU$1:$CF$67,ROWS(prem_analysis!$N$2:U150),COLUMNS(prem_analysis!$N$2:U150)),IF($Q$1=$P$4,INDEX(Table24[[#All],[Year]:[Details]],ROWS(prem_analysis!$M$420:T568),COLUMNS(Data!$Q$3:X151)))))),"")</f>
        <v/>
      </c>
      <c r="Z150" s="1" t="str">
        <f>IFERROR(IF($Q$1=$P$3,INDEX(prem_analysis!$P$2:$Q$441,ROWS(Data!$P$2:Y150),COLUMNS(Data!$P$3:X151)),IF($Q$1=$P$5,INDEX(prem_analysis!$BH$1:$BS$23,ROWS(Data!$Q$3:Y151),COLUMNS(Data!$Q$3:Y151)),IF($Q$1=$P$6,INDEX(prem_analysis!$BU$1:$CF$67,ROWS(prem_analysis!$N$2:V150),COLUMNS(prem_analysis!$N$2:V150)),IF($Q$1=$P$4,INDEX(Table24[[#All],[Year]:[Details]],ROWS(prem_analysis!$M$420:U568),COLUMNS(Data!$Q$3:Y151)))))),"")</f>
        <v/>
      </c>
      <c r="AA150" s="1" t="str">
        <f>IFERROR(IF($Q$1=$P$3,INDEX(prem_analysis!$P$2:$Q$441,ROWS(Data!$P$2:Z150),COLUMNS(Data!$P$3:Y151)),IF($Q$1=$P$5,INDEX(prem_analysis!$BH$1:$BS$23,ROWS(Data!$Q$3:Z151),COLUMNS(Data!$Q$3:Z151)),IF($Q$1=$P$6,INDEX(prem_analysis!$BU$1:$CF$67,ROWS(prem_analysis!$N$2:W150),COLUMNS(prem_analysis!$N$2:W150)),IF($Q$1=$P$4,INDEX(Table24[[#All],[Year]:[Details]],ROWS(prem_analysis!$M$420:V568),COLUMNS(Data!$Q$3:Z151)))))),"")</f>
        <v/>
      </c>
      <c r="AB150" s="1" t="str">
        <f>IFERROR(IF($Q$1=$P$3,INDEX(prem_analysis!$P$2:$Q$441,ROWS(Data!$P$2:AA150),COLUMNS(Data!$P$3:Z151)),IF($Q$1=$P$5,INDEX(prem_analysis!$BH$1:$BS$23,ROWS(Data!$Q$3:AA151),COLUMNS(Data!$Q$3:AA151)),IF($Q$1=$P$6,INDEX(prem_analysis!$BU$1:$CF$67,ROWS(prem_analysis!$N$2:X150),COLUMNS(prem_analysis!$N$2:X150)),IF($Q$1=$P$4,INDEX(Table24[[#All],[Year]:[Details]],ROWS(prem_analysis!$M$420:W568),COLUMNS(Data!$Q$3:AA151)))))),"")</f>
        <v/>
      </c>
      <c r="AC150" s="1" t="str">
        <f>IFERROR(IF($Q$1=$P$3,INDEX(prem_analysis!$P$2:$Q$441,ROWS(Data!$P$2:AB150),COLUMNS(Data!$P$3:AA151)),IF($Q$1=$P$5,INDEX(prem_analysis!$BH$1:$BS$23,ROWS(Data!$Q$3:AB151),COLUMNS(Data!$Q$3:AB151)),IF($Q$1=$P$6,INDEX(prem_analysis!$BU$1:$CF$67,ROWS(prem_analysis!$N$2:Y150),COLUMNS(prem_analysis!$N$2:Y150)),IF($Q$1=$P$4,INDEX(Table24[[#All],[Year]:[Details]],ROWS(prem_analysis!$M$420:X568),COLUMNS(Data!$Q$3:AB151)))))),"")</f>
        <v/>
      </c>
    </row>
    <row r="151" spans="1:29" x14ac:dyDescent="0.2">
      <c r="A151" s="5">
        <v>2007</v>
      </c>
      <c r="B151" s="5">
        <v>10</v>
      </c>
      <c r="C151" s="6" t="s">
        <v>25</v>
      </c>
      <c r="D151" s="5">
        <v>38</v>
      </c>
      <c r="E151" s="5">
        <v>13</v>
      </c>
      <c r="F151" s="5">
        <v>10</v>
      </c>
      <c r="G151" s="5">
        <v>15</v>
      </c>
      <c r="H151" s="5">
        <v>42</v>
      </c>
      <c r="I151" s="5">
        <v>50</v>
      </c>
      <c r="J151" s="5">
        <v>-8</v>
      </c>
      <c r="K151" s="5">
        <v>49</v>
      </c>
      <c r="L151" s="5">
        <f>IF(Table24[[#This Row],['#]]=1,"Champion", IF(Table24[[#This Row],['#]]&gt;=18,"Relegated",Table24[[#This Row],['#]]))</f>
        <v>10</v>
      </c>
      <c r="M151" s="5" t="str">
        <f>IF(Table24[[#This Row],[Details]]=2,K150-Table24[[#This Row],[Pts]],IF(Table24[[#This Row],[Details]]=17,Table24[[#This Row],[Pts]]-K152,""))</f>
        <v/>
      </c>
      <c r="R151" s="1" t="str">
        <f>IFERROR(IF($Q$1=$P$3,INDEX(prem_analysis!$P$2:$Q$441,ROWS(Data!$P$2:Q151),COLUMNS(Data!$P$3:P152)),IF($Q$1=$P$5,INDEX(prem_analysis!$BH$1:$BS$23,ROWS(Data!$Q$3:Q152),COLUMNS(Data!$Q$3:Q152)),IF($Q$1=$P$6,INDEX(prem_analysis!$BU$1:$CF$67,ROWS(prem_analysis!$N$2:N151),COLUMNS(prem_analysis!$N$2:N151)),IF($Q$1=$P$4,INDEX(Table24[[#All],[Year]:[Details]],ROWS(prem_analysis!$M$420:M569),COLUMNS(Data!$Q$3:Q152)))))),"")</f>
        <v/>
      </c>
      <c r="S151" s="1" t="str">
        <f>IFERROR(IF($Q$1=$P$3,INDEX(prem_analysis!$P$2:$Q$441,ROWS(Data!$P$2:R151),COLUMNS(Data!$P$3:Q152)),IF($Q$1=$P$5,INDEX(prem_analysis!$BH$1:$BS$23,ROWS(Data!$Q$3:R152),COLUMNS(Data!$Q$3:R152)),IF($Q$1=$P$6,INDEX(prem_analysis!$BU$1:$CF$67,ROWS(prem_analysis!$N$2:O151),COLUMNS(prem_analysis!$N$2:O151)),IF($Q$1=$P$4,INDEX(Table24[[#All],[Year]:[Details]],ROWS(prem_analysis!$M$420:N569),COLUMNS(Data!$Q$3:R152)))))),"")</f>
        <v/>
      </c>
      <c r="T151" s="1" t="str">
        <f>IFERROR(IF($Q$1=$P$3,INDEX(prem_analysis!$P$2:$Q$441,ROWS(Data!$P$2:S151),COLUMNS(Data!$P$3:R152)),IF($Q$1=$P$5,INDEX(prem_analysis!$BH$1:$BS$23,ROWS(Data!$Q$3:S152),COLUMNS(Data!$Q$3:S152)),IF($Q$1=$P$6,INDEX(prem_analysis!$BU$1:$CF$67,ROWS(prem_analysis!$N$2:P151),COLUMNS(prem_analysis!$N$2:P151)),IF($Q$1=$P$4,INDEX(Table24[[#All],[Year]:[Details]],ROWS(prem_analysis!$M$420:O569),COLUMNS(Data!$Q$3:S152)))))),"")</f>
        <v/>
      </c>
      <c r="U151" s="1" t="str">
        <f>IFERROR(IF($Q$1=$P$3,INDEX(prem_analysis!$P$2:$Q$441,ROWS(Data!$P$2:T151),COLUMNS(Data!$P$3:S152)),IF($Q$1=$P$5,INDEX(prem_analysis!$BH$1:$BS$23,ROWS(Data!$Q$3:T152),COLUMNS(Data!$Q$3:T152)),IF($Q$1=$P$6,INDEX(prem_analysis!$BU$1:$CF$67,ROWS(prem_analysis!$N$2:Q151),COLUMNS(prem_analysis!$N$2:Q151)),IF($Q$1=$P$4,INDEX(Table24[[#All],[Year]:[Details]],ROWS(prem_analysis!$M$420:P569),COLUMNS(Data!$Q$3:T152)))))),"")</f>
        <v/>
      </c>
      <c r="V151" s="1" t="str">
        <f>IFERROR(IF($Q$1=$P$3,INDEX(prem_analysis!$P$2:$Q$441,ROWS(Data!$P$2:U151),COLUMNS(Data!$P$3:T152)),IF($Q$1=$P$5,INDEX(prem_analysis!$BH$1:$BS$23,ROWS(Data!$Q$3:U152),COLUMNS(Data!$Q$3:U152)),IF($Q$1=$P$6,INDEX(prem_analysis!$BU$1:$CF$67,ROWS(prem_analysis!$N$2:R151),COLUMNS(prem_analysis!$N$2:R151)),IF($Q$1=$P$4,INDEX(Table24[[#All],[Year]:[Details]],ROWS(prem_analysis!$M$420:Q569),COLUMNS(Data!$Q$3:U152)))))),"")</f>
        <v/>
      </c>
      <c r="W151" s="1" t="str">
        <f>IFERROR(IF($Q$1=$P$3,INDEX(prem_analysis!$P$2:$Q$441,ROWS(Data!$P$2:V151),COLUMNS(Data!$P$3:U152)),IF($Q$1=$P$5,INDEX(prem_analysis!$BH$1:$BS$23,ROWS(Data!$Q$3:V152),COLUMNS(Data!$Q$3:V152)),IF($Q$1=$P$6,INDEX(prem_analysis!$BU$1:$CF$67,ROWS(prem_analysis!$N$2:S151),COLUMNS(prem_analysis!$N$2:S151)),IF($Q$1=$P$4,INDEX(Table24[[#All],[Year]:[Details]],ROWS(prem_analysis!$M$420:R569),COLUMNS(Data!$Q$3:V152)))))),"")</f>
        <v/>
      </c>
      <c r="X151" s="1" t="str">
        <f>IFERROR(IF($Q$1=$P$3,INDEX(prem_analysis!$P$2:$Q$441,ROWS(Data!$P$2:W151),COLUMNS(Data!$P$3:V152)),IF($Q$1=$P$5,INDEX(prem_analysis!$BH$1:$BS$23,ROWS(Data!$Q$3:W152),COLUMNS(Data!$Q$3:W152)),IF($Q$1=$P$6,INDEX(prem_analysis!$BU$1:$CF$67,ROWS(prem_analysis!$N$2:T151),COLUMNS(prem_analysis!$N$2:T151)),IF($Q$1=$P$4,INDEX(Table24[[#All],[Year]:[Details]],ROWS(prem_analysis!$M$420:S569),COLUMNS(Data!$Q$3:W152)))))),"")</f>
        <v/>
      </c>
      <c r="Y151" s="1" t="str">
        <f>IFERROR(IF($Q$1=$P$3,INDEX(prem_analysis!$P$2:$Q$441,ROWS(Data!$P$2:X151),COLUMNS(Data!$P$3:W152)),IF($Q$1=$P$5,INDEX(prem_analysis!$BH$1:$BS$23,ROWS(Data!$Q$3:X152),COLUMNS(Data!$Q$3:X152)),IF($Q$1=$P$6,INDEX(prem_analysis!$BU$1:$CF$67,ROWS(prem_analysis!$N$2:U151),COLUMNS(prem_analysis!$N$2:U151)),IF($Q$1=$P$4,INDEX(Table24[[#All],[Year]:[Details]],ROWS(prem_analysis!$M$420:T569),COLUMNS(Data!$Q$3:X152)))))),"")</f>
        <v/>
      </c>
      <c r="Z151" s="1" t="str">
        <f>IFERROR(IF($Q$1=$P$3,INDEX(prem_analysis!$P$2:$Q$441,ROWS(Data!$P$2:Y151),COLUMNS(Data!$P$3:X152)),IF($Q$1=$P$5,INDEX(prem_analysis!$BH$1:$BS$23,ROWS(Data!$Q$3:Y152),COLUMNS(Data!$Q$3:Y152)),IF($Q$1=$P$6,INDEX(prem_analysis!$BU$1:$CF$67,ROWS(prem_analysis!$N$2:V151),COLUMNS(prem_analysis!$N$2:V151)),IF($Q$1=$P$4,INDEX(Table24[[#All],[Year]:[Details]],ROWS(prem_analysis!$M$420:U569),COLUMNS(Data!$Q$3:Y152)))))),"")</f>
        <v/>
      </c>
      <c r="AA151" s="1" t="str">
        <f>IFERROR(IF($Q$1=$P$3,INDEX(prem_analysis!$P$2:$Q$441,ROWS(Data!$P$2:Z151),COLUMNS(Data!$P$3:Y152)),IF($Q$1=$P$5,INDEX(prem_analysis!$BH$1:$BS$23,ROWS(Data!$Q$3:Z152),COLUMNS(Data!$Q$3:Z152)),IF($Q$1=$P$6,INDEX(prem_analysis!$BU$1:$CF$67,ROWS(prem_analysis!$N$2:W151),COLUMNS(prem_analysis!$N$2:W151)),IF($Q$1=$P$4,INDEX(Table24[[#All],[Year]:[Details]],ROWS(prem_analysis!$M$420:V569),COLUMNS(Data!$Q$3:Z152)))))),"")</f>
        <v/>
      </c>
      <c r="AB151" s="1" t="str">
        <f>IFERROR(IF($Q$1=$P$3,INDEX(prem_analysis!$P$2:$Q$441,ROWS(Data!$P$2:AA151),COLUMNS(Data!$P$3:Z152)),IF($Q$1=$P$5,INDEX(prem_analysis!$BH$1:$BS$23,ROWS(Data!$Q$3:AA152),COLUMNS(Data!$Q$3:AA152)),IF($Q$1=$P$6,INDEX(prem_analysis!$BU$1:$CF$67,ROWS(prem_analysis!$N$2:X151),COLUMNS(prem_analysis!$N$2:X151)),IF($Q$1=$P$4,INDEX(Table24[[#All],[Year]:[Details]],ROWS(prem_analysis!$M$420:W569),COLUMNS(Data!$Q$3:AA152)))))),"")</f>
        <v/>
      </c>
      <c r="AC151" s="1" t="str">
        <f>IFERROR(IF($Q$1=$P$3,INDEX(prem_analysis!$P$2:$Q$441,ROWS(Data!$P$2:AB151),COLUMNS(Data!$P$3:AA152)),IF($Q$1=$P$5,INDEX(prem_analysis!$BH$1:$BS$23,ROWS(Data!$Q$3:AB152),COLUMNS(Data!$Q$3:AB152)),IF($Q$1=$P$6,INDEX(prem_analysis!$BU$1:$CF$67,ROWS(prem_analysis!$N$2:Y151),COLUMNS(prem_analysis!$N$2:Y151)),IF($Q$1=$P$4,INDEX(Table24[[#All],[Year]:[Details]],ROWS(prem_analysis!$M$420:X569),COLUMNS(Data!$Q$3:AB152)))))),"")</f>
        <v/>
      </c>
    </row>
    <row r="152" spans="1:29" x14ac:dyDescent="0.2">
      <c r="A152" s="3">
        <v>2007</v>
      </c>
      <c r="B152" s="3">
        <v>11</v>
      </c>
      <c r="C152" s="4" t="s">
        <v>22</v>
      </c>
      <c r="D152" s="3">
        <v>38</v>
      </c>
      <c r="E152" s="3">
        <v>11</v>
      </c>
      <c r="F152" s="3">
        <v>13</v>
      </c>
      <c r="G152" s="3">
        <v>14</v>
      </c>
      <c r="H152" s="3">
        <v>66</v>
      </c>
      <c r="I152" s="3">
        <v>61</v>
      </c>
      <c r="J152" s="3">
        <v>5</v>
      </c>
      <c r="K152" s="3">
        <v>46</v>
      </c>
      <c r="L152" s="5">
        <f>IF(Table24[[#This Row],['#]]=1,"Champion", IF(Table24[[#This Row],['#]]&gt;=18,"Relegated",Table24[[#This Row],['#]]))</f>
        <v>11</v>
      </c>
      <c r="M152" s="5" t="str">
        <f>IF(Table24[[#This Row],[Details]]=2,K151-Table24[[#This Row],[Pts]],IF(Table24[[#This Row],[Details]]=17,Table24[[#This Row],[Pts]]-K153,""))</f>
        <v/>
      </c>
      <c r="R152" s="1" t="str">
        <f>IFERROR(IF($Q$1=$P$3,INDEX(prem_analysis!$P$2:$Q$441,ROWS(Data!$P$2:Q152),COLUMNS(Data!$P$3:P153)),IF($Q$1=$P$5,INDEX(prem_analysis!$BH$1:$BS$23,ROWS(Data!$Q$3:Q153),COLUMNS(Data!$Q$3:Q153)),IF($Q$1=$P$6,INDEX(prem_analysis!$BU$1:$CF$67,ROWS(prem_analysis!$N$2:N152),COLUMNS(prem_analysis!$N$2:N152)),IF($Q$1=$P$4,INDEX(Table24[[#All],[Year]:[Details]],ROWS(prem_analysis!$M$420:M570),COLUMNS(Data!$Q$3:Q153)))))),"")</f>
        <v/>
      </c>
      <c r="S152" s="1" t="str">
        <f>IFERROR(IF($Q$1=$P$3,INDEX(prem_analysis!$P$2:$Q$441,ROWS(Data!$P$2:R152),COLUMNS(Data!$P$3:Q153)),IF($Q$1=$P$5,INDEX(prem_analysis!$BH$1:$BS$23,ROWS(Data!$Q$3:R153),COLUMNS(Data!$Q$3:R153)),IF($Q$1=$P$6,INDEX(prem_analysis!$BU$1:$CF$67,ROWS(prem_analysis!$N$2:O152),COLUMNS(prem_analysis!$N$2:O152)),IF($Q$1=$P$4,INDEX(Table24[[#All],[Year]:[Details]],ROWS(prem_analysis!$M$420:N570),COLUMNS(Data!$Q$3:R153)))))),"")</f>
        <v/>
      </c>
      <c r="T152" s="1" t="str">
        <f>IFERROR(IF($Q$1=$P$3,INDEX(prem_analysis!$P$2:$Q$441,ROWS(Data!$P$2:S152),COLUMNS(Data!$P$3:R153)),IF($Q$1=$P$5,INDEX(prem_analysis!$BH$1:$BS$23,ROWS(Data!$Q$3:S153),COLUMNS(Data!$Q$3:S153)),IF($Q$1=$P$6,INDEX(prem_analysis!$BU$1:$CF$67,ROWS(prem_analysis!$N$2:P152),COLUMNS(prem_analysis!$N$2:P152)),IF($Q$1=$P$4,INDEX(Table24[[#All],[Year]:[Details]],ROWS(prem_analysis!$M$420:O570),COLUMNS(Data!$Q$3:S153)))))),"")</f>
        <v/>
      </c>
      <c r="U152" s="1" t="str">
        <f>IFERROR(IF($Q$1=$P$3,INDEX(prem_analysis!$P$2:$Q$441,ROWS(Data!$P$2:T152),COLUMNS(Data!$P$3:S153)),IF($Q$1=$P$5,INDEX(prem_analysis!$BH$1:$BS$23,ROWS(Data!$Q$3:T153),COLUMNS(Data!$Q$3:T153)),IF($Q$1=$P$6,INDEX(prem_analysis!$BU$1:$CF$67,ROWS(prem_analysis!$N$2:Q152),COLUMNS(prem_analysis!$N$2:Q152)),IF($Q$1=$P$4,INDEX(Table24[[#All],[Year]:[Details]],ROWS(prem_analysis!$M$420:P570),COLUMNS(Data!$Q$3:T153)))))),"")</f>
        <v/>
      </c>
      <c r="V152" s="1" t="str">
        <f>IFERROR(IF($Q$1=$P$3,INDEX(prem_analysis!$P$2:$Q$441,ROWS(Data!$P$2:U152),COLUMNS(Data!$P$3:T153)),IF($Q$1=$P$5,INDEX(prem_analysis!$BH$1:$BS$23,ROWS(Data!$Q$3:U153),COLUMNS(Data!$Q$3:U153)),IF($Q$1=$P$6,INDEX(prem_analysis!$BU$1:$CF$67,ROWS(prem_analysis!$N$2:R152),COLUMNS(prem_analysis!$N$2:R152)),IF($Q$1=$P$4,INDEX(Table24[[#All],[Year]:[Details]],ROWS(prem_analysis!$M$420:Q570),COLUMNS(Data!$Q$3:U153)))))),"")</f>
        <v/>
      </c>
      <c r="W152" s="1" t="str">
        <f>IFERROR(IF($Q$1=$P$3,INDEX(prem_analysis!$P$2:$Q$441,ROWS(Data!$P$2:V152),COLUMNS(Data!$P$3:U153)),IF($Q$1=$P$5,INDEX(prem_analysis!$BH$1:$BS$23,ROWS(Data!$Q$3:V153),COLUMNS(Data!$Q$3:V153)),IF($Q$1=$P$6,INDEX(prem_analysis!$BU$1:$CF$67,ROWS(prem_analysis!$N$2:S152),COLUMNS(prem_analysis!$N$2:S152)),IF($Q$1=$P$4,INDEX(Table24[[#All],[Year]:[Details]],ROWS(prem_analysis!$M$420:R570),COLUMNS(Data!$Q$3:V153)))))),"")</f>
        <v/>
      </c>
      <c r="X152" s="1" t="str">
        <f>IFERROR(IF($Q$1=$P$3,INDEX(prem_analysis!$P$2:$Q$441,ROWS(Data!$P$2:W152),COLUMNS(Data!$P$3:V153)),IF($Q$1=$P$5,INDEX(prem_analysis!$BH$1:$BS$23,ROWS(Data!$Q$3:W153),COLUMNS(Data!$Q$3:W153)),IF($Q$1=$P$6,INDEX(prem_analysis!$BU$1:$CF$67,ROWS(prem_analysis!$N$2:T152),COLUMNS(prem_analysis!$N$2:T152)),IF($Q$1=$P$4,INDEX(Table24[[#All],[Year]:[Details]],ROWS(prem_analysis!$M$420:S570),COLUMNS(Data!$Q$3:W153)))))),"")</f>
        <v/>
      </c>
      <c r="Y152" s="1" t="str">
        <f>IFERROR(IF($Q$1=$P$3,INDEX(prem_analysis!$P$2:$Q$441,ROWS(Data!$P$2:X152),COLUMNS(Data!$P$3:W153)),IF($Q$1=$P$5,INDEX(prem_analysis!$BH$1:$BS$23,ROWS(Data!$Q$3:X153),COLUMNS(Data!$Q$3:X153)),IF($Q$1=$P$6,INDEX(prem_analysis!$BU$1:$CF$67,ROWS(prem_analysis!$N$2:U152),COLUMNS(prem_analysis!$N$2:U152)),IF($Q$1=$P$4,INDEX(Table24[[#All],[Year]:[Details]],ROWS(prem_analysis!$M$420:T570),COLUMNS(Data!$Q$3:X153)))))),"")</f>
        <v/>
      </c>
      <c r="Z152" s="1" t="str">
        <f>IFERROR(IF($Q$1=$P$3,INDEX(prem_analysis!$P$2:$Q$441,ROWS(Data!$P$2:Y152),COLUMNS(Data!$P$3:X153)),IF($Q$1=$P$5,INDEX(prem_analysis!$BH$1:$BS$23,ROWS(Data!$Q$3:Y153),COLUMNS(Data!$Q$3:Y153)),IF($Q$1=$P$6,INDEX(prem_analysis!$BU$1:$CF$67,ROWS(prem_analysis!$N$2:V152),COLUMNS(prem_analysis!$N$2:V152)),IF($Q$1=$P$4,INDEX(Table24[[#All],[Year]:[Details]],ROWS(prem_analysis!$M$420:U570),COLUMNS(Data!$Q$3:Y153)))))),"")</f>
        <v/>
      </c>
      <c r="AA152" s="1" t="str">
        <f>IFERROR(IF($Q$1=$P$3,INDEX(prem_analysis!$P$2:$Q$441,ROWS(Data!$P$2:Z152),COLUMNS(Data!$P$3:Y153)),IF($Q$1=$P$5,INDEX(prem_analysis!$BH$1:$BS$23,ROWS(Data!$Q$3:Z153),COLUMNS(Data!$Q$3:Z153)),IF($Q$1=$P$6,INDEX(prem_analysis!$BU$1:$CF$67,ROWS(prem_analysis!$N$2:W152),COLUMNS(prem_analysis!$N$2:W152)),IF($Q$1=$P$4,INDEX(Table24[[#All],[Year]:[Details]],ROWS(prem_analysis!$M$420:V570),COLUMNS(Data!$Q$3:Z153)))))),"")</f>
        <v/>
      </c>
      <c r="AB152" s="1" t="str">
        <f>IFERROR(IF($Q$1=$P$3,INDEX(prem_analysis!$P$2:$Q$441,ROWS(Data!$P$2:AA152),COLUMNS(Data!$P$3:Z153)),IF($Q$1=$P$5,INDEX(prem_analysis!$BH$1:$BS$23,ROWS(Data!$Q$3:AA153),COLUMNS(Data!$Q$3:AA153)),IF($Q$1=$P$6,INDEX(prem_analysis!$BU$1:$CF$67,ROWS(prem_analysis!$N$2:X152),COLUMNS(prem_analysis!$N$2:X152)),IF($Q$1=$P$4,INDEX(Table24[[#All],[Year]:[Details]],ROWS(prem_analysis!$M$420:W570),COLUMNS(Data!$Q$3:AA153)))))),"")</f>
        <v/>
      </c>
      <c r="AC152" s="1" t="str">
        <f>IFERROR(IF($Q$1=$P$3,INDEX(prem_analysis!$P$2:$Q$441,ROWS(Data!$P$2:AB152),COLUMNS(Data!$P$3:AA153)),IF($Q$1=$P$5,INDEX(prem_analysis!$BH$1:$BS$23,ROWS(Data!$Q$3:AB153),COLUMNS(Data!$Q$3:AB153)),IF($Q$1=$P$6,INDEX(prem_analysis!$BU$1:$CF$67,ROWS(prem_analysis!$N$2:Y152),COLUMNS(prem_analysis!$N$2:Y152)),IF($Q$1=$P$4,INDEX(Table24[[#All],[Year]:[Details]],ROWS(prem_analysis!$M$420:X570),COLUMNS(Data!$Q$3:AB153)))))),"")</f>
        <v/>
      </c>
    </row>
    <row r="153" spans="1:29" x14ac:dyDescent="0.2">
      <c r="A153" s="5">
        <v>2007</v>
      </c>
      <c r="B153" s="5">
        <v>12</v>
      </c>
      <c r="C153" s="6" t="s">
        <v>21</v>
      </c>
      <c r="D153" s="5">
        <v>38</v>
      </c>
      <c r="E153" s="5">
        <v>11</v>
      </c>
      <c r="F153" s="5">
        <v>10</v>
      </c>
      <c r="G153" s="5">
        <v>17</v>
      </c>
      <c r="H153" s="5">
        <v>45</v>
      </c>
      <c r="I153" s="5">
        <v>65</v>
      </c>
      <c r="J153" s="5">
        <v>-20</v>
      </c>
      <c r="K153" s="5">
        <v>43</v>
      </c>
      <c r="L153" s="5">
        <f>IF(Table24[[#This Row],['#]]=1,"Champion", IF(Table24[[#This Row],['#]]&gt;=18,"Relegated",Table24[[#This Row],['#]]))</f>
        <v>12</v>
      </c>
      <c r="M153" s="5" t="str">
        <f>IF(Table24[[#This Row],[Details]]=2,K152-Table24[[#This Row],[Pts]],IF(Table24[[#This Row],[Details]]=17,Table24[[#This Row],[Pts]]-K154,""))</f>
        <v/>
      </c>
      <c r="R153" s="1" t="str">
        <f>IFERROR(IF($Q$1=$P$3,INDEX(prem_analysis!$P$2:$Q$441,ROWS(Data!$P$2:Q153),COLUMNS(Data!$P$3:P154)),IF($Q$1=$P$5,INDEX(prem_analysis!$BH$1:$BS$23,ROWS(Data!$Q$3:Q154),COLUMNS(Data!$Q$3:Q154)),IF($Q$1=$P$6,INDEX(prem_analysis!$BU$1:$CF$67,ROWS(prem_analysis!$N$2:N153),COLUMNS(prem_analysis!$N$2:N153)),IF($Q$1=$P$4,INDEX(Table24[[#All],[Year]:[Details]],ROWS(prem_analysis!$M$420:M571),COLUMNS(Data!$Q$3:Q154)))))),"")</f>
        <v/>
      </c>
      <c r="S153" s="1" t="str">
        <f>IFERROR(IF($Q$1=$P$3,INDEX(prem_analysis!$P$2:$Q$441,ROWS(Data!$P$2:R153),COLUMNS(Data!$P$3:Q154)),IF($Q$1=$P$5,INDEX(prem_analysis!$BH$1:$BS$23,ROWS(Data!$Q$3:R154),COLUMNS(Data!$Q$3:R154)),IF($Q$1=$P$6,INDEX(prem_analysis!$BU$1:$CF$67,ROWS(prem_analysis!$N$2:O153),COLUMNS(prem_analysis!$N$2:O153)),IF($Q$1=$P$4,INDEX(Table24[[#All],[Year]:[Details]],ROWS(prem_analysis!$M$420:N571),COLUMNS(Data!$Q$3:R154)))))),"")</f>
        <v/>
      </c>
      <c r="T153" s="1" t="str">
        <f>IFERROR(IF($Q$1=$P$3,INDEX(prem_analysis!$P$2:$Q$441,ROWS(Data!$P$2:S153),COLUMNS(Data!$P$3:R154)),IF($Q$1=$P$5,INDEX(prem_analysis!$BH$1:$BS$23,ROWS(Data!$Q$3:S154),COLUMNS(Data!$Q$3:S154)),IF($Q$1=$P$6,INDEX(prem_analysis!$BU$1:$CF$67,ROWS(prem_analysis!$N$2:P153),COLUMNS(prem_analysis!$N$2:P153)),IF($Q$1=$P$4,INDEX(Table24[[#All],[Year]:[Details]],ROWS(prem_analysis!$M$420:O571),COLUMNS(Data!$Q$3:S154)))))),"")</f>
        <v/>
      </c>
      <c r="U153" s="1" t="str">
        <f>IFERROR(IF($Q$1=$P$3,INDEX(prem_analysis!$P$2:$Q$441,ROWS(Data!$P$2:T153),COLUMNS(Data!$P$3:S154)),IF($Q$1=$P$5,INDEX(prem_analysis!$BH$1:$BS$23,ROWS(Data!$Q$3:T154),COLUMNS(Data!$Q$3:T154)),IF($Q$1=$P$6,INDEX(prem_analysis!$BU$1:$CF$67,ROWS(prem_analysis!$N$2:Q153),COLUMNS(prem_analysis!$N$2:Q153)),IF($Q$1=$P$4,INDEX(Table24[[#All],[Year]:[Details]],ROWS(prem_analysis!$M$420:P571),COLUMNS(Data!$Q$3:T154)))))),"")</f>
        <v/>
      </c>
      <c r="V153" s="1" t="str">
        <f>IFERROR(IF($Q$1=$P$3,INDEX(prem_analysis!$P$2:$Q$441,ROWS(Data!$P$2:U153),COLUMNS(Data!$P$3:T154)),IF($Q$1=$P$5,INDEX(prem_analysis!$BH$1:$BS$23,ROWS(Data!$Q$3:U154),COLUMNS(Data!$Q$3:U154)),IF($Q$1=$P$6,INDEX(prem_analysis!$BU$1:$CF$67,ROWS(prem_analysis!$N$2:R153),COLUMNS(prem_analysis!$N$2:R153)),IF($Q$1=$P$4,INDEX(Table24[[#All],[Year]:[Details]],ROWS(prem_analysis!$M$420:Q571),COLUMNS(Data!$Q$3:U154)))))),"")</f>
        <v/>
      </c>
      <c r="W153" s="1" t="str">
        <f>IFERROR(IF($Q$1=$P$3,INDEX(prem_analysis!$P$2:$Q$441,ROWS(Data!$P$2:V153),COLUMNS(Data!$P$3:U154)),IF($Q$1=$P$5,INDEX(prem_analysis!$BH$1:$BS$23,ROWS(Data!$Q$3:V154),COLUMNS(Data!$Q$3:V154)),IF($Q$1=$P$6,INDEX(prem_analysis!$BU$1:$CF$67,ROWS(prem_analysis!$N$2:S153),COLUMNS(prem_analysis!$N$2:S153)),IF($Q$1=$P$4,INDEX(Table24[[#All],[Year]:[Details]],ROWS(prem_analysis!$M$420:R571),COLUMNS(Data!$Q$3:V154)))))),"")</f>
        <v/>
      </c>
      <c r="X153" s="1" t="str">
        <f>IFERROR(IF($Q$1=$P$3,INDEX(prem_analysis!$P$2:$Q$441,ROWS(Data!$P$2:W153),COLUMNS(Data!$P$3:V154)),IF($Q$1=$P$5,INDEX(prem_analysis!$BH$1:$BS$23,ROWS(Data!$Q$3:W154),COLUMNS(Data!$Q$3:W154)),IF($Q$1=$P$6,INDEX(prem_analysis!$BU$1:$CF$67,ROWS(prem_analysis!$N$2:T153),COLUMNS(prem_analysis!$N$2:T153)),IF($Q$1=$P$4,INDEX(Table24[[#All],[Year]:[Details]],ROWS(prem_analysis!$M$420:S571),COLUMNS(Data!$Q$3:W154)))))),"")</f>
        <v/>
      </c>
      <c r="Y153" s="1" t="str">
        <f>IFERROR(IF($Q$1=$P$3,INDEX(prem_analysis!$P$2:$Q$441,ROWS(Data!$P$2:X153),COLUMNS(Data!$P$3:W154)),IF($Q$1=$P$5,INDEX(prem_analysis!$BH$1:$BS$23,ROWS(Data!$Q$3:X154),COLUMNS(Data!$Q$3:X154)),IF($Q$1=$P$6,INDEX(prem_analysis!$BU$1:$CF$67,ROWS(prem_analysis!$N$2:U153),COLUMNS(prem_analysis!$N$2:U153)),IF($Q$1=$P$4,INDEX(Table24[[#All],[Year]:[Details]],ROWS(prem_analysis!$M$420:T571),COLUMNS(Data!$Q$3:X154)))))),"")</f>
        <v/>
      </c>
      <c r="Z153" s="1" t="str">
        <f>IFERROR(IF($Q$1=$P$3,INDEX(prem_analysis!$P$2:$Q$441,ROWS(Data!$P$2:Y153),COLUMNS(Data!$P$3:X154)),IF($Q$1=$P$5,INDEX(prem_analysis!$BH$1:$BS$23,ROWS(Data!$Q$3:Y154),COLUMNS(Data!$Q$3:Y154)),IF($Q$1=$P$6,INDEX(prem_analysis!$BU$1:$CF$67,ROWS(prem_analysis!$N$2:V153),COLUMNS(prem_analysis!$N$2:V153)),IF($Q$1=$P$4,INDEX(Table24[[#All],[Year]:[Details]],ROWS(prem_analysis!$M$420:U571),COLUMNS(Data!$Q$3:Y154)))))),"")</f>
        <v/>
      </c>
      <c r="AA153" s="1" t="str">
        <f>IFERROR(IF($Q$1=$P$3,INDEX(prem_analysis!$P$2:$Q$441,ROWS(Data!$P$2:Z153),COLUMNS(Data!$P$3:Y154)),IF($Q$1=$P$5,INDEX(prem_analysis!$BH$1:$BS$23,ROWS(Data!$Q$3:Z154),COLUMNS(Data!$Q$3:Z154)),IF($Q$1=$P$6,INDEX(prem_analysis!$BU$1:$CF$67,ROWS(prem_analysis!$N$2:W153),COLUMNS(prem_analysis!$N$2:W153)),IF($Q$1=$P$4,INDEX(Table24[[#All],[Year]:[Details]],ROWS(prem_analysis!$M$420:V571),COLUMNS(Data!$Q$3:Z154)))))),"")</f>
        <v/>
      </c>
      <c r="AB153" s="1" t="str">
        <f>IFERROR(IF($Q$1=$P$3,INDEX(prem_analysis!$P$2:$Q$441,ROWS(Data!$P$2:AA153),COLUMNS(Data!$P$3:Z154)),IF($Q$1=$P$5,INDEX(prem_analysis!$BH$1:$BS$23,ROWS(Data!$Q$3:AA154),COLUMNS(Data!$Q$3:AA154)),IF($Q$1=$P$6,INDEX(prem_analysis!$BU$1:$CF$67,ROWS(prem_analysis!$N$2:X153),COLUMNS(prem_analysis!$N$2:X153)),IF($Q$1=$P$4,INDEX(Table24[[#All],[Year]:[Details]],ROWS(prem_analysis!$M$420:W571),COLUMNS(Data!$Q$3:AA154)))))),"")</f>
        <v/>
      </c>
      <c r="AC153" s="1" t="str">
        <f>IFERROR(IF($Q$1=$P$3,INDEX(prem_analysis!$P$2:$Q$441,ROWS(Data!$P$2:AB153),COLUMNS(Data!$P$3:AA154)),IF($Q$1=$P$5,INDEX(prem_analysis!$BH$1:$BS$23,ROWS(Data!$Q$3:AB154),COLUMNS(Data!$Q$3:AB154)),IF($Q$1=$P$6,INDEX(prem_analysis!$BU$1:$CF$67,ROWS(prem_analysis!$N$2:Y153),COLUMNS(prem_analysis!$N$2:Y153)),IF($Q$1=$P$4,INDEX(Table24[[#All],[Year]:[Details]],ROWS(prem_analysis!$M$420:X571),COLUMNS(Data!$Q$3:AB154)))))),"")</f>
        <v/>
      </c>
    </row>
    <row r="154" spans="1:29" x14ac:dyDescent="0.2">
      <c r="A154" s="3">
        <v>2007</v>
      </c>
      <c r="B154" s="3">
        <v>13</v>
      </c>
      <c r="C154" s="4" t="s">
        <v>24</v>
      </c>
      <c r="D154" s="3">
        <v>38</v>
      </c>
      <c r="E154" s="3">
        <v>10</v>
      </c>
      <c r="F154" s="3">
        <v>12</v>
      </c>
      <c r="G154" s="3">
        <v>16</v>
      </c>
      <c r="H154" s="3">
        <v>43</v>
      </c>
      <c r="I154" s="3">
        <v>53</v>
      </c>
      <c r="J154" s="3">
        <v>-10</v>
      </c>
      <c r="K154" s="3">
        <v>42</v>
      </c>
      <c r="L154" s="5">
        <f>IF(Table24[[#This Row],['#]]=1,"Champion", IF(Table24[[#This Row],['#]]&gt;=18,"Relegated",Table24[[#This Row],['#]]))</f>
        <v>13</v>
      </c>
      <c r="M154" s="5" t="str">
        <f>IF(Table24[[#This Row],[Details]]=2,K153-Table24[[#This Row],[Pts]],IF(Table24[[#This Row],[Details]]=17,Table24[[#This Row],[Pts]]-K155,""))</f>
        <v/>
      </c>
      <c r="R154" s="1" t="str">
        <f>IFERROR(IF($Q$1=$P$3,INDEX(prem_analysis!$P$2:$Q$441,ROWS(Data!$P$2:Q154),COLUMNS(Data!$P$3:P155)),IF($Q$1=$P$5,INDEX(prem_analysis!$BH$1:$BS$23,ROWS(Data!$Q$3:Q155),COLUMNS(Data!$Q$3:Q155)),IF($Q$1=$P$6,INDEX(prem_analysis!$BU$1:$CF$67,ROWS(prem_analysis!$N$2:N154),COLUMNS(prem_analysis!$N$2:N154)),IF($Q$1=$P$4,INDEX(Table24[[#All],[Year]:[Details]],ROWS(prem_analysis!$M$420:M572),COLUMNS(Data!$Q$3:Q155)))))),"")</f>
        <v/>
      </c>
      <c r="S154" s="1" t="str">
        <f>IFERROR(IF($Q$1=$P$3,INDEX(prem_analysis!$P$2:$Q$441,ROWS(Data!$P$2:R154),COLUMNS(Data!$P$3:Q155)),IF($Q$1=$P$5,INDEX(prem_analysis!$BH$1:$BS$23,ROWS(Data!$Q$3:R155),COLUMNS(Data!$Q$3:R155)),IF($Q$1=$P$6,INDEX(prem_analysis!$BU$1:$CF$67,ROWS(prem_analysis!$N$2:O154),COLUMNS(prem_analysis!$N$2:O154)),IF($Q$1=$P$4,INDEX(Table24[[#All],[Year]:[Details]],ROWS(prem_analysis!$M$420:N572),COLUMNS(Data!$Q$3:R155)))))),"")</f>
        <v/>
      </c>
      <c r="T154" s="1" t="str">
        <f>IFERROR(IF($Q$1=$P$3,INDEX(prem_analysis!$P$2:$Q$441,ROWS(Data!$P$2:S154),COLUMNS(Data!$P$3:R155)),IF($Q$1=$P$5,INDEX(prem_analysis!$BH$1:$BS$23,ROWS(Data!$Q$3:S155),COLUMNS(Data!$Q$3:S155)),IF($Q$1=$P$6,INDEX(prem_analysis!$BU$1:$CF$67,ROWS(prem_analysis!$N$2:P154),COLUMNS(prem_analysis!$N$2:P154)),IF($Q$1=$P$4,INDEX(Table24[[#All],[Year]:[Details]],ROWS(prem_analysis!$M$420:O572),COLUMNS(Data!$Q$3:S155)))))),"")</f>
        <v/>
      </c>
      <c r="U154" s="1" t="str">
        <f>IFERROR(IF($Q$1=$P$3,INDEX(prem_analysis!$P$2:$Q$441,ROWS(Data!$P$2:T154),COLUMNS(Data!$P$3:S155)),IF($Q$1=$P$5,INDEX(prem_analysis!$BH$1:$BS$23,ROWS(Data!$Q$3:T155),COLUMNS(Data!$Q$3:T155)),IF($Q$1=$P$6,INDEX(prem_analysis!$BU$1:$CF$67,ROWS(prem_analysis!$N$2:Q154),COLUMNS(prem_analysis!$N$2:Q154)),IF($Q$1=$P$4,INDEX(Table24[[#All],[Year]:[Details]],ROWS(prem_analysis!$M$420:P572),COLUMNS(Data!$Q$3:T155)))))),"")</f>
        <v/>
      </c>
      <c r="V154" s="1" t="str">
        <f>IFERROR(IF($Q$1=$P$3,INDEX(prem_analysis!$P$2:$Q$441,ROWS(Data!$P$2:U154),COLUMNS(Data!$P$3:T155)),IF($Q$1=$P$5,INDEX(prem_analysis!$BH$1:$BS$23,ROWS(Data!$Q$3:U155),COLUMNS(Data!$Q$3:U155)),IF($Q$1=$P$6,INDEX(prem_analysis!$BU$1:$CF$67,ROWS(prem_analysis!$N$2:R154),COLUMNS(prem_analysis!$N$2:R154)),IF($Q$1=$P$4,INDEX(Table24[[#All],[Year]:[Details]],ROWS(prem_analysis!$M$420:Q572),COLUMNS(Data!$Q$3:U155)))))),"")</f>
        <v/>
      </c>
      <c r="W154" s="1" t="str">
        <f>IFERROR(IF($Q$1=$P$3,INDEX(prem_analysis!$P$2:$Q$441,ROWS(Data!$P$2:V154),COLUMNS(Data!$P$3:U155)),IF($Q$1=$P$5,INDEX(prem_analysis!$BH$1:$BS$23,ROWS(Data!$Q$3:V155),COLUMNS(Data!$Q$3:V155)),IF($Q$1=$P$6,INDEX(prem_analysis!$BU$1:$CF$67,ROWS(prem_analysis!$N$2:S154),COLUMNS(prem_analysis!$N$2:S154)),IF($Q$1=$P$4,INDEX(Table24[[#All],[Year]:[Details]],ROWS(prem_analysis!$M$420:R572),COLUMNS(Data!$Q$3:V155)))))),"")</f>
        <v/>
      </c>
      <c r="X154" s="1" t="str">
        <f>IFERROR(IF($Q$1=$P$3,INDEX(prem_analysis!$P$2:$Q$441,ROWS(Data!$P$2:W154),COLUMNS(Data!$P$3:V155)),IF($Q$1=$P$5,INDEX(prem_analysis!$BH$1:$BS$23,ROWS(Data!$Q$3:W155),COLUMNS(Data!$Q$3:W155)),IF($Q$1=$P$6,INDEX(prem_analysis!$BU$1:$CF$67,ROWS(prem_analysis!$N$2:T154),COLUMNS(prem_analysis!$N$2:T154)),IF($Q$1=$P$4,INDEX(Table24[[#All],[Year]:[Details]],ROWS(prem_analysis!$M$420:S572),COLUMNS(Data!$Q$3:W155)))))),"")</f>
        <v/>
      </c>
      <c r="Y154" s="1" t="str">
        <f>IFERROR(IF($Q$1=$P$3,INDEX(prem_analysis!$P$2:$Q$441,ROWS(Data!$P$2:X154),COLUMNS(Data!$P$3:W155)),IF($Q$1=$P$5,INDEX(prem_analysis!$BH$1:$BS$23,ROWS(Data!$Q$3:X155),COLUMNS(Data!$Q$3:X155)),IF($Q$1=$P$6,INDEX(prem_analysis!$BU$1:$CF$67,ROWS(prem_analysis!$N$2:U154),COLUMNS(prem_analysis!$N$2:U154)),IF($Q$1=$P$4,INDEX(Table24[[#All],[Year]:[Details]],ROWS(prem_analysis!$M$420:T572),COLUMNS(Data!$Q$3:X155)))))),"")</f>
        <v/>
      </c>
      <c r="Z154" s="1" t="str">
        <f>IFERROR(IF($Q$1=$P$3,INDEX(prem_analysis!$P$2:$Q$441,ROWS(Data!$P$2:Y154),COLUMNS(Data!$P$3:X155)),IF($Q$1=$P$5,INDEX(prem_analysis!$BH$1:$BS$23,ROWS(Data!$Q$3:Y155),COLUMNS(Data!$Q$3:Y155)),IF($Q$1=$P$6,INDEX(prem_analysis!$BU$1:$CF$67,ROWS(prem_analysis!$N$2:V154),COLUMNS(prem_analysis!$N$2:V154)),IF($Q$1=$P$4,INDEX(Table24[[#All],[Year]:[Details]],ROWS(prem_analysis!$M$420:U572),COLUMNS(Data!$Q$3:Y155)))))),"")</f>
        <v/>
      </c>
      <c r="AA154" s="1" t="str">
        <f>IFERROR(IF($Q$1=$P$3,INDEX(prem_analysis!$P$2:$Q$441,ROWS(Data!$P$2:Z154),COLUMNS(Data!$P$3:Y155)),IF($Q$1=$P$5,INDEX(prem_analysis!$BH$1:$BS$23,ROWS(Data!$Q$3:Z155),COLUMNS(Data!$Q$3:Z155)),IF($Q$1=$P$6,INDEX(prem_analysis!$BU$1:$CF$67,ROWS(prem_analysis!$N$2:W154),COLUMNS(prem_analysis!$N$2:W154)),IF($Q$1=$P$4,INDEX(Table24[[#All],[Year]:[Details]],ROWS(prem_analysis!$M$420:V572),COLUMNS(Data!$Q$3:Z155)))))),"")</f>
        <v/>
      </c>
      <c r="AB154" s="1" t="str">
        <f>IFERROR(IF($Q$1=$P$3,INDEX(prem_analysis!$P$2:$Q$441,ROWS(Data!$P$2:AA154),COLUMNS(Data!$P$3:Z155)),IF($Q$1=$P$5,INDEX(prem_analysis!$BH$1:$BS$23,ROWS(Data!$Q$3:AA155),COLUMNS(Data!$Q$3:AA155)),IF($Q$1=$P$6,INDEX(prem_analysis!$BU$1:$CF$67,ROWS(prem_analysis!$N$2:X154),COLUMNS(prem_analysis!$N$2:X154)),IF($Q$1=$P$4,INDEX(Table24[[#All],[Year]:[Details]],ROWS(prem_analysis!$M$420:W572),COLUMNS(Data!$Q$3:AA155)))))),"")</f>
        <v/>
      </c>
      <c r="AC154" s="1" t="str">
        <f>IFERROR(IF($Q$1=$P$3,INDEX(prem_analysis!$P$2:$Q$441,ROWS(Data!$P$2:AB154),COLUMNS(Data!$P$3:AA155)),IF($Q$1=$P$5,INDEX(prem_analysis!$BH$1:$BS$23,ROWS(Data!$Q$3:AB155),COLUMNS(Data!$Q$3:AB155)),IF($Q$1=$P$6,INDEX(prem_analysis!$BU$1:$CF$67,ROWS(prem_analysis!$N$2:Y154),COLUMNS(prem_analysis!$N$2:Y154)),IF($Q$1=$P$4,INDEX(Table24[[#All],[Year]:[Details]],ROWS(prem_analysis!$M$420:X572),COLUMNS(Data!$Q$3:AB155)))))),"")</f>
        <v/>
      </c>
    </row>
    <row r="155" spans="1:29" x14ac:dyDescent="0.2">
      <c r="A155" s="5">
        <v>2007</v>
      </c>
      <c r="B155" s="5">
        <v>14</v>
      </c>
      <c r="C155" s="6" t="s">
        <v>40</v>
      </c>
      <c r="D155" s="5">
        <v>38</v>
      </c>
      <c r="E155" s="5">
        <v>10</v>
      </c>
      <c r="F155" s="5">
        <v>10</v>
      </c>
      <c r="G155" s="5">
        <v>18</v>
      </c>
      <c r="H155" s="5">
        <v>34</v>
      </c>
      <c r="I155" s="5">
        <v>51</v>
      </c>
      <c r="J155" s="5">
        <v>-17</v>
      </c>
      <c r="K155" s="5">
        <v>40</v>
      </c>
      <c r="L155" s="5">
        <f>IF(Table24[[#This Row],['#]]=1,"Champion", IF(Table24[[#This Row],['#]]&gt;=18,"Relegated",Table24[[#This Row],['#]]))</f>
        <v>14</v>
      </c>
      <c r="M155" s="5" t="str">
        <f>IF(Table24[[#This Row],[Details]]=2,K154-Table24[[#This Row],[Pts]],IF(Table24[[#This Row],[Details]]=17,Table24[[#This Row],[Pts]]-K156,""))</f>
        <v/>
      </c>
      <c r="R155" s="1" t="str">
        <f>IFERROR(IF($Q$1=$P$3,INDEX(prem_analysis!$P$2:$Q$441,ROWS(Data!$P$2:Q155),COLUMNS(Data!$P$3:P156)),IF($Q$1=$P$5,INDEX(prem_analysis!$BH$1:$BS$23,ROWS(Data!$Q$3:Q156),COLUMNS(Data!$Q$3:Q156)),IF($Q$1=$P$6,INDEX(prem_analysis!$BU$1:$CF$67,ROWS(prem_analysis!$N$2:N155),COLUMNS(prem_analysis!$N$2:N155)),IF($Q$1=$P$4,INDEX(Table24[[#All],[Year]:[Details]],ROWS(prem_analysis!$M$420:M573),COLUMNS(Data!$Q$3:Q156)))))),"")</f>
        <v/>
      </c>
      <c r="S155" s="1" t="str">
        <f>IFERROR(IF($Q$1=$P$3,INDEX(prem_analysis!$P$2:$Q$441,ROWS(Data!$P$2:R155),COLUMNS(Data!$P$3:Q156)),IF($Q$1=$P$5,INDEX(prem_analysis!$BH$1:$BS$23,ROWS(Data!$Q$3:R156),COLUMNS(Data!$Q$3:R156)),IF($Q$1=$P$6,INDEX(prem_analysis!$BU$1:$CF$67,ROWS(prem_analysis!$N$2:O155),COLUMNS(prem_analysis!$N$2:O155)),IF($Q$1=$P$4,INDEX(Table24[[#All],[Year]:[Details]],ROWS(prem_analysis!$M$420:N573),COLUMNS(Data!$Q$3:R156)))))),"")</f>
        <v/>
      </c>
      <c r="T155" s="1" t="str">
        <f>IFERROR(IF($Q$1=$P$3,INDEX(prem_analysis!$P$2:$Q$441,ROWS(Data!$P$2:S155),COLUMNS(Data!$P$3:R156)),IF($Q$1=$P$5,INDEX(prem_analysis!$BH$1:$BS$23,ROWS(Data!$Q$3:S156),COLUMNS(Data!$Q$3:S156)),IF($Q$1=$P$6,INDEX(prem_analysis!$BU$1:$CF$67,ROWS(prem_analysis!$N$2:P155),COLUMNS(prem_analysis!$N$2:P155)),IF($Q$1=$P$4,INDEX(Table24[[#All],[Year]:[Details]],ROWS(prem_analysis!$M$420:O573),COLUMNS(Data!$Q$3:S156)))))),"")</f>
        <v/>
      </c>
      <c r="U155" s="1" t="str">
        <f>IFERROR(IF($Q$1=$P$3,INDEX(prem_analysis!$P$2:$Q$441,ROWS(Data!$P$2:T155),COLUMNS(Data!$P$3:S156)),IF($Q$1=$P$5,INDEX(prem_analysis!$BH$1:$BS$23,ROWS(Data!$Q$3:T156),COLUMNS(Data!$Q$3:T156)),IF($Q$1=$P$6,INDEX(prem_analysis!$BU$1:$CF$67,ROWS(prem_analysis!$N$2:Q155),COLUMNS(prem_analysis!$N$2:Q155)),IF($Q$1=$P$4,INDEX(Table24[[#All],[Year]:[Details]],ROWS(prem_analysis!$M$420:P573),COLUMNS(Data!$Q$3:T156)))))),"")</f>
        <v/>
      </c>
      <c r="V155" s="1" t="str">
        <f>IFERROR(IF($Q$1=$P$3,INDEX(prem_analysis!$P$2:$Q$441,ROWS(Data!$P$2:U155),COLUMNS(Data!$P$3:T156)),IF($Q$1=$P$5,INDEX(prem_analysis!$BH$1:$BS$23,ROWS(Data!$Q$3:U156),COLUMNS(Data!$Q$3:U156)),IF($Q$1=$P$6,INDEX(prem_analysis!$BU$1:$CF$67,ROWS(prem_analysis!$N$2:R155),COLUMNS(prem_analysis!$N$2:R155)),IF($Q$1=$P$4,INDEX(Table24[[#All],[Year]:[Details]],ROWS(prem_analysis!$M$420:Q573),COLUMNS(Data!$Q$3:U156)))))),"")</f>
        <v/>
      </c>
      <c r="W155" s="1" t="str">
        <f>IFERROR(IF($Q$1=$P$3,INDEX(prem_analysis!$P$2:$Q$441,ROWS(Data!$P$2:V155),COLUMNS(Data!$P$3:U156)),IF($Q$1=$P$5,INDEX(prem_analysis!$BH$1:$BS$23,ROWS(Data!$Q$3:V156),COLUMNS(Data!$Q$3:V156)),IF($Q$1=$P$6,INDEX(prem_analysis!$BU$1:$CF$67,ROWS(prem_analysis!$N$2:S155),COLUMNS(prem_analysis!$N$2:S155)),IF($Q$1=$P$4,INDEX(Table24[[#All],[Year]:[Details]],ROWS(prem_analysis!$M$420:R573),COLUMNS(Data!$Q$3:V156)))))),"")</f>
        <v/>
      </c>
      <c r="X155" s="1" t="str">
        <f>IFERROR(IF($Q$1=$P$3,INDEX(prem_analysis!$P$2:$Q$441,ROWS(Data!$P$2:W155),COLUMNS(Data!$P$3:V156)),IF($Q$1=$P$5,INDEX(prem_analysis!$BH$1:$BS$23,ROWS(Data!$Q$3:W156),COLUMNS(Data!$Q$3:W156)),IF($Q$1=$P$6,INDEX(prem_analysis!$BU$1:$CF$67,ROWS(prem_analysis!$N$2:T155),COLUMNS(prem_analysis!$N$2:T155)),IF($Q$1=$P$4,INDEX(Table24[[#All],[Year]:[Details]],ROWS(prem_analysis!$M$420:S573),COLUMNS(Data!$Q$3:W156)))))),"")</f>
        <v/>
      </c>
      <c r="Y155" s="1" t="str">
        <f>IFERROR(IF($Q$1=$P$3,INDEX(prem_analysis!$P$2:$Q$441,ROWS(Data!$P$2:X155),COLUMNS(Data!$P$3:W156)),IF($Q$1=$P$5,INDEX(prem_analysis!$BH$1:$BS$23,ROWS(Data!$Q$3:X156),COLUMNS(Data!$Q$3:X156)),IF($Q$1=$P$6,INDEX(prem_analysis!$BU$1:$CF$67,ROWS(prem_analysis!$N$2:U155),COLUMNS(prem_analysis!$N$2:U155)),IF($Q$1=$P$4,INDEX(Table24[[#All],[Year]:[Details]],ROWS(prem_analysis!$M$420:T573),COLUMNS(Data!$Q$3:X156)))))),"")</f>
        <v/>
      </c>
      <c r="Z155" s="1" t="str">
        <f>IFERROR(IF($Q$1=$P$3,INDEX(prem_analysis!$P$2:$Q$441,ROWS(Data!$P$2:Y155),COLUMNS(Data!$P$3:X156)),IF($Q$1=$P$5,INDEX(prem_analysis!$BH$1:$BS$23,ROWS(Data!$Q$3:Y156),COLUMNS(Data!$Q$3:Y156)),IF($Q$1=$P$6,INDEX(prem_analysis!$BU$1:$CF$67,ROWS(prem_analysis!$N$2:V155),COLUMNS(prem_analysis!$N$2:V155)),IF($Q$1=$P$4,INDEX(Table24[[#All],[Year]:[Details]],ROWS(prem_analysis!$M$420:U573),COLUMNS(Data!$Q$3:Y156)))))),"")</f>
        <v/>
      </c>
      <c r="AA155" s="1" t="str">
        <f>IFERROR(IF($Q$1=$P$3,INDEX(prem_analysis!$P$2:$Q$441,ROWS(Data!$P$2:Z155),COLUMNS(Data!$P$3:Y156)),IF($Q$1=$P$5,INDEX(prem_analysis!$BH$1:$BS$23,ROWS(Data!$Q$3:Z156),COLUMNS(Data!$Q$3:Z156)),IF($Q$1=$P$6,INDEX(prem_analysis!$BU$1:$CF$67,ROWS(prem_analysis!$N$2:W155),COLUMNS(prem_analysis!$N$2:W155)),IF($Q$1=$P$4,INDEX(Table24[[#All],[Year]:[Details]],ROWS(prem_analysis!$M$420:V573),COLUMNS(Data!$Q$3:Z156)))))),"")</f>
        <v/>
      </c>
      <c r="AB155" s="1" t="str">
        <f>IFERROR(IF($Q$1=$P$3,INDEX(prem_analysis!$P$2:$Q$441,ROWS(Data!$P$2:AA155),COLUMNS(Data!$P$3:Z156)),IF($Q$1=$P$5,INDEX(prem_analysis!$BH$1:$BS$23,ROWS(Data!$Q$3:AA156),COLUMNS(Data!$Q$3:AA156)),IF($Q$1=$P$6,INDEX(prem_analysis!$BU$1:$CF$67,ROWS(prem_analysis!$N$2:X155),COLUMNS(prem_analysis!$N$2:X155)),IF($Q$1=$P$4,INDEX(Table24[[#All],[Year]:[Details]],ROWS(prem_analysis!$M$420:W573),COLUMNS(Data!$Q$3:AA156)))))),"")</f>
        <v/>
      </c>
      <c r="AC155" s="1" t="str">
        <f>IFERROR(IF($Q$1=$P$3,INDEX(prem_analysis!$P$2:$Q$441,ROWS(Data!$P$2:AB155),COLUMNS(Data!$P$3:AA156)),IF($Q$1=$P$5,INDEX(prem_analysis!$BH$1:$BS$23,ROWS(Data!$Q$3:AB156),COLUMNS(Data!$Q$3:AB156)),IF($Q$1=$P$6,INDEX(prem_analysis!$BU$1:$CF$67,ROWS(prem_analysis!$N$2:Y155),COLUMNS(prem_analysis!$N$2:Y155)),IF($Q$1=$P$4,INDEX(Table24[[#All],[Year]:[Details]],ROWS(prem_analysis!$M$420:X573),COLUMNS(Data!$Q$3:AB156)))))),"")</f>
        <v/>
      </c>
    </row>
    <row r="156" spans="1:29" x14ac:dyDescent="0.2">
      <c r="A156" s="3">
        <v>2007</v>
      </c>
      <c r="B156" s="3">
        <v>15</v>
      </c>
      <c r="C156" s="4" t="s">
        <v>17</v>
      </c>
      <c r="D156" s="3">
        <v>38</v>
      </c>
      <c r="E156" s="3">
        <v>11</v>
      </c>
      <c r="F156" s="3">
        <v>6</v>
      </c>
      <c r="G156" s="3">
        <v>21</v>
      </c>
      <c r="H156" s="3">
        <v>36</v>
      </c>
      <c r="I156" s="3">
        <v>59</v>
      </c>
      <c r="J156" s="3">
        <v>-23</v>
      </c>
      <c r="K156" s="3">
        <v>39</v>
      </c>
      <c r="L156" s="5">
        <f>IF(Table24[[#This Row],['#]]=1,"Champion", IF(Table24[[#This Row],['#]]&gt;=18,"Relegated",Table24[[#This Row],['#]]))</f>
        <v>15</v>
      </c>
      <c r="M156" s="5" t="str">
        <f>IF(Table24[[#This Row],[Details]]=2,K155-Table24[[#This Row],[Pts]],IF(Table24[[#This Row],[Details]]=17,Table24[[#This Row],[Pts]]-K157,""))</f>
        <v/>
      </c>
      <c r="R156" s="1" t="str">
        <f>IFERROR(IF($Q$1=$P$3,INDEX(prem_analysis!$P$2:$Q$441,ROWS(Data!$P$2:Q156),COLUMNS(Data!$P$3:P157)),IF($Q$1=$P$5,INDEX(prem_analysis!$BH$1:$BS$23,ROWS(Data!$Q$3:Q157),COLUMNS(Data!$Q$3:Q157)),IF($Q$1=$P$6,INDEX(prem_analysis!$BU$1:$CF$67,ROWS(prem_analysis!$N$2:N156),COLUMNS(prem_analysis!$N$2:N156)),IF($Q$1=$P$4,INDEX(Table24[[#All],[Year]:[Details]],ROWS(prem_analysis!$M$420:M574),COLUMNS(Data!$Q$3:Q157)))))),"")</f>
        <v/>
      </c>
      <c r="S156" s="1" t="str">
        <f>IFERROR(IF($Q$1=$P$3,INDEX(prem_analysis!$P$2:$Q$441,ROWS(Data!$P$2:R156),COLUMNS(Data!$P$3:Q157)),IF($Q$1=$P$5,INDEX(prem_analysis!$BH$1:$BS$23,ROWS(Data!$Q$3:R157),COLUMNS(Data!$Q$3:R157)),IF($Q$1=$P$6,INDEX(prem_analysis!$BU$1:$CF$67,ROWS(prem_analysis!$N$2:O156),COLUMNS(prem_analysis!$N$2:O156)),IF($Q$1=$P$4,INDEX(Table24[[#All],[Year]:[Details]],ROWS(prem_analysis!$M$420:N574),COLUMNS(Data!$Q$3:R157)))))),"")</f>
        <v/>
      </c>
      <c r="T156" s="1" t="str">
        <f>IFERROR(IF($Q$1=$P$3,INDEX(prem_analysis!$P$2:$Q$441,ROWS(Data!$P$2:S156),COLUMNS(Data!$P$3:R157)),IF($Q$1=$P$5,INDEX(prem_analysis!$BH$1:$BS$23,ROWS(Data!$Q$3:S157),COLUMNS(Data!$Q$3:S157)),IF($Q$1=$P$6,INDEX(prem_analysis!$BU$1:$CF$67,ROWS(prem_analysis!$N$2:P156),COLUMNS(prem_analysis!$N$2:P156)),IF($Q$1=$P$4,INDEX(Table24[[#All],[Year]:[Details]],ROWS(prem_analysis!$M$420:O574),COLUMNS(Data!$Q$3:S157)))))),"")</f>
        <v/>
      </c>
      <c r="U156" s="1" t="str">
        <f>IFERROR(IF($Q$1=$P$3,INDEX(prem_analysis!$P$2:$Q$441,ROWS(Data!$P$2:T156),COLUMNS(Data!$P$3:S157)),IF($Q$1=$P$5,INDEX(prem_analysis!$BH$1:$BS$23,ROWS(Data!$Q$3:T157),COLUMNS(Data!$Q$3:T157)),IF($Q$1=$P$6,INDEX(prem_analysis!$BU$1:$CF$67,ROWS(prem_analysis!$N$2:Q156),COLUMNS(prem_analysis!$N$2:Q156)),IF($Q$1=$P$4,INDEX(Table24[[#All],[Year]:[Details]],ROWS(prem_analysis!$M$420:P574),COLUMNS(Data!$Q$3:T157)))))),"")</f>
        <v/>
      </c>
      <c r="V156" s="1" t="str">
        <f>IFERROR(IF($Q$1=$P$3,INDEX(prem_analysis!$P$2:$Q$441,ROWS(Data!$P$2:U156),COLUMNS(Data!$P$3:T157)),IF($Q$1=$P$5,INDEX(prem_analysis!$BH$1:$BS$23,ROWS(Data!$Q$3:U157),COLUMNS(Data!$Q$3:U157)),IF($Q$1=$P$6,INDEX(prem_analysis!$BU$1:$CF$67,ROWS(prem_analysis!$N$2:R156),COLUMNS(prem_analysis!$N$2:R156)),IF($Q$1=$P$4,INDEX(Table24[[#All],[Year]:[Details]],ROWS(prem_analysis!$M$420:Q574),COLUMNS(Data!$Q$3:U157)))))),"")</f>
        <v/>
      </c>
      <c r="W156" s="1" t="str">
        <f>IFERROR(IF($Q$1=$P$3,INDEX(prem_analysis!$P$2:$Q$441,ROWS(Data!$P$2:V156),COLUMNS(Data!$P$3:U157)),IF($Q$1=$P$5,INDEX(prem_analysis!$BH$1:$BS$23,ROWS(Data!$Q$3:V157),COLUMNS(Data!$Q$3:V157)),IF($Q$1=$P$6,INDEX(prem_analysis!$BU$1:$CF$67,ROWS(prem_analysis!$N$2:S156),COLUMNS(prem_analysis!$N$2:S156)),IF($Q$1=$P$4,INDEX(Table24[[#All],[Year]:[Details]],ROWS(prem_analysis!$M$420:R574),COLUMNS(Data!$Q$3:V157)))))),"")</f>
        <v/>
      </c>
      <c r="X156" s="1" t="str">
        <f>IFERROR(IF($Q$1=$P$3,INDEX(prem_analysis!$P$2:$Q$441,ROWS(Data!$P$2:W156),COLUMNS(Data!$P$3:V157)),IF($Q$1=$P$5,INDEX(prem_analysis!$BH$1:$BS$23,ROWS(Data!$Q$3:W157),COLUMNS(Data!$Q$3:W157)),IF($Q$1=$P$6,INDEX(prem_analysis!$BU$1:$CF$67,ROWS(prem_analysis!$N$2:T156),COLUMNS(prem_analysis!$N$2:T156)),IF($Q$1=$P$4,INDEX(Table24[[#All],[Year]:[Details]],ROWS(prem_analysis!$M$420:S574),COLUMNS(Data!$Q$3:W157)))))),"")</f>
        <v/>
      </c>
      <c r="Y156" s="1" t="str">
        <f>IFERROR(IF($Q$1=$P$3,INDEX(prem_analysis!$P$2:$Q$441,ROWS(Data!$P$2:X156),COLUMNS(Data!$P$3:W157)),IF($Q$1=$P$5,INDEX(prem_analysis!$BH$1:$BS$23,ROWS(Data!$Q$3:X157),COLUMNS(Data!$Q$3:X157)),IF($Q$1=$P$6,INDEX(prem_analysis!$BU$1:$CF$67,ROWS(prem_analysis!$N$2:U156),COLUMNS(prem_analysis!$N$2:U156)),IF($Q$1=$P$4,INDEX(Table24[[#All],[Year]:[Details]],ROWS(prem_analysis!$M$420:T574),COLUMNS(Data!$Q$3:X157)))))),"")</f>
        <v/>
      </c>
      <c r="Z156" s="1" t="str">
        <f>IFERROR(IF($Q$1=$P$3,INDEX(prem_analysis!$P$2:$Q$441,ROWS(Data!$P$2:Y156),COLUMNS(Data!$P$3:X157)),IF($Q$1=$P$5,INDEX(prem_analysis!$BH$1:$BS$23,ROWS(Data!$Q$3:Y157),COLUMNS(Data!$Q$3:Y157)),IF($Q$1=$P$6,INDEX(prem_analysis!$BU$1:$CF$67,ROWS(prem_analysis!$N$2:V156),COLUMNS(prem_analysis!$N$2:V156)),IF($Q$1=$P$4,INDEX(Table24[[#All],[Year]:[Details]],ROWS(prem_analysis!$M$420:U574),COLUMNS(Data!$Q$3:Y157)))))),"")</f>
        <v/>
      </c>
      <c r="AA156" s="1" t="str">
        <f>IFERROR(IF($Q$1=$P$3,INDEX(prem_analysis!$P$2:$Q$441,ROWS(Data!$P$2:Z156),COLUMNS(Data!$P$3:Y157)),IF($Q$1=$P$5,INDEX(prem_analysis!$BH$1:$BS$23,ROWS(Data!$Q$3:Z157),COLUMNS(Data!$Q$3:Z157)),IF($Q$1=$P$6,INDEX(prem_analysis!$BU$1:$CF$67,ROWS(prem_analysis!$N$2:W156),COLUMNS(prem_analysis!$N$2:W156)),IF($Q$1=$P$4,INDEX(Table24[[#All],[Year]:[Details]],ROWS(prem_analysis!$M$420:V574),COLUMNS(Data!$Q$3:Z157)))))),"")</f>
        <v/>
      </c>
      <c r="AB156" s="1" t="str">
        <f>IFERROR(IF($Q$1=$P$3,INDEX(prem_analysis!$P$2:$Q$441,ROWS(Data!$P$2:AA156),COLUMNS(Data!$P$3:Z157)),IF($Q$1=$P$5,INDEX(prem_analysis!$BH$1:$BS$23,ROWS(Data!$Q$3:AA157),COLUMNS(Data!$Q$3:AA157)),IF($Q$1=$P$6,INDEX(prem_analysis!$BU$1:$CF$67,ROWS(prem_analysis!$N$2:X156),COLUMNS(prem_analysis!$N$2:X156)),IF($Q$1=$P$4,INDEX(Table24[[#All],[Year]:[Details]],ROWS(prem_analysis!$M$420:W574),COLUMNS(Data!$Q$3:AA157)))))),"")</f>
        <v/>
      </c>
      <c r="AC156" s="1" t="str">
        <f>IFERROR(IF($Q$1=$P$3,INDEX(prem_analysis!$P$2:$Q$441,ROWS(Data!$P$2:AB156),COLUMNS(Data!$P$3:AA157)),IF($Q$1=$P$5,INDEX(prem_analysis!$BH$1:$BS$23,ROWS(Data!$Q$3:AB157),COLUMNS(Data!$Q$3:AB157)),IF($Q$1=$P$6,INDEX(prem_analysis!$BU$1:$CF$67,ROWS(prem_analysis!$N$2:Y156),COLUMNS(prem_analysis!$N$2:Y156)),IF($Q$1=$P$4,INDEX(Table24[[#All],[Year]:[Details]],ROWS(prem_analysis!$M$420:X574),COLUMNS(Data!$Q$3:AB157)))))),"")</f>
        <v/>
      </c>
    </row>
    <row r="157" spans="1:29" x14ac:dyDescent="0.2">
      <c r="A157" s="5">
        <v>2007</v>
      </c>
      <c r="B157" s="5">
        <v>16</v>
      </c>
      <c r="C157" s="6" t="s">
        <v>33</v>
      </c>
      <c r="D157" s="5">
        <v>38</v>
      </c>
      <c r="E157" s="5">
        <v>9</v>
      </c>
      <c r="F157" s="5">
        <v>10</v>
      </c>
      <c r="G157" s="5">
        <v>19</v>
      </c>
      <c r="H157" s="5">
        <v>36</v>
      </c>
      <c r="I157" s="5">
        <v>54</v>
      </c>
      <c r="J157" s="5">
        <v>-18</v>
      </c>
      <c r="K157" s="5">
        <v>37</v>
      </c>
      <c r="L157" s="5">
        <f>IF(Table24[[#This Row],['#]]=1,"Champion", IF(Table24[[#This Row],['#]]&gt;=18,"Relegated",Table24[[#This Row],['#]]))</f>
        <v>16</v>
      </c>
      <c r="M157" s="5" t="str">
        <f>IF(Table24[[#This Row],[Details]]=2,K156-Table24[[#This Row],[Pts]],IF(Table24[[#This Row],[Details]]=17,Table24[[#This Row],[Pts]]-K158,""))</f>
        <v/>
      </c>
      <c r="R157" s="1" t="str">
        <f>IFERROR(IF($Q$1=$P$3,INDEX(prem_analysis!$P$2:$Q$441,ROWS(Data!$P$2:Q157),COLUMNS(Data!$P$3:P158)),IF($Q$1=$P$5,INDEX(prem_analysis!$BH$1:$BS$23,ROWS(Data!$Q$3:Q158),COLUMNS(Data!$Q$3:Q158)),IF($Q$1=$P$6,INDEX(prem_analysis!$BU$1:$CF$67,ROWS(prem_analysis!$N$2:N157),COLUMNS(prem_analysis!$N$2:N157)),IF($Q$1=$P$4,INDEX(Table24[[#All],[Year]:[Details]],ROWS(prem_analysis!$M$420:M575),COLUMNS(Data!$Q$3:Q158)))))),"")</f>
        <v/>
      </c>
      <c r="S157" s="1" t="str">
        <f>IFERROR(IF($Q$1=$P$3,INDEX(prem_analysis!$P$2:$Q$441,ROWS(Data!$P$2:R157),COLUMNS(Data!$P$3:Q158)),IF($Q$1=$P$5,INDEX(prem_analysis!$BH$1:$BS$23,ROWS(Data!$Q$3:R158),COLUMNS(Data!$Q$3:R158)),IF($Q$1=$P$6,INDEX(prem_analysis!$BU$1:$CF$67,ROWS(prem_analysis!$N$2:O157),COLUMNS(prem_analysis!$N$2:O157)),IF($Q$1=$P$4,INDEX(Table24[[#All],[Year]:[Details]],ROWS(prem_analysis!$M$420:N575),COLUMNS(Data!$Q$3:R158)))))),"")</f>
        <v/>
      </c>
      <c r="T157" s="1" t="str">
        <f>IFERROR(IF($Q$1=$P$3,INDEX(prem_analysis!$P$2:$Q$441,ROWS(Data!$P$2:S157),COLUMNS(Data!$P$3:R158)),IF($Q$1=$P$5,INDEX(prem_analysis!$BH$1:$BS$23,ROWS(Data!$Q$3:S158),COLUMNS(Data!$Q$3:S158)),IF($Q$1=$P$6,INDEX(prem_analysis!$BU$1:$CF$67,ROWS(prem_analysis!$N$2:P157),COLUMNS(prem_analysis!$N$2:P157)),IF($Q$1=$P$4,INDEX(Table24[[#All],[Year]:[Details]],ROWS(prem_analysis!$M$420:O575),COLUMNS(Data!$Q$3:S158)))))),"")</f>
        <v/>
      </c>
      <c r="U157" s="1" t="str">
        <f>IFERROR(IF($Q$1=$P$3,INDEX(prem_analysis!$P$2:$Q$441,ROWS(Data!$P$2:T157),COLUMNS(Data!$P$3:S158)),IF($Q$1=$P$5,INDEX(prem_analysis!$BH$1:$BS$23,ROWS(Data!$Q$3:T158),COLUMNS(Data!$Q$3:T158)),IF($Q$1=$P$6,INDEX(prem_analysis!$BU$1:$CF$67,ROWS(prem_analysis!$N$2:Q157),COLUMNS(prem_analysis!$N$2:Q157)),IF($Q$1=$P$4,INDEX(Table24[[#All],[Year]:[Details]],ROWS(prem_analysis!$M$420:P575),COLUMNS(Data!$Q$3:T158)))))),"")</f>
        <v/>
      </c>
      <c r="V157" s="1" t="str">
        <f>IFERROR(IF($Q$1=$P$3,INDEX(prem_analysis!$P$2:$Q$441,ROWS(Data!$P$2:U157),COLUMNS(Data!$P$3:T158)),IF($Q$1=$P$5,INDEX(prem_analysis!$BH$1:$BS$23,ROWS(Data!$Q$3:U158),COLUMNS(Data!$Q$3:U158)),IF($Q$1=$P$6,INDEX(prem_analysis!$BU$1:$CF$67,ROWS(prem_analysis!$N$2:R157),COLUMNS(prem_analysis!$N$2:R157)),IF($Q$1=$P$4,INDEX(Table24[[#All],[Year]:[Details]],ROWS(prem_analysis!$M$420:Q575),COLUMNS(Data!$Q$3:U158)))))),"")</f>
        <v/>
      </c>
      <c r="W157" s="1" t="str">
        <f>IFERROR(IF($Q$1=$P$3,INDEX(prem_analysis!$P$2:$Q$441,ROWS(Data!$P$2:V157),COLUMNS(Data!$P$3:U158)),IF($Q$1=$P$5,INDEX(prem_analysis!$BH$1:$BS$23,ROWS(Data!$Q$3:V158),COLUMNS(Data!$Q$3:V158)),IF($Q$1=$P$6,INDEX(prem_analysis!$BU$1:$CF$67,ROWS(prem_analysis!$N$2:S157),COLUMNS(prem_analysis!$N$2:S157)),IF($Q$1=$P$4,INDEX(Table24[[#All],[Year]:[Details]],ROWS(prem_analysis!$M$420:R575),COLUMNS(Data!$Q$3:V158)))))),"")</f>
        <v/>
      </c>
      <c r="X157" s="1" t="str">
        <f>IFERROR(IF($Q$1=$P$3,INDEX(prem_analysis!$P$2:$Q$441,ROWS(Data!$P$2:W157),COLUMNS(Data!$P$3:V158)),IF($Q$1=$P$5,INDEX(prem_analysis!$BH$1:$BS$23,ROWS(Data!$Q$3:W158),COLUMNS(Data!$Q$3:W158)),IF($Q$1=$P$6,INDEX(prem_analysis!$BU$1:$CF$67,ROWS(prem_analysis!$N$2:T157),COLUMNS(prem_analysis!$N$2:T157)),IF($Q$1=$P$4,INDEX(Table24[[#All],[Year]:[Details]],ROWS(prem_analysis!$M$420:S575),COLUMNS(Data!$Q$3:W158)))))),"")</f>
        <v/>
      </c>
      <c r="Y157" s="1" t="str">
        <f>IFERROR(IF($Q$1=$P$3,INDEX(prem_analysis!$P$2:$Q$441,ROWS(Data!$P$2:X157),COLUMNS(Data!$P$3:W158)),IF($Q$1=$P$5,INDEX(prem_analysis!$BH$1:$BS$23,ROWS(Data!$Q$3:X158),COLUMNS(Data!$Q$3:X158)),IF($Q$1=$P$6,INDEX(prem_analysis!$BU$1:$CF$67,ROWS(prem_analysis!$N$2:U157),COLUMNS(prem_analysis!$N$2:U157)),IF($Q$1=$P$4,INDEX(Table24[[#All],[Year]:[Details]],ROWS(prem_analysis!$M$420:T575),COLUMNS(Data!$Q$3:X158)))))),"")</f>
        <v/>
      </c>
      <c r="Z157" s="1" t="str">
        <f>IFERROR(IF($Q$1=$P$3,INDEX(prem_analysis!$P$2:$Q$441,ROWS(Data!$P$2:Y157),COLUMNS(Data!$P$3:X158)),IF($Q$1=$P$5,INDEX(prem_analysis!$BH$1:$BS$23,ROWS(Data!$Q$3:Y158),COLUMNS(Data!$Q$3:Y158)),IF($Q$1=$P$6,INDEX(prem_analysis!$BU$1:$CF$67,ROWS(prem_analysis!$N$2:V157),COLUMNS(prem_analysis!$N$2:V157)),IF($Q$1=$P$4,INDEX(Table24[[#All],[Year]:[Details]],ROWS(prem_analysis!$M$420:U575),COLUMNS(Data!$Q$3:Y158)))))),"")</f>
        <v/>
      </c>
      <c r="AA157" s="1" t="str">
        <f>IFERROR(IF($Q$1=$P$3,INDEX(prem_analysis!$P$2:$Q$441,ROWS(Data!$P$2:Z157),COLUMNS(Data!$P$3:Y158)),IF($Q$1=$P$5,INDEX(prem_analysis!$BH$1:$BS$23,ROWS(Data!$Q$3:Z158),COLUMNS(Data!$Q$3:Z158)),IF($Q$1=$P$6,INDEX(prem_analysis!$BU$1:$CF$67,ROWS(prem_analysis!$N$2:W157),COLUMNS(prem_analysis!$N$2:W157)),IF($Q$1=$P$4,INDEX(Table24[[#All],[Year]:[Details]],ROWS(prem_analysis!$M$420:V575),COLUMNS(Data!$Q$3:Z158)))))),"")</f>
        <v/>
      </c>
      <c r="AB157" s="1" t="str">
        <f>IFERROR(IF($Q$1=$P$3,INDEX(prem_analysis!$P$2:$Q$441,ROWS(Data!$P$2:AA157),COLUMNS(Data!$P$3:Z158)),IF($Q$1=$P$5,INDEX(prem_analysis!$BH$1:$BS$23,ROWS(Data!$Q$3:AA158),COLUMNS(Data!$Q$3:AA158)),IF($Q$1=$P$6,INDEX(prem_analysis!$BU$1:$CF$67,ROWS(prem_analysis!$N$2:X157),COLUMNS(prem_analysis!$N$2:X157)),IF($Q$1=$P$4,INDEX(Table24[[#All],[Year]:[Details]],ROWS(prem_analysis!$M$420:W575),COLUMNS(Data!$Q$3:AA158)))))),"")</f>
        <v/>
      </c>
      <c r="AC157" s="1" t="str">
        <f>IFERROR(IF($Q$1=$P$3,INDEX(prem_analysis!$P$2:$Q$441,ROWS(Data!$P$2:AB157),COLUMNS(Data!$P$3:AA158)),IF($Q$1=$P$5,INDEX(prem_analysis!$BH$1:$BS$23,ROWS(Data!$Q$3:AB158),COLUMNS(Data!$Q$3:AB158)),IF($Q$1=$P$6,INDEX(prem_analysis!$BU$1:$CF$67,ROWS(prem_analysis!$N$2:Y157),COLUMNS(prem_analysis!$N$2:Y157)),IF($Q$1=$P$4,INDEX(Table24[[#All],[Year]:[Details]],ROWS(prem_analysis!$M$420:X575),COLUMNS(Data!$Q$3:AB158)))))),"")</f>
        <v/>
      </c>
    </row>
    <row r="158" spans="1:29" x14ac:dyDescent="0.2">
      <c r="A158" s="3">
        <v>2007</v>
      </c>
      <c r="B158" s="3">
        <v>17</v>
      </c>
      <c r="C158" s="4" t="s">
        <v>32</v>
      </c>
      <c r="D158" s="3">
        <v>38</v>
      </c>
      <c r="E158" s="3">
        <v>8</v>
      </c>
      <c r="F158" s="3">
        <v>12</v>
      </c>
      <c r="G158" s="3">
        <v>18</v>
      </c>
      <c r="H158" s="3">
        <v>38</v>
      </c>
      <c r="I158" s="3">
        <v>60</v>
      </c>
      <c r="J158" s="3">
        <v>-22</v>
      </c>
      <c r="K158" s="3">
        <v>36</v>
      </c>
      <c r="L158" s="5">
        <f>IF(Table24[[#This Row],['#]]=1,"Champion", IF(Table24[[#This Row],['#]]&gt;=18,"Relegated",Table24[[#This Row],['#]]))</f>
        <v>17</v>
      </c>
      <c r="M158" s="5">
        <f>IF(Table24[[#This Row],[Details]]=2,K157-Table24[[#This Row],[Pts]],IF(Table24[[#This Row],[Details]]=17,Table24[[#This Row],[Pts]]-K159,""))</f>
        <v>0</v>
      </c>
      <c r="R158" s="1" t="str">
        <f>IFERROR(IF($Q$1=$P$3,INDEX(prem_analysis!$P$2:$Q$441,ROWS(Data!$P$2:Q158),COLUMNS(Data!$P$3:P159)),IF($Q$1=$P$5,INDEX(prem_analysis!$BH$1:$BS$23,ROWS(Data!$Q$3:Q159),COLUMNS(Data!$Q$3:Q159)),IF($Q$1=$P$6,INDEX(prem_analysis!$BU$1:$CF$67,ROWS(prem_analysis!$N$2:N158),COLUMNS(prem_analysis!$N$2:N158)),IF($Q$1=$P$4,INDEX(Table24[[#All],[Year]:[Details]],ROWS(prem_analysis!$M$420:M576),COLUMNS(Data!$Q$3:Q159)))))),"")</f>
        <v/>
      </c>
      <c r="S158" s="1" t="str">
        <f>IFERROR(IF($Q$1=$P$3,INDEX(prem_analysis!$P$2:$Q$441,ROWS(Data!$P$2:R158),COLUMNS(Data!$P$3:Q159)),IF($Q$1=$P$5,INDEX(prem_analysis!$BH$1:$BS$23,ROWS(Data!$Q$3:R159),COLUMNS(Data!$Q$3:R159)),IF($Q$1=$P$6,INDEX(prem_analysis!$BU$1:$CF$67,ROWS(prem_analysis!$N$2:O158),COLUMNS(prem_analysis!$N$2:O158)),IF($Q$1=$P$4,INDEX(Table24[[#All],[Year]:[Details]],ROWS(prem_analysis!$M$420:N576),COLUMNS(Data!$Q$3:R159)))))),"")</f>
        <v/>
      </c>
      <c r="T158" s="1" t="str">
        <f>IFERROR(IF($Q$1=$P$3,INDEX(prem_analysis!$P$2:$Q$441,ROWS(Data!$P$2:S158),COLUMNS(Data!$P$3:R159)),IF($Q$1=$P$5,INDEX(prem_analysis!$BH$1:$BS$23,ROWS(Data!$Q$3:S159),COLUMNS(Data!$Q$3:S159)),IF($Q$1=$P$6,INDEX(prem_analysis!$BU$1:$CF$67,ROWS(prem_analysis!$N$2:P158),COLUMNS(prem_analysis!$N$2:P158)),IF($Q$1=$P$4,INDEX(Table24[[#All],[Year]:[Details]],ROWS(prem_analysis!$M$420:O576),COLUMNS(Data!$Q$3:S159)))))),"")</f>
        <v/>
      </c>
      <c r="U158" s="1" t="str">
        <f>IFERROR(IF($Q$1=$P$3,INDEX(prem_analysis!$P$2:$Q$441,ROWS(Data!$P$2:T158),COLUMNS(Data!$P$3:S159)),IF($Q$1=$P$5,INDEX(prem_analysis!$BH$1:$BS$23,ROWS(Data!$Q$3:T159),COLUMNS(Data!$Q$3:T159)),IF($Q$1=$P$6,INDEX(prem_analysis!$BU$1:$CF$67,ROWS(prem_analysis!$N$2:Q158),COLUMNS(prem_analysis!$N$2:Q158)),IF($Q$1=$P$4,INDEX(Table24[[#All],[Year]:[Details]],ROWS(prem_analysis!$M$420:P576),COLUMNS(Data!$Q$3:T159)))))),"")</f>
        <v/>
      </c>
      <c r="V158" s="1" t="str">
        <f>IFERROR(IF($Q$1=$P$3,INDEX(prem_analysis!$P$2:$Q$441,ROWS(Data!$P$2:U158),COLUMNS(Data!$P$3:T159)),IF($Q$1=$P$5,INDEX(prem_analysis!$BH$1:$BS$23,ROWS(Data!$Q$3:U159),COLUMNS(Data!$Q$3:U159)),IF($Q$1=$P$6,INDEX(prem_analysis!$BU$1:$CF$67,ROWS(prem_analysis!$N$2:R158),COLUMNS(prem_analysis!$N$2:R158)),IF($Q$1=$P$4,INDEX(Table24[[#All],[Year]:[Details]],ROWS(prem_analysis!$M$420:Q576),COLUMNS(Data!$Q$3:U159)))))),"")</f>
        <v/>
      </c>
      <c r="W158" s="1" t="str">
        <f>IFERROR(IF($Q$1=$P$3,INDEX(prem_analysis!$P$2:$Q$441,ROWS(Data!$P$2:V158),COLUMNS(Data!$P$3:U159)),IF($Q$1=$P$5,INDEX(prem_analysis!$BH$1:$BS$23,ROWS(Data!$Q$3:V159),COLUMNS(Data!$Q$3:V159)),IF($Q$1=$P$6,INDEX(prem_analysis!$BU$1:$CF$67,ROWS(prem_analysis!$N$2:S158),COLUMNS(prem_analysis!$N$2:S158)),IF($Q$1=$P$4,INDEX(Table24[[#All],[Year]:[Details]],ROWS(prem_analysis!$M$420:R576),COLUMNS(Data!$Q$3:V159)))))),"")</f>
        <v/>
      </c>
      <c r="X158" s="1" t="str">
        <f>IFERROR(IF($Q$1=$P$3,INDEX(prem_analysis!$P$2:$Q$441,ROWS(Data!$P$2:W158),COLUMNS(Data!$P$3:V159)),IF($Q$1=$P$5,INDEX(prem_analysis!$BH$1:$BS$23,ROWS(Data!$Q$3:W159),COLUMNS(Data!$Q$3:W159)),IF($Q$1=$P$6,INDEX(prem_analysis!$BU$1:$CF$67,ROWS(prem_analysis!$N$2:T158),COLUMNS(prem_analysis!$N$2:T158)),IF($Q$1=$P$4,INDEX(Table24[[#All],[Year]:[Details]],ROWS(prem_analysis!$M$420:S576),COLUMNS(Data!$Q$3:W159)))))),"")</f>
        <v/>
      </c>
      <c r="Y158" s="1" t="str">
        <f>IFERROR(IF($Q$1=$P$3,INDEX(prem_analysis!$P$2:$Q$441,ROWS(Data!$P$2:X158),COLUMNS(Data!$P$3:W159)),IF($Q$1=$P$5,INDEX(prem_analysis!$BH$1:$BS$23,ROWS(Data!$Q$3:X159),COLUMNS(Data!$Q$3:X159)),IF($Q$1=$P$6,INDEX(prem_analysis!$BU$1:$CF$67,ROWS(prem_analysis!$N$2:U158),COLUMNS(prem_analysis!$N$2:U158)),IF($Q$1=$P$4,INDEX(Table24[[#All],[Year]:[Details]],ROWS(prem_analysis!$M$420:T576),COLUMNS(Data!$Q$3:X159)))))),"")</f>
        <v/>
      </c>
      <c r="Z158" s="1" t="str">
        <f>IFERROR(IF($Q$1=$P$3,INDEX(prem_analysis!$P$2:$Q$441,ROWS(Data!$P$2:Y158),COLUMNS(Data!$P$3:X159)),IF($Q$1=$P$5,INDEX(prem_analysis!$BH$1:$BS$23,ROWS(Data!$Q$3:Y159),COLUMNS(Data!$Q$3:Y159)),IF($Q$1=$P$6,INDEX(prem_analysis!$BU$1:$CF$67,ROWS(prem_analysis!$N$2:V158),COLUMNS(prem_analysis!$N$2:V158)),IF($Q$1=$P$4,INDEX(Table24[[#All],[Year]:[Details]],ROWS(prem_analysis!$M$420:U576),COLUMNS(Data!$Q$3:Y159)))))),"")</f>
        <v/>
      </c>
      <c r="AA158" s="1" t="str">
        <f>IFERROR(IF($Q$1=$P$3,INDEX(prem_analysis!$P$2:$Q$441,ROWS(Data!$P$2:Z158),COLUMNS(Data!$P$3:Y159)),IF($Q$1=$P$5,INDEX(prem_analysis!$BH$1:$BS$23,ROWS(Data!$Q$3:Z159),COLUMNS(Data!$Q$3:Z159)),IF($Q$1=$P$6,INDEX(prem_analysis!$BU$1:$CF$67,ROWS(prem_analysis!$N$2:W158),COLUMNS(prem_analysis!$N$2:W158)),IF($Q$1=$P$4,INDEX(Table24[[#All],[Year]:[Details]],ROWS(prem_analysis!$M$420:V576),COLUMNS(Data!$Q$3:Z159)))))),"")</f>
        <v/>
      </c>
      <c r="AB158" s="1" t="str">
        <f>IFERROR(IF($Q$1=$P$3,INDEX(prem_analysis!$P$2:$Q$441,ROWS(Data!$P$2:AA158),COLUMNS(Data!$P$3:Z159)),IF($Q$1=$P$5,INDEX(prem_analysis!$BH$1:$BS$23,ROWS(Data!$Q$3:AA159),COLUMNS(Data!$Q$3:AA159)),IF($Q$1=$P$6,INDEX(prem_analysis!$BU$1:$CF$67,ROWS(prem_analysis!$N$2:X158),COLUMNS(prem_analysis!$N$2:X158)),IF($Q$1=$P$4,INDEX(Table24[[#All],[Year]:[Details]],ROWS(prem_analysis!$M$420:W576),COLUMNS(Data!$Q$3:AA159)))))),"")</f>
        <v/>
      </c>
      <c r="AC158" s="1" t="str">
        <f>IFERROR(IF($Q$1=$P$3,INDEX(prem_analysis!$P$2:$Q$441,ROWS(Data!$P$2:AB158),COLUMNS(Data!$P$3:AA159)),IF($Q$1=$P$5,INDEX(prem_analysis!$BH$1:$BS$23,ROWS(Data!$Q$3:AB159),COLUMNS(Data!$Q$3:AB159)),IF($Q$1=$P$6,INDEX(prem_analysis!$BU$1:$CF$67,ROWS(prem_analysis!$N$2:Y158),COLUMNS(prem_analysis!$N$2:Y158)),IF($Q$1=$P$4,INDEX(Table24[[#All],[Year]:[Details]],ROWS(prem_analysis!$M$420:X576),COLUMNS(Data!$Q$3:AB159)))))),"")</f>
        <v/>
      </c>
    </row>
    <row r="159" spans="1:29" x14ac:dyDescent="0.2">
      <c r="A159" s="5">
        <v>2007</v>
      </c>
      <c r="B159" s="5">
        <v>18</v>
      </c>
      <c r="C159" s="6" t="s">
        <v>41</v>
      </c>
      <c r="D159" s="5">
        <v>38</v>
      </c>
      <c r="E159" s="5">
        <v>10</v>
      </c>
      <c r="F159" s="5">
        <v>6</v>
      </c>
      <c r="G159" s="5">
        <v>22</v>
      </c>
      <c r="H159" s="5">
        <v>41</v>
      </c>
      <c r="I159" s="5">
        <v>66</v>
      </c>
      <c r="J159" s="5">
        <v>-25</v>
      </c>
      <c r="K159" s="5">
        <v>36</v>
      </c>
      <c r="L159" s="5" t="str">
        <f>IF(Table24[[#This Row],['#]]=1,"Champion", IF(Table24[[#This Row],['#]]&gt;=18,"Relegated",Table24[[#This Row],['#]]))</f>
        <v>Relegated</v>
      </c>
      <c r="M159" s="5" t="str">
        <f>IF(Table24[[#This Row],[Details]]=2,K158-Table24[[#This Row],[Pts]],IF(Table24[[#This Row],[Details]]=17,Table24[[#This Row],[Pts]]-K160,""))</f>
        <v/>
      </c>
      <c r="R159" s="1" t="str">
        <f>IFERROR(IF($Q$1=$P$3,INDEX(prem_analysis!$P$2:$Q$441,ROWS(Data!$P$2:Q159),COLUMNS(Data!$P$3:P160)),IF($Q$1=$P$5,INDEX(prem_analysis!$BH$1:$BS$23,ROWS(Data!$Q$3:Q160),COLUMNS(Data!$Q$3:Q160)),IF($Q$1=$P$6,INDEX(prem_analysis!$BU$1:$CF$67,ROWS(prem_analysis!$N$2:N159),COLUMNS(prem_analysis!$N$2:N159)),IF($Q$1=$P$4,INDEX(Table24[[#All],[Year]:[Details]],ROWS(prem_analysis!$M$420:M577),COLUMNS(Data!$Q$3:Q160)))))),"")</f>
        <v/>
      </c>
      <c r="S159" s="1" t="str">
        <f>IFERROR(IF($Q$1=$P$3,INDEX(prem_analysis!$P$2:$Q$441,ROWS(Data!$P$2:R159),COLUMNS(Data!$P$3:Q160)),IF($Q$1=$P$5,INDEX(prem_analysis!$BH$1:$BS$23,ROWS(Data!$Q$3:R160),COLUMNS(Data!$Q$3:R160)),IF($Q$1=$P$6,INDEX(prem_analysis!$BU$1:$CF$67,ROWS(prem_analysis!$N$2:O159),COLUMNS(prem_analysis!$N$2:O159)),IF($Q$1=$P$4,INDEX(Table24[[#All],[Year]:[Details]],ROWS(prem_analysis!$M$420:N577),COLUMNS(Data!$Q$3:R160)))))),"")</f>
        <v/>
      </c>
      <c r="T159" s="1" t="str">
        <f>IFERROR(IF($Q$1=$P$3,INDEX(prem_analysis!$P$2:$Q$441,ROWS(Data!$P$2:S159),COLUMNS(Data!$P$3:R160)),IF($Q$1=$P$5,INDEX(prem_analysis!$BH$1:$BS$23,ROWS(Data!$Q$3:S160),COLUMNS(Data!$Q$3:S160)),IF($Q$1=$P$6,INDEX(prem_analysis!$BU$1:$CF$67,ROWS(prem_analysis!$N$2:P159),COLUMNS(prem_analysis!$N$2:P159)),IF($Q$1=$P$4,INDEX(Table24[[#All],[Year]:[Details]],ROWS(prem_analysis!$M$420:O577),COLUMNS(Data!$Q$3:S160)))))),"")</f>
        <v/>
      </c>
      <c r="U159" s="1" t="str">
        <f>IFERROR(IF($Q$1=$P$3,INDEX(prem_analysis!$P$2:$Q$441,ROWS(Data!$P$2:T159),COLUMNS(Data!$P$3:S160)),IF($Q$1=$P$5,INDEX(prem_analysis!$BH$1:$BS$23,ROWS(Data!$Q$3:T160),COLUMNS(Data!$Q$3:T160)),IF($Q$1=$P$6,INDEX(prem_analysis!$BU$1:$CF$67,ROWS(prem_analysis!$N$2:Q159),COLUMNS(prem_analysis!$N$2:Q159)),IF($Q$1=$P$4,INDEX(Table24[[#All],[Year]:[Details]],ROWS(prem_analysis!$M$420:P577),COLUMNS(Data!$Q$3:T160)))))),"")</f>
        <v/>
      </c>
      <c r="V159" s="1" t="str">
        <f>IFERROR(IF($Q$1=$P$3,INDEX(prem_analysis!$P$2:$Q$441,ROWS(Data!$P$2:U159),COLUMNS(Data!$P$3:T160)),IF($Q$1=$P$5,INDEX(prem_analysis!$BH$1:$BS$23,ROWS(Data!$Q$3:U160),COLUMNS(Data!$Q$3:U160)),IF($Q$1=$P$6,INDEX(prem_analysis!$BU$1:$CF$67,ROWS(prem_analysis!$N$2:R159),COLUMNS(prem_analysis!$N$2:R159)),IF($Q$1=$P$4,INDEX(Table24[[#All],[Year]:[Details]],ROWS(prem_analysis!$M$420:Q577),COLUMNS(Data!$Q$3:U160)))))),"")</f>
        <v/>
      </c>
      <c r="W159" s="1" t="str">
        <f>IFERROR(IF($Q$1=$P$3,INDEX(prem_analysis!$P$2:$Q$441,ROWS(Data!$P$2:V159),COLUMNS(Data!$P$3:U160)),IF($Q$1=$P$5,INDEX(prem_analysis!$BH$1:$BS$23,ROWS(Data!$Q$3:V160),COLUMNS(Data!$Q$3:V160)),IF($Q$1=$P$6,INDEX(prem_analysis!$BU$1:$CF$67,ROWS(prem_analysis!$N$2:S159),COLUMNS(prem_analysis!$N$2:S159)),IF($Q$1=$P$4,INDEX(Table24[[#All],[Year]:[Details]],ROWS(prem_analysis!$M$420:R577),COLUMNS(Data!$Q$3:V160)))))),"")</f>
        <v/>
      </c>
      <c r="X159" s="1" t="str">
        <f>IFERROR(IF($Q$1=$P$3,INDEX(prem_analysis!$P$2:$Q$441,ROWS(Data!$P$2:W159),COLUMNS(Data!$P$3:V160)),IF($Q$1=$P$5,INDEX(prem_analysis!$BH$1:$BS$23,ROWS(Data!$Q$3:W160),COLUMNS(Data!$Q$3:W160)),IF($Q$1=$P$6,INDEX(prem_analysis!$BU$1:$CF$67,ROWS(prem_analysis!$N$2:T159),COLUMNS(prem_analysis!$N$2:T159)),IF($Q$1=$P$4,INDEX(Table24[[#All],[Year]:[Details]],ROWS(prem_analysis!$M$420:S577),COLUMNS(Data!$Q$3:W160)))))),"")</f>
        <v/>
      </c>
      <c r="Y159" s="1" t="str">
        <f>IFERROR(IF($Q$1=$P$3,INDEX(prem_analysis!$P$2:$Q$441,ROWS(Data!$P$2:X159),COLUMNS(Data!$P$3:W160)),IF($Q$1=$P$5,INDEX(prem_analysis!$BH$1:$BS$23,ROWS(Data!$Q$3:X160),COLUMNS(Data!$Q$3:X160)),IF($Q$1=$P$6,INDEX(prem_analysis!$BU$1:$CF$67,ROWS(prem_analysis!$N$2:U159),COLUMNS(prem_analysis!$N$2:U159)),IF($Q$1=$P$4,INDEX(Table24[[#All],[Year]:[Details]],ROWS(prem_analysis!$M$420:T577),COLUMNS(Data!$Q$3:X160)))))),"")</f>
        <v/>
      </c>
      <c r="Z159" s="1" t="str">
        <f>IFERROR(IF($Q$1=$P$3,INDEX(prem_analysis!$P$2:$Q$441,ROWS(Data!$P$2:Y159),COLUMNS(Data!$P$3:X160)),IF($Q$1=$P$5,INDEX(prem_analysis!$BH$1:$BS$23,ROWS(Data!$Q$3:Y160),COLUMNS(Data!$Q$3:Y160)),IF($Q$1=$P$6,INDEX(prem_analysis!$BU$1:$CF$67,ROWS(prem_analysis!$N$2:V159),COLUMNS(prem_analysis!$N$2:V159)),IF($Q$1=$P$4,INDEX(Table24[[#All],[Year]:[Details]],ROWS(prem_analysis!$M$420:U577),COLUMNS(Data!$Q$3:Y160)))))),"")</f>
        <v/>
      </c>
      <c r="AA159" s="1" t="str">
        <f>IFERROR(IF($Q$1=$P$3,INDEX(prem_analysis!$P$2:$Q$441,ROWS(Data!$P$2:Z159),COLUMNS(Data!$P$3:Y160)),IF($Q$1=$P$5,INDEX(prem_analysis!$BH$1:$BS$23,ROWS(Data!$Q$3:Z160),COLUMNS(Data!$Q$3:Z160)),IF($Q$1=$P$6,INDEX(prem_analysis!$BU$1:$CF$67,ROWS(prem_analysis!$N$2:W159),COLUMNS(prem_analysis!$N$2:W159)),IF($Q$1=$P$4,INDEX(Table24[[#All],[Year]:[Details]],ROWS(prem_analysis!$M$420:V577),COLUMNS(Data!$Q$3:Z160)))))),"")</f>
        <v/>
      </c>
      <c r="AB159" s="1" t="str">
        <f>IFERROR(IF($Q$1=$P$3,INDEX(prem_analysis!$P$2:$Q$441,ROWS(Data!$P$2:AA159),COLUMNS(Data!$P$3:Z160)),IF($Q$1=$P$5,INDEX(prem_analysis!$BH$1:$BS$23,ROWS(Data!$Q$3:AA160),COLUMNS(Data!$Q$3:AA160)),IF($Q$1=$P$6,INDEX(prem_analysis!$BU$1:$CF$67,ROWS(prem_analysis!$N$2:X159),COLUMNS(prem_analysis!$N$2:X159)),IF($Q$1=$P$4,INDEX(Table24[[#All],[Year]:[Details]],ROWS(prem_analysis!$M$420:W577),COLUMNS(Data!$Q$3:AA160)))))),"")</f>
        <v/>
      </c>
      <c r="AC159" s="1" t="str">
        <f>IFERROR(IF($Q$1=$P$3,INDEX(prem_analysis!$P$2:$Q$441,ROWS(Data!$P$2:AB159),COLUMNS(Data!$P$3:AA160)),IF($Q$1=$P$5,INDEX(prem_analysis!$BH$1:$BS$23,ROWS(Data!$Q$3:AB160),COLUMNS(Data!$Q$3:AB160)),IF($Q$1=$P$6,INDEX(prem_analysis!$BU$1:$CF$67,ROWS(prem_analysis!$N$2:Y159),COLUMNS(prem_analysis!$N$2:Y159)),IF($Q$1=$P$4,INDEX(Table24[[#All],[Year]:[Details]],ROWS(prem_analysis!$M$420:X577),COLUMNS(Data!$Q$3:AB160)))))),"")</f>
        <v/>
      </c>
    </row>
    <row r="160" spans="1:29" x14ac:dyDescent="0.2">
      <c r="A160" s="3">
        <v>2007</v>
      </c>
      <c r="B160" s="3">
        <v>19</v>
      </c>
      <c r="C160" s="4" t="s">
        <v>34</v>
      </c>
      <c r="D160" s="3">
        <v>38</v>
      </c>
      <c r="E160" s="3">
        <v>8</v>
      </c>
      <c r="F160" s="3">
        <v>11</v>
      </c>
      <c r="G160" s="3">
        <v>19</v>
      </c>
      <c r="H160" s="3">
        <v>46</v>
      </c>
      <c r="I160" s="3">
        <v>62</v>
      </c>
      <c r="J160" s="3">
        <v>-16</v>
      </c>
      <c r="K160" s="3">
        <v>35</v>
      </c>
      <c r="L160" s="5" t="str">
        <f>IF(Table24[[#This Row],['#]]=1,"Champion", IF(Table24[[#This Row],['#]]&gt;=18,"Relegated",Table24[[#This Row],['#]]))</f>
        <v>Relegated</v>
      </c>
      <c r="M160" s="5" t="str">
        <f>IF(Table24[[#This Row],[Details]]=2,K159-Table24[[#This Row],[Pts]],IF(Table24[[#This Row],[Details]]=17,Table24[[#This Row],[Pts]]-K161,""))</f>
        <v/>
      </c>
      <c r="R160" s="1" t="str">
        <f>IFERROR(IF($Q$1=$P$3,INDEX(prem_analysis!$P$2:$Q$441,ROWS(Data!$P$2:Q160),COLUMNS(Data!$P$3:P161)),IF($Q$1=$P$5,INDEX(prem_analysis!$BH$1:$BS$23,ROWS(Data!$Q$3:Q161),COLUMNS(Data!$Q$3:Q161)),IF($Q$1=$P$6,INDEX(prem_analysis!$BU$1:$CF$67,ROWS(prem_analysis!$N$2:N160),COLUMNS(prem_analysis!$N$2:N160)),IF($Q$1=$P$4,INDEX(Table24[[#All],[Year]:[Details]],ROWS(prem_analysis!$M$420:M578),COLUMNS(Data!$Q$3:Q161)))))),"")</f>
        <v/>
      </c>
      <c r="S160" s="1" t="str">
        <f>IFERROR(IF($Q$1=$P$3,INDEX(prem_analysis!$P$2:$Q$441,ROWS(Data!$P$2:R160),COLUMNS(Data!$P$3:Q161)),IF($Q$1=$P$5,INDEX(prem_analysis!$BH$1:$BS$23,ROWS(Data!$Q$3:R161),COLUMNS(Data!$Q$3:R161)),IF($Q$1=$P$6,INDEX(prem_analysis!$BU$1:$CF$67,ROWS(prem_analysis!$N$2:O160),COLUMNS(prem_analysis!$N$2:O160)),IF($Q$1=$P$4,INDEX(Table24[[#All],[Year]:[Details]],ROWS(prem_analysis!$M$420:N578),COLUMNS(Data!$Q$3:R161)))))),"")</f>
        <v/>
      </c>
      <c r="T160" s="1" t="str">
        <f>IFERROR(IF($Q$1=$P$3,INDEX(prem_analysis!$P$2:$Q$441,ROWS(Data!$P$2:S160),COLUMNS(Data!$P$3:R161)),IF($Q$1=$P$5,INDEX(prem_analysis!$BH$1:$BS$23,ROWS(Data!$Q$3:S161),COLUMNS(Data!$Q$3:S161)),IF($Q$1=$P$6,INDEX(prem_analysis!$BU$1:$CF$67,ROWS(prem_analysis!$N$2:P160),COLUMNS(prem_analysis!$N$2:P160)),IF($Q$1=$P$4,INDEX(Table24[[#All],[Year]:[Details]],ROWS(prem_analysis!$M$420:O578),COLUMNS(Data!$Q$3:S161)))))),"")</f>
        <v/>
      </c>
      <c r="U160" s="1" t="str">
        <f>IFERROR(IF($Q$1=$P$3,INDEX(prem_analysis!$P$2:$Q$441,ROWS(Data!$P$2:T160),COLUMNS(Data!$P$3:S161)),IF($Q$1=$P$5,INDEX(prem_analysis!$BH$1:$BS$23,ROWS(Data!$Q$3:T161),COLUMNS(Data!$Q$3:T161)),IF($Q$1=$P$6,INDEX(prem_analysis!$BU$1:$CF$67,ROWS(prem_analysis!$N$2:Q160),COLUMNS(prem_analysis!$N$2:Q160)),IF($Q$1=$P$4,INDEX(Table24[[#All],[Year]:[Details]],ROWS(prem_analysis!$M$420:P578),COLUMNS(Data!$Q$3:T161)))))),"")</f>
        <v/>
      </c>
      <c r="V160" s="1" t="str">
        <f>IFERROR(IF($Q$1=$P$3,INDEX(prem_analysis!$P$2:$Q$441,ROWS(Data!$P$2:U160),COLUMNS(Data!$P$3:T161)),IF($Q$1=$P$5,INDEX(prem_analysis!$BH$1:$BS$23,ROWS(Data!$Q$3:U161),COLUMNS(Data!$Q$3:U161)),IF($Q$1=$P$6,INDEX(prem_analysis!$BU$1:$CF$67,ROWS(prem_analysis!$N$2:R160),COLUMNS(prem_analysis!$N$2:R160)),IF($Q$1=$P$4,INDEX(Table24[[#All],[Year]:[Details]],ROWS(prem_analysis!$M$420:Q578),COLUMNS(Data!$Q$3:U161)))))),"")</f>
        <v/>
      </c>
      <c r="W160" s="1" t="str">
        <f>IFERROR(IF($Q$1=$P$3,INDEX(prem_analysis!$P$2:$Q$441,ROWS(Data!$P$2:V160),COLUMNS(Data!$P$3:U161)),IF($Q$1=$P$5,INDEX(prem_analysis!$BH$1:$BS$23,ROWS(Data!$Q$3:V161),COLUMNS(Data!$Q$3:V161)),IF($Q$1=$P$6,INDEX(prem_analysis!$BU$1:$CF$67,ROWS(prem_analysis!$N$2:S160),COLUMNS(prem_analysis!$N$2:S160)),IF($Q$1=$P$4,INDEX(Table24[[#All],[Year]:[Details]],ROWS(prem_analysis!$M$420:R578),COLUMNS(Data!$Q$3:V161)))))),"")</f>
        <v/>
      </c>
      <c r="X160" s="1" t="str">
        <f>IFERROR(IF($Q$1=$P$3,INDEX(prem_analysis!$P$2:$Q$441,ROWS(Data!$P$2:W160),COLUMNS(Data!$P$3:V161)),IF($Q$1=$P$5,INDEX(prem_analysis!$BH$1:$BS$23,ROWS(Data!$Q$3:W161),COLUMNS(Data!$Q$3:W161)),IF($Q$1=$P$6,INDEX(prem_analysis!$BU$1:$CF$67,ROWS(prem_analysis!$N$2:T160),COLUMNS(prem_analysis!$N$2:T160)),IF($Q$1=$P$4,INDEX(Table24[[#All],[Year]:[Details]],ROWS(prem_analysis!$M$420:S578),COLUMNS(Data!$Q$3:W161)))))),"")</f>
        <v/>
      </c>
      <c r="Y160" s="1" t="str">
        <f>IFERROR(IF($Q$1=$P$3,INDEX(prem_analysis!$P$2:$Q$441,ROWS(Data!$P$2:X160),COLUMNS(Data!$P$3:W161)),IF($Q$1=$P$5,INDEX(prem_analysis!$BH$1:$BS$23,ROWS(Data!$Q$3:X161),COLUMNS(Data!$Q$3:X161)),IF($Q$1=$P$6,INDEX(prem_analysis!$BU$1:$CF$67,ROWS(prem_analysis!$N$2:U160),COLUMNS(prem_analysis!$N$2:U160)),IF($Q$1=$P$4,INDEX(Table24[[#All],[Year]:[Details]],ROWS(prem_analysis!$M$420:T578),COLUMNS(Data!$Q$3:X161)))))),"")</f>
        <v/>
      </c>
      <c r="Z160" s="1" t="str">
        <f>IFERROR(IF($Q$1=$P$3,INDEX(prem_analysis!$P$2:$Q$441,ROWS(Data!$P$2:Y160),COLUMNS(Data!$P$3:X161)),IF($Q$1=$P$5,INDEX(prem_analysis!$BH$1:$BS$23,ROWS(Data!$Q$3:Y161),COLUMNS(Data!$Q$3:Y161)),IF($Q$1=$P$6,INDEX(prem_analysis!$BU$1:$CF$67,ROWS(prem_analysis!$N$2:V160),COLUMNS(prem_analysis!$N$2:V160)),IF($Q$1=$P$4,INDEX(Table24[[#All],[Year]:[Details]],ROWS(prem_analysis!$M$420:U578),COLUMNS(Data!$Q$3:Y161)))))),"")</f>
        <v/>
      </c>
      <c r="AA160" s="1" t="str">
        <f>IFERROR(IF($Q$1=$P$3,INDEX(prem_analysis!$P$2:$Q$441,ROWS(Data!$P$2:Z160),COLUMNS(Data!$P$3:Y161)),IF($Q$1=$P$5,INDEX(prem_analysis!$BH$1:$BS$23,ROWS(Data!$Q$3:Z161),COLUMNS(Data!$Q$3:Z161)),IF($Q$1=$P$6,INDEX(prem_analysis!$BU$1:$CF$67,ROWS(prem_analysis!$N$2:W160),COLUMNS(prem_analysis!$N$2:W160)),IF($Q$1=$P$4,INDEX(Table24[[#All],[Year]:[Details]],ROWS(prem_analysis!$M$420:V578),COLUMNS(Data!$Q$3:Z161)))))),"")</f>
        <v/>
      </c>
      <c r="AB160" s="1" t="str">
        <f>IFERROR(IF($Q$1=$P$3,INDEX(prem_analysis!$P$2:$Q$441,ROWS(Data!$P$2:AA160),COLUMNS(Data!$P$3:Z161)),IF($Q$1=$P$5,INDEX(prem_analysis!$BH$1:$BS$23,ROWS(Data!$Q$3:AA161),COLUMNS(Data!$Q$3:AA161)),IF($Q$1=$P$6,INDEX(prem_analysis!$BU$1:$CF$67,ROWS(prem_analysis!$N$2:X160),COLUMNS(prem_analysis!$N$2:X160)),IF($Q$1=$P$4,INDEX(Table24[[#All],[Year]:[Details]],ROWS(prem_analysis!$M$420:W578),COLUMNS(Data!$Q$3:AA161)))))),"")</f>
        <v/>
      </c>
      <c r="AC160" s="1" t="str">
        <f>IFERROR(IF($Q$1=$P$3,INDEX(prem_analysis!$P$2:$Q$441,ROWS(Data!$P$2:AB160),COLUMNS(Data!$P$3:AA161)),IF($Q$1=$P$5,INDEX(prem_analysis!$BH$1:$BS$23,ROWS(Data!$Q$3:AB161),COLUMNS(Data!$Q$3:AB161)),IF($Q$1=$P$6,INDEX(prem_analysis!$BU$1:$CF$67,ROWS(prem_analysis!$N$2:Y160),COLUMNS(prem_analysis!$N$2:Y160)),IF($Q$1=$P$4,INDEX(Table24[[#All],[Year]:[Details]],ROWS(prem_analysis!$M$420:X578),COLUMNS(Data!$Q$3:AB161)))))),"")</f>
        <v/>
      </c>
    </row>
    <row r="161" spans="1:29" x14ac:dyDescent="0.2">
      <c r="A161" s="5">
        <v>2007</v>
      </c>
      <c r="B161" s="5">
        <v>20</v>
      </c>
      <c r="C161" s="6" t="s">
        <v>27</v>
      </c>
      <c r="D161" s="5">
        <v>38</v>
      </c>
      <c r="E161" s="5">
        <v>1</v>
      </c>
      <c r="F161" s="5">
        <v>8</v>
      </c>
      <c r="G161" s="5">
        <v>29</v>
      </c>
      <c r="H161" s="5">
        <v>20</v>
      </c>
      <c r="I161" s="5">
        <v>89</v>
      </c>
      <c r="J161" s="5">
        <v>-69</v>
      </c>
      <c r="K161" s="5">
        <v>11</v>
      </c>
      <c r="L161" s="5" t="str">
        <f>IF(Table24[[#This Row],['#]]=1,"Champion", IF(Table24[[#This Row],['#]]&gt;=18,"Relegated",Table24[[#This Row],['#]]))</f>
        <v>Relegated</v>
      </c>
      <c r="M161" s="5" t="str">
        <f>IF(Table24[[#This Row],[Details]]=2,K160-Table24[[#This Row],[Pts]],IF(Table24[[#This Row],[Details]]=17,Table24[[#This Row],[Pts]]-K162,""))</f>
        <v/>
      </c>
      <c r="R161" s="1" t="str">
        <f>IFERROR(IF($Q$1=$P$3,INDEX(prem_analysis!$P$2:$Q$441,ROWS(Data!$P$2:Q161),COLUMNS(Data!$P$3:P162)),IF($Q$1=$P$5,INDEX(prem_analysis!$BH$1:$BS$23,ROWS(Data!$Q$3:Q162),COLUMNS(Data!$Q$3:Q162)),IF($Q$1=$P$6,INDEX(prem_analysis!$BU$1:$CF$67,ROWS(prem_analysis!$N$2:N161),COLUMNS(prem_analysis!$N$2:N161)),IF($Q$1=$P$4,INDEX(Table24[[#All],[Year]:[Details]],ROWS(prem_analysis!$M$420:M579),COLUMNS(Data!$Q$3:Q162)))))),"")</f>
        <v/>
      </c>
      <c r="S161" s="1" t="str">
        <f>IFERROR(IF($Q$1=$P$3,INDEX(prem_analysis!$P$2:$Q$441,ROWS(Data!$P$2:R161),COLUMNS(Data!$P$3:Q162)),IF($Q$1=$P$5,INDEX(prem_analysis!$BH$1:$BS$23,ROWS(Data!$Q$3:R162),COLUMNS(Data!$Q$3:R162)),IF($Q$1=$P$6,INDEX(prem_analysis!$BU$1:$CF$67,ROWS(prem_analysis!$N$2:O161),COLUMNS(prem_analysis!$N$2:O161)),IF($Q$1=$P$4,INDEX(Table24[[#All],[Year]:[Details]],ROWS(prem_analysis!$M$420:N579),COLUMNS(Data!$Q$3:R162)))))),"")</f>
        <v/>
      </c>
      <c r="T161" s="1" t="str">
        <f>IFERROR(IF($Q$1=$P$3,INDEX(prem_analysis!$P$2:$Q$441,ROWS(Data!$P$2:S161),COLUMNS(Data!$P$3:R162)),IF($Q$1=$P$5,INDEX(prem_analysis!$BH$1:$BS$23,ROWS(Data!$Q$3:S162),COLUMNS(Data!$Q$3:S162)),IF($Q$1=$P$6,INDEX(prem_analysis!$BU$1:$CF$67,ROWS(prem_analysis!$N$2:P161),COLUMNS(prem_analysis!$N$2:P161)),IF($Q$1=$P$4,INDEX(Table24[[#All],[Year]:[Details]],ROWS(prem_analysis!$M$420:O579),COLUMNS(Data!$Q$3:S162)))))),"")</f>
        <v/>
      </c>
      <c r="U161" s="1" t="str">
        <f>IFERROR(IF($Q$1=$P$3,INDEX(prem_analysis!$P$2:$Q$441,ROWS(Data!$P$2:T161),COLUMNS(Data!$P$3:S162)),IF($Q$1=$P$5,INDEX(prem_analysis!$BH$1:$BS$23,ROWS(Data!$Q$3:T162),COLUMNS(Data!$Q$3:T162)),IF($Q$1=$P$6,INDEX(prem_analysis!$BU$1:$CF$67,ROWS(prem_analysis!$N$2:Q161),COLUMNS(prem_analysis!$N$2:Q161)),IF($Q$1=$P$4,INDEX(Table24[[#All],[Year]:[Details]],ROWS(prem_analysis!$M$420:P579),COLUMNS(Data!$Q$3:T162)))))),"")</f>
        <v/>
      </c>
      <c r="V161" s="1" t="str">
        <f>IFERROR(IF($Q$1=$P$3,INDEX(prem_analysis!$P$2:$Q$441,ROWS(Data!$P$2:U161),COLUMNS(Data!$P$3:T162)),IF($Q$1=$P$5,INDEX(prem_analysis!$BH$1:$BS$23,ROWS(Data!$Q$3:U162),COLUMNS(Data!$Q$3:U162)),IF($Q$1=$P$6,INDEX(prem_analysis!$BU$1:$CF$67,ROWS(prem_analysis!$N$2:R161),COLUMNS(prem_analysis!$N$2:R161)),IF($Q$1=$P$4,INDEX(Table24[[#All],[Year]:[Details]],ROWS(prem_analysis!$M$420:Q579),COLUMNS(Data!$Q$3:U162)))))),"")</f>
        <v/>
      </c>
      <c r="W161" s="1" t="str">
        <f>IFERROR(IF($Q$1=$P$3,INDEX(prem_analysis!$P$2:$Q$441,ROWS(Data!$P$2:V161),COLUMNS(Data!$P$3:U162)),IF($Q$1=$P$5,INDEX(prem_analysis!$BH$1:$BS$23,ROWS(Data!$Q$3:V162),COLUMNS(Data!$Q$3:V162)),IF($Q$1=$P$6,INDEX(prem_analysis!$BU$1:$CF$67,ROWS(prem_analysis!$N$2:S161),COLUMNS(prem_analysis!$N$2:S161)),IF($Q$1=$P$4,INDEX(Table24[[#All],[Year]:[Details]],ROWS(prem_analysis!$M$420:R579),COLUMNS(Data!$Q$3:V162)))))),"")</f>
        <v/>
      </c>
      <c r="X161" s="1" t="str">
        <f>IFERROR(IF($Q$1=$P$3,INDEX(prem_analysis!$P$2:$Q$441,ROWS(Data!$P$2:W161),COLUMNS(Data!$P$3:V162)),IF($Q$1=$P$5,INDEX(prem_analysis!$BH$1:$BS$23,ROWS(Data!$Q$3:W162),COLUMNS(Data!$Q$3:W162)),IF($Q$1=$P$6,INDEX(prem_analysis!$BU$1:$CF$67,ROWS(prem_analysis!$N$2:T161),COLUMNS(prem_analysis!$N$2:T161)),IF($Q$1=$P$4,INDEX(Table24[[#All],[Year]:[Details]],ROWS(prem_analysis!$M$420:S579),COLUMNS(Data!$Q$3:W162)))))),"")</f>
        <v/>
      </c>
      <c r="Y161" s="1" t="str">
        <f>IFERROR(IF($Q$1=$P$3,INDEX(prem_analysis!$P$2:$Q$441,ROWS(Data!$P$2:X161),COLUMNS(Data!$P$3:W162)),IF($Q$1=$P$5,INDEX(prem_analysis!$BH$1:$BS$23,ROWS(Data!$Q$3:X162),COLUMNS(Data!$Q$3:X162)),IF($Q$1=$P$6,INDEX(prem_analysis!$BU$1:$CF$67,ROWS(prem_analysis!$N$2:U161),COLUMNS(prem_analysis!$N$2:U161)),IF($Q$1=$P$4,INDEX(Table24[[#All],[Year]:[Details]],ROWS(prem_analysis!$M$420:T579),COLUMNS(Data!$Q$3:X162)))))),"")</f>
        <v/>
      </c>
      <c r="Z161" s="1" t="str">
        <f>IFERROR(IF($Q$1=$P$3,INDEX(prem_analysis!$P$2:$Q$441,ROWS(Data!$P$2:Y161),COLUMNS(Data!$P$3:X162)),IF($Q$1=$P$5,INDEX(prem_analysis!$BH$1:$BS$23,ROWS(Data!$Q$3:Y162),COLUMNS(Data!$Q$3:Y162)),IF($Q$1=$P$6,INDEX(prem_analysis!$BU$1:$CF$67,ROWS(prem_analysis!$N$2:V161),COLUMNS(prem_analysis!$N$2:V161)),IF($Q$1=$P$4,INDEX(Table24[[#All],[Year]:[Details]],ROWS(prem_analysis!$M$420:U579),COLUMNS(Data!$Q$3:Y162)))))),"")</f>
        <v/>
      </c>
      <c r="AA161" s="1" t="str">
        <f>IFERROR(IF($Q$1=$P$3,INDEX(prem_analysis!$P$2:$Q$441,ROWS(Data!$P$2:Z161),COLUMNS(Data!$P$3:Y162)),IF($Q$1=$P$5,INDEX(prem_analysis!$BH$1:$BS$23,ROWS(Data!$Q$3:Z162),COLUMNS(Data!$Q$3:Z162)),IF($Q$1=$P$6,INDEX(prem_analysis!$BU$1:$CF$67,ROWS(prem_analysis!$N$2:W161),COLUMNS(prem_analysis!$N$2:W161)),IF($Q$1=$P$4,INDEX(Table24[[#All],[Year]:[Details]],ROWS(prem_analysis!$M$420:V579),COLUMNS(Data!$Q$3:Z162)))))),"")</f>
        <v/>
      </c>
      <c r="AB161" s="1" t="str">
        <f>IFERROR(IF($Q$1=$P$3,INDEX(prem_analysis!$P$2:$Q$441,ROWS(Data!$P$2:AA161),COLUMNS(Data!$P$3:Z162)),IF($Q$1=$P$5,INDEX(prem_analysis!$BH$1:$BS$23,ROWS(Data!$Q$3:AA162),COLUMNS(Data!$Q$3:AA162)),IF($Q$1=$P$6,INDEX(prem_analysis!$BU$1:$CF$67,ROWS(prem_analysis!$N$2:X161),COLUMNS(prem_analysis!$N$2:X161)),IF($Q$1=$P$4,INDEX(Table24[[#All],[Year]:[Details]],ROWS(prem_analysis!$M$420:W579),COLUMNS(Data!$Q$3:AA162)))))),"")</f>
        <v/>
      </c>
      <c r="AC161" s="1" t="str">
        <f>IFERROR(IF($Q$1=$P$3,INDEX(prem_analysis!$P$2:$Q$441,ROWS(Data!$P$2:AB161),COLUMNS(Data!$P$3:AA162)),IF($Q$1=$P$5,INDEX(prem_analysis!$BH$1:$BS$23,ROWS(Data!$Q$3:AB162),COLUMNS(Data!$Q$3:AB162)),IF($Q$1=$P$6,INDEX(prem_analysis!$BU$1:$CF$67,ROWS(prem_analysis!$N$2:Y161),COLUMNS(prem_analysis!$N$2:Y161)),IF($Q$1=$P$4,INDEX(Table24[[#All],[Year]:[Details]],ROWS(prem_analysis!$M$420:X579),COLUMNS(Data!$Q$3:AB162)))))),"")</f>
        <v/>
      </c>
    </row>
    <row r="162" spans="1:29" x14ac:dyDescent="0.2">
      <c r="A162" s="3">
        <v>2008</v>
      </c>
      <c r="B162" s="3">
        <v>1</v>
      </c>
      <c r="C162" s="4" t="s">
        <v>11</v>
      </c>
      <c r="D162" s="3">
        <v>38</v>
      </c>
      <c r="E162" s="3">
        <v>28</v>
      </c>
      <c r="F162" s="3">
        <v>6</v>
      </c>
      <c r="G162" s="3">
        <v>4</v>
      </c>
      <c r="H162" s="3">
        <v>68</v>
      </c>
      <c r="I162" s="3">
        <v>24</v>
      </c>
      <c r="J162" s="3">
        <v>44</v>
      </c>
      <c r="K162" s="3">
        <v>90</v>
      </c>
      <c r="L162" s="5" t="str">
        <f>IF(Table24[[#This Row],['#]]=1,"Champion", IF(Table24[[#This Row],['#]]&gt;=18,"Relegated",Table24[[#This Row],['#]]))</f>
        <v>Champion</v>
      </c>
      <c r="M162" s="5" t="str">
        <f>IF(Table24[[#This Row],[Details]]=2,K161-Table24[[#This Row],[Pts]],IF(Table24[[#This Row],[Details]]=17,Table24[[#This Row],[Pts]]-K163,""))</f>
        <v/>
      </c>
      <c r="R162" s="1" t="str">
        <f>IFERROR(IF($Q$1=$P$3,INDEX(prem_analysis!$P$2:$Q$441,ROWS(Data!$P$2:Q162),COLUMNS(Data!$P$3:P163)),IF($Q$1=$P$5,INDEX(prem_analysis!$BH$1:$BS$23,ROWS(Data!$Q$3:Q163),COLUMNS(Data!$Q$3:Q163)),IF($Q$1=$P$6,INDEX(prem_analysis!$BU$1:$CF$67,ROWS(prem_analysis!$N$2:N162),COLUMNS(prem_analysis!$N$2:N162)),IF($Q$1=$P$4,INDEX(Table24[[#All],[Year]:[Details]],ROWS(prem_analysis!$M$420:M580),COLUMNS(Data!$Q$3:Q163)))))),"")</f>
        <v/>
      </c>
      <c r="S162" s="1" t="str">
        <f>IFERROR(IF($Q$1=$P$3,INDEX(prem_analysis!$P$2:$Q$441,ROWS(Data!$P$2:R162),COLUMNS(Data!$P$3:Q163)),IF($Q$1=$P$5,INDEX(prem_analysis!$BH$1:$BS$23,ROWS(Data!$Q$3:R163),COLUMNS(Data!$Q$3:R163)),IF($Q$1=$P$6,INDEX(prem_analysis!$BU$1:$CF$67,ROWS(prem_analysis!$N$2:O162),COLUMNS(prem_analysis!$N$2:O162)),IF($Q$1=$P$4,INDEX(Table24[[#All],[Year]:[Details]],ROWS(prem_analysis!$M$420:N580),COLUMNS(Data!$Q$3:R163)))))),"")</f>
        <v/>
      </c>
      <c r="T162" s="1" t="str">
        <f>IFERROR(IF($Q$1=$P$3,INDEX(prem_analysis!$P$2:$Q$441,ROWS(Data!$P$2:S162),COLUMNS(Data!$P$3:R163)),IF($Q$1=$P$5,INDEX(prem_analysis!$BH$1:$BS$23,ROWS(Data!$Q$3:S163),COLUMNS(Data!$Q$3:S163)),IF($Q$1=$P$6,INDEX(prem_analysis!$BU$1:$CF$67,ROWS(prem_analysis!$N$2:P162),COLUMNS(prem_analysis!$N$2:P162)),IF($Q$1=$P$4,INDEX(Table24[[#All],[Year]:[Details]],ROWS(prem_analysis!$M$420:O580),COLUMNS(Data!$Q$3:S163)))))),"")</f>
        <v/>
      </c>
      <c r="U162" s="1" t="str">
        <f>IFERROR(IF($Q$1=$P$3,INDEX(prem_analysis!$P$2:$Q$441,ROWS(Data!$P$2:T162),COLUMNS(Data!$P$3:S163)),IF($Q$1=$P$5,INDEX(prem_analysis!$BH$1:$BS$23,ROWS(Data!$Q$3:T163),COLUMNS(Data!$Q$3:T163)),IF($Q$1=$P$6,INDEX(prem_analysis!$BU$1:$CF$67,ROWS(prem_analysis!$N$2:Q162),COLUMNS(prem_analysis!$N$2:Q162)),IF($Q$1=$P$4,INDEX(Table24[[#All],[Year]:[Details]],ROWS(prem_analysis!$M$420:P580),COLUMNS(Data!$Q$3:T163)))))),"")</f>
        <v/>
      </c>
      <c r="V162" s="1" t="str">
        <f>IFERROR(IF($Q$1=$P$3,INDEX(prem_analysis!$P$2:$Q$441,ROWS(Data!$P$2:U162),COLUMNS(Data!$P$3:T163)),IF($Q$1=$P$5,INDEX(prem_analysis!$BH$1:$BS$23,ROWS(Data!$Q$3:U163),COLUMNS(Data!$Q$3:U163)),IF($Q$1=$P$6,INDEX(prem_analysis!$BU$1:$CF$67,ROWS(prem_analysis!$N$2:R162),COLUMNS(prem_analysis!$N$2:R162)),IF($Q$1=$P$4,INDEX(Table24[[#All],[Year]:[Details]],ROWS(prem_analysis!$M$420:Q580),COLUMNS(Data!$Q$3:U163)))))),"")</f>
        <v/>
      </c>
      <c r="W162" s="1" t="str">
        <f>IFERROR(IF($Q$1=$P$3,INDEX(prem_analysis!$P$2:$Q$441,ROWS(Data!$P$2:V162),COLUMNS(Data!$P$3:U163)),IF($Q$1=$P$5,INDEX(prem_analysis!$BH$1:$BS$23,ROWS(Data!$Q$3:V163),COLUMNS(Data!$Q$3:V163)),IF($Q$1=$P$6,INDEX(prem_analysis!$BU$1:$CF$67,ROWS(prem_analysis!$N$2:S162),COLUMNS(prem_analysis!$N$2:S162)),IF($Q$1=$P$4,INDEX(Table24[[#All],[Year]:[Details]],ROWS(prem_analysis!$M$420:R580),COLUMNS(Data!$Q$3:V163)))))),"")</f>
        <v/>
      </c>
      <c r="X162" s="1" t="str">
        <f>IFERROR(IF($Q$1=$P$3,INDEX(prem_analysis!$P$2:$Q$441,ROWS(Data!$P$2:W162),COLUMNS(Data!$P$3:V163)),IF($Q$1=$P$5,INDEX(prem_analysis!$BH$1:$BS$23,ROWS(Data!$Q$3:W163),COLUMNS(Data!$Q$3:W163)),IF($Q$1=$P$6,INDEX(prem_analysis!$BU$1:$CF$67,ROWS(prem_analysis!$N$2:T162),COLUMNS(prem_analysis!$N$2:T162)),IF($Q$1=$P$4,INDEX(Table24[[#All],[Year]:[Details]],ROWS(prem_analysis!$M$420:S580),COLUMNS(Data!$Q$3:W163)))))),"")</f>
        <v/>
      </c>
      <c r="Y162" s="1" t="str">
        <f>IFERROR(IF($Q$1=$P$3,INDEX(prem_analysis!$P$2:$Q$441,ROWS(Data!$P$2:X162),COLUMNS(Data!$P$3:W163)),IF($Q$1=$P$5,INDEX(prem_analysis!$BH$1:$BS$23,ROWS(Data!$Q$3:X163),COLUMNS(Data!$Q$3:X163)),IF($Q$1=$P$6,INDEX(prem_analysis!$BU$1:$CF$67,ROWS(prem_analysis!$N$2:U162),COLUMNS(prem_analysis!$N$2:U162)),IF($Q$1=$P$4,INDEX(Table24[[#All],[Year]:[Details]],ROWS(prem_analysis!$M$420:T580),COLUMNS(Data!$Q$3:X163)))))),"")</f>
        <v/>
      </c>
      <c r="Z162" s="1" t="str">
        <f>IFERROR(IF($Q$1=$P$3,INDEX(prem_analysis!$P$2:$Q$441,ROWS(Data!$P$2:Y162),COLUMNS(Data!$P$3:X163)),IF($Q$1=$P$5,INDEX(prem_analysis!$BH$1:$BS$23,ROWS(Data!$Q$3:Y163),COLUMNS(Data!$Q$3:Y163)),IF($Q$1=$P$6,INDEX(prem_analysis!$BU$1:$CF$67,ROWS(prem_analysis!$N$2:V162),COLUMNS(prem_analysis!$N$2:V162)),IF($Q$1=$P$4,INDEX(Table24[[#All],[Year]:[Details]],ROWS(prem_analysis!$M$420:U580),COLUMNS(Data!$Q$3:Y163)))))),"")</f>
        <v/>
      </c>
      <c r="AA162" s="1" t="str">
        <f>IFERROR(IF($Q$1=$P$3,INDEX(prem_analysis!$P$2:$Q$441,ROWS(Data!$P$2:Z162),COLUMNS(Data!$P$3:Y163)),IF($Q$1=$P$5,INDEX(prem_analysis!$BH$1:$BS$23,ROWS(Data!$Q$3:Z163),COLUMNS(Data!$Q$3:Z163)),IF($Q$1=$P$6,INDEX(prem_analysis!$BU$1:$CF$67,ROWS(prem_analysis!$N$2:W162),COLUMNS(prem_analysis!$N$2:W162)),IF($Q$1=$P$4,INDEX(Table24[[#All],[Year]:[Details]],ROWS(prem_analysis!$M$420:V580),COLUMNS(Data!$Q$3:Z163)))))),"")</f>
        <v/>
      </c>
      <c r="AB162" s="1" t="str">
        <f>IFERROR(IF($Q$1=$P$3,INDEX(prem_analysis!$P$2:$Q$441,ROWS(Data!$P$2:AA162),COLUMNS(Data!$P$3:Z163)),IF($Q$1=$P$5,INDEX(prem_analysis!$BH$1:$BS$23,ROWS(Data!$Q$3:AA163),COLUMNS(Data!$Q$3:AA163)),IF($Q$1=$P$6,INDEX(prem_analysis!$BU$1:$CF$67,ROWS(prem_analysis!$N$2:X162),COLUMNS(prem_analysis!$N$2:X162)),IF($Q$1=$P$4,INDEX(Table24[[#All],[Year]:[Details]],ROWS(prem_analysis!$M$420:W580),COLUMNS(Data!$Q$3:AA163)))))),"")</f>
        <v/>
      </c>
      <c r="AC162" s="1" t="str">
        <f>IFERROR(IF($Q$1=$P$3,INDEX(prem_analysis!$P$2:$Q$441,ROWS(Data!$P$2:AB162),COLUMNS(Data!$P$3:AA163)),IF($Q$1=$P$5,INDEX(prem_analysis!$BH$1:$BS$23,ROWS(Data!$Q$3:AB163),COLUMNS(Data!$Q$3:AB163)),IF($Q$1=$P$6,INDEX(prem_analysis!$BU$1:$CF$67,ROWS(prem_analysis!$N$2:Y162),COLUMNS(prem_analysis!$N$2:Y162)),IF($Q$1=$P$4,INDEX(Table24[[#All],[Year]:[Details]],ROWS(prem_analysis!$M$420:X580),COLUMNS(Data!$Q$3:AB163)))))),"")</f>
        <v/>
      </c>
    </row>
    <row r="163" spans="1:29" x14ac:dyDescent="0.2">
      <c r="A163" s="5">
        <v>2008</v>
      </c>
      <c r="B163" s="5">
        <v>2</v>
      </c>
      <c r="C163" s="4" t="s">
        <v>13</v>
      </c>
      <c r="D163" s="5">
        <v>38</v>
      </c>
      <c r="E163" s="5">
        <v>25</v>
      </c>
      <c r="F163" s="5">
        <v>11</v>
      </c>
      <c r="G163" s="5">
        <v>2</v>
      </c>
      <c r="H163" s="5">
        <v>77</v>
      </c>
      <c r="I163" s="5">
        <v>27</v>
      </c>
      <c r="J163" s="5">
        <v>50</v>
      </c>
      <c r="K163" s="5">
        <v>86</v>
      </c>
      <c r="L163" s="5">
        <f>IF(Table24[[#This Row],['#]]=1,"Champion", IF(Table24[[#This Row],['#]]&gt;=18,"Relegated",Table24[[#This Row],['#]]))</f>
        <v>2</v>
      </c>
      <c r="M163" s="5">
        <f>IF(Table24[[#This Row],[Details]]=2,K162-Table24[[#This Row],[Pts]],IF(Table24[[#This Row],[Details]]=17,Table24[[#This Row],[Pts]]-K164,""))</f>
        <v>4</v>
      </c>
      <c r="R163" s="1" t="str">
        <f>IFERROR(IF($Q$1=$P$3,INDEX(prem_analysis!$P$2:$Q$441,ROWS(Data!$P$2:Q163),COLUMNS(Data!$P$3:P164)),IF($Q$1=$P$5,INDEX(prem_analysis!$BH$1:$BS$23,ROWS(Data!$Q$3:Q164),COLUMNS(Data!$Q$3:Q164)),IF($Q$1=$P$6,INDEX(prem_analysis!$BU$1:$CF$67,ROWS(prem_analysis!$N$2:N163),COLUMNS(prem_analysis!$N$2:N163)),IF($Q$1=$P$4,INDEX(Table24[[#All],[Year]:[Details]],ROWS(prem_analysis!$M$420:M581),COLUMNS(Data!$Q$3:Q164)))))),"")</f>
        <v/>
      </c>
      <c r="S163" s="1" t="str">
        <f>IFERROR(IF($Q$1=$P$3,INDEX(prem_analysis!$P$2:$Q$441,ROWS(Data!$P$2:R163),COLUMNS(Data!$P$3:Q164)),IF($Q$1=$P$5,INDEX(prem_analysis!$BH$1:$BS$23,ROWS(Data!$Q$3:R164),COLUMNS(Data!$Q$3:R164)),IF($Q$1=$P$6,INDEX(prem_analysis!$BU$1:$CF$67,ROWS(prem_analysis!$N$2:O163),COLUMNS(prem_analysis!$N$2:O163)),IF($Q$1=$P$4,INDEX(Table24[[#All],[Year]:[Details]],ROWS(prem_analysis!$M$420:N581),COLUMNS(Data!$Q$3:R164)))))),"")</f>
        <v/>
      </c>
      <c r="T163" s="1" t="str">
        <f>IFERROR(IF($Q$1=$P$3,INDEX(prem_analysis!$P$2:$Q$441,ROWS(Data!$P$2:S163),COLUMNS(Data!$P$3:R164)),IF($Q$1=$P$5,INDEX(prem_analysis!$BH$1:$BS$23,ROWS(Data!$Q$3:S164),COLUMNS(Data!$Q$3:S164)),IF($Q$1=$P$6,INDEX(prem_analysis!$BU$1:$CF$67,ROWS(prem_analysis!$N$2:P163),COLUMNS(prem_analysis!$N$2:P163)),IF($Q$1=$P$4,INDEX(Table24[[#All],[Year]:[Details]],ROWS(prem_analysis!$M$420:O581),COLUMNS(Data!$Q$3:S164)))))),"")</f>
        <v/>
      </c>
      <c r="U163" s="1" t="str">
        <f>IFERROR(IF($Q$1=$P$3,INDEX(prem_analysis!$P$2:$Q$441,ROWS(Data!$P$2:T163),COLUMNS(Data!$P$3:S164)),IF($Q$1=$P$5,INDEX(prem_analysis!$BH$1:$BS$23,ROWS(Data!$Q$3:T164),COLUMNS(Data!$Q$3:T164)),IF($Q$1=$P$6,INDEX(prem_analysis!$BU$1:$CF$67,ROWS(prem_analysis!$N$2:Q163),COLUMNS(prem_analysis!$N$2:Q163)),IF($Q$1=$P$4,INDEX(Table24[[#All],[Year]:[Details]],ROWS(prem_analysis!$M$420:P581),COLUMNS(Data!$Q$3:T164)))))),"")</f>
        <v/>
      </c>
      <c r="V163" s="1" t="str">
        <f>IFERROR(IF($Q$1=$P$3,INDEX(prem_analysis!$P$2:$Q$441,ROWS(Data!$P$2:U163),COLUMNS(Data!$P$3:T164)),IF($Q$1=$P$5,INDEX(prem_analysis!$BH$1:$BS$23,ROWS(Data!$Q$3:U164),COLUMNS(Data!$Q$3:U164)),IF($Q$1=$P$6,INDEX(prem_analysis!$BU$1:$CF$67,ROWS(prem_analysis!$N$2:R163),COLUMNS(prem_analysis!$N$2:R163)),IF($Q$1=$P$4,INDEX(Table24[[#All],[Year]:[Details]],ROWS(prem_analysis!$M$420:Q581),COLUMNS(Data!$Q$3:U164)))))),"")</f>
        <v/>
      </c>
      <c r="W163" s="1" t="str">
        <f>IFERROR(IF($Q$1=$P$3,INDEX(prem_analysis!$P$2:$Q$441,ROWS(Data!$P$2:V163),COLUMNS(Data!$P$3:U164)),IF($Q$1=$P$5,INDEX(prem_analysis!$BH$1:$BS$23,ROWS(Data!$Q$3:V164),COLUMNS(Data!$Q$3:V164)),IF($Q$1=$P$6,INDEX(prem_analysis!$BU$1:$CF$67,ROWS(prem_analysis!$N$2:S163),COLUMNS(prem_analysis!$N$2:S163)),IF($Q$1=$P$4,INDEX(Table24[[#All],[Year]:[Details]],ROWS(prem_analysis!$M$420:R581),COLUMNS(Data!$Q$3:V164)))))),"")</f>
        <v/>
      </c>
      <c r="X163" s="1" t="str">
        <f>IFERROR(IF($Q$1=$P$3,INDEX(prem_analysis!$P$2:$Q$441,ROWS(Data!$P$2:W163),COLUMNS(Data!$P$3:V164)),IF($Q$1=$P$5,INDEX(prem_analysis!$BH$1:$BS$23,ROWS(Data!$Q$3:W164),COLUMNS(Data!$Q$3:W164)),IF($Q$1=$P$6,INDEX(prem_analysis!$BU$1:$CF$67,ROWS(prem_analysis!$N$2:T163),COLUMNS(prem_analysis!$N$2:T163)),IF($Q$1=$P$4,INDEX(Table24[[#All],[Year]:[Details]],ROWS(prem_analysis!$M$420:S581),COLUMNS(Data!$Q$3:W164)))))),"")</f>
        <v/>
      </c>
      <c r="Y163" s="1" t="str">
        <f>IFERROR(IF($Q$1=$P$3,INDEX(prem_analysis!$P$2:$Q$441,ROWS(Data!$P$2:X163),COLUMNS(Data!$P$3:W164)),IF($Q$1=$P$5,INDEX(prem_analysis!$BH$1:$BS$23,ROWS(Data!$Q$3:X164),COLUMNS(Data!$Q$3:X164)),IF($Q$1=$P$6,INDEX(prem_analysis!$BU$1:$CF$67,ROWS(prem_analysis!$N$2:U163),COLUMNS(prem_analysis!$N$2:U163)),IF($Q$1=$P$4,INDEX(Table24[[#All],[Year]:[Details]],ROWS(prem_analysis!$M$420:T581),COLUMNS(Data!$Q$3:X164)))))),"")</f>
        <v/>
      </c>
      <c r="Z163" s="1" t="str">
        <f>IFERROR(IF($Q$1=$P$3,INDEX(prem_analysis!$P$2:$Q$441,ROWS(Data!$P$2:Y163),COLUMNS(Data!$P$3:X164)),IF($Q$1=$P$5,INDEX(prem_analysis!$BH$1:$BS$23,ROWS(Data!$Q$3:Y164),COLUMNS(Data!$Q$3:Y164)),IF($Q$1=$P$6,INDEX(prem_analysis!$BU$1:$CF$67,ROWS(prem_analysis!$N$2:V163),COLUMNS(prem_analysis!$N$2:V163)),IF($Q$1=$P$4,INDEX(Table24[[#All],[Year]:[Details]],ROWS(prem_analysis!$M$420:U581),COLUMNS(Data!$Q$3:Y164)))))),"")</f>
        <v/>
      </c>
      <c r="AA163" s="1" t="str">
        <f>IFERROR(IF($Q$1=$P$3,INDEX(prem_analysis!$P$2:$Q$441,ROWS(Data!$P$2:Z163),COLUMNS(Data!$P$3:Y164)),IF($Q$1=$P$5,INDEX(prem_analysis!$BH$1:$BS$23,ROWS(Data!$Q$3:Z164),COLUMNS(Data!$Q$3:Z164)),IF($Q$1=$P$6,INDEX(prem_analysis!$BU$1:$CF$67,ROWS(prem_analysis!$N$2:W163),COLUMNS(prem_analysis!$N$2:W163)),IF($Q$1=$P$4,INDEX(Table24[[#All],[Year]:[Details]],ROWS(prem_analysis!$M$420:V581),COLUMNS(Data!$Q$3:Z164)))))),"")</f>
        <v/>
      </c>
      <c r="AB163" s="1" t="str">
        <f>IFERROR(IF($Q$1=$P$3,INDEX(prem_analysis!$P$2:$Q$441,ROWS(Data!$P$2:AA163),COLUMNS(Data!$P$3:Z164)),IF($Q$1=$P$5,INDEX(prem_analysis!$BH$1:$BS$23,ROWS(Data!$Q$3:AA164),COLUMNS(Data!$Q$3:AA164)),IF($Q$1=$P$6,INDEX(prem_analysis!$BU$1:$CF$67,ROWS(prem_analysis!$N$2:X163),COLUMNS(prem_analysis!$N$2:X163)),IF($Q$1=$P$4,INDEX(Table24[[#All],[Year]:[Details]],ROWS(prem_analysis!$M$420:W581),COLUMNS(Data!$Q$3:AA164)))))),"")</f>
        <v/>
      </c>
      <c r="AC163" s="1" t="str">
        <f>IFERROR(IF($Q$1=$P$3,INDEX(prem_analysis!$P$2:$Q$441,ROWS(Data!$P$2:AB163),COLUMNS(Data!$P$3:AA164)),IF($Q$1=$P$5,INDEX(prem_analysis!$BH$1:$BS$23,ROWS(Data!$Q$3:AB164),COLUMNS(Data!$Q$3:AB164)),IF($Q$1=$P$6,INDEX(prem_analysis!$BU$1:$CF$67,ROWS(prem_analysis!$N$2:Y163),COLUMNS(prem_analysis!$N$2:Y163)),IF($Q$1=$P$4,INDEX(Table24[[#All],[Year]:[Details]],ROWS(prem_analysis!$M$420:X581),COLUMNS(Data!$Q$3:AB164)))))),"")</f>
        <v/>
      </c>
    </row>
    <row r="164" spans="1:29" x14ac:dyDescent="0.2">
      <c r="A164" s="3">
        <v>2008</v>
      </c>
      <c r="B164" s="3">
        <v>3</v>
      </c>
      <c r="C164" s="4" t="s">
        <v>16</v>
      </c>
      <c r="D164" s="3">
        <v>38</v>
      </c>
      <c r="E164" s="3">
        <v>25</v>
      </c>
      <c r="F164" s="3">
        <v>8</v>
      </c>
      <c r="G164" s="3">
        <v>5</v>
      </c>
      <c r="H164" s="3">
        <v>68</v>
      </c>
      <c r="I164" s="3">
        <v>24</v>
      </c>
      <c r="J164" s="3">
        <v>44</v>
      </c>
      <c r="K164" s="3">
        <v>83</v>
      </c>
      <c r="L164" s="5">
        <f>IF(Table24[[#This Row],['#]]=1,"Champion", IF(Table24[[#This Row],['#]]&gt;=18,"Relegated",Table24[[#This Row],['#]]))</f>
        <v>3</v>
      </c>
      <c r="M164" s="5" t="str">
        <f>IF(Table24[[#This Row],[Details]]=2,K163-Table24[[#This Row],[Pts]],IF(Table24[[#This Row],[Details]]=17,Table24[[#This Row],[Pts]]-K165,""))</f>
        <v/>
      </c>
      <c r="R164" s="1" t="str">
        <f>IFERROR(IF($Q$1=$P$3,INDEX(prem_analysis!$P$2:$Q$441,ROWS(Data!$P$2:Q164),COLUMNS(Data!$P$3:P165)),IF($Q$1=$P$5,INDEX(prem_analysis!$BH$1:$BS$23,ROWS(Data!$Q$3:Q165),COLUMNS(Data!$Q$3:Q165)),IF($Q$1=$P$6,INDEX(prem_analysis!$BU$1:$CF$67,ROWS(prem_analysis!$N$2:N164),COLUMNS(prem_analysis!$N$2:N164)),IF($Q$1=$P$4,INDEX(Table24[[#All],[Year]:[Details]],ROWS(prem_analysis!$M$420:M582),COLUMNS(Data!$Q$3:Q165)))))),"")</f>
        <v/>
      </c>
      <c r="S164" s="1" t="str">
        <f>IFERROR(IF($Q$1=$P$3,INDEX(prem_analysis!$P$2:$Q$441,ROWS(Data!$P$2:R164),COLUMNS(Data!$P$3:Q165)),IF($Q$1=$P$5,INDEX(prem_analysis!$BH$1:$BS$23,ROWS(Data!$Q$3:R165),COLUMNS(Data!$Q$3:R165)),IF($Q$1=$P$6,INDEX(prem_analysis!$BU$1:$CF$67,ROWS(prem_analysis!$N$2:O164),COLUMNS(prem_analysis!$N$2:O164)),IF($Q$1=$P$4,INDEX(Table24[[#All],[Year]:[Details]],ROWS(prem_analysis!$M$420:N582),COLUMNS(Data!$Q$3:R165)))))),"")</f>
        <v/>
      </c>
      <c r="T164" s="1" t="str">
        <f>IFERROR(IF($Q$1=$P$3,INDEX(prem_analysis!$P$2:$Q$441,ROWS(Data!$P$2:S164),COLUMNS(Data!$P$3:R165)),IF($Q$1=$P$5,INDEX(prem_analysis!$BH$1:$BS$23,ROWS(Data!$Q$3:S165),COLUMNS(Data!$Q$3:S165)),IF($Q$1=$P$6,INDEX(prem_analysis!$BU$1:$CF$67,ROWS(prem_analysis!$N$2:P164),COLUMNS(prem_analysis!$N$2:P164)),IF($Q$1=$P$4,INDEX(Table24[[#All],[Year]:[Details]],ROWS(prem_analysis!$M$420:O582),COLUMNS(Data!$Q$3:S165)))))),"")</f>
        <v/>
      </c>
      <c r="U164" s="1" t="str">
        <f>IFERROR(IF($Q$1=$P$3,INDEX(prem_analysis!$P$2:$Q$441,ROWS(Data!$P$2:T164),COLUMNS(Data!$P$3:S165)),IF($Q$1=$P$5,INDEX(prem_analysis!$BH$1:$BS$23,ROWS(Data!$Q$3:T165),COLUMNS(Data!$Q$3:T165)),IF($Q$1=$P$6,INDEX(prem_analysis!$BU$1:$CF$67,ROWS(prem_analysis!$N$2:Q164),COLUMNS(prem_analysis!$N$2:Q164)),IF($Q$1=$P$4,INDEX(Table24[[#All],[Year]:[Details]],ROWS(prem_analysis!$M$420:P582),COLUMNS(Data!$Q$3:T165)))))),"")</f>
        <v/>
      </c>
      <c r="V164" s="1" t="str">
        <f>IFERROR(IF($Q$1=$P$3,INDEX(prem_analysis!$P$2:$Q$441,ROWS(Data!$P$2:U164),COLUMNS(Data!$P$3:T165)),IF($Q$1=$P$5,INDEX(prem_analysis!$BH$1:$BS$23,ROWS(Data!$Q$3:U165),COLUMNS(Data!$Q$3:U165)),IF($Q$1=$P$6,INDEX(prem_analysis!$BU$1:$CF$67,ROWS(prem_analysis!$N$2:R164),COLUMNS(prem_analysis!$N$2:R164)),IF($Q$1=$P$4,INDEX(Table24[[#All],[Year]:[Details]],ROWS(prem_analysis!$M$420:Q582),COLUMNS(Data!$Q$3:U165)))))),"")</f>
        <v/>
      </c>
      <c r="W164" s="1" t="str">
        <f>IFERROR(IF($Q$1=$P$3,INDEX(prem_analysis!$P$2:$Q$441,ROWS(Data!$P$2:V164),COLUMNS(Data!$P$3:U165)),IF($Q$1=$P$5,INDEX(prem_analysis!$BH$1:$BS$23,ROWS(Data!$Q$3:V165),COLUMNS(Data!$Q$3:V165)),IF($Q$1=$P$6,INDEX(prem_analysis!$BU$1:$CF$67,ROWS(prem_analysis!$N$2:S164),COLUMNS(prem_analysis!$N$2:S164)),IF($Q$1=$P$4,INDEX(Table24[[#All],[Year]:[Details]],ROWS(prem_analysis!$M$420:R582),COLUMNS(Data!$Q$3:V165)))))),"")</f>
        <v/>
      </c>
      <c r="X164" s="1" t="str">
        <f>IFERROR(IF($Q$1=$P$3,INDEX(prem_analysis!$P$2:$Q$441,ROWS(Data!$P$2:W164),COLUMNS(Data!$P$3:V165)),IF($Q$1=$P$5,INDEX(prem_analysis!$BH$1:$BS$23,ROWS(Data!$Q$3:W165),COLUMNS(Data!$Q$3:W165)),IF($Q$1=$P$6,INDEX(prem_analysis!$BU$1:$CF$67,ROWS(prem_analysis!$N$2:T164),COLUMNS(prem_analysis!$N$2:T164)),IF($Q$1=$P$4,INDEX(Table24[[#All],[Year]:[Details]],ROWS(prem_analysis!$M$420:S582),COLUMNS(Data!$Q$3:W165)))))),"")</f>
        <v/>
      </c>
      <c r="Y164" s="1" t="str">
        <f>IFERROR(IF($Q$1=$P$3,INDEX(prem_analysis!$P$2:$Q$441,ROWS(Data!$P$2:X164),COLUMNS(Data!$P$3:W165)),IF($Q$1=$P$5,INDEX(prem_analysis!$BH$1:$BS$23,ROWS(Data!$Q$3:X165),COLUMNS(Data!$Q$3:X165)),IF($Q$1=$P$6,INDEX(prem_analysis!$BU$1:$CF$67,ROWS(prem_analysis!$N$2:U164),COLUMNS(prem_analysis!$N$2:U164)),IF($Q$1=$P$4,INDEX(Table24[[#All],[Year]:[Details]],ROWS(prem_analysis!$M$420:T582),COLUMNS(Data!$Q$3:X165)))))),"")</f>
        <v/>
      </c>
      <c r="Z164" s="1" t="str">
        <f>IFERROR(IF($Q$1=$P$3,INDEX(prem_analysis!$P$2:$Q$441,ROWS(Data!$P$2:Y164),COLUMNS(Data!$P$3:X165)),IF($Q$1=$P$5,INDEX(prem_analysis!$BH$1:$BS$23,ROWS(Data!$Q$3:Y165),COLUMNS(Data!$Q$3:Y165)),IF($Q$1=$P$6,INDEX(prem_analysis!$BU$1:$CF$67,ROWS(prem_analysis!$N$2:V164),COLUMNS(prem_analysis!$N$2:V164)),IF($Q$1=$P$4,INDEX(Table24[[#All],[Year]:[Details]],ROWS(prem_analysis!$M$420:U582),COLUMNS(Data!$Q$3:Y165)))))),"")</f>
        <v/>
      </c>
      <c r="AA164" s="1" t="str">
        <f>IFERROR(IF($Q$1=$P$3,INDEX(prem_analysis!$P$2:$Q$441,ROWS(Data!$P$2:Z164),COLUMNS(Data!$P$3:Y165)),IF($Q$1=$P$5,INDEX(prem_analysis!$BH$1:$BS$23,ROWS(Data!$Q$3:Z165),COLUMNS(Data!$Q$3:Z165)),IF($Q$1=$P$6,INDEX(prem_analysis!$BU$1:$CF$67,ROWS(prem_analysis!$N$2:W164),COLUMNS(prem_analysis!$N$2:W164)),IF($Q$1=$P$4,INDEX(Table24[[#All],[Year]:[Details]],ROWS(prem_analysis!$M$420:V582),COLUMNS(Data!$Q$3:Z165)))))),"")</f>
        <v/>
      </c>
      <c r="AB164" s="1" t="str">
        <f>IFERROR(IF($Q$1=$P$3,INDEX(prem_analysis!$P$2:$Q$441,ROWS(Data!$P$2:AA164),COLUMNS(Data!$P$3:Z165)),IF($Q$1=$P$5,INDEX(prem_analysis!$BH$1:$BS$23,ROWS(Data!$Q$3:AA165),COLUMNS(Data!$Q$3:AA165)),IF($Q$1=$P$6,INDEX(prem_analysis!$BU$1:$CF$67,ROWS(prem_analysis!$N$2:X164),COLUMNS(prem_analysis!$N$2:X164)),IF($Q$1=$P$4,INDEX(Table24[[#All],[Year]:[Details]],ROWS(prem_analysis!$M$420:W582),COLUMNS(Data!$Q$3:AA165)))))),"")</f>
        <v/>
      </c>
      <c r="AC164" s="1" t="str">
        <f>IFERROR(IF($Q$1=$P$3,INDEX(prem_analysis!$P$2:$Q$441,ROWS(Data!$P$2:AB164),COLUMNS(Data!$P$3:AA165)),IF($Q$1=$P$5,INDEX(prem_analysis!$BH$1:$BS$23,ROWS(Data!$Q$3:AB165),COLUMNS(Data!$Q$3:AB165)),IF($Q$1=$P$6,INDEX(prem_analysis!$BU$1:$CF$67,ROWS(prem_analysis!$N$2:Y164),COLUMNS(prem_analysis!$N$2:Y164)),IF($Q$1=$P$4,INDEX(Table24[[#All],[Year]:[Details]],ROWS(prem_analysis!$M$420:X582),COLUMNS(Data!$Q$3:AB165)))))),"")</f>
        <v/>
      </c>
    </row>
    <row r="165" spans="1:29" x14ac:dyDescent="0.2">
      <c r="A165" s="5">
        <v>2008</v>
      </c>
      <c r="B165" s="5">
        <v>4</v>
      </c>
      <c r="C165" s="6" t="s">
        <v>12</v>
      </c>
      <c r="D165" s="5">
        <v>38</v>
      </c>
      <c r="E165" s="5">
        <v>20</v>
      </c>
      <c r="F165" s="5">
        <v>12</v>
      </c>
      <c r="G165" s="5">
        <v>6</v>
      </c>
      <c r="H165" s="5">
        <v>68</v>
      </c>
      <c r="I165" s="5">
        <v>37</v>
      </c>
      <c r="J165" s="5">
        <v>31</v>
      </c>
      <c r="K165" s="5">
        <v>72</v>
      </c>
      <c r="L165" s="5">
        <f>IF(Table24[[#This Row],['#]]=1,"Champion", IF(Table24[[#This Row],['#]]&gt;=18,"Relegated",Table24[[#This Row],['#]]))</f>
        <v>4</v>
      </c>
      <c r="M165" s="5" t="str">
        <f>IF(Table24[[#This Row],[Details]]=2,K164-Table24[[#This Row],[Pts]],IF(Table24[[#This Row],[Details]]=17,Table24[[#This Row],[Pts]]-K166,""))</f>
        <v/>
      </c>
      <c r="R165" s="1" t="str">
        <f>IFERROR(IF($Q$1=$P$3,INDEX(prem_analysis!$P$2:$Q$441,ROWS(Data!$P$2:Q165),COLUMNS(Data!$P$3:P166)),IF($Q$1=$P$5,INDEX(prem_analysis!$BH$1:$BS$23,ROWS(Data!$Q$3:Q166),COLUMNS(Data!$Q$3:Q166)),IF($Q$1=$P$6,INDEX(prem_analysis!$BU$1:$CF$67,ROWS(prem_analysis!$N$2:N165),COLUMNS(prem_analysis!$N$2:N165)),IF($Q$1=$P$4,INDEX(Table24[[#All],[Year]:[Details]],ROWS(prem_analysis!$M$420:M583),COLUMNS(Data!$Q$3:Q166)))))),"")</f>
        <v/>
      </c>
      <c r="S165" s="1" t="str">
        <f>IFERROR(IF($Q$1=$P$3,INDEX(prem_analysis!$P$2:$Q$441,ROWS(Data!$P$2:R165),COLUMNS(Data!$P$3:Q166)),IF($Q$1=$P$5,INDEX(prem_analysis!$BH$1:$BS$23,ROWS(Data!$Q$3:R166),COLUMNS(Data!$Q$3:R166)),IF($Q$1=$P$6,INDEX(prem_analysis!$BU$1:$CF$67,ROWS(prem_analysis!$N$2:O165),COLUMNS(prem_analysis!$N$2:O165)),IF($Q$1=$P$4,INDEX(Table24[[#All],[Year]:[Details]],ROWS(prem_analysis!$M$420:N583),COLUMNS(Data!$Q$3:R166)))))),"")</f>
        <v/>
      </c>
      <c r="T165" s="1" t="str">
        <f>IFERROR(IF($Q$1=$P$3,INDEX(prem_analysis!$P$2:$Q$441,ROWS(Data!$P$2:S165),COLUMNS(Data!$P$3:R166)),IF($Q$1=$P$5,INDEX(prem_analysis!$BH$1:$BS$23,ROWS(Data!$Q$3:S166),COLUMNS(Data!$Q$3:S166)),IF($Q$1=$P$6,INDEX(prem_analysis!$BU$1:$CF$67,ROWS(prem_analysis!$N$2:P165),COLUMNS(prem_analysis!$N$2:P165)),IF($Q$1=$P$4,INDEX(Table24[[#All],[Year]:[Details]],ROWS(prem_analysis!$M$420:O583),COLUMNS(Data!$Q$3:S166)))))),"")</f>
        <v/>
      </c>
      <c r="U165" s="1" t="str">
        <f>IFERROR(IF($Q$1=$P$3,INDEX(prem_analysis!$P$2:$Q$441,ROWS(Data!$P$2:T165),COLUMNS(Data!$P$3:S166)),IF($Q$1=$P$5,INDEX(prem_analysis!$BH$1:$BS$23,ROWS(Data!$Q$3:T166),COLUMNS(Data!$Q$3:T166)),IF($Q$1=$P$6,INDEX(prem_analysis!$BU$1:$CF$67,ROWS(prem_analysis!$N$2:Q165),COLUMNS(prem_analysis!$N$2:Q165)),IF($Q$1=$P$4,INDEX(Table24[[#All],[Year]:[Details]],ROWS(prem_analysis!$M$420:P583),COLUMNS(Data!$Q$3:T166)))))),"")</f>
        <v/>
      </c>
      <c r="V165" s="1" t="str">
        <f>IFERROR(IF($Q$1=$P$3,INDEX(prem_analysis!$P$2:$Q$441,ROWS(Data!$P$2:U165),COLUMNS(Data!$P$3:T166)),IF($Q$1=$P$5,INDEX(prem_analysis!$BH$1:$BS$23,ROWS(Data!$Q$3:U166),COLUMNS(Data!$Q$3:U166)),IF($Q$1=$P$6,INDEX(prem_analysis!$BU$1:$CF$67,ROWS(prem_analysis!$N$2:R165),COLUMNS(prem_analysis!$N$2:R165)),IF($Q$1=$P$4,INDEX(Table24[[#All],[Year]:[Details]],ROWS(prem_analysis!$M$420:Q583),COLUMNS(Data!$Q$3:U166)))))),"")</f>
        <v/>
      </c>
      <c r="W165" s="1" t="str">
        <f>IFERROR(IF($Q$1=$P$3,INDEX(prem_analysis!$P$2:$Q$441,ROWS(Data!$P$2:V165),COLUMNS(Data!$P$3:U166)),IF($Q$1=$P$5,INDEX(prem_analysis!$BH$1:$BS$23,ROWS(Data!$Q$3:V166),COLUMNS(Data!$Q$3:V166)),IF($Q$1=$P$6,INDEX(prem_analysis!$BU$1:$CF$67,ROWS(prem_analysis!$N$2:S165),COLUMNS(prem_analysis!$N$2:S165)),IF($Q$1=$P$4,INDEX(Table24[[#All],[Year]:[Details]],ROWS(prem_analysis!$M$420:R583),COLUMNS(Data!$Q$3:V166)))))),"")</f>
        <v/>
      </c>
      <c r="X165" s="1" t="str">
        <f>IFERROR(IF($Q$1=$P$3,INDEX(prem_analysis!$P$2:$Q$441,ROWS(Data!$P$2:W165),COLUMNS(Data!$P$3:V166)),IF($Q$1=$P$5,INDEX(prem_analysis!$BH$1:$BS$23,ROWS(Data!$Q$3:W166),COLUMNS(Data!$Q$3:W166)),IF($Q$1=$P$6,INDEX(prem_analysis!$BU$1:$CF$67,ROWS(prem_analysis!$N$2:T165),COLUMNS(prem_analysis!$N$2:T165)),IF($Q$1=$P$4,INDEX(Table24[[#All],[Year]:[Details]],ROWS(prem_analysis!$M$420:S583),COLUMNS(Data!$Q$3:W166)))))),"")</f>
        <v/>
      </c>
      <c r="Y165" s="1" t="str">
        <f>IFERROR(IF($Q$1=$P$3,INDEX(prem_analysis!$P$2:$Q$441,ROWS(Data!$P$2:X165),COLUMNS(Data!$P$3:W166)),IF($Q$1=$P$5,INDEX(prem_analysis!$BH$1:$BS$23,ROWS(Data!$Q$3:X166),COLUMNS(Data!$Q$3:X166)),IF($Q$1=$P$6,INDEX(prem_analysis!$BU$1:$CF$67,ROWS(prem_analysis!$N$2:U165),COLUMNS(prem_analysis!$N$2:U165)),IF($Q$1=$P$4,INDEX(Table24[[#All],[Year]:[Details]],ROWS(prem_analysis!$M$420:T583),COLUMNS(Data!$Q$3:X166)))))),"")</f>
        <v/>
      </c>
      <c r="Z165" s="1" t="str">
        <f>IFERROR(IF($Q$1=$P$3,INDEX(prem_analysis!$P$2:$Q$441,ROWS(Data!$P$2:Y165),COLUMNS(Data!$P$3:X166)),IF($Q$1=$P$5,INDEX(prem_analysis!$BH$1:$BS$23,ROWS(Data!$Q$3:Y166),COLUMNS(Data!$Q$3:Y166)),IF($Q$1=$P$6,INDEX(prem_analysis!$BU$1:$CF$67,ROWS(prem_analysis!$N$2:V165),COLUMNS(prem_analysis!$N$2:V165)),IF($Q$1=$P$4,INDEX(Table24[[#All],[Year]:[Details]],ROWS(prem_analysis!$M$420:U583),COLUMNS(Data!$Q$3:Y166)))))),"")</f>
        <v/>
      </c>
      <c r="AA165" s="1" t="str">
        <f>IFERROR(IF($Q$1=$P$3,INDEX(prem_analysis!$P$2:$Q$441,ROWS(Data!$P$2:Z165),COLUMNS(Data!$P$3:Y166)),IF($Q$1=$P$5,INDEX(prem_analysis!$BH$1:$BS$23,ROWS(Data!$Q$3:Z166),COLUMNS(Data!$Q$3:Z166)),IF($Q$1=$P$6,INDEX(prem_analysis!$BU$1:$CF$67,ROWS(prem_analysis!$N$2:W165),COLUMNS(prem_analysis!$N$2:W165)),IF($Q$1=$P$4,INDEX(Table24[[#All],[Year]:[Details]],ROWS(prem_analysis!$M$420:V583),COLUMNS(Data!$Q$3:Z166)))))),"")</f>
        <v/>
      </c>
      <c r="AB165" s="1" t="str">
        <f>IFERROR(IF($Q$1=$P$3,INDEX(prem_analysis!$P$2:$Q$441,ROWS(Data!$P$2:AA165),COLUMNS(Data!$P$3:Z166)),IF($Q$1=$P$5,INDEX(prem_analysis!$BH$1:$BS$23,ROWS(Data!$Q$3:AA166),COLUMNS(Data!$Q$3:AA166)),IF($Q$1=$P$6,INDEX(prem_analysis!$BU$1:$CF$67,ROWS(prem_analysis!$N$2:X165),COLUMNS(prem_analysis!$N$2:X165)),IF($Q$1=$P$4,INDEX(Table24[[#All],[Year]:[Details]],ROWS(prem_analysis!$M$420:W583),COLUMNS(Data!$Q$3:AA166)))))),"")</f>
        <v/>
      </c>
      <c r="AC165" s="1" t="str">
        <f>IFERROR(IF($Q$1=$P$3,INDEX(prem_analysis!$P$2:$Q$441,ROWS(Data!$P$2:AB165),COLUMNS(Data!$P$3:AA166)),IF($Q$1=$P$5,INDEX(prem_analysis!$BH$1:$BS$23,ROWS(Data!$Q$3:AB166),COLUMNS(Data!$Q$3:AB166)),IF($Q$1=$P$6,INDEX(prem_analysis!$BU$1:$CF$67,ROWS(prem_analysis!$N$2:Y165),COLUMNS(prem_analysis!$N$2:Y165)),IF($Q$1=$P$4,INDEX(Table24[[#All],[Year]:[Details]],ROWS(prem_analysis!$M$420:X583),COLUMNS(Data!$Q$3:AB166)))))),"")</f>
        <v/>
      </c>
    </row>
    <row r="166" spans="1:29" x14ac:dyDescent="0.2">
      <c r="A166" s="3">
        <v>2008</v>
      </c>
      <c r="B166" s="3">
        <v>5</v>
      </c>
      <c r="C166" s="4" t="s">
        <v>26</v>
      </c>
      <c r="D166" s="3">
        <v>38</v>
      </c>
      <c r="E166" s="3">
        <v>17</v>
      </c>
      <c r="F166" s="3">
        <v>12</v>
      </c>
      <c r="G166" s="3">
        <v>9</v>
      </c>
      <c r="H166" s="3">
        <v>55</v>
      </c>
      <c r="I166" s="3">
        <v>37</v>
      </c>
      <c r="J166" s="3">
        <v>18</v>
      </c>
      <c r="K166" s="3">
        <v>63</v>
      </c>
      <c r="L166" s="5">
        <f>IF(Table24[[#This Row],['#]]=1,"Champion", IF(Table24[[#This Row],['#]]&gt;=18,"Relegated",Table24[[#This Row],['#]]))</f>
        <v>5</v>
      </c>
      <c r="M166" s="5" t="str">
        <f>IF(Table24[[#This Row],[Details]]=2,K165-Table24[[#This Row],[Pts]],IF(Table24[[#This Row],[Details]]=17,Table24[[#This Row],[Pts]]-K167,""))</f>
        <v/>
      </c>
      <c r="R166" s="1" t="str">
        <f>IFERROR(IF($Q$1=$P$3,INDEX(prem_analysis!$P$2:$Q$441,ROWS(Data!$P$2:Q166),COLUMNS(Data!$P$3:P167)),IF($Q$1=$P$5,INDEX(prem_analysis!$BH$1:$BS$23,ROWS(Data!$Q$3:Q167),COLUMNS(Data!$Q$3:Q167)),IF($Q$1=$P$6,INDEX(prem_analysis!$BU$1:$CF$67,ROWS(prem_analysis!$N$2:N166),COLUMNS(prem_analysis!$N$2:N166)),IF($Q$1=$P$4,INDEX(Table24[[#All],[Year]:[Details]],ROWS(prem_analysis!$M$420:M584),COLUMNS(Data!$Q$3:Q167)))))),"")</f>
        <v/>
      </c>
      <c r="S166" s="1" t="str">
        <f>IFERROR(IF($Q$1=$P$3,INDEX(prem_analysis!$P$2:$Q$441,ROWS(Data!$P$2:R166),COLUMNS(Data!$P$3:Q167)),IF($Q$1=$P$5,INDEX(prem_analysis!$BH$1:$BS$23,ROWS(Data!$Q$3:R167),COLUMNS(Data!$Q$3:R167)),IF($Q$1=$P$6,INDEX(prem_analysis!$BU$1:$CF$67,ROWS(prem_analysis!$N$2:O166),COLUMNS(prem_analysis!$N$2:O166)),IF($Q$1=$P$4,INDEX(Table24[[#All],[Year]:[Details]],ROWS(prem_analysis!$M$420:N584),COLUMNS(Data!$Q$3:R167)))))),"")</f>
        <v/>
      </c>
      <c r="T166" s="1" t="str">
        <f>IFERROR(IF($Q$1=$P$3,INDEX(prem_analysis!$P$2:$Q$441,ROWS(Data!$P$2:S166),COLUMNS(Data!$P$3:R167)),IF($Q$1=$P$5,INDEX(prem_analysis!$BH$1:$BS$23,ROWS(Data!$Q$3:S167),COLUMNS(Data!$Q$3:S167)),IF($Q$1=$P$6,INDEX(prem_analysis!$BU$1:$CF$67,ROWS(prem_analysis!$N$2:P166),COLUMNS(prem_analysis!$N$2:P166)),IF($Q$1=$P$4,INDEX(Table24[[#All],[Year]:[Details]],ROWS(prem_analysis!$M$420:O584),COLUMNS(Data!$Q$3:S167)))))),"")</f>
        <v/>
      </c>
      <c r="U166" s="1" t="str">
        <f>IFERROR(IF($Q$1=$P$3,INDEX(prem_analysis!$P$2:$Q$441,ROWS(Data!$P$2:T166),COLUMNS(Data!$P$3:S167)),IF($Q$1=$P$5,INDEX(prem_analysis!$BH$1:$BS$23,ROWS(Data!$Q$3:T167),COLUMNS(Data!$Q$3:T167)),IF($Q$1=$P$6,INDEX(prem_analysis!$BU$1:$CF$67,ROWS(prem_analysis!$N$2:Q166),COLUMNS(prem_analysis!$N$2:Q166)),IF($Q$1=$P$4,INDEX(Table24[[#All],[Year]:[Details]],ROWS(prem_analysis!$M$420:P584),COLUMNS(Data!$Q$3:T167)))))),"")</f>
        <v/>
      </c>
      <c r="V166" s="1" t="str">
        <f>IFERROR(IF($Q$1=$P$3,INDEX(prem_analysis!$P$2:$Q$441,ROWS(Data!$P$2:U166),COLUMNS(Data!$P$3:T167)),IF($Q$1=$P$5,INDEX(prem_analysis!$BH$1:$BS$23,ROWS(Data!$Q$3:U167),COLUMNS(Data!$Q$3:U167)),IF($Q$1=$P$6,INDEX(prem_analysis!$BU$1:$CF$67,ROWS(prem_analysis!$N$2:R166),COLUMNS(prem_analysis!$N$2:R166)),IF($Q$1=$P$4,INDEX(Table24[[#All],[Year]:[Details]],ROWS(prem_analysis!$M$420:Q584),COLUMNS(Data!$Q$3:U167)))))),"")</f>
        <v/>
      </c>
      <c r="W166" s="1" t="str">
        <f>IFERROR(IF($Q$1=$P$3,INDEX(prem_analysis!$P$2:$Q$441,ROWS(Data!$P$2:V166),COLUMNS(Data!$P$3:U167)),IF($Q$1=$P$5,INDEX(prem_analysis!$BH$1:$BS$23,ROWS(Data!$Q$3:V167),COLUMNS(Data!$Q$3:V167)),IF($Q$1=$P$6,INDEX(prem_analysis!$BU$1:$CF$67,ROWS(prem_analysis!$N$2:S166),COLUMNS(prem_analysis!$N$2:S166)),IF($Q$1=$P$4,INDEX(Table24[[#All],[Year]:[Details]],ROWS(prem_analysis!$M$420:R584),COLUMNS(Data!$Q$3:V167)))))),"")</f>
        <v/>
      </c>
      <c r="X166" s="1" t="str">
        <f>IFERROR(IF($Q$1=$P$3,INDEX(prem_analysis!$P$2:$Q$441,ROWS(Data!$P$2:W166),COLUMNS(Data!$P$3:V167)),IF($Q$1=$P$5,INDEX(prem_analysis!$BH$1:$BS$23,ROWS(Data!$Q$3:W167),COLUMNS(Data!$Q$3:W167)),IF($Q$1=$P$6,INDEX(prem_analysis!$BU$1:$CF$67,ROWS(prem_analysis!$N$2:T166),COLUMNS(prem_analysis!$N$2:T166)),IF($Q$1=$P$4,INDEX(Table24[[#All],[Year]:[Details]],ROWS(prem_analysis!$M$420:S584),COLUMNS(Data!$Q$3:W167)))))),"")</f>
        <v/>
      </c>
      <c r="Y166" s="1" t="str">
        <f>IFERROR(IF($Q$1=$P$3,INDEX(prem_analysis!$P$2:$Q$441,ROWS(Data!$P$2:X166),COLUMNS(Data!$P$3:W167)),IF($Q$1=$P$5,INDEX(prem_analysis!$BH$1:$BS$23,ROWS(Data!$Q$3:X167),COLUMNS(Data!$Q$3:X167)),IF($Q$1=$P$6,INDEX(prem_analysis!$BU$1:$CF$67,ROWS(prem_analysis!$N$2:U166),COLUMNS(prem_analysis!$N$2:U166)),IF($Q$1=$P$4,INDEX(Table24[[#All],[Year]:[Details]],ROWS(prem_analysis!$M$420:T584),COLUMNS(Data!$Q$3:X167)))))),"")</f>
        <v/>
      </c>
      <c r="Z166" s="1" t="str">
        <f>IFERROR(IF($Q$1=$P$3,INDEX(prem_analysis!$P$2:$Q$441,ROWS(Data!$P$2:Y166),COLUMNS(Data!$P$3:X167)),IF($Q$1=$P$5,INDEX(prem_analysis!$BH$1:$BS$23,ROWS(Data!$Q$3:Y167),COLUMNS(Data!$Q$3:Y167)),IF($Q$1=$P$6,INDEX(prem_analysis!$BU$1:$CF$67,ROWS(prem_analysis!$N$2:V166),COLUMNS(prem_analysis!$N$2:V166)),IF($Q$1=$P$4,INDEX(Table24[[#All],[Year]:[Details]],ROWS(prem_analysis!$M$420:U584),COLUMNS(Data!$Q$3:Y167)))))),"")</f>
        <v/>
      </c>
      <c r="AA166" s="1" t="str">
        <f>IFERROR(IF($Q$1=$P$3,INDEX(prem_analysis!$P$2:$Q$441,ROWS(Data!$P$2:Z166),COLUMNS(Data!$P$3:Y167)),IF($Q$1=$P$5,INDEX(prem_analysis!$BH$1:$BS$23,ROWS(Data!$Q$3:Z167),COLUMNS(Data!$Q$3:Z167)),IF($Q$1=$P$6,INDEX(prem_analysis!$BU$1:$CF$67,ROWS(prem_analysis!$N$2:W166),COLUMNS(prem_analysis!$N$2:W166)),IF($Q$1=$P$4,INDEX(Table24[[#All],[Year]:[Details]],ROWS(prem_analysis!$M$420:V584),COLUMNS(Data!$Q$3:Z167)))))),"")</f>
        <v/>
      </c>
      <c r="AB166" s="1" t="str">
        <f>IFERROR(IF($Q$1=$P$3,INDEX(prem_analysis!$P$2:$Q$441,ROWS(Data!$P$2:AA166),COLUMNS(Data!$P$3:Z167)),IF($Q$1=$P$5,INDEX(prem_analysis!$BH$1:$BS$23,ROWS(Data!$Q$3:AA167),COLUMNS(Data!$Q$3:AA167)),IF($Q$1=$P$6,INDEX(prem_analysis!$BU$1:$CF$67,ROWS(prem_analysis!$N$2:X166),COLUMNS(prem_analysis!$N$2:X166)),IF($Q$1=$P$4,INDEX(Table24[[#All],[Year]:[Details]],ROWS(prem_analysis!$M$420:W584),COLUMNS(Data!$Q$3:AA167)))))),"")</f>
        <v/>
      </c>
      <c r="AC166" s="1" t="str">
        <f>IFERROR(IF($Q$1=$P$3,INDEX(prem_analysis!$P$2:$Q$441,ROWS(Data!$P$2:AB166),COLUMNS(Data!$P$3:AA167)),IF($Q$1=$P$5,INDEX(prem_analysis!$BH$1:$BS$23,ROWS(Data!$Q$3:AB167),COLUMNS(Data!$Q$3:AB167)),IF($Q$1=$P$6,INDEX(prem_analysis!$BU$1:$CF$67,ROWS(prem_analysis!$N$2:Y166),COLUMNS(prem_analysis!$N$2:Y166)),IF($Q$1=$P$4,INDEX(Table24[[#All],[Year]:[Details]],ROWS(prem_analysis!$M$420:X584),COLUMNS(Data!$Q$3:AB167)))))),"")</f>
        <v/>
      </c>
    </row>
    <row r="167" spans="1:29" x14ac:dyDescent="0.2">
      <c r="A167" s="5">
        <v>2008</v>
      </c>
      <c r="B167" s="5">
        <v>6</v>
      </c>
      <c r="C167" s="6" t="s">
        <v>18</v>
      </c>
      <c r="D167" s="5">
        <v>38</v>
      </c>
      <c r="E167" s="5">
        <v>17</v>
      </c>
      <c r="F167" s="5">
        <v>11</v>
      </c>
      <c r="G167" s="5">
        <v>10</v>
      </c>
      <c r="H167" s="5">
        <v>54</v>
      </c>
      <c r="I167" s="5">
        <v>48</v>
      </c>
      <c r="J167" s="5">
        <v>6</v>
      </c>
      <c r="K167" s="5">
        <v>62</v>
      </c>
      <c r="L167" s="5">
        <f>IF(Table24[[#This Row],['#]]=1,"Champion", IF(Table24[[#This Row],['#]]&gt;=18,"Relegated",Table24[[#This Row],['#]]))</f>
        <v>6</v>
      </c>
      <c r="M167" s="5" t="str">
        <f>IF(Table24[[#This Row],[Details]]=2,K166-Table24[[#This Row],[Pts]],IF(Table24[[#This Row],[Details]]=17,Table24[[#This Row],[Pts]]-K168,""))</f>
        <v/>
      </c>
      <c r="R167" s="1" t="str">
        <f>IFERROR(IF($Q$1=$P$3,INDEX(prem_analysis!$P$2:$Q$441,ROWS(Data!$P$2:Q167),COLUMNS(Data!$P$3:P168)),IF($Q$1=$P$5,INDEX(prem_analysis!$BH$1:$BS$23,ROWS(Data!$Q$3:Q168),COLUMNS(Data!$Q$3:Q168)),IF($Q$1=$P$6,INDEX(prem_analysis!$BU$1:$CF$67,ROWS(prem_analysis!$N$2:N167),COLUMNS(prem_analysis!$N$2:N167)),IF($Q$1=$P$4,INDEX(Table24[[#All],[Year]:[Details]],ROWS(prem_analysis!$M$420:M585),COLUMNS(Data!$Q$3:Q168)))))),"")</f>
        <v/>
      </c>
      <c r="S167" s="1" t="str">
        <f>IFERROR(IF($Q$1=$P$3,INDEX(prem_analysis!$P$2:$Q$441,ROWS(Data!$P$2:R167),COLUMNS(Data!$P$3:Q168)),IF($Q$1=$P$5,INDEX(prem_analysis!$BH$1:$BS$23,ROWS(Data!$Q$3:R168),COLUMNS(Data!$Q$3:R168)),IF($Q$1=$P$6,INDEX(prem_analysis!$BU$1:$CF$67,ROWS(prem_analysis!$N$2:O167),COLUMNS(prem_analysis!$N$2:O167)),IF($Q$1=$P$4,INDEX(Table24[[#All],[Year]:[Details]],ROWS(prem_analysis!$M$420:N585),COLUMNS(Data!$Q$3:R168)))))),"")</f>
        <v/>
      </c>
      <c r="T167" s="1" t="str">
        <f>IFERROR(IF($Q$1=$P$3,INDEX(prem_analysis!$P$2:$Q$441,ROWS(Data!$P$2:S167),COLUMNS(Data!$P$3:R168)),IF($Q$1=$P$5,INDEX(prem_analysis!$BH$1:$BS$23,ROWS(Data!$Q$3:S168),COLUMNS(Data!$Q$3:S168)),IF($Q$1=$P$6,INDEX(prem_analysis!$BU$1:$CF$67,ROWS(prem_analysis!$N$2:P167),COLUMNS(prem_analysis!$N$2:P167)),IF($Q$1=$P$4,INDEX(Table24[[#All],[Year]:[Details]],ROWS(prem_analysis!$M$420:O585),COLUMNS(Data!$Q$3:S168)))))),"")</f>
        <v/>
      </c>
      <c r="U167" s="1" t="str">
        <f>IFERROR(IF($Q$1=$P$3,INDEX(prem_analysis!$P$2:$Q$441,ROWS(Data!$P$2:T167),COLUMNS(Data!$P$3:S168)),IF($Q$1=$P$5,INDEX(prem_analysis!$BH$1:$BS$23,ROWS(Data!$Q$3:T168),COLUMNS(Data!$Q$3:T168)),IF($Q$1=$P$6,INDEX(prem_analysis!$BU$1:$CF$67,ROWS(prem_analysis!$N$2:Q167),COLUMNS(prem_analysis!$N$2:Q167)),IF($Q$1=$P$4,INDEX(Table24[[#All],[Year]:[Details]],ROWS(prem_analysis!$M$420:P585),COLUMNS(Data!$Q$3:T168)))))),"")</f>
        <v/>
      </c>
      <c r="V167" s="1" t="str">
        <f>IFERROR(IF($Q$1=$P$3,INDEX(prem_analysis!$P$2:$Q$441,ROWS(Data!$P$2:U167),COLUMNS(Data!$P$3:T168)),IF($Q$1=$P$5,INDEX(prem_analysis!$BH$1:$BS$23,ROWS(Data!$Q$3:U168),COLUMNS(Data!$Q$3:U168)),IF($Q$1=$P$6,INDEX(prem_analysis!$BU$1:$CF$67,ROWS(prem_analysis!$N$2:R167),COLUMNS(prem_analysis!$N$2:R167)),IF($Q$1=$P$4,INDEX(Table24[[#All],[Year]:[Details]],ROWS(prem_analysis!$M$420:Q585),COLUMNS(Data!$Q$3:U168)))))),"")</f>
        <v/>
      </c>
      <c r="W167" s="1" t="str">
        <f>IFERROR(IF($Q$1=$P$3,INDEX(prem_analysis!$P$2:$Q$441,ROWS(Data!$P$2:V167),COLUMNS(Data!$P$3:U168)),IF($Q$1=$P$5,INDEX(prem_analysis!$BH$1:$BS$23,ROWS(Data!$Q$3:V168),COLUMNS(Data!$Q$3:V168)),IF($Q$1=$P$6,INDEX(prem_analysis!$BU$1:$CF$67,ROWS(prem_analysis!$N$2:S167),COLUMNS(prem_analysis!$N$2:S167)),IF($Q$1=$P$4,INDEX(Table24[[#All],[Year]:[Details]],ROWS(prem_analysis!$M$420:R585),COLUMNS(Data!$Q$3:V168)))))),"")</f>
        <v/>
      </c>
      <c r="X167" s="1" t="str">
        <f>IFERROR(IF($Q$1=$P$3,INDEX(prem_analysis!$P$2:$Q$441,ROWS(Data!$P$2:W167),COLUMNS(Data!$P$3:V168)),IF($Q$1=$P$5,INDEX(prem_analysis!$BH$1:$BS$23,ROWS(Data!$Q$3:W168),COLUMNS(Data!$Q$3:W168)),IF($Q$1=$P$6,INDEX(prem_analysis!$BU$1:$CF$67,ROWS(prem_analysis!$N$2:T167),COLUMNS(prem_analysis!$N$2:T167)),IF($Q$1=$P$4,INDEX(Table24[[#All],[Year]:[Details]],ROWS(prem_analysis!$M$420:S585),COLUMNS(Data!$Q$3:W168)))))),"")</f>
        <v/>
      </c>
      <c r="Y167" s="1" t="str">
        <f>IFERROR(IF($Q$1=$P$3,INDEX(prem_analysis!$P$2:$Q$441,ROWS(Data!$P$2:X167),COLUMNS(Data!$P$3:W168)),IF($Q$1=$P$5,INDEX(prem_analysis!$BH$1:$BS$23,ROWS(Data!$Q$3:X168),COLUMNS(Data!$Q$3:X168)),IF($Q$1=$P$6,INDEX(prem_analysis!$BU$1:$CF$67,ROWS(prem_analysis!$N$2:U167),COLUMNS(prem_analysis!$N$2:U167)),IF($Q$1=$P$4,INDEX(Table24[[#All],[Year]:[Details]],ROWS(prem_analysis!$M$420:T585),COLUMNS(Data!$Q$3:X168)))))),"")</f>
        <v/>
      </c>
      <c r="Z167" s="1" t="str">
        <f>IFERROR(IF($Q$1=$P$3,INDEX(prem_analysis!$P$2:$Q$441,ROWS(Data!$P$2:Y167),COLUMNS(Data!$P$3:X168)),IF($Q$1=$P$5,INDEX(prem_analysis!$BH$1:$BS$23,ROWS(Data!$Q$3:Y168),COLUMNS(Data!$Q$3:Y168)),IF($Q$1=$P$6,INDEX(prem_analysis!$BU$1:$CF$67,ROWS(prem_analysis!$N$2:V167),COLUMNS(prem_analysis!$N$2:V167)),IF($Q$1=$P$4,INDEX(Table24[[#All],[Year]:[Details]],ROWS(prem_analysis!$M$420:U585),COLUMNS(Data!$Q$3:Y168)))))),"")</f>
        <v/>
      </c>
      <c r="AA167" s="1" t="str">
        <f>IFERROR(IF($Q$1=$P$3,INDEX(prem_analysis!$P$2:$Q$441,ROWS(Data!$P$2:Z167),COLUMNS(Data!$P$3:Y168)),IF($Q$1=$P$5,INDEX(prem_analysis!$BH$1:$BS$23,ROWS(Data!$Q$3:Z168),COLUMNS(Data!$Q$3:Z168)),IF($Q$1=$P$6,INDEX(prem_analysis!$BU$1:$CF$67,ROWS(prem_analysis!$N$2:W167),COLUMNS(prem_analysis!$N$2:W167)),IF($Q$1=$P$4,INDEX(Table24[[#All],[Year]:[Details]],ROWS(prem_analysis!$M$420:V585),COLUMNS(Data!$Q$3:Z168)))))),"")</f>
        <v/>
      </c>
      <c r="AB167" s="1" t="str">
        <f>IFERROR(IF($Q$1=$P$3,INDEX(prem_analysis!$P$2:$Q$441,ROWS(Data!$P$2:AA167),COLUMNS(Data!$P$3:Z168)),IF($Q$1=$P$5,INDEX(prem_analysis!$BH$1:$BS$23,ROWS(Data!$Q$3:AA168),COLUMNS(Data!$Q$3:AA168)),IF($Q$1=$P$6,INDEX(prem_analysis!$BU$1:$CF$67,ROWS(prem_analysis!$N$2:X167),COLUMNS(prem_analysis!$N$2:X167)),IF($Q$1=$P$4,INDEX(Table24[[#All],[Year]:[Details]],ROWS(prem_analysis!$M$420:W585),COLUMNS(Data!$Q$3:AA168)))))),"")</f>
        <v/>
      </c>
      <c r="AC167" s="1" t="str">
        <f>IFERROR(IF($Q$1=$P$3,INDEX(prem_analysis!$P$2:$Q$441,ROWS(Data!$P$2:AB167),COLUMNS(Data!$P$3:AA168)),IF($Q$1=$P$5,INDEX(prem_analysis!$BH$1:$BS$23,ROWS(Data!$Q$3:AB168),COLUMNS(Data!$Q$3:AB168)),IF($Q$1=$P$6,INDEX(prem_analysis!$BU$1:$CF$67,ROWS(prem_analysis!$N$2:Y167),COLUMNS(prem_analysis!$N$2:Y167)),IF($Q$1=$P$4,INDEX(Table24[[#All],[Year]:[Details]],ROWS(prem_analysis!$M$420:X585),COLUMNS(Data!$Q$3:AB168)))))),"")</f>
        <v/>
      </c>
    </row>
    <row r="168" spans="1:29" x14ac:dyDescent="0.2">
      <c r="A168" s="3">
        <v>2008</v>
      </c>
      <c r="B168" s="3">
        <v>7</v>
      </c>
      <c r="C168" s="4" t="s">
        <v>32</v>
      </c>
      <c r="D168" s="3">
        <v>38</v>
      </c>
      <c r="E168" s="3">
        <v>14</v>
      </c>
      <c r="F168" s="3">
        <v>11</v>
      </c>
      <c r="G168" s="3">
        <v>13</v>
      </c>
      <c r="H168" s="3">
        <v>39</v>
      </c>
      <c r="I168" s="3">
        <v>34</v>
      </c>
      <c r="J168" s="3">
        <v>5</v>
      </c>
      <c r="K168" s="3">
        <v>53</v>
      </c>
      <c r="L168" s="5">
        <f>IF(Table24[[#This Row],['#]]=1,"Champion", IF(Table24[[#This Row],['#]]&gt;=18,"Relegated",Table24[[#This Row],['#]]))</f>
        <v>7</v>
      </c>
      <c r="M168" s="5" t="str">
        <f>IF(Table24[[#This Row],[Details]]=2,K167-Table24[[#This Row],[Pts]],IF(Table24[[#This Row],[Details]]=17,Table24[[#This Row],[Pts]]-K169,""))</f>
        <v/>
      </c>
      <c r="R168" s="1" t="str">
        <f>IFERROR(IF($Q$1=$P$3,INDEX(prem_analysis!$P$2:$Q$441,ROWS(Data!$P$2:Q168),COLUMNS(Data!$P$3:P169)),IF($Q$1=$P$5,INDEX(prem_analysis!$BH$1:$BS$23,ROWS(Data!$Q$3:Q169),COLUMNS(Data!$Q$3:Q169)),IF($Q$1=$P$6,INDEX(prem_analysis!$BU$1:$CF$67,ROWS(prem_analysis!$N$2:N168),COLUMNS(prem_analysis!$N$2:N168)),IF($Q$1=$P$4,INDEX(Table24[[#All],[Year]:[Details]],ROWS(prem_analysis!$M$420:M586),COLUMNS(Data!$Q$3:Q169)))))),"")</f>
        <v/>
      </c>
      <c r="S168" s="1" t="str">
        <f>IFERROR(IF($Q$1=$P$3,INDEX(prem_analysis!$P$2:$Q$441,ROWS(Data!$P$2:R168),COLUMNS(Data!$P$3:Q169)),IF($Q$1=$P$5,INDEX(prem_analysis!$BH$1:$BS$23,ROWS(Data!$Q$3:R169),COLUMNS(Data!$Q$3:R169)),IF($Q$1=$P$6,INDEX(prem_analysis!$BU$1:$CF$67,ROWS(prem_analysis!$N$2:O168),COLUMNS(prem_analysis!$N$2:O168)),IF($Q$1=$P$4,INDEX(Table24[[#All],[Year]:[Details]],ROWS(prem_analysis!$M$420:N586),COLUMNS(Data!$Q$3:R169)))))),"")</f>
        <v/>
      </c>
      <c r="T168" s="1" t="str">
        <f>IFERROR(IF($Q$1=$P$3,INDEX(prem_analysis!$P$2:$Q$441,ROWS(Data!$P$2:S168),COLUMNS(Data!$P$3:R169)),IF($Q$1=$P$5,INDEX(prem_analysis!$BH$1:$BS$23,ROWS(Data!$Q$3:S169),COLUMNS(Data!$Q$3:S169)),IF($Q$1=$P$6,INDEX(prem_analysis!$BU$1:$CF$67,ROWS(prem_analysis!$N$2:P168),COLUMNS(prem_analysis!$N$2:P168)),IF($Q$1=$P$4,INDEX(Table24[[#All],[Year]:[Details]],ROWS(prem_analysis!$M$420:O586),COLUMNS(Data!$Q$3:S169)))))),"")</f>
        <v/>
      </c>
      <c r="U168" s="1" t="str">
        <f>IFERROR(IF($Q$1=$P$3,INDEX(prem_analysis!$P$2:$Q$441,ROWS(Data!$P$2:T168),COLUMNS(Data!$P$3:S169)),IF($Q$1=$P$5,INDEX(prem_analysis!$BH$1:$BS$23,ROWS(Data!$Q$3:T169),COLUMNS(Data!$Q$3:T169)),IF($Q$1=$P$6,INDEX(prem_analysis!$BU$1:$CF$67,ROWS(prem_analysis!$N$2:Q168),COLUMNS(prem_analysis!$N$2:Q168)),IF($Q$1=$P$4,INDEX(Table24[[#All],[Year]:[Details]],ROWS(prem_analysis!$M$420:P586),COLUMNS(Data!$Q$3:T169)))))),"")</f>
        <v/>
      </c>
      <c r="V168" s="1" t="str">
        <f>IFERROR(IF($Q$1=$P$3,INDEX(prem_analysis!$P$2:$Q$441,ROWS(Data!$P$2:U168),COLUMNS(Data!$P$3:T169)),IF($Q$1=$P$5,INDEX(prem_analysis!$BH$1:$BS$23,ROWS(Data!$Q$3:U169),COLUMNS(Data!$Q$3:U169)),IF($Q$1=$P$6,INDEX(prem_analysis!$BU$1:$CF$67,ROWS(prem_analysis!$N$2:R168),COLUMNS(prem_analysis!$N$2:R168)),IF($Q$1=$P$4,INDEX(Table24[[#All],[Year]:[Details]],ROWS(prem_analysis!$M$420:Q586),COLUMNS(Data!$Q$3:U169)))))),"")</f>
        <v/>
      </c>
      <c r="W168" s="1" t="str">
        <f>IFERROR(IF($Q$1=$P$3,INDEX(prem_analysis!$P$2:$Q$441,ROWS(Data!$P$2:V168),COLUMNS(Data!$P$3:U169)),IF($Q$1=$P$5,INDEX(prem_analysis!$BH$1:$BS$23,ROWS(Data!$Q$3:V169),COLUMNS(Data!$Q$3:V169)),IF($Q$1=$P$6,INDEX(prem_analysis!$BU$1:$CF$67,ROWS(prem_analysis!$N$2:S168),COLUMNS(prem_analysis!$N$2:S168)),IF($Q$1=$P$4,INDEX(Table24[[#All],[Year]:[Details]],ROWS(prem_analysis!$M$420:R586),COLUMNS(Data!$Q$3:V169)))))),"")</f>
        <v/>
      </c>
      <c r="X168" s="1" t="str">
        <f>IFERROR(IF($Q$1=$P$3,INDEX(prem_analysis!$P$2:$Q$441,ROWS(Data!$P$2:W168),COLUMNS(Data!$P$3:V169)),IF($Q$1=$P$5,INDEX(prem_analysis!$BH$1:$BS$23,ROWS(Data!$Q$3:W169),COLUMNS(Data!$Q$3:W169)),IF($Q$1=$P$6,INDEX(prem_analysis!$BU$1:$CF$67,ROWS(prem_analysis!$N$2:T168),COLUMNS(prem_analysis!$N$2:T168)),IF($Q$1=$P$4,INDEX(Table24[[#All],[Year]:[Details]],ROWS(prem_analysis!$M$420:S586),COLUMNS(Data!$Q$3:W169)))))),"")</f>
        <v/>
      </c>
      <c r="Y168" s="1" t="str">
        <f>IFERROR(IF($Q$1=$P$3,INDEX(prem_analysis!$P$2:$Q$441,ROWS(Data!$P$2:X168),COLUMNS(Data!$P$3:W169)),IF($Q$1=$P$5,INDEX(prem_analysis!$BH$1:$BS$23,ROWS(Data!$Q$3:X169),COLUMNS(Data!$Q$3:X169)),IF($Q$1=$P$6,INDEX(prem_analysis!$BU$1:$CF$67,ROWS(prem_analysis!$N$2:U168),COLUMNS(prem_analysis!$N$2:U168)),IF($Q$1=$P$4,INDEX(Table24[[#All],[Year]:[Details]],ROWS(prem_analysis!$M$420:T586),COLUMNS(Data!$Q$3:X169)))))),"")</f>
        <v/>
      </c>
      <c r="Z168" s="1" t="str">
        <f>IFERROR(IF($Q$1=$P$3,INDEX(prem_analysis!$P$2:$Q$441,ROWS(Data!$P$2:Y168),COLUMNS(Data!$P$3:X169)),IF($Q$1=$P$5,INDEX(prem_analysis!$BH$1:$BS$23,ROWS(Data!$Q$3:Y169),COLUMNS(Data!$Q$3:Y169)),IF($Q$1=$P$6,INDEX(prem_analysis!$BU$1:$CF$67,ROWS(prem_analysis!$N$2:V168),COLUMNS(prem_analysis!$N$2:V168)),IF($Q$1=$P$4,INDEX(Table24[[#All],[Year]:[Details]],ROWS(prem_analysis!$M$420:U586),COLUMNS(Data!$Q$3:Y169)))))),"")</f>
        <v/>
      </c>
      <c r="AA168" s="1" t="str">
        <f>IFERROR(IF($Q$1=$P$3,INDEX(prem_analysis!$P$2:$Q$441,ROWS(Data!$P$2:Z168),COLUMNS(Data!$P$3:Y169)),IF($Q$1=$P$5,INDEX(prem_analysis!$BH$1:$BS$23,ROWS(Data!$Q$3:Z169),COLUMNS(Data!$Q$3:Z169)),IF($Q$1=$P$6,INDEX(prem_analysis!$BU$1:$CF$67,ROWS(prem_analysis!$N$2:W168),COLUMNS(prem_analysis!$N$2:W168)),IF($Q$1=$P$4,INDEX(Table24[[#All],[Year]:[Details]],ROWS(prem_analysis!$M$420:V586),COLUMNS(Data!$Q$3:Z169)))))),"")</f>
        <v/>
      </c>
      <c r="AB168" s="1" t="str">
        <f>IFERROR(IF($Q$1=$P$3,INDEX(prem_analysis!$P$2:$Q$441,ROWS(Data!$P$2:AA168),COLUMNS(Data!$P$3:Z169)),IF($Q$1=$P$5,INDEX(prem_analysis!$BH$1:$BS$23,ROWS(Data!$Q$3:AA169),COLUMNS(Data!$Q$3:AA169)),IF($Q$1=$P$6,INDEX(prem_analysis!$BU$1:$CF$67,ROWS(prem_analysis!$N$2:X168),COLUMNS(prem_analysis!$N$2:X168)),IF($Q$1=$P$4,INDEX(Table24[[#All],[Year]:[Details]],ROWS(prem_analysis!$M$420:W586),COLUMNS(Data!$Q$3:AA169)))))),"")</f>
        <v/>
      </c>
      <c r="AC168" s="1" t="str">
        <f>IFERROR(IF($Q$1=$P$3,INDEX(prem_analysis!$P$2:$Q$441,ROWS(Data!$P$2:AB168),COLUMNS(Data!$P$3:AA169)),IF($Q$1=$P$5,INDEX(prem_analysis!$BH$1:$BS$23,ROWS(Data!$Q$3:AB169),COLUMNS(Data!$Q$3:AB169)),IF($Q$1=$P$6,INDEX(prem_analysis!$BU$1:$CF$67,ROWS(prem_analysis!$N$2:Y168),COLUMNS(prem_analysis!$N$2:Y168)),IF($Q$1=$P$4,INDEX(Table24[[#All],[Year]:[Details]],ROWS(prem_analysis!$M$420:X586),COLUMNS(Data!$Q$3:AB169)))))),"")</f>
        <v/>
      </c>
    </row>
    <row r="169" spans="1:29" x14ac:dyDescent="0.2">
      <c r="A169" s="5">
        <v>2008</v>
      </c>
      <c r="B169" s="5">
        <v>8</v>
      </c>
      <c r="C169" s="6" t="s">
        <v>22</v>
      </c>
      <c r="D169" s="5">
        <v>38</v>
      </c>
      <c r="E169" s="5">
        <v>14</v>
      </c>
      <c r="F169" s="5">
        <v>9</v>
      </c>
      <c r="G169" s="5">
        <v>15</v>
      </c>
      <c r="H169" s="5">
        <v>45</v>
      </c>
      <c r="I169" s="5">
        <v>45</v>
      </c>
      <c r="J169" s="5">
        <v>0</v>
      </c>
      <c r="K169" s="5">
        <v>51</v>
      </c>
      <c r="L169" s="5">
        <f>IF(Table24[[#This Row],['#]]=1,"Champion", IF(Table24[[#This Row],['#]]&gt;=18,"Relegated",Table24[[#This Row],['#]]))</f>
        <v>8</v>
      </c>
      <c r="M169" s="5" t="str">
        <f>IF(Table24[[#This Row],[Details]]=2,K168-Table24[[#This Row],[Pts]],IF(Table24[[#This Row],[Details]]=17,Table24[[#This Row],[Pts]]-K170,""))</f>
        <v/>
      </c>
      <c r="R169" s="1" t="str">
        <f>IFERROR(IF($Q$1=$P$3,INDEX(prem_analysis!$P$2:$Q$441,ROWS(Data!$P$2:Q169),COLUMNS(Data!$P$3:P170)),IF($Q$1=$P$5,INDEX(prem_analysis!$BH$1:$BS$23,ROWS(Data!$Q$3:Q170),COLUMNS(Data!$Q$3:Q170)),IF($Q$1=$P$6,INDEX(prem_analysis!$BU$1:$CF$67,ROWS(prem_analysis!$N$2:N169),COLUMNS(prem_analysis!$N$2:N169)),IF($Q$1=$P$4,INDEX(Table24[[#All],[Year]:[Details]],ROWS(prem_analysis!$M$420:M587),COLUMNS(Data!$Q$3:Q170)))))),"")</f>
        <v/>
      </c>
      <c r="S169" s="1" t="str">
        <f>IFERROR(IF($Q$1=$P$3,INDEX(prem_analysis!$P$2:$Q$441,ROWS(Data!$P$2:R169),COLUMNS(Data!$P$3:Q170)),IF($Q$1=$P$5,INDEX(prem_analysis!$BH$1:$BS$23,ROWS(Data!$Q$3:R170),COLUMNS(Data!$Q$3:R170)),IF($Q$1=$P$6,INDEX(prem_analysis!$BU$1:$CF$67,ROWS(prem_analysis!$N$2:O169),COLUMNS(prem_analysis!$N$2:O169)),IF($Q$1=$P$4,INDEX(Table24[[#All],[Year]:[Details]],ROWS(prem_analysis!$M$420:N587),COLUMNS(Data!$Q$3:R170)))))),"")</f>
        <v/>
      </c>
      <c r="T169" s="1" t="str">
        <f>IFERROR(IF($Q$1=$P$3,INDEX(prem_analysis!$P$2:$Q$441,ROWS(Data!$P$2:S169),COLUMNS(Data!$P$3:R170)),IF($Q$1=$P$5,INDEX(prem_analysis!$BH$1:$BS$23,ROWS(Data!$Q$3:S170),COLUMNS(Data!$Q$3:S170)),IF($Q$1=$P$6,INDEX(prem_analysis!$BU$1:$CF$67,ROWS(prem_analysis!$N$2:P169),COLUMNS(prem_analysis!$N$2:P169)),IF($Q$1=$P$4,INDEX(Table24[[#All],[Year]:[Details]],ROWS(prem_analysis!$M$420:O587),COLUMNS(Data!$Q$3:S170)))))),"")</f>
        <v/>
      </c>
      <c r="U169" s="1" t="str">
        <f>IFERROR(IF($Q$1=$P$3,INDEX(prem_analysis!$P$2:$Q$441,ROWS(Data!$P$2:T169),COLUMNS(Data!$P$3:S170)),IF($Q$1=$P$5,INDEX(prem_analysis!$BH$1:$BS$23,ROWS(Data!$Q$3:T170),COLUMNS(Data!$Q$3:T170)),IF($Q$1=$P$6,INDEX(prem_analysis!$BU$1:$CF$67,ROWS(prem_analysis!$N$2:Q169),COLUMNS(prem_analysis!$N$2:Q169)),IF($Q$1=$P$4,INDEX(Table24[[#All],[Year]:[Details]],ROWS(prem_analysis!$M$420:P587),COLUMNS(Data!$Q$3:T170)))))),"")</f>
        <v/>
      </c>
      <c r="V169" s="1" t="str">
        <f>IFERROR(IF($Q$1=$P$3,INDEX(prem_analysis!$P$2:$Q$441,ROWS(Data!$P$2:U169),COLUMNS(Data!$P$3:T170)),IF($Q$1=$P$5,INDEX(prem_analysis!$BH$1:$BS$23,ROWS(Data!$Q$3:U170),COLUMNS(Data!$Q$3:U170)),IF($Q$1=$P$6,INDEX(prem_analysis!$BU$1:$CF$67,ROWS(prem_analysis!$N$2:R169),COLUMNS(prem_analysis!$N$2:R169)),IF($Q$1=$P$4,INDEX(Table24[[#All],[Year]:[Details]],ROWS(prem_analysis!$M$420:Q587),COLUMNS(Data!$Q$3:U170)))))),"")</f>
        <v/>
      </c>
      <c r="W169" s="1" t="str">
        <f>IFERROR(IF($Q$1=$P$3,INDEX(prem_analysis!$P$2:$Q$441,ROWS(Data!$P$2:V169),COLUMNS(Data!$P$3:U170)),IF($Q$1=$P$5,INDEX(prem_analysis!$BH$1:$BS$23,ROWS(Data!$Q$3:V170),COLUMNS(Data!$Q$3:V170)),IF($Q$1=$P$6,INDEX(prem_analysis!$BU$1:$CF$67,ROWS(prem_analysis!$N$2:S169),COLUMNS(prem_analysis!$N$2:S169)),IF($Q$1=$P$4,INDEX(Table24[[#All],[Year]:[Details]],ROWS(prem_analysis!$M$420:R587),COLUMNS(Data!$Q$3:V170)))))),"")</f>
        <v/>
      </c>
      <c r="X169" s="1" t="str">
        <f>IFERROR(IF($Q$1=$P$3,INDEX(prem_analysis!$P$2:$Q$441,ROWS(Data!$P$2:W169),COLUMNS(Data!$P$3:V170)),IF($Q$1=$P$5,INDEX(prem_analysis!$BH$1:$BS$23,ROWS(Data!$Q$3:W170),COLUMNS(Data!$Q$3:W170)),IF($Q$1=$P$6,INDEX(prem_analysis!$BU$1:$CF$67,ROWS(prem_analysis!$N$2:T169),COLUMNS(prem_analysis!$N$2:T169)),IF($Q$1=$P$4,INDEX(Table24[[#All],[Year]:[Details]],ROWS(prem_analysis!$M$420:S587),COLUMNS(Data!$Q$3:W170)))))),"")</f>
        <v/>
      </c>
      <c r="Y169" s="1" t="str">
        <f>IFERROR(IF($Q$1=$P$3,INDEX(prem_analysis!$P$2:$Q$441,ROWS(Data!$P$2:X169),COLUMNS(Data!$P$3:W170)),IF($Q$1=$P$5,INDEX(prem_analysis!$BH$1:$BS$23,ROWS(Data!$Q$3:X170),COLUMNS(Data!$Q$3:X170)),IF($Q$1=$P$6,INDEX(prem_analysis!$BU$1:$CF$67,ROWS(prem_analysis!$N$2:U169),COLUMNS(prem_analysis!$N$2:U169)),IF($Q$1=$P$4,INDEX(Table24[[#All],[Year]:[Details]],ROWS(prem_analysis!$M$420:T587),COLUMNS(Data!$Q$3:X170)))))),"")</f>
        <v/>
      </c>
      <c r="Z169" s="1" t="str">
        <f>IFERROR(IF($Q$1=$P$3,INDEX(prem_analysis!$P$2:$Q$441,ROWS(Data!$P$2:Y169),COLUMNS(Data!$P$3:X170)),IF($Q$1=$P$5,INDEX(prem_analysis!$BH$1:$BS$23,ROWS(Data!$Q$3:Y170),COLUMNS(Data!$Q$3:Y170)),IF($Q$1=$P$6,INDEX(prem_analysis!$BU$1:$CF$67,ROWS(prem_analysis!$N$2:V169),COLUMNS(prem_analysis!$N$2:V169)),IF($Q$1=$P$4,INDEX(Table24[[#All],[Year]:[Details]],ROWS(prem_analysis!$M$420:U587),COLUMNS(Data!$Q$3:Y170)))))),"")</f>
        <v/>
      </c>
      <c r="AA169" s="1" t="str">
        <f>IFERROR(IF($Q$1=$P$3,INDEX(prem_analysis!$P$2:$Q$441,ROWS(Data!$P$2:Z169),COLUMNS(Data!$P$3:Y170)),IF($Q$1=$P$5,INDEX(prem_analysis!$BH$1:$BS$23,ROWS(Data!$Q$3:Z170),COLUMNS(Data!$Q$3:Z170)),IF($Q$1=$P$6,INDEX(prem_analysis!$BU$1:$CF$67,ROWS(prem_analysis!$N$2:W169),COLUMNS(prem_analysis!$N$2:W169)),IF($Q$1=$P$4,INDEX(Table24[[#All],[Year]:[Details]],ROWS(prem_analysis!$M$420:V587),COLUMNS(Data!$Q$3:Z170)))))),"")</f>
        <v/>
      </c>
      <c r="AB169" s="1" t="str">
        <f>IFERROR(IF($Q$1=$P$3,INDEX(prem_analysis!$P$2:$Q$441,ROWS(Data!$P$2:AA169),COLUMNS(Data!$P$3:Z170)),IF($Q$1=$P$5,INDEX(prem_analysis!$BH$1:$BS$23,ROWS(Data!$Q$3:AA170),COLUMNS(Data!$Q$3:AA170)),IF($Q$1=$P$6,INDEX(prem_analysis!$BU$1:$CF$67,ROWS(prem_analysis!$N$2:X169),COLUMNS(prem_analysis!$N$2:X169)),IF($Q$1=$P$4,INDEX(Table24[[#All],[Year]:[Details]],ROWS(prem_analysis!$M$420:W587),COLUMNS(Data!$Q$3:AA170)))))),"")</f>
        <v/>
      </c>
      <c r="AC169" s="1" t="str">
        <f>IFERROR(IF($Q$1=$P$3,INDEX(prem_analysis!$P$2:$Q$441,ROWS(Data!$P$2:AB169),COLUMNS(Data!$P$3:AA170)),IF($Q$1=$P$5,INDEX(prem_analysis!$BH$1:$BS$23,ROWS(Data!$Q$3:AB170),COLUMNS(Data!$Q$3:AB170)),IF($Q$1=$P$6,INDEX(prem_analysis!$BU$1:$CF$67,ROWS(prem_analysis!$N$2:Y169),COLUMNS(prem_analysis!$N$2:Y169)),IF($Q$1=$P$4,INDEX(Table24[[#All],[Year]:[Details]],ROWS(prem_analysis!$M$420:X587),COLUMNS(Data!$Q$3:AB170)))))),"")</f>
        <v/>
      </c>
    </row>
    <row r="170" spans="1:29" x14ac:dyDescent="0.2">
      <c r="A170" s="3">
        <v>2008</v>
      </c>
      <c r="B170" s="3">
        <v>9</v>
      </c>
      <c r="C170" s="4" t="s">
        <v>25</v>
      </c>
      <c r="D170" s="3">
        <v>38</v>
      </c>
      <c r="E170" s="3">
        <v>14</v>
      </c>
      <c r="F170" s="3">
        <v>9</v>
      </c>
      <c r="G170" s="3">
        <v>15</v>
      </c>
      <c r="H170" s="3">
        <v>42</v>
      </c>
      <c r="I170" s="3">
        <v>45</v>
      </c>
      <c r="J170" s="3">
        <v>-3</v>
      </c>
      <c r="K170" s="3">
        <v>51</v>
      </c>
      <c r="L170" s="5">
        <f>IF(Table24[[#This Row],['#]]=1,"Champion", IF(Table24[[#This Row],['#]]&gt;=18,"Relegated",Table24[[#This Row],['#]]))</f>
        <v>9</v>
      </c>
      <c r="M170" s="5" t="str">
        <f>IF(Table24[[#This Row],[Details]]=2,K169-Table24[[#This Row],[Pts]],IF(Table24[[#This Row],[Details]]=17,Table24[[#This Row],[Pts]]-K171,""))</f>
        <v/>
      </c>
      <c r="R170" s="1" t="str">
        <f>IFERROR(IF($Q$1=$P$3,INDEX(prem_analysis!$P$2:$Q$441,ROWS(Data!$P$2:Q170),COLUMNS(Data!$P$3:P171)),IF($Q$1=$P$5,INDEX(prem_analysis!$BH$1:$BS$23,ROWS(Data!$Q$3:Q171),COLUMNS(Data!$Q$3:Q171)),IF($Q$1=$P$6,INDEX(prem_analysis!$BU$1:$CF$67,ROWS(prem_analysis!$N$2:N170),COLUMNS(prem_analysis!$N$2:N170)),IF($Q$1=$P$4,INDEX(Table24[[#All],[Year]:[Details]],ROWS(prem_analysis!$M$420:M588),COLUMNS(Data!$Q$3:Q171)))))),"")</f>
        <v/>
      </c>
      <c r="S170" s="1" t="str">
        <f>IFERROR(IF($Q$1=$P$3,INDEX(prem_analysis!$P$2:$Q$441,ROWS(Data!$P$2:R170),COLUMNS(Data!$P$3:Q171)),IF($Q$1=$P$5,INDEX(prem_analysis!$BH$1:$BS$23,ROWS(Data!$Q$3:R171),COLUMNS(Data!$Q$3:R171)),IF($Q$1=$P$6,INDEX(prem_analysis!$BU$1:$CF$67,ROWS(prem_analysis!$N$2:O170),COLUMNS(prem_analysis!$N$2:O170)),IF($Q$1=$P$4,INDEX(Table24[[#All],[Year]:[Details]],ROWS(prem_analysis!$M$420:N588),COLUMNS(Data!$Q$3:R171)))))),"")</f>
        <v/>
      </c>
      <c r="T170" s="1" t="str">
        <f>IFERROR(IF($Q$1=$P$3,INDEX(prem_analysis!$P$2:$Q$441,ROWS(Data!$P$2:S170),COLUMNS(Data!$P$3:R171)),IF($Q$1=$P$5,INDEX(prem_analysis!$BH$1:$BS$23,ROWS(Data!$Q$3:S171),COLUMNS(Data!$Q$3:S171)),IF($Q$1=$P$6,INDEX(prem_analysis!$BU$1:$CF$67,ROWS(prem_analysis!$N$2:P170),COLUMNS(prem_analysis!$N$2:P170)),IF($Q$1=$P$4,INDEX(Table24[[#All],[Year]:[Details]],ROWS(prem_analysis!$M$420:O588),COLUMNS(Data!$Q$3:S171)))))),"")</f>
        <v/>
      </c>
      <c r="U170" s="1" t="str">
        <f>IFERROR(IF($Q$1=$P$3,INDEX(prem_analysis!$P$2:$Q$441,ROWS(Data!$P$2:T170),COLUMNS(Data!$P$3:S171)),IF($Q$1=$P$5,INDEX(prem_analysis!$BH$1:$BS$23,ROWS(Data!$Q$3:T171),COLUMNS(Data!$Q$3:T171)),IF($Q$1=$P$6,INDEX(prem_analysis!$BU$1:$CF$67,ROWS(prem_analysis!$N$2:Q170),COLUMNS(prem_analysis!$N$2:Q170)),IF($Q$1=$P$4,INDEX(Table24[[#All],[Year]:[Details]],ROWS(prem_analysis!$M$420:P588),COLUMNS(Data!$Q$3:T171)))))),"")</f>
        <v/>
      </c>
      <c r="V170" s="1" t="str">
        <f>IFERROR(IF($Q$1=$P$3,INDEX(prem_analysis!$P$2:$Q$441,ROWS(Data!$P$2:U170),COLUMNS(Data!$P$3:T171)),IF($Q$1=$P$5,INDEX(prem_analysis!$BH$1:$BS$23,ROWS(Data!$Q$3:U171),COLUMNS(Data!$Q$3:U171)),IF($Q$1=$P$6,INDEX(prem_analysis!$BU$1:$CF$67,ROWS(prem_analysis!$N$2:R170),COLUMNS(prem_analysis!$N$2:R170)),IF($Q$1=$P$4,INDEX(Table24[[#All],[Year]:[Details]],ROWS(prem_analysis!$M$420:Q588),COLUMNS(Data!$Q$3:U171)))))),"")</f>
        <v/>
      </c>
      <c r="W170" s="1" t="str">
        <f>IFERROR(IF($Q$1=$P$3,INDEX(prem_analysis!$P$2:$Q$441,ROWS(Data!$P$2:V170),COLUMNS(Data!$P$3:U171)),IF($Q$1=$P$5,INDEX(prem_analysis!$BH$1:$BS$23,ROWS(Data!$Q$3:V171),COLUMNS(Data!$Q$3:V171)),IF($Q$1=$P$6,INDEX(prem_analysis!$BU$1:$CF$67,ROWS(prem_analysis!$N$2:S170),COLUMNS(prem_analysis!$N$2:S170)),IF($Q$1=$P$4,INDEX(Table24[[#All],[Year]:[Details]],ROWS(prem_analysis!$M$420:R588),COLUMNS(Data!$Q$3:V171)))))),"")</f>
        <v/>
      </c>
      <c r="X170" s="1" t="str">
        <f>IFERROR(IF($Q$1=$P$3,INDEX(prem_analysis!$P$2:$Q$441,ROWS(Data!$P$2:W170),COLUMNS(Data!$P$3:V171)),IF($Q$1=$P$5,INDEX(prem_analysis!$BH$1:$BS$23,ROWS(Data!$Q$3:W171),COLUMNS(Data!$Q$3:W171)),IF($Q$1=$P$6,INDEX(prem_analysis!$BU$1:$CF$67,ROWS(prem_analysis!$N$2:T170),COLUMNS(prem_analysis!$N$2:T170)),IF($Q$1=$P$4,INDEX(Table24[[#All],[Year]:[Details]],ROWS(prem_analysis!$M$420:S588),COLUMNS(Data!$Q$3:W171)))))),"")</f>
        <v/>
      </c>
      <c r="Y170" s="1" t="str">
        <f>IFERROR(IF($Q$1=$P$3,INDEX(prem_analysis!$P$2:$Q$441,ROWS(Data!$P$2:X170),COLUMNS(Data!$P$3:W171)),IF($Q$1=$P$5,INDEX(prem_analysis!$BH$1:$BS$23,ROWS(Data!$Q$3:X171),COLUMNS(Data!$Q$3:X171)),IF($Q$1=$P$6,INDEX(prem_analysis!$BU$1:$CF$67,ROWS(prem_analysis!$N$2:U170),COLUMNS(prem_analysis!$N$2:U170)),IF($Q$1=$P$4,INDEX(Table24[[#All],[Year]:[Details]],ROWS(prem_analysis!$M$420:T588),COLUMNS(Data!$Q$3:X171)))))),"")</f>
        <v/>
      </c>
      <c r="Z170" s="1" t="str">
        <f>IFERROR(IF($Q$1=$P$3,INDEX(prem_analysis!$P$2:$Q$441,ROWS(Data!$P$2:Y170),COLUMNS(Data!$P$3:X171)),IF($Q$1=$P$5,INDEX(prem_analysis!$BH$1:$BS$23,ROWS(Data!$Q$3:Y171),COLUMNS(Data!$Q$3:Y171)),IF($Q$1=$P$6,INDEX(prem_analysis!$BU$1:$CF$67,ROWS(prem_analysis!$N$2:V170),COLUMNS(prem_analysis!$N$2:V170)),IF($Q$1=$P$4,INDEX(Table24[[#All],[Year]:[Details]],ROWS(prem_analysis!$M$420:U588),COLUMNS(Data!$Q$3:Y171)))))),"")</f>
        <v/>
      </c>
      <c r="AA170" s="1" t="str">
        <f>IFERROR(IF($Q$1=$P$3,INDEX(prem_analysis!$P$2:$Q$441,ROWS(Data!$P$2:Z170),COLUMNS(Data!$P$3:Y171)),IF($Q$1=$P$5,INDEX(prem_analysis!$BH$1:$BS$23,ROWS(Data!$Q$3:Z171),COLUMNS(Data!$Q$3:Z171)),IF($Q$1=$P$6,INDEX(prem_analysis!$BU$1:$CF$67,ROWS(prem_analysis!$N$2:W170),COLUMNS(prem_analysis!$N$2:W170)),IF($Q$1=$P$4,INDEX(Table24[[#All],[Year]:[Details]],ROWS(prem_analysis!$M$420:V588),COLUMNS(Data!$Q$3:Z171)))))),"")</f>
        <v/>
      </c>
      <c r="AB170" s="1" t="str">
        <f>IFERROR(IF($Q$1=$P$3,INDEX(prem_analysis!$P$2:$Q$441,ROWS(Data!$P$2:AA170),COLUMNS(Data!$P$3:Z171)),IF($Q$1=$P$5,INDEX(prem_analysis!$BH$1:$BS$23,ROWS(Data!$Q$3:AA171),COLUMNS(Data!$Q$3:AA171)),IF($Q$1=$P$6,INDEX(prem_analysis!$BU$1:$CF$67,ROWS(prem_analysis!$N$2:X170),COLUMNS(prem_analysis!$N$2:X170)),IF($Q$1=$P$4,INDEX(Table24[[#All],[Year]:[Details]],ROWS(prem_analysis!$M$420:W588),COLUMNS(Data!$Q$3:AA171)))))),"")</f>
        <v/>
      </c>
      <c r="AC170" s="1" t="str">
        <f>IFERROR(IF($Q$1=$P$3,INDEX(prem_analysis!$P$2:$Q$441,ROWS(Data!$P$2:AB170),COLUMNS(Data!$P$3:AA171)),IF($Q$1=$P$5,INDEX(prem_analysis!$BH$1:$BS$23,ROWS(Data!$Q$3:AB171),COLUMNS(Data!$Q$3:AB171)),IF($Q$1=$P$6,INDEX(prem_analysis!$BU$1:$CF$67,ROWS(prem_analysis!$N$2:Y170),COLUMNS(prem_analysis!$N$2:Y170)),IF($Q$1=$P$4,INDEX(Table24[[#All],[Year]:[Details]],ROWS(prem_analysis!$M$420:X588),COLUMNS(Data!$Q$3:AB171)))))),"")</f>
        <v/>
      </c>
    </row>
    <row r="171" spans="1:29" x14ac:dyDescent="0.2">
      <c r="A171" s="5">
        <v>2008</v>
      </c>
      <c r="B171" s="5">
        <v>10</v>
      </c>
      <c r="C171" s="6" t="s">
        <v>28</v>
      </c>
      <c r="D171" s="5">
        <v>38</v>
      </c>
      <c r="E171" s="5">
        <v>15</v>
      </c>
      <c r="F171" s="5">
        <v>5</v>
      </c>
      <c r="G171" s="5">
        <v>18</v>
      </c>
      <c r="H171" s="5">
        <v>58</v>
      </c>
      <c r="I171" s="5">
        <v>50</v>
      </c>
      <c r="J171" s="5">
        <v>8</v>
      </c>
      <c r="K171" s="5">
        <v>50</v>
      </c>
      <c r="L171" s="5">
        <f>IF(Table24[[#This Row],['#]]=1,"Champion", IF(Table24[[#This Row],['#]]&gt;=18,"Relegated",Table24[[#This Row],['#]]))</f>
        <v>10</v>
      </c>
      <c r="M171" s="5" t="str">
        <f>IF(Table24[[#This Row],[Details]]=2,K170-Table24[[#This Row],[Pts]],IF(Table24[[#This Row],[Details]]=17,Table24[[#This Row],[Pts]]-K172,""))</f>
        <v/>
      </c>
      <c r="R171" s="1" t="str">
        <f>IFERROR(IF($Q$1=$P$3,INDEX(prem_analysis!$P$2:$Q$441,ROWS(Data!$P$2:Q171),COLUMNS(Data!$P$3:P172)),IF($Q$1=$P$5,INDEX(prem_analysis!$BH$1:$BS$23,ROWS(Data!$Q$3:Q172),COLUMNS(Data!$Q$3:Q172)),IF($Q$1=$P$6,INDEX(prem_analysis!$BU$1:$CF$67,ROWS(prem_analysis!$N$2:N171),COLUMNS(prem_analysis!$N$2:N171)),IF($Q$1=$P$4,INDEX(Table24[[#All],[Year]:[Details]],ROWS(prem_analysis!$M$420:M589),COLUMNS(Data!$Q$3:Q172)))))),"")</f>
        <v/>
      </c>
      <c r="S171" s="1" t="str">
        <f>IFERROR(IF($Q$1=$P$3,INDEX(prem_analysis!$P$2:$Q$441,ROWS(Data!$P$2:R171),COLUMNS(Data!$P$3:Q172)),IF($Q$1=$P$5,INDEX(prem_analysis!$BH$1:$BS$23,ROWS(Data!$Q$3:R172),COLUMNS(Data!$Q$3:R172)),IF($Q$1=$P$6,INDEX(prem_analysis!$BU$1:$CF$67,ROWS(prem_analysis!$N$2:O171),COLUMNS(prem_analysis!$N$2:O171)),IF($Q$1=$P$4,INDEX(Table24[[#All],[Year]:[Details]],ROWS(prem_analysis!$M$420:N589),COLUMNS(Data!$Q$3:R172)))))),"")</f>
        <v/>
      </c>
      <c r="T171" s="1" t="str">
        <f>IFERROR(IF($Q$1=$P$3,INDEX(prem_analysis!$P$2:$Q$441,ROWS(Data!$P$2:S171),COLUMNS(Data!$P$3:R172)),IF($Q$1=$P$5,INDEX(prem_analysis!$BH$1:$BS$23,ROWS(Data!$Q$3:S172),COLUMNS(Data!$Q$3:S172)),IF($Q$1=$P$6,INDEX(prem_analysis!$BU$1:$CF$67,ROWS(prem_analysis!$N$2:P171),COLUMNS(prem_analysis!$N$2:P171)),IF($Q$1=$P$4,INDEX(Table24[[#All],[Year]:[Details]],ROWS(prem_analysis!$M$420:O589),COLUMNS(Data!$Q$3:S172)))))),"")</f>
        <v/>
      </c>
      <c r="U171" s="1" t="str">
        <f>IFERROR(IF($Q$1=$P$3,INDEX(prem_analysis!$P$2:$Q$441,ROWS(Data!$P$2:T171),COLUMNS(Data!$P$3:S172)),IF($Q$1=$P$5,INDEX(prem_analysis!$BH$1:$BS$23,ROWS(Data!$Q$3:T172),COLUMNS(Data!$Q$3:T172)),IF($Q$1=$P$6,INDEX(prem_analysis!$BU$1:$CF$67,ROWS(prem_analysis!$N$2:Q171),COLUMNS(prem_analysis!$N$2:Q171)),IF($Q$1=$P$4,INDEX(Table24[[#All],[Year]:[Details]],ROWS(prem_analysis!$M$420:P589),COLUMNS(Data!$Q$3:T172)))))),"")</f>
        <v/>
      </c>
      <c r="V171" s="1" t="str">
        <f>IFERROR(IF($Q$1=$P$3,INDEX(prem_analysis!$P$2:$Q$441,ROWS(Data!$P$2:U171),COLUMNS(Data!$P$3:T172)),IF($Q$1=$P$5,INDEX(prem_analysis!$BH$1:$BS$23,ROWS(Data!$Q$3:U172),COLUMNS(Data!$Q$3:U172)),IF($Q$1=$P$6,INDEX(prem_analysis!$BU$1:$CF$67,ROWS(prem_analysis!$N$2:R171),COLUMNS(prem_analysis!$N$2:R171)),IF($Q$1=$P$4,INDEX(Table24[[#All],[Year]:[Details]],ROWS(prem_analysis!$M$420:Q589),COLUMNS(Data!$Q$3:U172)))))),"")</f>
        <v/>
      </c>
      <c r="W171" s="1" t="str">
        <f>IFERROR(IF($Q$1=$P$3,INDEX(prem_analysis!$P$2:$Q$441,ROWS(Data!$P$2:V171),COLUMNS(Data!$P$3:U172)),IF($Q$1=$P$5,INDEX(prem_analysis!$BH$1:$BS$23,ROWS(Data!$Q$3:V172),COLUMNS(Data!$Q$3:V172)),IF($Q$1=$P$6,INDEX(prem_analysis!$BU$1:$CF$67,ROWS(prem_analysis!$N$2:S171),COLUMNS(prem_analysis!$N$2:S171)),IF($Q$1=$P$4,INDEX(Table24[[#All],[Year]:[Details]],ROWS(prem_analysis!$M$420:R589),COLUMNS(Data!$Q$3:V172)))))),"")</f>
        <v/>
      </c>
      <c r="X171" s="1" t="str">
        <f>IFERROR(IF($Q$1=$P$3,INDEX(prem_analysis!$P$2:$Q$441,ROWS(Data!$P$2:W171),COLUMNS(Data!$P$3:V172)),IF($Q$1=$P$5,INDEX(prem_analysis!$BH$1:$BS$23,ROWS(Data!$Q$3:W172),COLUMNS(Data!$Q$3:W172)),IF($Q$1=$P$6,INDEX(prem_analysis!$BU$1:$CF$67,ROWS(prem_analysis!$N$2:T171),COLUMNS(prem_analysis!$N$2:T171)),IF($Q$1=$P$4,INDEX(Table24[[#All],[Year]:[Details]],ROWS(prem_analysis!$M$420:S589),COLUMNS(Data!$Q$3:W172)))))),"")</f>
        <v/>
      </c>
      <c r="Y171" s="1" t="str">
        <f>IFERROR(IF($Q$1=$P$3,INDEX(prem_analysis!$P$2:$Q$441,ROWS(Data!$P$2:X171),COLUMNS(Data!$P$3:W172)),IF($Q$1=$P$5,INDEX(prem_analysis!$BH$1:$BS$23,ROWS(Data!$Q$3:X172),COLUMNS(Data!$Q$3:X172)),IF($Q$1=$P$6,INDEX(prem_analysis!$BU$1:$CF$67,ROWS(prem_analysis!$N$2:U171),COLUMNS(prem_analysis!$N$2:U171)),IF($Q$1=$P$4,INDEX(Table24[[#All],[Year]:[Details]],ROWS(prem_analysis!$M$420:T589),COLUMNS(Data!$Q$3:X172)))))),"")</f>
        <v/>
      </c>
      <c r="Z171" s="1" t="str">
        <f>IFERROR(IF($Q$1=$P$3,INDEX(prem_analysis!$P$2:$Q$441,ROWS(Data!$P$2:Y171),COLUMNS(Data!$P$3:X172)),IF($Q$1=$P$5,INDEX(prem_analysis!$BH$1:$BS$23,ROWS(Data!$Q$3:Y172),COLUMNS(Data!$Q$3:Y172)),IF($Q$1=$P$6,INDEX(prem_analysis!$BU$1:$CF$67,ROWS(prem_analysis!$N$2:V171),COLUMNS(prem_analysis!$N$2:V171)),IF($Q$1=$P$4,INDEX(Table24[[#All],[Year]:[Details]],ROWS(prem_analysis!$M$420:U589),COLUMNS(Data!$Q$3:Y172)))))),"")</f>
        <v/>
      </c>
      <c r="AA171" s="1" t="str">
        <f>IFERROR(IF($Q$1=$P$3,INDEX(prem_analysis!$P$2:$Q$441,ROWS(Data!$P$2:Z171),COLUMNS(Data!$P$3:Y172)),IF($Q$1=$P$5,INDEX(prem_analysis!$BH$1:$BS$23,ROWS(Data!$Q$3:Z172),COLUMNS(Data!$Q$3:Z172)),IF($Q$1=$P$6,INDEX(prem_analysis!$BU$1:$CF$67,ROWS(prem_analysis!$N$2:W171),COLUMNS(prem_analysis!$N$2:W171)),IF($Q$1=$P$4,INDEX(Table24[[#All],[Year]:[Details]],ROWS(prem_analysis!$M$420:V589),COLUMNS(Data!$Q$3:Z172)))))),"")</f>
        <v/>
      </c>
      <c r="AB171" s="1" t="str">
        <f>IFERROR(IF($Q$1=$P$3,INDEX(prem_analysis!$P$2:$Q$441,ROWS(Data!$P$2:AA171),COLUMNS(Data!$P$3:Z172)),IF($Q$1=$P$5,INDEX(prem_analysis!$BH$1:$BS$23,ROWS(Data!$Q$3:AA172),COLUMNS(Data!$Q$3:AA172)),IF($Q$1=$P$6,INDEX(prem_analysis!$BU$1:$CF$67,ROWS(prem_analysis!$N$2:X171),COLUMNS(prem_analysis!$N$2:X171)),IF($Q$1=$P$4,INDEX(Table24[[#All],[Year]:[Details]],ROWS(prem_analysis!$M$420:W589),COLUMNS(Data!$Q$3:AA172)))))),"")</f>
        <v/>
      </c>
      <c r="AC171" s="1" t="str">
        <f>IFERROR(IF($Q$1=$P$3,INDEX(prem_analysis!$P$2:$Q$441,ROWS(Data!$P$2:AB171),COLUMNS(Data!$P$3:AA172)),IF($Q$1=$P$5,INDEX(prem_analysis!$BH$1:$BS$23,ROWS(Data!$Q$3:AB172),COLUMNS(Data!$Q$3:AB172)),IF($Q$1=$P$6,INDEX(prem_analysis!$BU$1:$CF$67,ROWS(prem_analysis!$N$2:Y171),COLUMNS(prem_analysis!$N$2:Y171)),IF($Q$1=$P$4,INDEX(Table24[[#All],[Year]:[Details]],ROWS(prem_analysis!$M$420:X589),COLUMNS(Data!$Q$3:AB172)))))),"")</f>
        <v/>
      </c>
    </row>
    <row r="172" spans="1:29" x14ac:dyDescent="0.2">
      <c r="A172" s="3">
        <v>2008</v>
      </c>
      <c r="B172" s="3">
        <v>11</v>
      </c>
      <c r="C172" s="4" t="s">
        <v>40</v>
      </c>
      <c r="D172" s="3">
        <v>38</v>
      </c>
      <c r="E172" s="3">
        <v>12</v>
      </c>
      <c r="F172" s="3">
        <v>9</v>
      </c>
      <c r="G172" s="3">
        <v>17</v>
      </c>
      <c r="H172" s="3">
        <v>34</v>
      </c>
      <c r="I172" s="3">
        <v>45</v>
      </c>
      <c r="J172" s="3">
        <v>-11</v>
      </c>
      <c r="K172" s="3">
        <v>45</v>
      </c>
      <c r="L172" s="5">
        <f>IF(Table24[[#This Row],['#]]=1,"Champion", IF(Table24[[#This Row],['#]]&gt;=18,"Relegated",Table24[[#This Row],['#]]))</f>
        <v>11</v>
      </c>
      <c r="M172" s="5" t="str">
        <f>IF(Table24[[#This Row],[Details]]=2,K171-Table24[[#This Row],[Pts]],IF(Table24[[#This Row],[Details]]=17,Table24[[#This Row],[Pts]]-K173,""))</f>
        <v/>
      </c>
      <c r="R172" s="1" t="str">
        <f>IFERROR(IF($Q$1=$P$3,INDEX(prem_analysis!$P$2:$Q$441,ROWS(Data!$P$2:Q172),COLUMNS(Data!$P$3:P173)),IF($Q$1=$P$5,INDEX(prem_analysis!$BH$1:$BS$23,ROWS(Data!$Q$3:Q173),COLUMNS(Data!$Q$3:Q173)),IF($Q$1=$P$6,INDEX(prem_analysis!$BU$1:$CF$67,ROWS(prem_analysis!$N$2:N172),COLUMNS(prem_analysis!$N$2:N172)),IF($Q$1=$P$4,INDEX(Table24[[#All],[Year]:[Details]],ROWS(prem_analysis!$M$420:M590),COLUMNS(Data!$Q$3:Q173)))))),"")</f>
        <v/>
      </c>
      <c r="S172" s="1" t="str">
        <f>IFERROR(IF($Q$1=$P$3,INDEX(prem_analysis!$P$2:$Q$441,ROWS(Data!$P$2:R172),COLUMNS(Data!$P$3:Q173)),IF($Q$1=$P$5,INDEX(prem_analysis!$BH$1:$BS$23,ROWS(Data!$Q$3:R173),COLUMNS(Data!$Q$3:R173)),IF($Q$1=$P$6,INDEX(prem_analysis!$BU$1:$CF$67,ROWS(prem_analysis!$N$2:O172),COLUMNS(prem_analysis!$N$2:O172)),IF($Q$1=$P$4,INDEX(Table24[[#All],[Year]:[Details]],ROWS(prem_analysis!$M$420:N590),COLUMNS(Data!$Q$3:R173)))))),"")</f>
        <v/>
      </c>
      <c r="T172" s="1" t="str">
        <f>IFERROR(IF($Q$1=$P$3,INDEX(prem_analysis!$P$2:$Q$441,ROWS(Data!$P$2:S172),COLUMNS(Data!$P$3:R173)),IF($Q$1=$P$5,INDEX(prem_analysis!$BH$1:$BS$23,ROWS(Data!$Q$3:S173),COLUMNS(Data!$Q$3:S173)),IF($Q$1=$P$6,INDEX(prem_analysis!$BU$1:$CF$67,ROWS(prem_analysis!$N$2:P172),COLUMNS(prem_analysis!$N$2:P172)),IF($Q$1=$P$4,INDEX(Table24[[#All],[Year]:[Details]],ROWS(prem_analysis!$M$420:O590),COLUMNS(Data!$Q$3:S173)))))),"")</f>
        <v/>
      </c>
      <c r="U172" s="1" t="str">
        <f>IFERROR(IF($Q$1=$P$3,INDEX(prem_analysis!$P$2:$Q$441,ROWS(Data!$P$2:T172),COLUMNS(Data!$P$3:S173)),IF($Q$1=$P$5,INDEX(prem_analysis!$BH$1:$BS$23,ROWS(Data!$Q$3:T173),COLUMNS(Data!$Q$3:T173)),IF($Q$1=$P$6,INDEX(prem_analysis!$BU$1:$CF$67,ROWS(prem_analysis!$N$2:Q172),COLUMNS(prem_analysis!$N$2:Q172)),IF($Q$1=$P$4,INDEX(Table24[[#All],[Year]:[Details]],ROWS(prem_analysis!$M$420:P590),COLUMNS(Data!$Q$3:T173)))))),"")</f>
        <v/>
      </c>
      <c r="V172" s="1" t="str">
        <f>IFERROR(IF($Q$1=$P$3,INDEX(prem_analysis!$P$2:$Q$441,ROWS(Data!$P$2:U172),COLUMNS(Data!$P$3:T173)),IF($Q$1=$P$5,INDEX(prem_analysis!$BH$1:$BS$23,ROWS(Data!$Q$3:U173),COLUMNS(Data!$Q$3:U173)),IF($Q$1=$P$6,INDEX(prem_analysis!$BU$1:$CF$67,ROWS(prem_analysis!$N$2:R172),COLUMNS(prem_analysis!$N$2:R172)),IF($Q$1=$P$4,INDEX(Table24[[#All],[Year]:[Details]],ROWS(prem_analysis!$M$420:Q590),COLUMNS(Data!$Q$3:U173)))))),"")</f>
        <v/>
      </c>
      <c r="W172" s="1" t="str">
        <f>IFERROR(IF($Q$1=$P$3,INDEX(prem_analysis!$P$2:$Q$441,ROWS(Data!$P$2:V172),COLUMNS(Data!$P$3:U173)),IF($Q$1=$P$5,INDEX(prem_analysis!$BH$1:$BS$23,ROWS(Data!$Q$3:V173),COLUMNS(Data!$Q$3:V173)),IF($Q$1=$P$6,INDEX(prem_analysis!$BU$1:$CF$67,ROWS(prem_analysis!$N$2:S172),COLUMNS(prem_analysis!$N$2:S172)),IF($Q$1=$P$4,INDEX(Table24[[#All],[Year]:[Details]],ROWS(prem_analysis!$M$420:R590),COLUMNS(Data!$Q$3:V173)))))),"")</f>
        <v/>
      </c>
      <c r="X172" s="1" t="str">
        <f>IFERROR(IF($Q$1=$P$3,INDEX(prem_analysis!$P$2:$Q$441,ROWS(Data!$P$2:W172),COLUMNS(Data!$P$3:V173)),IF($Q$1=$P$5,INDEX(prem_analysis!$BH$1:$BS$23,ROWS(Data!$Q$3:W173),COLUMNS(Data!$Q$3:W173)),IF($Q$1=$P$6,INDEX(prem_analysis!$BU$1:$CF$67,ROWS(prem_analysis!$N$2:T172),COLUMNS(prem_analysis!$N$2:T172)),IF($Q$1=$P$4,INDEX(Table24[[#All],[Year]:[Details]],ROWS(prem_analysis!$M$420:S590),COLUMNS(Data!$Q$3:W173)))))),"")</f>
        <v/>
      </c>
      <c r="Y172" s="1" t="str">
        <f>IFERROR(IF($Q$1=$P$3,INDEX(prem_analysis!$P$2:$Q$441,ROWS(Data!$P$2:X172),COLUMNS(Data!$P$3:W173)),IF($Q$1=$P$5,INDEX(prem_analysis!$BH$1:$BS$23,ROWS(Data!$Q$3:X173),COLUMNS(Data!$Q$3:X173)),IF($Q$1=$P$6,INDEX(prem_analysis!$BU$1:$CF$67,ROWS(prem_analysis!$N$2:U172),COLUMNS(prem_analysis!$N$2:U172)),IF($Q$1=$P$4,INDEX(Table24[[#All],[Year]:[Details]],ROWS(prem_analysis!$M$420:T590),COLUMNS(Data!$Q$3:X173)))))),"")</f>
        <v/>
      </c>
      <c r="Z172" s="1" t="str">
        <f>IFERROR(IF($Q$1=$P$3,INDEX(prem_analysis!$P$2:$Q$441,ROWS(Data!$P$2:Y172),COLUMNS(Data!$P$3:X173)),IF($Q$1=$P$5,INDEX(prem_analysis!$BH$1:$BS$23,ROWS(Data!$Q$3:Y173),COLUMNS(Data!$Q$3:Y173)),IF($Q$1=$P$6,INDEX(prem_analysis!$BU$1:$CF$67,ROWS(prem_analysis!$N$2:V172),COLUMNS(prem_analysis!$N$2:V172)),IF($Q$1=$P$4,INDEX(Table24[[#All],[Year]:[Details]],ROWS(prem_analysis!$M$420:U590),COLUMNS(Data!$Q$3:Y173)))))),"")</f>
        <v/>
      </c>
      <c r="AA172" s="1" t="str">
        <f>IFERROR(IF($Q$1=$P$3,INDEX(prem_analysis!$P$2:$Q$441,ROWS(Data!$P$2:Z172),COLUMNS(Data!$P$3:Y173)),IF($Q$1=$P$5,INDEX(prem_analysis!$BH$1:$BS$23,ROWS(Data!$Q$3:Z173),COLUMNS(Data!$Q$3:Z173)),IF($Q$1=$P$6,INDEX(prem_analysis!$BU$1:$CF$67,ROWS(prem_analysis!$N$2:W172),COLUMNS(prem_analysis!$N$2:W172)),IF($Q$1=$P$4,INDEX(Table24[[#All],[Year]:[Details]],ROWS(prem_analysis!$M$420:V590),COLUMNS(Data!$Q$3:Z173)))))),"")</f>
        <v/>
      </c>
      <c r="AB172" s="1" t="str">
        <f>IFERROR(IF($Q$1=$P$3,INDEX(prem_analysis!$P$2:$Q$441,ROWS(Data!$P$2:AA172),COLUMNS(Data!$P$3:Z173)),IF($Q$1=$P$5,INDEX(prem_analysis!$BH$1:$BS$23,ROWS(Data!$Q$3:AA173),COLUMNS(Data!$Q$3:AA173)),IF($Q$1=$P$6,INDEX(prem_analysis!$BU$1:$CF$67,ROWS(prem_analysis!$N$2:X172),COLUMNS(prem_analysis!$N$2:X172)),IF($Q$1=$P$4,INDEX(Table24[[#All],[Year]:[Details]],ROWS(prem_analysis!$M$420:W590),COLUMNS(Data!$Q$3:AA173)))))),"")</f>
        <v/>
      </c>
      <c r="AC172" s="1" t="str">
        <f>IFERROR(IF($Q$1=$P$3,INDEX(prem_analysis!$P$2:$Q$441,ROWS(Data!$P$2:AB172),COLUMNS(Data!$P$3:AA173)),IF($Q$1=$P$5,INDEX(prem_analysis!$BH$1:$BS$23,ROWS(Data!$Q$3:AB173),COLUMNS(Data!$Q$3:AB173)),IF($Q$1=$P$6,INDEX(prem_analysis!$BU$1:$CF$67,ROWS(prem_analysis!$N$2:Y172),COLUMNS(prem_analysis!$N$2:Y172)),IF($Q$1=$P$4,INDEX(Table24[[#All],[Year]:[Details]],ROWS(prem_analysis!$M$420:X590),COLUMNS(Data!$Q$3:AB173)))))),"")</f>
        <v/>
      </c>
    </row>
    <row r="173" spans="1:29" x14ac:dyDescent="0.2">
      <c r="A173" s="5">
        <v>2008</v>
      </c>
      <c r="B173" s="5">
        <v>12</v>
      </c>
      <c r="C173" s="6" t="s">
        <v>44</v>
      </c>
      <c r="D173" s="5">
        <v>38</v>
      </c>
      <c r="E173" s="5">
        <v>12</v>
      </c>
      <c r="F173" s="5">
        <v>9</v>
      </c>
      <c r="G173" s="5">
        <v>17</v>
      </c>
      <c r="H173" s="5">
        <v>38</v>
      </c>
      <c r="I173" s="5">
        <v>55</v>
      </c>
      <c r="J173" s="5">
        <v>-17</v>
      </c>
      <c r="K173" s="5">
        <v>45</v>
      </c>
      <c r="L173" s="5">
        <f>IF(Table24[[#This Row],['#]]=1,"Champion", IF(Table24[[#This Row],['#]]&gt;=18,"Relegated",Table24[[#This Row],['#]]))</f>
        <v>12</v>
      </c>
      <c r="M173" s="5" t="str">
        <f>IF(Table24[[#This Row],[Details]]=2,K172-Table24[[#This Row],[Pts]],IF(Table24[[#This Row],[Details]]=17,Table24[[#This Row],[Pts]]-K174,""))</f>
        <v/>
      </c>
      <c r="R173" s="1" t="str">
        <f>IFERROR(IF($Q$1=$P$3,INDEX(prem_analysis!$P$2:$Q$441,ROWS(Data!$P$2:Q173),COLUMNS(Data!$P$3:P174)),IF($Q$1=$P$5,INDEX(prem_analysis!$BH$1:$BS$23,ROWS(Data!$Q$3:Q174),COLUMNS(Data!$Q$3:Q174)),IF($Q$1=$P$6,INDEX(prem_analysis!$BU$1:$CF$67,ROWS(prem_analysis!$N$2:N173),COLUMNS(prem_analysis!$N$2:N173)),IF($Q$1=$P$4,INDEX(Table24[[#All],[Year]:[Details]],ROWS(prem_analysis!$M$420:M591),COLUMNS(Data!$Q$3:Q174)))))),"")</f>
        <v/>
      </c>
      <c r="S173" s="1" t="str">
        <f>IFERROR(IF($Q$1=$P$3,INDEX(prem_analysis!$P$2:$Q$441,ROWS(Data!$P$2:R173),COLUMNS(Data!$P$3:Q174)),IF($Q$1=$P$5,INDEX(prem_analysis!$BH$1:$BS$23,ROWS(Data!$Q$3:R174),COLUMNS(Data!$Q$3:R174)),IF($Q$1=$P$6,INDEX(prem_analysis!$BU$1:$CF$67,ROWS(prem_analysis!$N$2:O173),COLUMNS(prem_analysis!$N$2:O173)),IF($Q$1=$P$4,INDEX(Table24[[#All],[Year]:[Details]],ROWS(prem_analysis!$M$420:N591),COLUMNS(Data!$Q$3:R174)))))),"")</f>
        <v/>
      </c>
      <c r="T173" s="1" t="str">
        <f>IFERROR(IF($Q$1=$P$3,INDEX(prem_analysis!$P$2:$Q$441,ROWS(Data!$P$2:S173),COLUMNS(Data!$P$3:R174)),IF($Q$1=$P$5,INDEX(prem_analysis!$BH$1:$BS$23,ROWS(Data!$Q$3:S174),COLUMNS(Data!$Q$3:S174)),IF($Q$1=$P$6,INDEX(prem_analysis!$BU$1:$CF$67,ROWS(prem_analysis!$N$2:P173),COLUMNS(prem_analysis!$N$2:P173)),IF($Q$1=$P$4,INDEX(Table24[[#All],[Year]:[Details]],ROWS(prem_analysis!$M$420:O591),COLUMNS(Data!$Q$3:S174)))))),"")</f>
        <v/>
      </c>
      <c r="U173" s="1" t="str">
        <f>IFERROR(IF($Q$1=$P$3,INDEX(prem_analysis!$P$2:$Q$441,ROWS(Data!$P$2:T173),COLUMNS(Data!$P$3:S174)),IF($Q$1=$P$5,INDEX(prem_analysis!$BH$1:$BS$23,ROWS(Data!$Q$3:T174),COLUMNS(Data!$Q$3:T174)),IF($Q$1=$P$6,INDEX(prem_analysis!$BU$1:$CF$67,ROWS(prem_analysis!$N$2:Q173),COLUMNS(prem_analysis!$N$2:Q173)),IF($Q$1=$P$4,INDEX(Table24[[#All],[Year]:[Details]],ROWS(prem_analysis!$M$420:P591),COLUMNS(Data!$Q$3:T174)))))),"")</f>
        <v/>
      </c>
      <c r="V173" s="1" t="str">
        <f>IFERROR(IF($Q$1=$P$3,INDEX(prem_analysis!$P$2:$Q$441,ROWS(Data!$P$2:U173),COLUMNS(Data!$P$3:T174)),IF($Q$1=$P$5,INDEX(prem_analysis!$BH$1:$BS$23,ROWS(Data!$Q$3:U174),COLUMNS(Data!$Q$3:U174)),IF($Q$1=$P$6,INDEX(prem_analysis!$BU$1:$CF$67,ROWS(prem_analysis!$N$2:R173),COLUMNS(prem_analysis!$N$2:R173)),IF($Q$1=$P$4,INDEX(Table24[[#All],[Year]:[Details]],ROWS(prem_analysis!$M$420:Q591),COLUMNS(Data!$Q$3:U174)))))),"")</f>
        <v/>
      </c>
      <c r="W173" s="1" t="str">
        <f>IFERROR(IF($Q$1=$P$3,INDEX(prem_analysis!$P$2:$Q$441,ROWS(Data!$P$2:V173),COLUMNS(Data!$P$3:U174)),IF($Q$1=$P$5,INDEX(prem_analysis!$BH$1:$BS$23,ROWS(Data!$Q$3:V174),COLUMNS(Data!$Q$3:V174)),IF($Q$1=$P$6,INDEX(prem_analysis!$BU$1:$CF$67,ROWS(prem_analysis!$N$2:S173),COLUMNS(prem_analysis!$N$2:S173)),IF($Q$1=$P$4,INDEX(Table24[[#All],[Year]:[Details]],ROWS(prem_analysis!$M$420:R591),COLUMNS(Data!$Q$3:V174)))))),"")</f>
        <v/>
      </c>
      <c r="X173" s="1" t="str">
        <f>IFERROR(IF($Q$1=$P$3,INDEX(prem_analysis!$P$2:$Q$441,ROWS(Data!$P$2:W173),COLUMNS(Data!$P$3:V174)),IF($Q$1=$P$5,INDEX(prem_analysis!$BH$1:$BS$23,ROWS(Data!$Q$3:W174),COLUMNS(Data!$Q$3:W174)),IF($Q$1=$P$6,INDEX(prem_analysis!$BU$1:$CF$67,ROWS(prem_analysis!$N$2:T173),COLUMNS(prem_analysis!$N$2:T173)),IF($Q$1=$P$4,INDEX(Table24[[#All],[Year]:[Details]],ROWS(prem_analysis!$M$420:S591),COLUMNS(Data!$Q$3:W174)))))),"")</f>
        <v/>
      </c>
      <c r="Y173" s="1" t="str">
        <f>IFERROR(IF($Q$1=$P$3,INDEX(prem_analysis!$P$2:$Q$441,ROWS(Data!$P$2:X173),COLUMNS(Data!$P$3:W174)),IF($Q$1=$P$5,INDEX(prem_analysis!$BH$1:$BS$23,ROWS(Data!$Q$3:X174),COLUMNS(Data!$Q$3:X174)),IF($Q$1=$P$6,INDEX(prem_analysis!$BU$1:$CF$67,ROWS(prem_analysis!$N$2:U173),COLUMNS(prem_analysis!$N$2:U173)),IF($Q$1=$P$4,INDEX(Table24[[#All],[Year]:[Details]],ROWS(prem_analysis!$M$420:T591),COLUMNS(Data!$Q$3:X174)))))),"")</f>
        <v/>
      </c>
      <c r="Z173" s="1" t="str">
        <f>IFERROR(IF($Q$1=$P$3,INDEX(prem_analysis!$P$2:$Q$441,ROWS(Data!$P$2:Y173),COLUMNS(Data!$P$3:X174)),IF($Q$1=$P$5,INDEX(prem_analysis!$BH$1:$BS$23,ROWS(Data!$Q$3:Y174),COLUMNS(Data!$Q$3:Y174)),IF($Q$1=$P$6,INDEX(prem_analysis!$BU$1:$CF$67,ROWS(prem_analysis!$N$2:V173),COLUMNS(prem_analysis!$N$2:V173)),IF($Q$1=$P$4,INDEX(Table24[[#All],[Year]:[Details]],ROWS(prem_analysis!$M$420:U591),COLUMNS(Data!$Q$3:Y174)))))),"")</f>
        <v/>
      </c>
      <c r="AA173" s="1" t="str">
        <f>IFERROR(IF($Q$1=$P$3,INDEX(prem_analysis!$P$2:$Q$441,ROWS(Data!$P$2:Z173),COLUMNS(Data!$P$3:Y174)),IF($Q$1=$P$5,INDEX(prem_analysis!$BH$1:$BS$23,ROWS(Data!$Q$3:Z174),COLUMNS(Data!$Q$3:Z174)),IF($Q$1=$P$6,INDEX(prem_analysis!$BU$1:$CF$67,ROWS(prem_analysis!$N$2:W173),COLUMNS(prem_analysis!$N$2:W173)),IF($Q$1=$P$4,INDEX(Table24[[#All],[Year]:[Details]],ROWS(prem_analysis!$M$420:V591),COLUMNS(Data!$Q$3:Z174)))))),"")</f>
        <v/>
      </c>
      <c r="AB173" s="1" t="str">
        <f>IFERROR(IF($Q$1=$P$3,INDEX(prem_analysis!$P$2:$Q$441,ROWS(Data!$P$2:AA173),COLUMNS(Data!$P$3:Z174)),IF($Q$1=$P$5,INDEX(prem_analysis!$BH$1:$BS$23,ROWS(Data!$Q$3:AA174),COLUMNS(Data!$Q$3:AA174)),IF($Q$1=$P$6,INDEX(prem_analysis!$BU$1:$CF$67,ROWS(prem_analysis!$N$2:X173),COLUMNS(prem_analysis!$N$2:X173)),IF($Q$1=$P$4,INDEX(Table24[[#All],[Year]:[Details]],ROWS(prem_analysis!$M$420:W591),COLUMNS(Data!$Q$3:AA174)))))),"")</f>
        <v/>
      </c>
      <c r="AC173" s="1" t="str">
        <f>IFERROR(IF($Q$1=$P$3,INDEX(prem_analysis!$P$2:$Q$441,ROWS(Data!$P$2:AB173),COLUMNS(Data!$P$3:AA174)),IF($Q$1=$P$5,INDEX(prem_analysis!$BH$1:$BS$23,ROWS(Data!$Q$3:AB174),COLUMNS(Data!$Q$3:AB174)),IF($Q$1=$P$6,INDEX(prem_analysis!$BU$1:$CF$67,ROWS(prem_analysis!$N$2:Y173),COLUMNS(prem_analysis!$N$2:Y173)),IF($Q$1=$P$4,INDEX(Table24[[#All],[Year]:[Details]],ROWS(prem_analysis!$M$420:X591),COLUMNS(Data!$Q$3:AB174)))))),"")</f>
        <v/>
      </c>
    </row>
    <row r="174" spans="1:29" x14ac:dyDescent="0.2">
      <c r="A174" s="3">
        <v>2008</v>
      </c>
      <c r="B174" s="3">
        <v>13</v>
      </c>
      <c r="C174" s="4" t="s">
        <v>33</v>
      </c>
      <c r="D174" s="3">
        <v>38</v>
      </c>
      <c r="E174" s="3">
        <v>11</v>
      </c>
      <c r="F174" s="3">
        <v>8</v>
      </c>
      <c r="G174" s="3">
        <v>19</v>
      </c>
      <c r="H174" s="3">
        <v>41</v>
      </c>
      <c r="I174" s="3">
        <v>53</v>
      </c>
      <c r="J174" s="3">
        <v>-12</v>
      </c>
      <c r="K174" s="3">
        <v>41</v>
      </c>
      <c r="L174" s="5">
        <f>IF(Table24[[#This Row],['#]]=1,"Champion", IF(Table24[[#This Row],['#]]&gt;=18,"Relegated",Table24[[#This Row],['#]]))</f>
        <v>13</v>
      </c>
      <c r="M174" s="5" t="str">
        <f>IF(Table24[[#This Row],[Details]]=2,K173-Table24[[#This Row],[Pts]],IF(Table24[[#This Row],[Details]]=17,Table24[[#This Row],[Pts]]-K175,""))</f>
        <v/>
      </c>
      <c r="R174" s="1" t="str">
        <f>IFERROR(IF($Q$1=$P$3,INDEX(prem_analysis!$P$2:$Q$441,ROWS(Data!$P$2:Q174),COLUMNS(Data!$P$3:P175)),IF($Q$1=$P$5,INDEX(prem_analysis!$BH$1:$BS$23,ROWS(Data!$Q$3:Q175),COLUMNS(Data!$Q$3:Q175)),IF($Q$1=$P$6,INDEX(prem_analysis!$BU$1:$CF$67,ROWS(prem_analysis!$N$2:N174),COLUMNS(prem_analysis!$N$2:N174)),IF($Q$1=$P$4,INDEX(Table24[[#All],[Year]:[Details]],ROWS(prem_analysis!$M$420:M592),COLUMNS(Data!$Q$3:Q175)))))),"")</f>
        <v/>
      </c>
      <c r="S174" s="1" t="str">
        <f>IFERROR(IF($Q$1=$P$3,INDEX(prem_analysis!$P$2:$Q$441,ROWS(Data!$P$2:R174),COLUMNS(Data!$P$3:Q175)),IF($Q$1=$P$5,INDEX(prem_analysis!$BH$1:$BS$23,ROWS(Data!$Q$3:R175),COLUMNS(Data!$Q$3:R175)),IF($Q$1=$P$6,INDEX(prem_analysis!$BU$1:$CF$67,ROWS(prem_analysis!$N$2:O174),COLUMNS(prem_analysis!$N$2:O174)),IF($Q$1=$P$4,INDEX(Table24[[#All],[Year]:[Details]],ROWS(prem_analysis!$M$420:N592),COLUMNS(Data!$Q$3:R175)))))),"")</f>
        <v/>
      </c>
      <c r="T174" s="1" t="str">
        <f>IFERROR(IF($Q$1=$P$3,INDEX(prem_analysis!$P$2:$Q$441,ROWS(Data!$P$2:S174),COLUMNS(Data!$P$3:R175)),IF($Q$1=$P$5,INDEX(prem_analysis!$BH$1:$BS$23,ROWS(Data!$Q$3:S175),COLUMNS(Data!$Q$3:S175)),IF($Q$1=$P$6,INDEX(prem_analysis!$BU$1:$CF$67,ROWS(prem_analysis!$N$2:P174),COLUMNS(prem_analysis!$N$2:P174)),IF($Q$1=$P$4,INDEX(Table24[[#All],[Year]:[Details]],ROWS(prem_analysis!$M$420:O592),COLUMNS(Data!$Q$3:S175)))))),"")</f>
        <v/>
      </c>
      <c r="U174" s="1" t="str">
        <f>IFERROR(IF($Q$1=$P$3,INDEX(prem_analysis!$P$2:$Q$441,ROWS(Data!$P$2:T174),COLUMNS(Data!$P$3:S175)),IF($Q$1=$P$5,INDEX(prem_analysis!$BH$1:$BS$23,ROWS(Data!$Q$3:T175),COLUMNS(Data!$Q$3:T175)),IF($Q$1=$P$6,INDEX(prem_analysis!$BU$1:$CF$67,ROWS(prem_analysis!$N$2:Q174),COLUMNS(prem_analysis!$N$2:Q174)),IF($Q$1=$P$4,INDEX(Table24[[#All],[Year]:[Details]],ROWS(prem_analysis!$M$420:P592),COLUMNS(Data!$Q$3:T175)))))),"")</f>
        <v/>
      </c>
      <c r="V174" s="1" t="str">
        <f>IFERROR(IF($Q$1=$P$3,INDEX(prem_analysis!$P$2:$Q$441,ROWS(Data!$P$2:U174),COLUMNS(Data!$P$3:T175)),IF($Q$1=$P$5,INDEX(prem_analysis!$BH$1:$BS$23,ROWS(Data!$Q$3:U175),COLUMNS(Data!$Q$3:U175)),IF($Q$1=$P$6,INDEX(prem_analysis!$BU$1:$CF$67,ROWS(prem_analysis!$N$2:R174),COLUMNS(prem_analysis!$N$2:R174)),IF($Q$1=$P$4,INDEX(Table24[[#All],[Year]:[Details]],ROWS(prem_analysis!$M$420:Q592),COLUMNS(Data!$Q$3:U175)))))),"")</f>
        <v/>
      </c>
      <c r="W174" s="1" t="str">
        <f>IFERROR(IF($Q$1=$P$3,INDEX(prem_analysis!$P$2:$Q$441,ROWS(Data!$P$2:V174),COLUMNS(Data!$P$3:U175)),IF($Q$1=$P$5,INDEX(prem_analysis!$BH$1:$BS$23,ROWS(Data!$Q$3:V175),COLUMNS(Data!$Q$3:V175)),IF($Q$1=$P$6,INDEX(prem_analysis!$BU$1:$CF$67,ROWS(prem_analysis!$N$2:S174),COLUMNS(prem_analysis!$N$2:S174)),IF($Q$1=$P$4,INDEX(Table24[[#All],[Year]:[Details]],ROWS(prem_analysis!$M$420:R592),COLUMNS(Data!$Q$3:V175)))))),"")</f>
        <v/>
      </c>
      <c r="X174" s="1" t="str">
        <f>IFERROR(IF($Q$1=$P$3,INDEX(prem_analysis!$P$2:$Q$441,ROWS(Data!$P$2:W174),COLUMNS(Data!$P$3:V175)),IF($Q$1=$P$5,INDEX(prem_analysis!$BH$1:$BS$23,ROWS(Data!$Q$3:W175),COLUMNS(Data!$Q$3:W175)),IF($Q$1=$P$6,INDEX(prem_analysis!$BU$1:$CF$67,ROWS(prem_analysis!$N$2:T174),COLUMNS(prem_analysis!$N$2:T174)),IF($Q$1=$P$4,INDEX(Table24[[#All],[Year]:[Details]],ROWS(prem_analysis!$M$420:S592),COLUMNS(Data!$Q$3:W175)))))),"")</f>
        <v/>
      </c>
      <c r="Y174" s="1" t="str">
        <f>IFERROR(IF($Q$1=$P$3,INDEX(prem_analysis!$P$2:$Q$441,ROWS(Data!$P$2:X174),COLUMNS(Data!$P$3:W175)),IF($Q$1=$P$5,INDEX(prem_analysis!$BH$1:$BS$23,ROWS(Data!$Q$3:X175),COLUMNS(Data!$Q$3:X175)),IF($Q$1=$P$6,INDEX(prem_analysis!$BU$1:$CF$67,ROWS(prem_analysis!$N$2:U174),COLUMNS(prem_analysis!$N$2:U174)),IF($Q$1=$P$4,INDEX(Table24[[#All],[Year]:[Details]],ROWS(prem_analysis!$M$420:T592),COLUMNS(Data!$Q$3:X175)))))),"")</f>
        <v/>
      </c>
      <c r="Z174" s="1" t="str">
        <f>IFERROR(IF($Q$1=$P$3,INDEX(prem_analysis!$P$2:$Q$441,ROWS(Data!$P$2:Y174),COLUMNS(Data!$P$3:X175)),IF($Q$1=$P$5,INDEX(prem_analysis!$BH$1:$BS$23,ROWS(Data!$Q$3:Y175),COLUMNS(Data!$Q$3:Y175)),IF($Q$1=$P$6,INDEX(prem_analysis!$BU$1:$CF$67,ROWS(prem_analysis!$N$2:V174),COLUMNS(prem_analysis!$N$2:V174)),IF($Q$1=$P$4,INDEX(Table24[[#All],[Year]:[Details]],ROWS(prem_analysis!$M$420:U592),COLUMNS(Data!$Q$3:Y175)))))),"")</f>
        <v/>
      </c>
      <c r="AA174" s="1" t="str">
        <f>IFERROR(IF($Q$1=$P$3,INDEX(prem_analysis!$P$2:$Q$441,ROWS(Data!$P$2:Z174),COLUMNS(Data!$P$3:Y175)),IF($Q$1=$P$5,INDEX(prem_analysis!$BH$1:$BS$23,ROWS(Data!$Q$3:Z175),COLUMNS(Data!$Q$3:Z175)),IF($Q$1=$P$6,INDEX(prem_analysis!$BU$1:$CF$67,ROWS(prem_analysis!$N$2:W174),COLUMNS(prem_analysis!$N$2:W174)),IF($Q$1=$P$4,INDEX(Table24[[#All],[Year]:[Details]],ROWS(prem_analysis!$M$420:V592),COLUMNS(Data!$Q$3:Z175)))))),"")</f>
        <v/>
      </c>
      <c r="AB174" s="1" t="str">
        <f>IFERROR(IF($Q$1=$P$3,INDEX(prem_analysis!$P$2:$Q$441,ROWS(Data!$P$2:AA174),COLUMNS(Data!$P$3:Z175)),IF($Q$1=$P$5,INDEX(prem_analysis!$BH$1:$BS$23,ROWS(Data!$Q$3:AA175),COLUMNS(Data!$Q$3:AA175)),IF($Q$1=$P$6,INDEX(prem_analysis!$BU$1:$CF$67,ROWS(prem_analysis!$N$2:X174),COLUMNS(prem_analysis!$N$2:X174)),IF($Q$1=$P$4,INDEX(Table24[[#All],[Year]:[Details]],ROWS(prem_analysis!$M$420:W592),COLUMNS(Data!$Q$3:AA175)))))),"")</f>
        <v/>
      </c>
      <c r="AC174" s="1" t="str">
        <f>IFERROR(IF($Q$1=$P$3,INDEX(prem_analysis!$P$2:$Q$441,ROWS(Data!$P$2:AB174),COLUMNS(Data!$P$3:AA175)),IF($Q$1=$P$5,INDEX(prem_analysis!$BH$1:$BS$23,ROWS(Data!$Q$3:AB175),COLUMNS(Data!$Q$3:AB175)),IF($Q$1=$P$6,INDEX(prem_analysis!$BU$1:$CF$67,ROWS(prem_analysis!$N$2:Y174),COLUMNS(prem_analysis!$N$2:Y174)),IF($Q$1=$P$4,INDEX(Table24[[#All],[Year]:[Details]],ROWS(prem_analysis!$M$420:X592),COLUMNS(Data!$Q$3:AB175)))))),"")</f>
        <v/>
      </c>
    </row>
    <row r="175" spans="1:29" x14ac:dyDescent="0.2">
      <c r="A175" s="5">
        <v>2008</v>
      </c>
      <c r="B175" s="5">
        <v>14</v>
      </c>
      <c r="C175" s="6" t="s">
        <v>36</v>
      </c>
      <c r="D175" s="5">
        <v>38</v>
      </c>
      <c r="E175" s="5">
        <v>10</v>
      </c>
      <c r="F175" s="5">
        <v>11</v>
      </c>
      <c r="G175" s="5">
        <v>17</v>
      </c>
      <c r="H175" s="5">
        <v>38</v>
      </c>
      <c r="I175" s="5">
        <v>57</v>
      </c>
      <c r="J175" s="5">
        <v>-19</v>
      </c>
      <c r="K175" s="5">
        <v>41</v>
      </c>
      <c r="L175" s="5">
        <f>IF(Table24[[#This Row],['#]]=1,"Champion", IF(Table24[[#This Row],['#]]&gt;=18,"Relegated",Table24[[#This Row],['#]]))</f>
        <v>14</v>
      </c>
      <c r="M175" s="5" t="str">
        <f>IF(Table24[[#This Row],[Details]]=2,K174-Table24[[#This Row],[Pts]],IF(Table24[[#This Row],[Details]]=17,Table24[[#This Row],[Pts]]-K176,""))</f>
        <v/>
      </c>
      <c r="R175" s="1" t="str">
        <f>IFERROR(IF($Q$1=$P$3,INDEX(prem_analysis!$P$2:$Q$441,ROWS(Data!$P$2:Q175),COLUMNS(Data!$P$3:P176)),IF($Q$1=$P$5,INDEX(prem_analysis!$BH$1:$BS$23,ROWS(Data!$Q$3:Q176),COLUMNS(Data!$Q$3:Q176)),IF($Q$1=$P$6,INDEX(prem_analysis!$BU$1:$CF$67,ROWS(prem_analysis!$N$2:N175),COLUMNS(prem_analysis!$N$2:N175)),IF($Q$1=$P$4,INDEX(Table24[[#All],[Year]:[Details]],ROWS(prem_analysis!$M$420:M593),COLUMNS(Data!$Q$3:Q176)))))),"")</f>
        <v/>
      </c>
      <c r="S175" s="1" t="str">
        <f>IFERROR(IF($Q$1=$P$3,INDEX(prem_analysis!$P$2:$Q$441,ROWS(Data!$P$2:R175),COLUMNS(Data!$P$3:Q176)),IF($Q$1=$P$5,INDEX(prem_analysis!$BH$1:$BS$23,ROWS(Data!$Q$3:R176),COLUMNS(Data!$Q$3:R176)),IF($Q$1=$P$6,INDEX(prem_analysis!$BU$1:$CF$67,ROWS(prem_analysis!$N$2:O175),COLUMNS(prem_analysis!$N$2:O175)),IF($Q$1=$P$4,INDEX(Table24[[#All],[Year]:[Details]],ROWS(prem_analysis!$M$420:N593),COLUMNS(Data!$Q$3:R176)))))),"")</f>
        <v/>
      </c>
      <c r="T175" s="1" t="str">
        <f>IFERROR(IF($Q$1=$P$3,INDEX(prem_analysis!$P$2:$Q$441,ROWS(Data!$P$2:S175),COLUMNS(Data!$P$3:R176)),IF($Q$1=$P$5,INDEX(prem_analysis!$BH$1:$BS$23,ROWS(Data!$Q$3:S176),COLUMNS(Data!$Q$3:S176)),IF($Q$1=$P$6,INDEX(prem_analysis!$BU$1:$CF$67,ROWS(prem_analysis!$N$2:P175),COLUMNS(prem_analysis!$N$2:P175)),IF($Q$1=$P$4,INDEX(Table24[[#All],[Year]:[Details]],ROWS(prem_analysis!$M$420:O593),COLUMNS(Data!$Q$3:S176)))))),"")</f>
        <v/>
      </c>
      <c r="U175" s="1" t="str">
        <f>IFERROR(IF($Q$1=$P$3,INDEX(prem_analysis!$P$2:$Q$441,ROWS(Data!$P$2:T175),COLUMNS(Data!$P$3:S176)),IF($Q$1=$P$5,INDEX(prem_analysis!$BH$1:$BS$23,ROWS(Data!$Q$3:T176),COLUMNS(Data!$Q$3:T176)),IF($Q$1=$P$6,INDEX(prem_analysis!$BU$1:$CF$67,ROWS(prem_analysis!$N$2:Q175),COLUMNS(prem_analysis!$N$2:Q175)),IF($Q$1=$P$4,INDEX(Table24[[#All],[Year]:[Details]],ROWS(prem_analysis!$M$420:P593),COLUMNS(Data!$Q$3:T176)))))),"")</f>
        <v/>
      </c>
      <c r="V175" s="1" t="str">
        <f>IFERROR(IF($Q$1=$P$3,INDEX(prem_analysis!$P$2:$Q$441,ROWS(Data!$P$2:U175),COLUMNS(Data!$P$3:T176)),IF($Q$1=$P$5,INDEX(prem_analysis!$BH$1:$BS$23,ROWS(Data!$Q$3:U176),COLUMNS(Data!$Q$3:U176)),IF($Q$1=$P$6,INDEX(prem_analysis!$BU$1:$CF$67,ROWS(prem_analysis!$N$2:R175),COLUMNS(prem_analysis!$N$2:R175)),IF($Q$1=$P$4,INDEX(Table24[[#All],[Year]:[Details]],ROWS(prem_analysis!$M$420:Q593),COLUMNS(Data!$Q$3:U176)))))),"")</f>
        <v/>
      </c>
      <c r="W175" s="1" t="str">
        <f>IFERROR(IF($Q$1=$P$3,INDEX(prem_analysis!$P$2:$Q$441,ROWS(Data!$P$2:V175),COLUMNS(Data!$P$3:U176)),IF($Q$1=$P$5,INDEX(prem_analysis!$BH$1:$BS$23,ROWS(Data!$Q$3:V176),COLUMNS(Data!$Q$3:V176)),IF($Q$1=$P$6,INDEX(prem_analysis!$BU$1:$CF$67,ROWS(prem_analysis!$N$2:S175),COLUMNS(prem_analysis!$N$2:S175)),IF($Q$1=$P$4,INDEX(Table24[[#All],[Year]:[Details]],ROWS(prem_analysis!$M$420:R593),COLUMNS(Data!$Q$3:V176)))))),"")</f>
        <v/>
      </c>
      <c r="X175" s="1" t="str">
        <f>IFERROR(IF($Q$1=$P$3,INDEX(prem_analysis!$P$2:$Q$441,ROWS(Data!$P$2:W175),COLUMNS(Data!$P$3:V176)),IF($Q$1=$P$5,INDEX(prem_analysis!$BH$1:$BS$23,ROWS(Data!$Q$3:W176),COLUMNS(Data!$Q$3:W176)),IF($Q$1=$P$6,INDEX(prem_analysis!$BU$1:$CF$67,ROWS(prem_analysis!$N$2:T175),COLUMNS(prem_analysis!$N$2:T175)),IF($Q$1=$P$4,INDEX(Table24[[#All],[Year]:[Details]],ROWS(prem_analysis!$M$420:S593),COLUMNS(Data!$Q$3:W176)))))),"")</f>
        <v/>
      </c>
      <c r="Y175" s="1" t="str">
        <f>IFERROR(IF($Q$1=$P$3,INDEX(prem_analysis!$P$2:$Q$441,ROWS(Data!$P$2:X175),COLUMNS(Data!$P$3:W176)),IF($Q$1=$P$5,INDEX(prem_analysis!$BH$1:$BS$23,ROWS(Data!$Q$3:X176),COLUMNS(Data!$Q$3:X176)),IF($Q$1=$P$6,INDEX(prem_analysis!$BU$1:$CF$67,ROWS(prem_analysis!$N$2:U175),COLUMNS(prem_analysis!$N$2:U175)),IF($Q$1=$P$4,INDEX(Table24[[#All],[Year]:[Details]],ROWS(prem_analysis!$M$420:T593),COLUMNS(Data!$Q$3:X176)))))),"")</f>
        <v/>
      </c>
      <c r="Z175" s="1" t="str">
        <f>IFERROR(IF($Q$1=$P$3,INDEX(prem_analysis!$P$2:$Q$441,ROWS(Data!$P$2:Y175),COLUMNS(Data!$P$3:X176)),IF($Q$1=$P$5,INDEX(prem_analysis!$BH$1:$BS$23,ROWS(Data!$Q$3:Y176),COLUMNS(Data!$Q$3:Y176)),IF($Q$1=$P$6,INDEX(prem_analysis!$BU$1:$CF$67,ROWS(prem_analysis!$N$2:V175),COLUMNS(prem_analysis!$N$2:V175)),IF($Q$1=$P$4,INDEX(Table24[[#All],[Year]:[Details]],ROWS(prem_analysis!$M$420:U593),COLUMNS(Data!$Q$3:Y176)))))),"")</f>
        <v/>
      </c>
      <c r="AA175" s="1" t="str">
        <f>IFERROR(IF($Q$1=$P$3,INDEX(prem_analysis!$P$2:$Q$441,ROWS(Data!$P$2:Z175),COLUMNS(Data!$P$3:Y176)),IF($Q$1=$P$5,INDEX(prem_analysis!$BH$1:$BS$23,ROWS(Data!$Q$3:Z176),COLUMNS(Data!$Q$3:Z176)),IF($Q$1=$P$6,INDEX(prem_analysis!$BU$1:$CF$67,ROWS(prem_analysis!$N$2:W175),COLUMNS(prem_analysis!$N$2:W175)),IF($Q$1=$P$4,INDEX(Table24[[#All],[Year]:[Details]],ROWS(prem_analysis!$M$420:V593),COLUMNS(Data!$Q$3:Z176)))))),"")</f>
        <v/>
      </c>
      <c r="AB175" s="1" t="str">
        <f>IFERROR(IF($Q$1=$P$3,INDEX(prem_analysis!$P$2:$Q$441,ROWS(Data!$P$2:AA175),COLUMNS(Data!$P$3:Z176)),IF($Q$1=$P$5,INDEX(prem_analysis!$BH$1:$BS$23,ROWS(Data!$Q$3:AA176),COLUMNS(Data!$Q$3:AA176)),IF($Q$1=$P$6,INDEX(prem_analysis!$BU$1:$CF$67,ROWS(prem_analysis!$N$2:X175),COLUMNS(prem_analysis!$N$2:X175)),IF($Q$1=$P$4,INDEX(Table24[[#All],[Year]:[Details]],ROWS(prem_analysis!$M$420:W593),COLUMNS(Data!$Q$3:AA176)))))),"")</f>
        <v/>
      </c>
      <c r="AC175" s="1" t="str">
        <f>IFERROR(IF($Q$1=$P$3,INDEX(prem_analysis!$P$2:$Q$441,ROWS(Data!$P$2:AB175),COLUMNS(Data!$P$3:AA176)),IF($Q$1=$P$5,INDEX(prem_analysis!$BH$1:$BS$23,ROWS(Data!$Q$3:AB176),COLUMNS(Data!$Q$3:AB176)),IF($Q$1=$P$6,INDEX(prem_analysis!$BU$1:$CF$67,ROWS(prem_analysis!$N$2:Y175),COLUMNS(prem_analysis!$N$2:Y175)),IF($Q$1=$P$4,INDEX(Table24[[#All],[Year]:[Details]],ROWS(prem_analysis!$M$420:X593),COLUMNS(Data!$Q$3:AB176)))))),"")</f>
        <v/>
      </c>
    </row>
    <row r="176" spans="1:29" x14ac:dyDescent="0.2">
      <c r="A176" s="3">
        <v>2008</v>
      </c>
      <c r="B176" s="3">
        <v>15</v>
      </c>
      <c r="C176" s="4" t="s">
        <v>31</v>
      </c>
      <c r="D176" s="3">
        <v>38</v>
      </c>
      <c r="E176" s="3">
        <v>10</v>
      </c>
      <c r="F176" s="3">
        <v>11</v>
      </c>
      <c r="G176" s="3">
        <v>17</v>
      </c>
      <c r="H176" s="3">
        <v>40</v>
      </c>
      <c r="I176" s="3">
        <v>60</v>
      </c>
      <c r="J176" s="3">
        <v>-20</v>
      </c>
      <c r="K176" s="3">
        <v>41</v>
      </c>
      <c r="L176" s="5">
        <f>IF(Table24[[#This Row],['#]]=1,"Champion", IF(Table24[[#This Row],['#]]&gt;=18,"Relegated",Table24[[#This Row],['#]]))</f>
        <v>15</v>
      </c>
      <c r="M176" s="5" t="str">
        <f>IF(Table24[[#This Row],[Details]]=2,K175-Table24[[#This Row],[Pts]],IF(Table24[[#This Row],[Details]]=17,Table24[[#This Row],[Pts]]-K177,""))</f>
        <v/>
      </c>
      <c r="R176" s="1" t="str">
        <f>IFERROR(IF($Q$1=$P$3,INDEX(prem_analysis!$P$2:$Q$441,ROWS(Data!$P$2:Q176),COLUMNS(Data!$P$3:P177)),IF($Q$1=$P$5,INDEX(prem_analysis!$BH$1:$BS$23,ROWS(Data!$Q$3:Q177),COLUMNS(Data!$Q$3:Q177)),IF($Q$1=$P$6,INDEX(prem_analysis!$BU$1:$CF$67,ROWS(prem_analysis!$N$2:N176),COLUMNS(prem_analysis!$N$2:N176)),IF($Q$1=$P$4,INDEX(Table24[[#All],[Year]:[Details]],ROWS(prem_analysis!$M$420:M594),COLUMNS(Data!$Q$3:Q177)))))),"")</f>
        <v/>
      </c>
      <c r="S176" s="1" t="str">
        <f>IFERROR(IF($Q$1=$P$3,INDEX(prem_analysis!$P$2:$Q$441,ROWS(Data!$P$2:R176),COLUMNS(Data!$P$3:Q177)),IF($Q$1=$P$5,INDEX(prem_analysis!$BH$1:$BS$23,ROWS(Data!$Q$3:R177),COLUMNS(Data!$Q$3:R177)),IF($Q$1=$P$6,INDEX(prem_analysis!$BU$1:$CF$67,ROWS(prem_analysis!$N$2:O176),COLUMNS(prem_analysis!$N$2:O176)),IF($Q$1=$P$4,INDEX(Table24[[#All],[Year]:[Details]],ROWS(prem_analysis!$M$420:N594),COLUMNS(Data!$Q$3:R177)))))),"")</f>
        <v/>
      </c>
      <c r="T176" s="1" t="str">
        <f>IFERROR(IF($Q$1=$P$3,INDEX(prem_analysis!$P$2:$Q$441,ROWS(Data!$P$2:S176),COLUMNS(Data!$P$3:R177)),IF($Q$1=$P$5,INDEX(prem_analysis!$BH$1:$BS$23,ROWS(Data!$Q$3:S177),COLUMNS(Data!$Q$3:S177)),IF($Q$1=$P$6,INDEX(prem_analysis!$BU$1:$CF$67,ROWS(prem_analysis!$N$2:P176),COLUMNS(prem_analysis!$N$2:P176)),IF($Q$1=$P$4,INDEX(Table24[[#All],[Year]:[Details]],ROWS(prem_analysis!$M$420:O594),COLUMNS(Data!$Q$3:S177)))))),"")</f>
        <v/>
      </c>
      <c r="U176" s="1" t="str">
        <f>IFERROR(IF($Q$1=$P$3,INDEX(prem_analysis!$P$2:$Q$441,ROWS(Data!$P$2:T176),COLUMNS(Data!$P$3:S177)),IF($Q$1=$P$5,INDEX(prem_analysis!$BH$1:$BS$23,ROWS(Data!$Q$3:T177),COLUMNS(Data!$Q$3:T177)),IF($Q$1=$P$6,INDEX(prem_analysis!$BU$1:$CF$67,ROWS(prem_analysis!$N$2:Q176),COLUMNS(prem_analysis!$N$2:Q176)),IF($Q$1=$P$4,INDEX(Table24[[#All],[Year]:[Details]],ROWS(prem_analysis!$M$420:P594),COLUMNS(Data!$Q$3:T177)))))),"")</f>
        <v/>
      </c>
      <c r="V176" s="1" t="str">
        <f>IFERROR(IF($Q$1=$P$3,INDEX(prem_analysis!$P$2:$Q$441,ROWS(Data!$P$2:U176),COLUMNS(Data!$P$3:T177)),IF($Q$1=$P$5,INDEX(prem_analysis!$BH$1:$BS$23,ROWS(Data!$Q$3:U177),COLUMNS(Data!$Q$3:U177)),IF($Q$1=$P$6,INDEX(prem_analysis!$BU$1:$CF$67,ROWS(prem_analysis!$N$2:R176),COLUMNS(prem_analysis!$N$2:R176)),IF($Q$1=$P$4,INDEX(Table24[[#All],[Year]:[Details]],ROWS(prem_analysis!$M$420:Q594),COLUMNS(Data!$Q$3:U177)))))),"")</f>
        <v/>
      </c>
      <c r="W176" s="1" t="str">
        <f>IFERROR(IF($Q$1=$P$3,INDEX(prem_analysis!$P$2:$Q$441,ROWS(Data!$P$2:V176),COLUMNS(Data!$P$3:U177)),IF($Q$1=$P$5,INDEX(prem_analysis!$BH$1:$BS$23,ROWS(Data!$Q$3:V177),COLUMNS(Data!$Q$3:V177)),IF($Q$1=$P$6,INDEX(prem_analysis!$BU$1:$CF$67,ROWS(prem_analysis!$N$2:S176),COLUMNS(prem_analysis!$N$2:S176)),IF($Q$1=$P$4,INDEX(Table24[[#All],[Year]:[Details]],ROWS(prem_analysis!$M$420:R594),COLUMNS(Data!$Q$3:V177)))))),"")</f>
        <v/>
      </c>
      <c r="X176" s="1" t="str">
        <f>IFERROR(IF($Q$1=$P$3,INDEX(prem_analysis!$P$2:$Q$441,ROWS(Data!$P$2:W176),COLUMNS(Data!$P$3:V177)),IF($Q$1=$P$5,INDEX(prem_analysis!$BH$1:$BS$23,ROWS(Data!$Q$3:W177),COLUMNS(Data!$Q$3:W177)),IF($Q$1=$P$6,INDEX(prem_analysis!$BU$1:$CF$67,ROWS(prem_analysis!$N$2:T176),COLUMNS(prem_analysis!$N$2:T176)),IF($Q$1=$P$4,INDEX(Table24[[#All],[Year]:[Details]],ROWS(prem_analysis!$M$420:S594),COLUMNS(Data!$Q$3:W177)))))),"")</f>
        <v/>
      </c>
      <c r="Y176" s="1" t="str">
        <f>IFERROR(IF($Q$1=$P$3,INDEX(prem_analysis!$P$2:$Q$441,ROWS(Data!$P$2:X176),COLUMNS(Data!$P$3:W177)),IF($Q$1=$P$5,INDEX(prem_analysis!$BH$1:$BS$23,ROWS(Data!$Q$3:X177),COLUMNS(Data!$Q$3:X177)),IF($Q$1=$P$6,INDEX(prem_analysis!$BU$1:$CF$67,ROWS(prem_analysis!$N$2:U176),COLUMNS(prem_analysis!$N$2:U176)),IF($Q$1=$P$4,INDEX(Table24[[#All],[Year]:[Details]],ROWS(prem_analysis!$M$420:T594),COLUMNS(Data!$Q$3:X177)))))),"")</f>
        <v/>
      </c>
      <c r="Z176" s="1" t="str">
        <f>IFERROR(IF($Q$1=$P$3,INDEX(prem_analysis!$P$2:$Q$441,ROWS(Data!$P$2:Y176),COLUMNS(Data!$P$3:X177)),IF($Q$1=$P$5,INDEX(prem_analysis!$BH$1:$BS$23,ROWS(Data!$Q$3:Y177),COLUMNS(Data!$Q$3:Y177)),IF($Q$1=$P$6,INDEX(prem_analysis!$BU$1:$CF$67,ROWS(prem_analysis!$N$2:V176),COLUMNS(prem_analysis!$N$2:V176)),IF($Q$1=$P$4,INDEX(Table24[[#All],[Year]:[Details]],ROWS(prem_analysis!$M$420:U594),COLUMNS(Data!$Q$3:Y177)))))),"")</f>
        <v/>
      </c>
      <c r="AA176" s="1" t="str">
        <f>IFERROR(IF($Q$1=$P$3,INDEX(prem_analysis!$P$2:$Q$441,ROWS(Data!$P$2:Z176),COLUMNS(Data!$P$3:Y177)),IF($Q$1=$P$5,INDEX(prem_analysis!$BH$1:$BS$23,ROWS(Data!$Q$3:Z177),COLUMNS(Data!$Q$3:Z177)),IF($Q$1=$P$6,INDEX(prem_analysis!$BU$1:$CF$67,ROWS(prem_analysis!$N$2:W176),COLUMNS(prem_analysis!$N$2:W176)),IF($Q$1=$P$4,INDEX(Table24[[#All],[Year]:[Details]],ROWS(prem_analysis!$M$420:V594),COLUMNS(Data!$Q$3:Z177)))))),"")</f>
        <v/>
      </c>
      <c r="AB176" s="1" t="str">
        <f>IFERROR(IF($Q$1=$P$3,INDEX(prem_analysis!$P$2:$Q$441,ROWS(Data!$P$2:AA176),COLUMNS(Data!$P$3:Z177)),IF($Q$1=$P$5,INDEX(prem_analysis!$BH$1:$BS$23,ROWS(Data!$Q$3:AA177),COLUMNS(Data!$Q$3:AA177)),IF($Q$1=$P$6,INDEX(prem_analysis!$BU$1:$CF$67,ROWS(prem_analysis!$N$2:X176),COLUMNS(prem_analysis!$N$2:X176)),IF($Q$1=$P$4,INDEX(Table24[[#All],[Year]:[Details]],ROWS(prem_analysis!$M$420:W594),COLUMNS(Data!$Q$3:AA177)))))),"")</f>
        <v/>
      </c>
      <c r="AC176" s="1" t="str">
        <f>IFERROR(IF($Q$1=$P$3,INDEX(prem_analysis!$P$2:$Q$441,ROWS(Data!$P$2:AB176),COLUMNS(Data!$P$3:AA177)),IF($Q$1=$P$5,INDEX(prem_analysis!$BH$1:$BS$23,ROWS(Data!$Q$3:AB177),COLUMNS(Data!$Q$3:AB177)),IF($Q$1=$P$6,INDEX(prem_analysis!$BU$1:$CF$67,ROWS(prem_analysis!$N$2:Y176),COLUMNS(prem_analysis!$N$2:Y176)),IF($Q$1=$P$4,INDEX(Table24[[#All],[Year]:[Details]],ROWS(prem_analysis!$M$420:X594),COLUMNS(Data!$Q$3:AB177)))))),"")</f>
        <v/>
      </c>
    </row>
    <row r="177" spans="1:29" x14ac:dyDescent="0.2">
      <c r="A177" s="5">
        <v>2008</v>
      </c>
      <c r="B177" s="5">
        <v>16</v>
      </c>
      <c r="C177" s="6" t="s">
        <v>17</v>
      </c>
      <c r="D177" s="5">
        <v>38</v>
      </c>
      <c r="E177" s="5">
        <v>9</v>
      </c>
      <c r="F177" s="5">
        <v>9</v>
      </c>
      <c r="G177" s="5">
        <v>20</v>
      </c>
      <c r="H177" s="5">
        <v>34</v>
      </c>
      <c r="I177" s="5">
        <v>54</v>
      </c>
      <c r="J177" s="5">
        <v>-20</v>
      </c>
      <c r="K177" s="5">
        <v>36</v>
      </c>
      <c r="L177" s="5">
        <f>IF(Table24[[#This Row],['#]]=1,"Champion", IF(Table24[[#This Row],['#]]&gt;=18,"Relegated",Table24[[#This Row],['#]]))</f>
        <v>16</v>
      </c>
      <c r="M177" s="5" t="str">
        <f>IF(Table24[[#This Row],[Details]]=2,K176-Table24[[#This Row],[Pts]],IF(Table24[[#This Row],[Details]]=17,Table24[[#This Row],[Pts]]-K178,""))</f>
        <v/>
      </c>
      <c r="R177" s="1" t="str">
        <f>IFERROR(IF($Q$1=$P$3,INDEX(prem_analysis!$P$2:$Q$441,ROWS(Data!$P$2:Q177),COLUMNS(Data!$P$3:P178)),IF($Q$1=$P$5,INDEX(prem_analysis!$BH$1:$BS$23,ROWS(Data!$Q$3:Q178),COLUMNS(Data!$Q$3:Q178)),IF($Q$1=$P$6,INDEX(prem_analysis!$BU$1:$CF$67,ROWS(prem_analysis!$N$2:N177),COLUMNS(prem_analysis!$N$2:N177)),IF($Q$1=$P$4,INDEX(Table24[[#All],[Year]:[Details]],ROWS(prem_analysis!$M$420:M595),COLUMNS(Data!$Q$3:Q178)))))),"")</f>
        <v/>
      </c>
      <c r="S177" s="1" t="str">
        <f>IFERROR(IF($Q$1=$P$3,INDEX(prem_analysis!$P$2:$Q$441,ROWS(Data!$P$2:R177),COLUMNS(Data!$P$3:Q178)),IF($Q$1=$P$5,INDEX(prem_analysis!$BH$1:$BS$23,ROWS(Data!$Q$3:R178),COLUMNS(Data!$Q$3:R178)),IF($Q$1=$P$6,INDEX(prem_analysis!$BU$1:$CF$67,ROWS(prem_analysis!$N$2:O177),COLUMNS(prem_analysis!$N$2:O177)),IF($Q$1=$P$4,INDEX(Table24[[#All],[Year]:[Details]],ROWS(prem_analysis!$M$420:N595),COLUMNS(Data!$Q$3:R178)))))),"")</f>
        <v/>
      </c>
      <c r="T177" s="1" t="str">
        <f>IFERROR(IF($Q$1=$P$3,INDEX(prem_analysis!$P$2:$Q$441,ROWS(Data!$P$2:S177),COLUMNS(Data!$P$3:R178)),IF($Q$1=$P$5,INDEX(prem_analysis!$BH$1:$BS$23,ROWS(Data!$Q$3:S178),COLUMNS(Data!$Q$3:S178)),IF($Q$1=$P$6,INDEX(prem_analysis!$BU$1:$CF$67,ROWS(prem_analysis!$N$2:P177),COLUMNS(prem_analysis!$N$2:P177)),IF($Q$1=$P$4,INDEX(Table24[[#All],[Year]:[Details]],ROWS(prem_analysis!$M$420:O595),COLUMNS(Data!$Q$3:S178)))))),"")</f>
        <v/>
      </c>
      <c r="U177" s="1" t="str">
        <f>IFERROR(IF($Q$1=$P$3,INDEX(prem_analysis!$P$2:$Q$441,ROWS(Data!$P$2:T177),COLUMNS(Data!$P$3:S178)),IF($Q$1=$P$5,INDEX(prem_analysis!$BH$1:$BS$23,ROWS(Data!$Q$3:T178),COLUMNS(Data!$Q$3:T178)),IF($Q$1=$P$6,INDEX(prem_analysis!$BU$1:$CF$67,ROWS(prem_analysis!$N$2:Q177),COLUMNS(prem_analysis!$N$2:Q177)),IF($Q$1=$P$4,INDEX(Table24[[#All],[Year]:[Details]],ROWS(prem_analysis!$M$420:P595),COLUMNS(Data!$Q$3:T178)))))),"")</f>
        <v/>
      </c>
      <c r="V177" s="1" t="str">
        <f>IFERROR(IF($Q$1=$P$3,INDEX(prem_analysis!$P$2:$Q$441,ROWS(Data!$P$2:U177),COLUMNS(Data!$P$3:T178)),IF($Q$1=$P$5,INDEX(prem_analysis!$BH$1:$BS$23,ROWS(Data!$Q$3:U178),COLUMNS(Data!$Q$3:U178)),IF($Q$1=$P$6,INDEX(prem_analysis!$BU$1:$CF$67,ROWS(prem_analysis!$N$2:R177),COLUMNS(prem_analysis!$N$2:R177)),IF($Q$1=$P$4,INDEX(Table24[[#All],[Year]:[Details]],ROWS(prem_analysis!$M$420:Q595),COLUMNS(Data!$Q$3:U178)))))),"")</f>
        <v/>
      </c>
      <c r="W177" s="1" t="str">
        <f>IFERROR(IF($Q$1=$P$3,INDEX(prem_analysis!$P$2:$Q$441,ROWS(Data!$P$2:V177),COLUMNS(Data!$P$3:U178)),IF($Q$1=$P$5,INDEX(prem_analysis!$BH$1:$BS$23,ROWS(Data!$Q$3:V178),COLUMNS(Data!$Q$3:V178)),IF($Q$1=$P$6,INDEX(prem_analysis!$BU$1:$CF$67,ROWS(prem_analysis!$N$2:S177),COLUMNS(prem_analysis!$N$2:S177)),IF($Q$1=$P$4,INDEX(Table24[[#All],[Year]:[Details]],ROWS(prem_analysis!$M$420:R595),COLUMNS(Data!$Q$3:V178)))))),"")</f>
        <v/>
      </c>
      <c r="X177" s="1" t="str">
        <f>IFERROR(IF($Q$1=$P$3,INDEX(prem_analysis!$P$2:$Q$441,ROWS(Data!$P$2:W177),COLUMNS(Data!$P$3:V178)),IF($Q$1=$P$5,INDEX(prem_analysis!$BH$1:$BS$23,ROWS(Data!$Q$3:W178),COLUMNS(Data!$Q$3:W178)),IF($Q$1=$P$6,INDEX(prem_analysis!$BU$1:$CF$67,ROWS(prem_analysis!$N$2:T177),COLUMNS(prem_analysis!$N$2:T177)),IF($Q$1=$P$4,INDEX(Table24[[#All],[Year]:[Details]],ROWS(prem_analysis!$M$420:S595),COLUMNS(Data!$Q$3:W178)))))),"")</f>
        <v/>
      </c>
      <c r="Y177" s="1" t="str">
        <f>IFERROR(IF($Q$1=$P$3,INDEX(prem_analysis!$P$2:$Q$441,ROWS(Data!$P$2:X177),COLUMNS(Data!$P$3:W178)),IF($Q$1=$P$5,INDEX(prem_analysis!$BH$1:$BS$23,ROWS(Data!$Q$3:X178),COLUMNS(Data!$Q$3:X178)),IF($Q$1=$P$6,INDEX(prem_analysis!$BU$1:$CF$67,ROWS(prem_analysis!$N$2:U177),COLUMNS(prem_analysis!$N$2:U177)),IF($Q$1=$P$4,INDEX(Table24[[#All],[Year]:[Details]],ROWS(prem_analysis!$M$420:T595),COLUMNS(Data!$Q$3:X178)))))),"")</f>
        <v/>
      </c>
      <c r="Z177" s="1" t="str">
        <f>IFERROR(IF($Q$1=$P$3,INDEX(prem_analysis!$P$2:$Q$441,ROWS(Data!$P$2:Y177),COLUMNS(Data!$P$3:X178)),IF($Q$1=$P$5,INDEX(prem_analysis!$BH$1:$BS$23,ROWS(Data!$Q$3:Y178),COLUMNS(Data!$Q$3:Y178)),IF($Q$1=$P$6,INDEX(prem_analysis!$BU$1:$CF$67,ROWS(prem_analysis!$N$2:V177),COLUMNS(prem_analysis!$N$2:V177)),IF($Q$1=$P$4,INDEX(Table24[[#All],[Year]:[Details]],ROWS(prem_analysis!$M$420:U595),COLUMNS(Data!$Q$3:Y178)))))),"")</f>
        <v/>
      </c>
      <c r="AA177" s="1" t="str">
        <f>IFERROR(IF($Q$1=$P$3,INDEX(prem_analysis!$P$2:$Q$441,ROWS(Data!$P$2:Z177),COLUMNS(Data!$P$3:Y178)),IF($Q$1=$P$5,INDEX(prem_analysis!$BH$1:$BS$23,ROWS(Data!$Q$3:Z178),COLUMNS(Data!$Q$3:Z178)),IF($Q$1=$P$6,INDEX(prem_analysis!$BU$1:$CF$67,ROWS(prem_analysis!$N$2:W177),COLUMNS(prem_analysis!$N$2:W177)),IF($Q$1=$P$4,INDEX(Table24[[#All],[Year]:[Details]],ROWS(prem_analysis!$M$420:V595),COLUMNS(Data!$Q$3:Z178)))))),"")</f>
        <v/>
      </c>
      <c r="AB177" s="1" t="str">
        <f>IFERROR(IF($Q$1=$P$3,INDEX(prem_analysis!$P$2:$Q$441,ROWS(Data!$P$2:AA177),COLUMNS(Data!$P$3:Z178)),IF($Q$1=$P$5,INDEX(prem_analysis!$BH$1:$BS$23,ROWS(Data!$Q$3:AA178),COLUMNS(Data!$Q$3:AA178)),IF($Q$1=$P$6,INDEX(prem_analysis!$BU$1:$CF$67,ROWS(prem_analysis!$N$2:X177),COLUMNS(prem_analysis!$N$2:X177)),IF($Q$1=$P$4,INDEX(Table24[[#All],[Year]:[Details]],ROWS(prem_analysis!$M$420:W595),COLUMNS(Data!$Q$3:AA178)))))),"")</f>
        <v/>
      </c>
      <c r="AC177" s="1" t="str">
        <f>IFERROR(IF($Q$1=$P$3,INDEX(prem_analysis!$P$2:$Q$441,ROWS(Data!$P$2:AB177),COLUMNS(Data!$P$3:AA178)),IF($Q$1=$P$5,INDEX(prem_analysis!$BH$1:$BS$23,ROWS(Data!$Q$3:AB178),COLUMNS(Data!$Q$3:AB178)),IF($Q$1=$P$6,INDEX(prem_analysis!$BU$1:$CF$67,ROWS(prem_analysis!$N$2:Y177),COLUMNS(prem_analysis!$N$2:Y177)),IF($Q$1=$P$4,INDEX(Table24[[#All],[Year]:[Details]],ROWS(prem_analysis!$M$420:X595),COLUMNS(Data!$Q$3:AB178)))))),"")</f>
        <v/>
      </c>
    </row>
    <row r="178" spans="1:29" x14ac:dyDescent="0.2">
      <c r="A178" s="3">
        <v>2008</v>
      </c>
      <c r="B178" s="3">
        <v>17</v>
      </c>
      <c r="C178" s="4" t="s">
        <v>45</v>
      </c>
      <c r="D178" s="3">
        <v>38</v>
      </c>
      <c r="E178" s="3">
        <v>8</v>
      </c>
      <c r="F178" s="3">
        <v>11</v>
      </c>
      <c r="G178" s="3">
        <v>19</v>
      </c>
      <c r="H178" s="3">
        <v>39</v>
      </c>
      <c r="I178" s="3">
        <v>64</v>
      </c>
      <c r="J178" s="3">
        <v>-25</v>
      </c>
      <c r="K178" s="3">
        <v>35</v>
      </c>
      <c r="L178" s="5">
        <f>IF(Table24[[#This Row],['#]]=1,"Champion", IF(Table24[[#This Row],['#]]&gt;=18,"Relegated",Table24[[#This Row],['#]]))</f>
        <v>17</v>
      </c>
      <c r="M178" s="5">
        <f>IF(Table24[[#This Row],[Details]]=2,K177-Table24[[#This Row],[Pts]],IF(Table24[[#This Row],[Details]]=17,Table24[[#This Row],[Pts]]-K179,""))</f>
        <v>1</v>
      </c>
      <c r="R178" s="1" t="str">
        <f>IFERROR(IF($Q$1=$P$3,INDEX(prem_analysis!$P$2:$Q$441,ROWS(Data!$P$2:Q178),COLUMNS(Data!$P$3:P179)),IF($Q$1=$P$5,INDEX(prem_analysis!$BH$1:$BS$23,ROWS(Data!$Q$3:Q179),COLUMNS(Data!$Q$3:Q179)),IF($Q$1=$P$6,INDEX(prem_analysis!$BU$1:$CF$67,ROWS(prem_analysis!$N$2:N178),COLUMNS(prem_analysis!$N$2:N178)),IF($Q$1=$P$4,INDEX(Table24[[#All],[Year]:[Details]],ROWS(prem_analysis!$M$420:M596),COLUMNS(Data!$Q$3:Q179)))))),"")</f>
        <v/>
      </c>
      <c r="S178" s="1" t="str">
        <f>IFERROR(IF($Q$1=$P$3,INDEX(prem_analysis!$P$2:$Q$441,ROWS(Data!$P$2:R178),COLUMNS(Data!$P$3:Q179)),IF($Q$1=$P$5,INDEX(prem_analysis!$BH$1:$BS$23,ROWS(Data!$Q$3:R179),COLUMNS(Data!$Q$3:R179)),IF($Q$1=$P$6,INDEX(prem_analysis!$BU$1:$CF$67,ROWS(prem_analysis!$N$2:O178),COLUMNS(prem_analysis!$N$2:O178)),IF($Q$1=$P$4,INDEX(Table24[[#All],[Year]:[Details]],ROWS(prem_analysis!$M$420:N596),COLUMNS(Data!$Q$3:R179)))))),"")</f>
        <v/>
      </c>
      <c r="T178" s="1" t="str">
        <f>IFERROR(IF($Q$1=$P$3,INDEX(prem_analysis!$P$2:$Q$441,ROWS(Data!$P$2:S178),COLUMNS(Data!$P$3:R179)),IF($Q$1=$P$5,INDEX(prem_analysis!$BH$1:$BS$23,ROWS(Data!$Q$3:S179),COLUMNS(Data!$Q$3:S179)),IF($Q$1=$P$6,INDEX(prem_analysis!$BU$1:$CF$67,ROWS(prem_analysis!$N$2:P178),COLUMNS(prem_analysis!$N$2:P178)),IF($Q$1=$P$4,INDEX(Table24[[#All],[Year]:[Details]],ROWS(prem_analysis!$M$420:O596),COLUMNS(Data!$Q$3:S179)))))),"")</f>
        <v/>
      </c>
      <c r="U178" s="1" t="str">
        <f>IFERROR(IF($Q$1=$P$3,INDEX(prem_analysis!$P$2:$Q$441,ROWS(Data!$P$2:T178),COLUMNS(Data!$P$3:S179)),IF($Q$1=$P$5,INDEX(prem_analysis!$BH$1:$BS$23,ROWS(Data!$Q$3:T179),COLUMNS(Data!$Q$3:T179)),IF($Q$1=$P$6,INDEX(prem_analysis!$BU$1:$CF$67,ROWS(prem_analysis!$N$2:Q178),COLUMNS(prem_analysis!$N$2:Q178)),IF($Q$1=$P$4,INDEX(Table24[[#All],[Year]:[Details]],ROWS(prem_analysis!$M$420:P596),COLUMNS(Data!$Q$3:T179)))))),"")</f>
        <v/>
      </c>
      <c r="V178" s="1" t="str">
        <f>IFERROR(IF($Q$1=$P$3,INDEX(prem_analysis!$P$2:$Q$441,ROWS(Data!$P$2:U178),COLUMNS(Data!$P$3:T179)),IF($Q$1=$P$5,INDEX(prem_analysis!$BH$1:$BS$23,ROWS(Data!$Q$3:U179),COLUMNS(Data!$Q$3:U179)),IF($Q$1=$P$6,INDEX(prem_analysis!$BU$1:$CF$67,ROWS(prem_analysis!$N$2:R178),COLUMNS(prem_analysis!$N$2:R178)),IF($Q$1=$P$4,INDEX(Table24[[#All],[Year]:[Details]],ROWS(prem_analysis!$M$420:Q596),COLUMNS(Data!$Q$3:U179)))))),"")</f>
        <v/>
      </c>
      <c r="W178" s="1" t="str">
        <f>IFERROR(IF($Q$1=$P$3,INDEX(prem_analysis!$P$2:$Q$441,ROWS(Data!$P$2:V178),COLUMNS(Data!$P$3:U179)),IF($Q$1=$P$5,INDEX(prem_analysis!$BH$1:$BS$23,ROWS(Data!$Q$3:V179),COLUMNS(Data!$Q$3:V179)),IF($Q$1=$P$6,INDEX(prem_analysis!$BU$1:$CF$67,ROWS(prem_analysis!$N$2:S178),COLUMNS(prem_analysis!$N$2:S178)),IF($Q$1=$P$4,INDEX(Table24[[#All],[Year]:[Details]],ROWS(prem_analysis!$M$420:R596),COLUMNS(Data!$Q$3:V179)))))),"")</f>
        <v/>
      </c>
      <c r="X178" s="1" t="str">
        <f>IFERROR(IF($Q$1=$P$3,INDEX(prem_analysis!$P$2:$Q$441,ROWS(Data!$P$2:W178),COLUMNS(Data!$P$3:V179)),IF($Q$1=$P$5,INDEX(prem_analysis!$BH$1:$BS$23,ROWS(Data!$Q$3:W179),COLUMNS(Data!$Q$3:W179)),IF($Q$1=$P$6,INDEX(prem_analysis!$BU$1:$CF$67,ROWS(prem_analysis!$N$2:T178),COLUMNS(prem_analysis!$N$2:T178)),IF($Q$1=$P$4,INDEX(Table24[[#All],[Year]:[Details]],ROWS(prem_analysis!$M$420:S596),COLUMNS(Data!$Q$3:W179)))))),"")</f>
        <v/>
      </c>
      <c r="Y178" s="1" t="str">
        <f>IFERROR(IF($Q$1=$P$3,INDEX(prem_analysis!$P$2:$Q$441,ROWS(Data!$P$2:X178),COLUMNS(Data!$P$3:W179)),IF($Q$1=$P$5,INDEX(prem_analysis!$BH$1:$BS$23,ROWS(Data!$Q$3:X179),COLUMNS(Data!$Q$3:X179)),IF($Q$1=$P$6,INDEX(prem_analysis!$BU$1:$CF$67,ROWS(prem_analysis!$N$2:U178),COLUMNS(prem_analysis!$N$2:U178)),IF($Q$1=$P$4,INDEX(Table24[[#All],[Year]:[Details]],ROWS(prem_analysis!$M$420:T596),COLUMNS(Data!$Q$3:X179)))))),"")</f>
        <v/>
      </c>
      <c r="Z178" s="1" t="str">
        <f>IFERROR(IF($Q$1=$P$3,INDEX(prem_analysis!$P$2:$Q$441,ROWS(Data!$P$2:Y178),COLUMNS(Data!$P$3:X179)),IF($Q$1=$P$5,INDEX(prem_analysis!$BH$1:$BS$23,ROWS(Data!$Q$3:Y179),COLUMNS(Data!$Q$3:Y179)),IF($Q$1=$P$6,INDEX(prem_analysis!$BU$1:$CF$67,ROWS(prem_analysis!$N$2:V178),COLUMNS(prem_analysis!$N$2:V178)),IF($Q$1=$P$4,INDEX(Table24[[#All],[Year]:[Details]],ROWS(prem_analysis!$M$420:U596),COLUMNS(Data!$Q$3:Y179)))))),"")</f>
        <v/>
      </c>
      <c r="AA178" s="1" t="str">
        <f>IFERROR(IF($Q$1=$P$3,INDEX(prem_analysis!$P$2:$Q$441,ROWS(Data!$P$2:Z178),COLUMNS(Data!$P$3:Y179)),IF($Q$1=$P$5,INDEX(prem_analysis!$BH$1:$BS$23,ROWS(Data!$Q$3:Z179),COLUMNS(Data!$Q$3:Z179)),IF($Q$1=$P$6,INDEX(prem_analysis!$BU$1:$CF$67,ROWS(prem_analysis!$N$2:W178),COLUMNS(prem_analysis!$N$2:W178)),IF($Q$1=$P$4,INDEX(Table24[[#All],[Year]:[Details]],ROWS(prem_analysis!$M$420:V596),COLUMNS(Data!$Q$3:Z179)))))),"")</f>
        <v/>
      </c>
      <c r="AB178" s="1" t="str">
        <f>IFERROR(IF($Q$1=$P$3,INDEX(prem_analysis!$P$2:$Q$441,ROWS(Data!$P$2:AA178),COLUMNS(Data!$P$3:Z179)),IF($Q$1=$P$5,INDEX(prem_analysis!$BH$1:$BS$23,ROWS(Data!$Q$3:AA179),COLUMNS(Data!$Q$3:AA179)),IF($Q$1=$P$6,INDEX(prem_analysis!$BU$1:$CF$67,ROWS(prem_analysis!$N$2:X178),COLUMNS(prem_analysis!$N$2:X178)),IF($Q$1=$P$4,INDEX(Table24[[#All],[Year]:[Details]],ROWS(prem_analysis!$M$420:W596),COLUMNS(Data!$Q$3:AA179)))))),"")</f>
        <v/>
      </c>
      <c r="AC178" s="1" t="str">
        <f>IFERROR(IF($Q$1=$P$3,INDEX(prem_analysis!$P$2:$Q$441,ROWS(Data!$P$2:AB178),COLUMNS(Data!$P$3:AA179)),IF($Q$1=$P$5,INDEX(prem_analysis!$BH$1:$BS$23,ROWS(Data!$Q$3:AB179),COLUMNS(Data!$Q$3:AB179)),IF($Q$1=$P$6,INDEX(prem_analysis!$BU$1:$CF$67,ROWS(prem_analysis!$N$2:Y178),COLUMNS(prem_analysis!$N$2:Y178)),IF($Q$1=$P$4,INDEX(Table24[[#All],[Year]:[Details]],ROWS(prem_analysis!$M$420:X596),COLUMNS(Data!$Q$3:AB179)))))),"")</f>
        <v/>
      </c>
    </row>
    <row r="179" spans="1:29" x14ac:dyDescent="0.2">
      <c r="A179" s="5">
        <v>2008</v>
      </c>
      <c r="B179" s="5">
        <v>18</v>
      </c>
      <c r="C179" s="6" t="s">
        <v>21</v>
      </c>
      <c r="D179" s="5">
        <v>38</v>
      </c>
      <c r="E179" s="5">
        <v>7</v>
      </c>
      <c r="F179" s="5">
        <v>13</v>
      </c>
      <c r="G179" s="5">
        <v>18</v>
      </c>
      <c r="H179" s="5">
        <v>40</v>
      </c>
      <c r="I179" s="5">
        <v>59</v>
      </c>
      <c r="J179" s="5">
        <v>-19</v>
      </c>
      <c r="K179" s="5">
        <v>34</v>
      </c>
      <c r="L179" s="5" t="str">
        <f>IF(Table24[[#This Row],['#]]=1,"Champion", IF(Table24[[#This Row],['#]]&gt;=18,"Relegated",Table24[[#This Row],['#]]))</f>
        <v>Relegated</v>
      </c>
      <c r="M179" s="5" t="str">
        <f>IF(Table24[[#This Row],[Details]]=2,K178-Table24[[#This Row],[Pts]],IF(Table24[[#This Row],[Details]]=17,Table24[[#This Row],[Pts]]-K180,""))</f>
        <v/>
      </c>
      <c r="R179" s="1" t="str">
        <f>IFERROR(IF($Q$1=$P$3,INDEX(prem_analysis!$P$2:$Q$441,ROWS(Data!$P$2:Q179),COLUMNS(Data!$P$3:P180)),IF($Q$1=$P$5,INDEX(prem_analysis!$BH$1:$BS$23,ROWS(Data!$Q$3:Q180),COLUMNS(Data!$Q$3:Q180)),IF($Q$1=$P$6,INDEX(prem_analysis!$BU$1:$CF$67,ROWS(prem_analysis!$N$2:N179),COLUMNS(prem_analysis!$N$2:N179)),IF($Q$1=$P$4,INDEX(Table24[[#All],[Year]:[Details]],ROWS(prem_analysis!$M$420:M597),COLUMNS(Data!$Q$3:Q180)))))),"")</f>
        <v/>
      </c>
      <c r="S179" s="1" t="str">
        <f>IFERROR(IF($Q$1=$P$3,INDEX(prem_analysis!$P$2:$Q$441,ROWS(Data!$P$2:R179),COLUMNS(Data!$P$3:Q180)),IF($Q$1=$P$5,INDEX(prem_analysis!$BH$1:$BS$23,ROWS(Data!$Q$3:R180),COLUMNS(Data!$Q$3:R180)),IF($Q$1=$P$6,INDEX(prem_analysis!$BU$1:$CF$67,ROWS(prem_analysis!$N$2:O179),COLUMNS(prem_analysis!$N$2:O179)),IF($Q$1=$P$4,INDEX(Table24[[#All],[Year]:[Details]],ROWS(prem_analysis!$M$420:N597),COLUMNS(Data!$Q$3:R180)))))),"")</f>
        <v/>
      </c>
      <c r="T179" s="1" t="str">
        <f>IFERROR(IF($Q$1=$P$3,INDEX(prem_analysis!$P$2:$Q$441,ROWS(Data!$P$2:S179),COLUMNS(Data!$P$3:R180)),IF($Q$1=$P$5,INDEX(prem_analysis!$BH$1:$BS$23,ROWS(Data!$Q$3:S180),COLUMNS(Data!$Q$3:S180)),IF($Q$1=$P$6,INDEX(prem_analysis!$BU$1:$CF$67,ROWS(prem_analysis!$N$2:P179),COLUMNS(prem_analysis!$N$2:P179)),IF($Q$1=$P$4,INDEX(Table24[[#All],[Year]:[Details]],ROWS(prem_analysis!$M$420:O597),COLUMNS(Data!$Q$3:S180)))))),"")</f>
        <v/>
      </c>
      <c r="U179" s="1" t="str">
        <f>IFERROR(IF($Q$1=$P$3,INDEX(prem_analysis!$P$2:$Q$441,ROWS(Data!$P$2:T179),COLUMNS(Data!$P$3:S180)),IF($Q$1=$P$5,INDEX(prem_analysis!$BH$1:$BS$23,ROWS(Data!$Q$3:T180),COLUMNS(Data!$Q$3:T180)),IF($Q$1=$P$6,INDEX(prem_analysis!$BU$1:$CF$67,ROWS(prem_analysis!$N$2:Q179),COLUMNS(prem_analysis!$N$2:Q179)),IF($Q$1=$P$4,INDEX(Table24[[#All],[Year]:[Details]],ROWS(prem_analysis!$M$420:P597),COLUMNS(Data!$Q$3:T180)))))),"")</f>
        <v/>
      </c>
      <c r="V179" s="1" t="str">
        <f>IFERROR(IF($Q$1=$P$3,INDEX(prem_analysis!$P$2:$Q$441,ROWS(Data!$P$2:U179),COLUMNS(Data!$P$3:T180)),IF($Q$1=$P$5,INDEX(prem_analysis!$BH$1:$BS$23,ROWS(Data!$Q$3:U180),COLUMNS(Data!$Q$3:U180)),IF($Q$1=$P$6,INDEX(prem_analysis!$BU$1:$CF$67,ROWS(prem_analysis!$N$2:R179),COLUMNS(prem_analysis!$N$2:R179)),IF($Q$1=$P$4,INDEX(Table24[[#All],[Year]:[Details]],ROWS(prem_analysis!$M$420:Q597),COLUMNS(Data!$Q$3:U180)))))),"")</f>
        <v/>
      </c>
      <c r="W179" s="1" t="str">
        <f>IFERROR(IF($Q$1=$P$3,INDEX(prem_analysis!$P$2:$Q$441,ROWS(Data!$P$2:V179),COLUMNS(Data!$P$3:U180)),IF($Q$1=$P$5,INDEX(prem_analysis!$BH$1:$BS$23,ROWS(Data!$Q$3:V180),COLUMNS(Data!$Q$3:V180)),IF($Q$1=$P$6,INDEX(prem_analysis!$BU$1:$CF$67,ROWS(prem_analysis!$N$2:S179),COLUMNS(prem_analysis!$N$2:S179)),IF($Q$1=$P$4,INDEX(Table24[[#All],[Year]:[Details]],ROWS(prem_analysis!$M$420:R597),COLUMNS(Data!$Q$3:V180)))))),"")</f>
        <v/>
      </c>
      <c r="X179" s="1" t="str">
        <f>IFERROR(IF($Q$1=$P$3,INDEX(prem_analysis!$P$2:$Q$441,ROWS(Data!$P$2:W179),COLUMNS(Data!$P$3:V180)),IF($Q$1=$P$5,INDEX(prem_analysis!$BH$1:$BS$23,ROWS(Data!$Q$3:W180),COLUMNS(Data!$Q$3:W180)),IF($Q$1=$P$6,INDEX(prem_analysis!$BU$1:$CF$67,ROWS(prem_analysis!$N$2:T179),COLUMNS(prem_analysis!$N$2:T179)),IF($Q$1=$P$4,INDEX(Table24[[#All],[Year]:[Details]],ROWS(prem_analysis!$M$420:S597),COLUMNS(Data!$Q$3:W180)))))),"")</f>
        <v/>
      </c>
      <c r="Y179" s="1" t="str">
        <f>IFERROR(IF($Q$1=$P$3,INDEX(prem_analysis!$P$2:$Q$441,ROWS(Data!$P$2:X179),COLUMNS(Data!$P$3:W180)),IF($Q$1=$P$5,INDEX(prem_analysis!$BH$1:$BS$23,ROWS(Data!$Q$3:X180),COLUMNS(Data!$Q$3:X180)),IF($Q$1=$P$6,INDEX(prem_analysis!$BU$1:$CF$67,ROWS(prem_analysis!$N$2:U179),COLUMNS(prem_analysis!$N$2:U179)),IF($Q$1=$P$4,INDEX(Table24[[#All],[Year]:[Details]],ROWS(prem_analysis!$M$420:T597),COLUMNS(Data!$Q$3:X180)))))),"")</f>
        <v/>
      </c>
      <c r="Z179" s="1" t="str">
        <f>IFERROR(IF($Q$1=$P$3,INDEX(prem_analysis!$P$2:$Q$441,ROWS(Data!$P$2:Y179),COLUMNS(Data!$P$3:X180)),IF($Q$1=$P$5,INDEX(prem_analysis!$BH$1:$BS$23,ROWS(Data!$Q$3:Y180),COLUMNS(Data!$Q$3:Y180)),IF($Q$1=$P$6,INDEX(prem_analysis!$BU$1:$CF$67,ROWS(prem_analysis!$N$2:V179),COLUMNS(prem_analysis!$N$2:V179)),IF($Q$1=$P$4,INDEX(Table24[[#All],[Year]:[Details]],ROWS(prem_analysis!$M$420:U597),COLUMNS(Data!$Q$3:Y180)))))),"")</f>
        <v/>
      </c>
      <c r="AA179" s="1" t="str">
        <f>IFERROR(IF($Q$1=$P$3,INDEX(prem_analysis!$P$2:$Q$441,ROWS(Data!$P$2:Z179),COLUMNS(Data!$P$3:Y180)),IF($Q$1=$P$5,INDEX(prem_analysis!$BH$1:$BS$23,ROWS(Data!$Q$3:Z180),COLUMNS(Data!$Q$3:Z180)),IF($Q$1=$P$6,INDEX(prem_analysis!$BU$1:$CF$67,ROWS(prem_analysis!$N$2:W179),COLUMNS(prem_analysis!$N$2:W179)),IF($Q$1=$P$4,INDEX(Table24[[#All],[Year]:[Details]],ROWS(prem_analysis!$M$420:V597),COLUMNS(Data!$Q$3:Z180)))))),"")</f>
        <v/>
      </c>
      <c r="AB179" s="1" t="str">
        <f>IFERROR(IF($Q$1=$P$3,INDEX(prem_analysis!$P$2:$Q$441,ROWS(Data!$P$2:AA179),COLUMNS(Data!$P$3:Z180)),IF($Q$1=$P$5,INDEX(prem_analysis!$BH$1:$BS$23,ROWS(Data!$Q$3:AA180),COLUMNS(Data!$Q$3:AA180)),IF($Q$1=$P$6,INDEX(prem_analysis!$BU$1:$CF$67,ROWS(prem_analysis!$N$2:X179),COLUMNS(prem_analysis!$N$2:X179)),IF($Q$1=$P$4,INDEX(Table24[[#All],[Year]:[Details]],ROWS(prem_analysis!$M$420:W597),COLUMNS(Data!$Q$3:AA180)))))),"")</f>
        <v/>
      </c>
      <c r="AC179" s="1" t="str">
        <f>IFERROR(IF($Q$1=$P$3,INDEX(prem_analysis!$P$2:$Q$441,ROWS(Data!$P$2:AB179),COLUMNS(Data!$P$3:AA180)),IF($Q$1=$P$5,INDEX(prem_analysis!$BH$1:$BS$23,ROWS(Data!$Q$3:AB180),COLUMNS(Data!$Q$3:AB180)),IF($Q$1=$P$6,INDEX(prem_analysis!$BU$1:$CF$67,ROWS(prem_analysis!$N$2:Y179),COLUMNS(prem_analysis!$N$2:Y179)),IF($Q$1=$P$4,INDEX(Table24[[#All],[Year]:[Details]],ROWS(prem_analysis!$M$420:X597),COLUMNS(Data!$Q$3:AB180)))))),"")</f>
        <v/>
      </c>
    </row>
    <row r="180" spans="1:29" x14ac:dyDescent="0.2">
      <c r="A180" s="3">
        <v>2008</v>
      </c>
      <c r="B180" s="3">
        <v>19</v>
      </c>
      <c r="C180" s="4" t="s">
        <v>24</v>
      </c>
      <c r="D180" s="3">
        <v>38</v>
      </c>
      <c r="E180" s="3">
        <v>7</v>
      </c>
      <c r="F180" s="3">
        <v>11</v>
      </c>
      <c r="G180" s="3">
        <v>20</v>
      </c>
      <c r="H180" s="3">
        <v>28</v>
      </c>
      <c r="I180" s="3">
        <v>57</v>
      </c>
      <c r="J180" s="3">
        <v>-29</v>
      </c>
      <c r="K180" s="3">
        <v>32</v>
      </c>
      <c r="L180" s="5" t="str">
        <f>IF(Table24[[#This Row],['#]]=1,"Champion", IF(Table24[[#This Row],['#]]&gt;=18,"Relegated",Table24[[#This Row],['#]]))</f>
        <v>Relegated</v>
      </c>
      <c r="M180" s="5" t="str">
        <f>IF(Table24[[#This Row],[Details]]=2,K179-Table24[[#This Row],[Pts]],IF(Table24[[#This Row],[Details]]=17,Table24[[#This Row],[Pts]]-K181,""))</f>
        <v/>
      </c>
      <c r="R180" s="1" t="str">
        <f>IFERROR(IF($Q$1=$P$3,INDEX(prem_analysis!$P$2:$Q$441,ROWS(Data!$P$2:Q180),COLUMNS(Data!$P$3:P181)),IF($Q$1=$P$5,INDEX(prem_analysis!$BH$1:$BS$23,ROWS(Data!$Q$3:Q181),COLUMNS(Data!$Q$3:Q181)),IF($Q$1=$P$6,INDEX(prem_analysis!$BU$1:$CF$67,ROWS(prem_analysis!$N$2:N180),COLUMNS(prem_analysis!$N$2:N180)),IF($Q$1=$P$4,INDEX(Table24[[#All],[Year]:[Details]],ROWS(prem_analysis!$M$420:M598),COLUMNS(Data!$Q$3:Q181)))))),"")</f>
        <v/>
      </c>
      <c r="S180" s="1" t="str">
        <f>IFERROR(IF($Q$1=$P$3,INDEX(prem_analysis!$P$2:$Q$441,ROWS(Data!$P$2:R180),COLUMNS(Data!$P$3:Q181)),IF($Q$1=$P$5,INDEX(prem_analysis!$BH$1:$BS$23,ROWS(Data!$Q$3:R181),COLUMNS(Data!$Q$3:R181)),IF($Q$1=$P$6,INDEX(prem_analysis!$BU$1:$CF$67,ROWS(prem_analysis!$N$2:O180),COLUMNS(prem_analysis!$N$2:O180)),IF($Q$1=$P$4,INDEX(Table24[[#All],[Year]:[Details]],ROWS(prem_analysis!$M$420:N598),COLUMNS(Data!$Q$3:R181)))))),"")</f>
        <v/>
      </c>
      <c r="T180" s="1" t="str">
        <f>IFERROR(IF($Q$1=$P$3,INDEX(prem_analysis!$P$2:$Q$441,ROWS(Data!$P$2:S180),COLUMNS(Data!$P$3:R181)),IF($Q$1=$P$5,INDEX(prem_analysis!$BH$1:$BS$23,ROWS(Data!$Q$3:S181),COLUMNS(Data!$Q$3:S181)),IF($Q$1=$P$6,INDEX(prem_analysis!$BU$1:$CF$67,ROWS(prem_analysis!$N$2:P180),COLUMNS(prem_analysis!$N$2:P180)),IF($Q$1=$P$4,INDEX(Table24[[#All],[Year]:[Details]],ROWS(prem_analysis!$M$420:O598),COLUMNS(Data!$Q$3:S181)))))),"")</f>
        <v/>
      </c>
      <c r="U180" s="1" t="str">
        <f>IFERROR(IF($Q$1=$P$3,INDEX(prem_analysis!$P$2:$Q$441,ROWS(Data!$P$2:T180),COLUMNS(Data!$P$3:S181)),IF($Q$1=$P$5,INDEX(prem_analysis!$BH$1:$BS$23,ROWS(Data!$Q$3:T181),COLUMNS(Data!$Q$3:T181)),IF($Q$1=$P$6,INDEX(prem_analysis!$BU$1:$CF$67,ROWS(prem_analysis!$N$2:Q180),COLUMNS(prem_analysis!$N$2:Q180)),IF($Q$1=$P$4,INDEX(Table24[[#All],[Year]:[Details]],ROWS(prem_analysis!$M$420:P598),COLUMNS(Data!$Q$3:T181)))))),"")</f>
        <v/>
      </c>
      <c r="V180" s="1" t="str">
        <f>IFERROR(IF($Q$1=$P$3,INDEX(prem_analysis!$P$2:$Q$441,ROWS(Data!$P$2:U180),COLUMNS(Data!$P$3:T181)),IF($Q$1=$P$5,INDEX(prem_analysis!$BH$1:$BS$23,ROWS(Data!$Q$3:U181),COLUMNS(Data!$Q$3:U181)),IF($Q$1=$P$6,INDEX(prem_analysis!$BU$1:$CF$67,ROWS(prem_analysis!$N$2:R180),COLUMNS(prem_analysis!$N$2:R180)),IF($Q$1=$P$4,INDEX(Table24[[#All],[Year]:[Details]],ROWS(prem_analysis!$M$420:Q598),COLUMNS(Data!$Q$3:U181)))))),"")</f>
        <v/>
      </c>
      <c r="W180" s="1" t="str">
        <f>IFERROR(IF($Q$1=$P$3,INDEX(prem_analysis!$P$2:$Q$441,ROWS(Data!$P$2:V180),COLUMNS(Data!$P$3:U181)),IF($Q$1=$P$5,INDEX(prem_analysis!$BH$1:$BS$23,ROWS(Data!$Q$3:V181),COLUMNS(Data!$Q$3:V181)),IF($Q$1=$P$6,INDEX(prem_analysis!$BU$1:$CF$67,ROWS(prem_analysis!$N$2:S180),COLUMNS(prem_analysis!$N$2:S180)),IF($Q$1=$P$4,INDEX(Table24[[#All],[Year]:[Details]],ROWS(prem_analysis!$M$420:R598),COLUMNS(Data!$Q$3:V181)))))),"")</f>
        <v/>
      </c>
      <c r="X180" s="1" t="str">
        <f>IFERROR(IF($Q$1=$P$3,INDEX(prem_analysis!$P$2:$Q$441,ROWS(Data!$P$2:W180),COLUMNS(Data!$P$3:V181)),IF($Q$1=$P$5,INDEX(prem_analysis!$BH$1:$BS$23,ROWS(Data!$Q$3:W181),COLUMNS(Data!$Q$3:W181)),IF($Q$1=$P$6,INDEX(prem_analysis!$BU$1:$CF$67,ROWS(prem_analysis!$N$2:T180),COLUMNS(prem_analysis!$N$2:T180)),IF($Q$1=$P$4,INDEX(Table24[[#All],[Year]:[Details]],ROWS(prem_analysis!$M$420:S598),COLUMNS(Data!$Q$3:W181)))))),"")</f>
        <v/>
      </c>
      <c r="Y180" s="1" t="str">
        <f>IFERROR(IF($Q$1=$P$3,INDEX(prem_analysis!$P$2:$Q$441,ROWS(Data!$P$2:X180),COLUMNS(Data!$P$3:W181)),IF($Q$1=$P$5,INDEX(prem_analysis!$BH$1:$BS$23,ROWS(Data!$Q$3:X181),COLUMNS(Data!$Q$3:X181)),IF($Q$1=$P$6,INDEX(prem_analysis!$BU$1:$CF$67,ROWS(prem_analysis!$N$2:U180),COLUMNS(prem_analysis!$N$2:U180)),IF($Q$1=$P$4,INDEX(Table24[[#All],[Year]:[Details]],ROWS(prem_analysis!$M$420:T598),COLUMNS(Data!$Q$3:X181)))))),"")</f>
        <v/>
      </c>
      <c r="Z180" s="1" t="str">
        <f>IFERROR(IF($Q$1=$P$3,INDEX(prem_analysis!$P$2:$Q$441,ROWS(Data!$P$2:Y180),COLUMNS(Data!$P$3:X181)),IF($Q$1=$P$5,INDEX(prem_analysis!$BH$1:$BS$23,ROWS(Data!$Q$3:Y181),COLUMNS(Data!$Q$3:Y181)),IF($Q$1=$P$6,INDEX(prem_analysis!$BU$1:$CF$67,ROWS(prem_analysis!$N$2:V180),COLUMNS(prem_analysis!$N$2:V180)),IF($Q$1=$P$4,INDEX(Table24[[#All],[Year]:[Details]],ROWS(prem_analysis!$M$420:U598),COLUMNS(Data!$Q$3:Y181)))))),"")</f>
        <v/>
      </c>
      <c r="AA180" s="1" t="str">
        <f>IFERROR(IF($Q$1=$P$3,INDEX(prem_analysis!$P$2:$Q$441,ROWS(Data!$P$2:Z180),COLUMNS(Data!$P$3:Y181)),IF($Q$1=$P$5,INDEX(prem_analysis!$BH$1:$BS$23,ROWS(Data!$Q$3:Z181),COLUMNS(Data!$Q$3:Z181)),IF($Q$1=$P$6,INDEX(prem_analysis!$BU$1:$CF$67,ROWS(prem_analysis!$N$2:W180),COLUMNS(prem_analysis!$N$2:W180)),IF($Q$1=$P$4,INDEX(Table24[[#All],[Year]:[Details]],ROWS(prem_analysis!$M$420:V598),COLUMNS(Data!$Q$3:Z181)))))),"")</f>
        <v/>
      </c>
      <c r="AB180" s="1" t="str">
        <f>IFERROR(IF($Q$1=$P$3,INDEX(prem_analysis!$P$2:$Q$441,ROWS(Data!$P$2:AA180),COLUMNS(Data!$P$3:Z181)),IF($Q$1=$P$5,INDEX(prem_analysis!$BH$1:$BS$23,ROWS(Data!$Q$3:AA181),COLUMNS(Data!$Q$3:AA181)),IF($Q$1=$P$6,INDEX(prem_analysis!$BU$1:$CF$67,ROWS(prem_analysis!$N$2:X180),COLUMNS(prem_analysis!$N$2:X180)),IF($Q$1=$P$4,INDEX(Table24[[#All],[Year]:[Details]],ROWS(prem_analysis!$M$420:W598),COLUMNS(Data!$Q$3:AA181)))))),"")</f>
        <v/>
      </c>
      <c r="AC180" s="1" t="str">
        <f>IFERROR(IF($Q$1=$P$3,INDEX(prem_analysis!$P$2:$Q$441,ROWS(Data!$P$2:AB180),COLUMNS(Data!$P$3:AA181)),IF($Q$1=$P$5,INDEX(prem_analysis!$BH$1:$BS$23,ROWS(Data!$Q$3:AB181),COLUMNS(Data!$Q$3:AB181)),IF($Q$1=$P$6,INDEX(prem_analysis!$BU$1:$CF$67,ROWS(prem_analysis!$N$2:Y180),COLUMNS(prem_analysis!$N$2:Y180)),IF($Q$1=$P$4,INDEX(Table24[[#All],[Year]:[Details]],ROWS(prem_analysis!$M$420:X598),COLUMNS(Data!$Q$3:AB181)))))),"")</f>
        <v/>
      </c>
    </row>
    <row r="181" spans="1:29" x14ac:dyDescent="0.2">
      <c r="A181" s="5">
        <v>2008</v>
      </c>
      <c r="B181" s="5">
        <v>20</v>
      </c>
      <c r="C181" s="6" t="s">
        <v>35</v>
      </c>
      <c r="D181" s="5">
        <v>38</v>
      </c>
      <c r="E181" s="5">
        <v>8</v>
      </c>
      <c r="F181" s="5">
        <v>8</v>
      </c>
      <c r="G181" s="5">
        <v>22</v>
      </c>
      <c r="H181" s="5">
        <v>36</v>
      </c>
      <c r="I181" s="5">
        <v>67</v>
      </c>
      <c r="J181" s="5">
        <v>-31</v>
      </c>
      <c r="K181" s="5">
        <v>32</v>
      </c>
      <c r="L181" s="5" t="str">
        <f>IF(Table24[[#This Row],['#]]=1,"Champion", IF(Table24[[#This Row],['#]]&gt;=18,"Relegated",Table24[[#This Row],['#]]))</f>
        <v>Relegated</v>
      </c>
      <c r="M181" s="5" t="str">
        <f>IF(Table24[[#This Row],[Details]]=2,K180-Table24[[#This Row],[Pts]],IF(Table24[[#This Row],[Details]]=17,Table24[[#This Row],[Pts]]-K182,""))</f>
        <v/>
      </c>
      <c r="R181" s="1" t="str">
        <f>IFERROR(IF($Q$1=$P$3,INDEX(prem_analysis!$P$2:$Q$441,ROWS(Data!$P$2:Q181),COLUMNS(Data!$P$3:P182)),IF($Q$1=$P$5,INDEX(prem_analysis!$BH$1:$BS$23,ROWS(Data!$Q$3:Q182),COLUMNS(Data!$Q$3:Q182)),IF($Q$1=$P$6,INDEX(prem_analysis!$BU$1:$CF$67,ROWS(prem_analysis!$N$2:N181),COLUMNS(prem_analysis!$N$2:N181)),IF($Q$1=$P$4,INDEX(Table24[[#All],[Year]:[Details]],ROWS(prem_analysis!$M$420:M599),COLUMNS(Data!$Q$3:Q182)))))),"")</f>
        <v/>
      </c>
      <c r="S181" s="1" t="str">
        <f>IFERROR(IF($Q$1=$P$3,INDEX(prem_analysis!$P$2:$Q$441,ROWS(Data!$P$2:R181),COLUMNS(Data!$P$3:Q182)),IF($Q$1=$P$5,INDEX(prem_analysis!$BH$1:$BS$23,ROWS(Data!$Q$3:R182),COLUMNS(Data!$Q$3:R182)),IF($Q$1=$P$6,INDEX(prem_analysis!$BU$1:$CF$67,ROWS(prem_analysis!$N$2:O181),COLUMNS(prem_analysis!$N$2:O181)),IF($Q$1=$P$4,INDEX(Table24[[#All],[Year]:[Details]],ROWS(prem_analysis!$M$420:N599),COLUMNS(Data!$Q$3:R182)))))),"")</f>
        <v/>
      </c>
      <c r="T181" s="1" t="str">
        <f>IFERROR(IF($Q$1=$P$3,INDEX(prem_analysis!$P$2:$Q$441,ROWS(Data!$P$2:S181),COLUMNS(Data!$P$3:R182)),IF($Q$1=$P$5,INDEX(prem_analysis!$BH$1:$BS$23,ROWS(Data!$Q$3:S182),COLUMNS(Data!$Q$3:S182)),IF($Q$1=$P$6,INDEX(prem_analysis!$BU$1:$CF$67,ROWS(prem_analysis!$N$2:P181),COLUMNS(prem_analysis!$N$2:P181)),IF($Q$1=$P$4,INDEX(Table24[[#All],[Year]:[Details]],ROWS(prem_analysis!$M$420:O599),COLUMNS(Data!$Q$3:S182)))))),"")</f>
        <v/>
      </c>
      <c r="U181" s="1" t="str">
        <f>IFERROR(IF($Q$1=$P$3,INDEX(prem_analysis!$P$2:$Q$441,ROWS(Data!$P$2:T181),COLUMNS(Data!$P$3:S182)),IF($Q$1=$P$5,INDEX(prem_analysis!$BH$1:$BS$23,ROWS(Data!$Q$3:T182),COLUMNS(Data!$Q$3:T182)),IF($Q$1=$P$6,INDEX(prem_analysis!$BU$1:$CF$67,ROWS(prem_analysis!$N$2:Q181),COLUMNS(prem_analysis!$N$2:Q181)),IF($Q$1=$P$4,INDEX(Table24[[#All],[Year]:[Details]],ROWS(prem_analysis!$M$420:P599),COLUMNS(Data!$Q$3:T182)))))),"")</f>
        <v/>
      </c>
      <c r="V181" s="1" t="str">
        <f>IFERROR(IF($Q$1=$P$3,INDEX(prem_analysis!$P$2:$Q$441,ROWS(Data!$P$2:U181),COLUMNS(Data!$P$3:T182)),IF($Q$1=$P$5,INDEX(prem_analysis!$BH$1:$BS$23,ROWS(Data!$Q$3:U182),COLUMNS(Data!$Q$3:U182)),IF($Q$1=$P$6,INDEX(prem_analysis!$BU$1:$CF$67,ROWS(prem_analysis!$N$2:R181),COLUMNS(prem_analysis!$N$2:R181)),IF($Q$1=$P$4,INDEX(Table24[[#All],[Year]:[Details]],ROWS(prem_analysis!$M$420:Q599),COLUMNS(Data!$Q$3:U182)))))),"")</f>
        <v/>
      </c>
      <c r="W181" s="1" t="str">
        <f>IFERROR(IF($Q$1=$P$3,INDEX(prem_analysis!$P$2:$Q$441,ROWS(Data!$P$2:V181),COLUMNS(Data!$P$3:U182)),IF($Q$1=$P$5,INDEX(prem_analysis!$BH$1:$BS$23,ROWS(Data!$Q$3:V182),COLUMNS(Data!$Q$3:V182)),IF($Q$1=$P$6,INDEX(prem_analysis!$BU$1:$CF$67,ROWS(prem_analysis!$N$2:S181),COLUMNS(prem_analysis!$N$2:S181)),IF($Q$1=$P$4,INDEX(Table24[[#All],[Year]:[Details]],ROWS(prem_analysis!$M$420:R599),COLUMNS(Data!$Q$3:V182)))))),"")</f>
        <v/>
      </c>
      <c r="X181" s="1" t="str">
        <f>IFERROR(IF($Q$1=$P$3,INDEX(prem_analysis!$P$2:$Q$441,ROWS(Data!$P$2:W181),COLUMNS(Data!$P$3:V182)),IF($Q$1=$P$5,INDEX(prem_analysis!$BH$1:$BS$23,ROWS(Data!$Q$3:W182),COLUMNS(Data!$Q$3:W182)),IF($Q$1=$P$6,INDEX(prem_analysis!$BU$1:$CF$67,ROWS(prem_analysis!$N$2:T181),COLUMNS(prem_analysis!$N$2:T181)),IF($Q$1=$P$4,INDEX(Table24[[#All],[Year]:[Details]],ROWS(prem_analysis!$M$420:S599),COLUMNS(Data!$Q$3:W182)))))),"")</f>
        <v/>
      </c>
      <c r="Y181" s="1" t="str">
        <f>IFERROR(IF($Q$1=$P$3,INDEX(prem_analysis!$P$2:$Q$441,ROWS(Data!$P$2:X181),COLUMNS(Data!$P$3:W182)),IF($Q$1=$P$5,INDEX(prem_analysis!$BH$1:$BS$23,ROWS(Data!$Q$3:X182),COLUMNS(Data!$Q$3:X182)),IF($Q$1=$P$6,INDEX(prem_analysis!$BU$1:$CF$67,ROWS(prem_analysis!$N$2:U181),COLUMNS(prem_analysis!$N$2:U181)),IF($Q$1=$P$4,INDEX(Table24[[#All],[Year]:[Details]],ROWS(prem_analysis!$M$420:T599),COLUMNS(Data!$Q$3:X182)))))),"")</f>
        <v/>
      </c>
      <c r="Z181" s="1" t="str">
        <f>IFERROR(IF($Q$1=$P$3,INDEX(prem_analysis!$P$2:$Q$441,ROWS(Data!$P$2:Y181),COLUMNS(Data!$P$3:X182)),IF($Q$1=$P$5,INDEX(prem_analysis!$BH$1:$BS$23,ROWS(Data!$Q$3:Y182),COLUMNS(Data!$Q$3:Y182)),IF($Q$1=$P$6,INDEX(prem_analysis!$BU$1:$CF$67,ROWS(prem_analysis!$N$2:V181),COLUMNS(prem_analysis!$N$2:V181)),IF($Q$1=$P$4,INDEX(Table24[[#All],[Year]:[Details]],ROWS(prem_analysis!$M$420:U599),COLUMNS(Data!$Q$3:Y182)))))),"")</f>
        <v/>
      </c>
      <c r="AA181" s="1" t="str">
        <f>IFERROR(IF($Q$1=$P$3,INDEX(prem_analysis!$P$2:$Q$441,ROWS(Data!$P$2:Z181),COLUMNS(Data!$P$3:Y182)),IF($Q$1=$P$5,INDEX(prem_analysis!$BH$1:$BS$23,ROWS(Data!$Q$3:Z182),COLUMNS(Data!$Q$3:Z182)),IF($Q$1=$P$6,INDEX(prem_analysis!$BU$1:$CF$67,ROWS(prem_analysis!$N$2:W181),COLUMNS(prem_analysis!$N$2:W181)),IF($Q$1=$P$4,INDEX(Table24[[#All],[Year]:[Details]],ROWS(prem_analysis!$M$420:V599),COLUMNS(Data!$Q$3:Z182)))))),"")</f>
        <v/>
      </c>
      <c r="AB181" s="1" t="str">
        <f>IFERROR(IF($Q$1=$P$3,INDEX(prem_analysis!$P$2:$Q$441,ROWS(Data!$P$2:AA181),COLUMNS(Data!$P$3:Z182)),IF($Q$1=$P$5,INDEX(prem_analysis!$BH$1:$BS$23,ROWS(Data!$Q$3:AA182),COLUMNS(Data!$Q$3:AA182)),IF($Q$1=$P$6,INDEX(prem_analysis!$BU$1:$CF$67,ROWS(prem_analysis!$N$2:X181),COLUMNS(prem_analysis!$N$2:X181)),IF($Q$1=$P$4,INDEX(Table24[[#All],[Year]:[Details]],ROWS(prem_analysis!$M$420:W599),COLUMNS(Data!$Q$3:AA182)))))),"")</f>
        <v/>
      </c>
      <c r="AC181" s="1" t="str">
        <f>IFERROR(IF($Q$1=$P$3,INDEX(prem_analysis!$P$2:$Q$441,ROWS(Data!$P$2:AB181),COLUMNS(Data!$P$3:AA182)),IF($Q$1=$P$5,INDEX(prem_analysis!$BH$1:$BS$23,ROWS(Data!$Q$3:AB182),COLUMNS(Data!$Q$3:AB182)),IF($Q$1=$P$6,INDEX(prem_analysis!$BU$1:$CF$67,ROWS(prem_analysis!$N$2:Y181),COLUMNS(prem_analysis!$N$2:Y181)),IF($Q$1=$P$4,INDEX(Table24[[#All],[Year]:[Details]],ROWS(prem_analysis!$M$420:X599),COLUMNS(Data!$Q$3:AB182)))))),"")</f>
        <v/>
      </c>
    </row>
    <row r="182" spans="1:29" x14ac:dyDescent="0.2">
      <c r="A182" s="3">
        <v>2009</v>
      </c>
      <c r="B182" s="3">
        <v>1</v>
      </c>
      <c r="C182" s="4" t="s">
        <v>16</v>
      </c>
      <c r="D182" s="3">
        <v>38</v>
      </c>
      <c r="E182" s="3">
        <v>27</v>
      </c>
      <c r="F182" s="3">
        <v>5</v>
      </c>
      <c r="G182" s="3">
        <v>6</v>
      </c>
      <c r="H182" s="3">
        <v>103</v>
      </c>
      <c r="I182" s="3">
        <v>32</v>
      </c>
      <c r="J182" s="3">
        <v>71</v>
      </c>
      <c r="K182" s="3">
        <v>86</v>
      </c>
      <c r="L182" s="5" t="str">
        <f>IF(Table24[[#This Row],['#]]=1,"Champion", IF(Table24[[#This Row],['#]]&gt;=18,"Relegated",Table24[[#This Row],['#]]))</f>
        <v>Champion</v>
      </c>
      <c r="M182" s="5" t="str">
        <f>IF(Table24[[#This Row],[Details]]=2,K181-Table24[[#This Row],[Pts]],IF(Table24[[#This Row],[Details]]=17,Table24[[#This Row],[Pts]]-K183,""))</f>
        <v/>
      </c>
      <c r="R182" s="1" t="str">
        <f>IFERROR(IF($Q$1=$P$3,INDEX(prem_analysis!$P$2:$Q$441,ROWS(Data!$P$2:Q182),COLUMNS(Data!$P$3:P183)),IF($Q$1=$P$5,INDEX(prem_analysis!$BH$1:$BS$23,ROWS(Data!$Q$3:Q183),COLUMNS(Data!$Q$3:Q183)),IF($Q$1=$P$6,INDEX(prem_analysis!$BU$1:$CF$67,ROWS(prem_analysis!$N$2:N182),COLUMNS(prem_analysis!$N$2:N182)),IF($Q$1=$P$4,INDEX(Table24[[#All],[Year]:[Details]],ROWS(prem_analysis!$M$420:M600),COLUMNS(Data!$Q$3:Q183)))))),"")</f>
        <v/>
      </c>
      <c r="S182" s="1" t="str">
        <f>IFERROR(IF($Q$1=$P$3,INDEX(prem_analysis!$P$2:$Q$441,ROWS(Data!$P$2:R182),COLUMNS(Data!$P$3:Q183)),IF($Q$1=$P$5,INDEX(prem_analysis!$BH$1:$BS$23,ROWS(Data!$Q$3:R183),COLUMNS(Data!$Q$3:R183)),IF($Q$1=$P$6,INDEX(prem_analysis!$BU$1:$CF$67,ROWS(prem_analysis!$N$2:O182),COLUMNS(prem_analysis!$N$2:O182)),IF($Q$1=$P$4,INDEX(Table24[[#All],[Year]:[Details]],ROWS(prem_analysis!$M$420:N600),COLUMNS(Data!$Q$3:R183)))))),"")</f>
        <v/>
      </c>
      <c r="T182" s="1" t="str">
        <f>IFERROR(IF($Q$1=$P$3,INDEX(prem_analysis!$P$2:$Q$441,ROWS(Data!$P$2:S182),COLUMNS(Data!$P$3:R183)),IF($Q$1=$P$5,INDEX(prem_analysis!$BH$1:$BS$23,ROWS(Data!$Q$3:S183),COLUMNS(Data!$Q$3:S183)),IF($Q$1=$P$6,INDEX(prem_analysis!$BU$1:$CF$67,ROWS(prem_analysis!$N$2:P182),COLUMNS(prem_analysis!$N$2:P182)),IF($Q$1=$P$4,INDEX(Table24[[#All],[Year]:[Details]],ROWS(prem_analysis!$M$420:O600),COLUMNS(Data!$Q$3:S183)))))),"")</f>
        <v/>
      </c>
      <c r="U182" s="1" t="str">
        <f>IFERROR(IF($Q$1=$P$3,INDEX(prem_analysis!$P$2:$Q$441,ROWS(Data!$P$2:T182),COLUMNS(Data!$P$3:S183)),IF($Q$1=$P$5,INDEX(prem_analysis!$BH$1:$BS$23,ROWS(Data!$Q$3:T183),COLUMNS(Data!$Q$3:T183)),IF($Q$1=$P$6,INDEX(prem_analysis!$BU$1:$CF$67,ROWS(prem_analysis!$N$2:Q182),COLUMNS(prem_analysis!$N$2:Q182)),IF($Q$1=$P$4,INDEX(Table24[[#All],[Year]:[Details]],ROWS(prem_analysis!$M$420:P600),COLUMNS(Data!$Q$3:T183)))))),"")</f>
        <v/>
      </c>
      <c r="V182" s="1" t="str">
        <f>IFERROR(IF($Q$1=$P$3,INDEX(prem_analysis!$P$2:$Q$441,ROWS(Data!$P$2:U182),COLUMNS(Data!$P$3:T183)),IF($Q$1=$P$5,INDEX(prem_analysis!$BH$1:$BS$23,ROWS(Data!$Q$3:U183),COLUMNS(Data!$Q$3:U183)),IF($Q$1=$P$6,INDEX(prem_analysis!$BU$1:$CF$67,ROWS(prem_analysis!$N$2:R182),COLUMNS(prem_analysis!$N$2:R182)),IF($Q$1=$P$4,INDEX(Table24[[#All],[Year]:[Details]],ROWS(prem_analysis!$M$420:Q600),COLUMNS(Data!$Q$3:U183)))))),"")</f>
        <v/>
      </c>
      <c r="W182" s="1" t="str">
        <f>IFERROR(IF($Q$1=$P$3,INDEX(prem_analysis!$P$2:$Q$441,ROWS(Data!$P$2:V182),COLUMNS(Data!$P$3:U183)),IF($Q$1=$P$5,INDEX(prem_analysis!$BH$1:$BS$23,ROWS(Data!$Q$3:V183),COLUMNS(Data!$Q$3:V183)),IF($Q$1=$P$6,INDEX(prem_analysis!$BU$1:$CF$67,ROWS(prem_analysis!$N$2:S182),COLUMNS(prem_analysis!$N$2:S182)),IF($Q$1=$P$4,INDEX(Table24[[#All],[Year]:[Details]],ROWS(prem_analysis!$M$420:R600),COLUMNS(Data!$Q$3:V183)))))),"")</f>
        <v/>
      </c>
      <c r="X182" s="1" t="str">
        <f>IFERROR(IF($Q$1=$P$3,INDEX(prem_analysis!$P$2:$Q$441,ROWS(Data!$P$2:W182),COLUMNS(Data!$P$3:V183)),IF($Q$1=$P$5,INDEX(prem_analysis!$BH$1:$BS$23,ROWS(Data!$Q$3:W183),COLUMNS(Data!$Q$3:W183)),IF($Q$1=$P$6,INDEX(prem_analysis!$BU$1:$CF$67,ROWS(prem_analysis!$N$2:T182),COLUMNS(prem_analysis!$N$2:T182)),IF($Q$1=$P$4,INDEX(Table24[[#All],[Year]:[Details]],ROWS(prem_analysis!$M$420:S600),COLUMNS(Data!$Q$3:W183)))))),"")</f>
        <v/>
      </c>
      <c r="Y182" s="1" t="str">
        <f>IFERROR(IF($Q$1=$P$3,INDEX(prem_analysis!$P$2:$Q$441,ROWS(Data!$P$2:X182),COLUMNS(Data!$P$3:W183)),IF($Q$1=$P$5,INDEX(prem_analysis!$BH$1:$BS$23,ROWS(Data!$Q$3:X183),COLUMNS(Data!$Q$3:X183)),IF($Q$1=$P$6,INDEX(prem_analysis!$BU$1:$CF$67,ROWS(prem_analysis!$N$2:U182),COLUMNS(prem_analysis!$N$2:U182)),IF($Q$1=$P$4,INDEX(Table24[[#All],[Year]:[Details]],ROWS(prem_analysis!$M$420:T600),COLUMNS(Data!$Q$3:X183)))))),"")</f>
        <v/>
      </c>
      <c r="Z182" s="1" t="str">
        <f>IFERROR(IF($Q$1=$P$3,INDEX(prem_analysis!$P$2:$Q$441,ROWS(Data!$P$2:Y182),COLUMNS(Data!$P$3:X183)),IF($Q$1=$P$5,INDEX(prem_analysis!$BH$1:$BS$23,ROWS(Data!$Q$3:Y183),COLUMNS(Data!$Q$3:Y183)),IF($Q$1=$P$6,INDEX(prem_analysis!$BU$1:$CF$67,ROWS(prem_analysis!$N$2:V182),COLUMNS(prem_analysis!$N$2:V182)),IF($Q$1=$P$4,INDEX(Table24[[#All],[Year]:[Details]],ROWS(prem_analysis!$M$420:U600),COLUMNS(Data!$Q$3:Y183)))))),"")</f>
        <v/>
      </c>
      <c r="AA182" s="1" t="str">
        <f>IFERROR(IF($Q$1=$P$3,INDEX(prem_analysis!$P$2:$Q$441,ROWS(Data!$P$2:Z182),COLUMNS(Data!$P$3:Y183)),IF($Q$1=$P$5,INDEX(prem_analysis!$BH$1:$BS$23,ROWS(Data!$Q$3:Z183),COLUMNS(Data!$Q$3:Z183)),IF($Q$1=$P$6,INDEX(prem_analysis!$BU$1:$CF$67,ROWS(prem_analysis!$N$2:W182),COLUMNS(prem_analysis!$N$2:W182)),IF($Q$1=$P$4,INDEX(Table24[[#All],[Year]:[Details]],ROWS(prem_analysis!$M$420:V600),COLUMNS(Data!$Q$3:Z183)))))),"")</f>
        <v/>
      </c>
      <c r="AB182" s="1" t="str">
        <f>IFERROR(IF($Q$1=$P$3,INDEX(prem_analysis!$P$2:$Q$441,ROWS(Data!$P$2:AA182),COLUMNS(Data!$P$3:Z183)),IF($Q$1=$P$5,INDEX(prem_analysis!$BH$1:$BS$23,ROWS(Data!$Q$3:AA183),COLUMNS(Data!$Q$3:AA183)),IF($Q$1=$P$6,INDEX(prem_analysis!$BU$1:$CF$67,ROWS(prem_analysis!$N$2:X182),COLUMNS(prem_analysis!$N$2:X182)),IF($Q$1=$P$4,INDEX(Table24[[#All],[Year]:[Details]],ROWS(prem_analysis!$M$420:W600),COLUMNS(Data!$Q$3:AA183)))))),"")</f>
        <v/>
      </c>
      <c r="AC182" s="1" t="str">
        <f>IFERROR(IF($Q$1=$P$3,INDEX(prem_analysis!$P$2:$Q$441,ROWS(Data!$P$2:AB182),COLUMNS(Data!$P$3:AA183)),IF($Q$1=$P$5,INDEX(prem_analysis!$BH$1:$BS$23,ROWS(Data!$Q$3:AB183),COLUMNS(Data!$Q$3:AB183)),IF($Q$1=$P$6,INDEX(prem_analysis!$BU$1:$CF$67,ROWS(prem_analysis!$N$2:Y182),COLUMNS(prem_analysis!$N$2:Y182)),IF($Q$1=$P$4,INDEX(Table24[[#All],[Year]:[Details]],ROWS(prem_analysis!$M$420:X600),COLUMNS(Data!$Q$3:AB183)))))),"")</f>
        <v/>
      </c>
    </row>
    <row r="183" spans="1:29" x14ac:dyDescent="0.2">
      <c r="A183" s="5">
        <v>2009</v>
      </c>
      <c r="B183" s="5">
        <v>2</v>
      </c>
      <c r="C183" s="6" t="s">
        <v>11</v>
      </c>
      <c r="D183" s="5">
        <v>38</v>
      </c>
      <c r="E183" s="5">
        <v>27</v>
      </c>
      <c r="F183" s="5">
        <v>4</v>
      </c>
      <c r="G183" s="5">
        <v>7</v>
      </c>
      <c r="H183" s="5">
        <v>86</v>
      </c>
      <c r="I183" s="5">
        <v>28</v>
      </c>
      <c r="J183" s="5">
        <v>58</v>
      </c>
      <c r="K183" s="5">
        <v>85</v>
      </c>
      <c r="L183" s="5">
        <f>IF(Table24[[#This Row],['#]]=1,"Champion", IF(Table24[[#This Row],['#]]&gt;=18,"Relegated",Table24[[#This Row],['#]]))</f>
        <v>2</v>
      </c>
      <c r="M183" s="5">
        <f>IF(Table24[[#This Row],[Details]]=2,K182-Table24[[#This Row],[Pts]],IF(Table24[[#This Row],[Details]]=17,Table24[[#This Row],[Pts]]-K184,""))</f>
        <v>1</v>
      </c>
      <c r="R183" s="1" t="str">
        <f>IFERROR(IF($Q$1=$P$3,INDEX(prem_analysis!$P$2:$Q$441,ROWS(Data!$P$2:Q183),COLUMNS(Data!$P$3:P184)),IF($Q$1=$P$5,INDEX(prem_analysis!$BH$1:$BS$23,ROWS(Data!$Q$3:Q184),COLUMNS(Data!$Q$3:Q184)),IF($Q$1=$P$6,INDEX(prem_analysis!$BU$1:$CF$67,ROWS(prem_analysis!$N$2:N183),COLUMNS(prem_analysis!$N$2:N183)),IF($Q$1=$P$4,INDEX(Table24[[#All],[Year]:[Details]],ROWS(prem_analysis!$M$420:M601),COLUMNS(Data!$Q$3:Q184)))))),"")</f>
        <v/>
      </c>
      <c r="S183" s="1" t="str">
        <f>IFERROR(IF($Q$1=$P$3,INDEX(prem_analysis!$P$2:$Q$441,ROWS(Data!$P$2:R183),COLUMNS(Data!$P$3:Q184)),IF($Q$1=$P$5,INDEX(prem_analysis!$BH$1:$BS$23,ROWS(Data!$Q$3:R184),COLUMNS(Data!$Q$3:R184)),IF($Q$1=$P$6,INDEX(prem_analysis!$BU$1:$CF$67,ROWS(prem_analysis!$N$2:O183),COLUMNS(prem_analysis!$N$2:O183)),IF($Q$1=$P$4,INDEX(Table24[[#All],[Year]:[Details]],ROWS(prem_analysis!$M$420:N601),COLUMNS(Data!$Q$3:R184)))))),"")</f>
        <v/>
      </c>
      <c r="T183" s="1" t="str">
        <f>IFERROR(IF($Q$1=$P$3,INDEX(prem_analysis!$P$2:$Q$441,ROWS(Data!$P$2:S183),COLUMNS(Data!$P$3:R184)),IF($Q$1=$P$5,INDEX(prem_analysis!$BH$1:$BS$23,ROWS(Data!$Q$3:S184),COLUMNS(Data!$Q$3:S184)),IF($Q$1=$P$6,INDEX(prem_analysis!$BU$1:$CF$67,ROWS(prem_analysis!$N$2:P183),COLUMNS(prem_analysis!$N$2:P183)),IF($Q$1=$P$4,INDEX(Table24[[#All],[Year]:[Details]],ROWS(prem_analysis!$M$420:O601),COLUMNS(Data!$Q$3:S184)))))),"")</f>
        <v/>
      </c>
      <c r="U183" s="1" t="str">
        <f>IFERROR(IF($Q$1=$P$3,INDEX(prem_analysis!$P$2:$Q$441,ROWS(Data!$P$2:T183),COLUMNS(Data!$P$3:S184)),IF($Q$1=$P$5,INDEX(prem_analysis!$BH$1:$BS$23,ROWS(Data!$Q$3:T184),COLUMNS(Data!$Q$3:T184)),IF($Q$1=$P$6,INDEX(prem_analysis!$BU$1:$CF$67,ROWS(prem_analysis!$N$2:Q183),COLUMNS(prem_analysis!$N$2:Q183)),IF($Q$1=$P$4,INDEX(Table24[[#All],[Year]:[Details]],ROWS(prem_analysis!$M$420:P601),COLUMNS(Data!$Q$3:T184)))))),"")</f>
        <v/>
      </c>
      <c r="V183" s="1" t="str">
        <f>IFERROR(IF($Q$1=$P$3,INDEX(prem_analysis!$P$2:$Q$441,ROWS(Data!$P$2:U183),COLUMNS(Data!$P$3:T184)),IF($Q$1=$P$5,INDEX(prem_analysis!$BH$1:$BS$23,ROWS(Data!$Q$3:U184),COLUMNS(Data!$Q$3:U184)),IF($Q$1=$P$6,INDEX(prem_analysis!$BU$1:$CF$67,ROWS(prem_analysis!$N$2:R183),COLUMNS(prem_analysis!$N$2:R183)),IF($Q$1=$P$4,INDEX(Table24[[#All],[Year]:[Details]],ROWS(prem_analysis!$M$420:Q601),COLUMNS(Data!$Q$3:U184)))))),"")</f>
        <v/>
      </c>
      <c r="W183" s="1" t="str">
        <f>IFERROR(IF($Q$1=$P$3,INDEX(prem_analysis!$P$2:$Q$441,ROWS(Data!$P$2:V183),COLUMNS(Data!$P$3:U184)),IF($Q$1=$P$5,INDEX(prem_analysis!$BH$1:$BS$23,ROWS(Data!$Q$3:V184),COLUMNS(Data!$Q$3:V184)),IF($Q$1=$P$6,INDEX(prem_analysis!$BU$1:$CF$67,ROWS(prem_analysis!$N$2:S183),COLUMNS(prem_analysis!$N$2:S183)),IF($Q$1=$P$4,INDEX(Table24[[#All],[Year]:[Details]],ROWS(prem_analysis!$M$420:R601),COLUMNS(Data!$Q$3:V184)))))),"")</f>
        <v/>
      </c>
      <c r="X183" s="1" t="str">
        <f>IFERROR(IF($Q$1=$P$3,INDEX(prem_analysis!$P$2:$Q$441,ROWS(Data!$P$2:W183),COLUMNS(Data!$P$3:V184)),IF($Q$1=$P$5,INDEX(prem_analysis!$BH$1:$BS$23,ROWS(Data!$Q$3:W184),COLUMNS(Data!$Q$3:W184)),IF($Q$1=$P$6,INDEX(prem_analysis!$BU$1:$CF$67,ROWS(prem_analysis!$N$2:T183),COLUMNS(prem_analysis!$N$2:T183)),IF($Q$1=$P$4,INDEX(Table24[[#All],[Year]:[Details]],ROWS(prem_analysis!$M$420:S601),COLUMNS(Data!$Q$3:W184)))))),"")</f>
        <v/>
      </c>
      <c r="Y183" s="1" t="str">
        <f>IFERROR(IF($Q$1=$P$3,INDEX(prem_analysis!$P$2:$Q$441,ROWS(Data!$P$2:X183),COLUMNS(Data!$P$3:W184)),IF($Q$1=$P$5,INDEX(prem_analysis!$BH$1:$BS$23,ROWS(Data!$Q$3:X184),COLUMNS(Data!$Q$3:X184)),IF($Q$1=$P$6,INDEX(prem_analysis!$BU$1:$CF$67,ROWS(prem_analysis!$N$2:U183),COLUMNS(prem_analysis!$N$2:U183)),IF($Q$1=$P$4,INDEX(Table24[[#All],[Year]:[Details]],ROWS(prem_analysis!$M$420:T601),COLUMNS(Data!$Q$3:X184)))))),"")</f>
        <v/>
      </c>
      <c r="Z183" s="1" t="str">
        <f>IFERROR(IF($Q$1=$P$3,INDEX(prem_analysis!$P$2:$Q$441,ROWS(Data!$P$2:Y183),COLUMNS(Data!$P$3:X184)),IF($Q$1=$P$5,INDEX(prem_analysis!$BH$1:$BS$23,ROWS(Data!$Q$3:Y184),COLUMNS(Data!$Q$3:Y184)),IF($Q$1=$P$6,INDEX(prem_analysis!$BU$1:$CF$67,ROWS(prem_analysis!$N$2:V183),COLUMNS(prem_analysis!$N$2:V183)),IF($Q$1=$P$4,INDEX(Table24[[#All],[Year]:[Details]],ROWS(prem_analysis!$M$420:U601),COLUMNS(Data!$Q$3:Y184)))))),"")</f>
        <v/>
      </c>
      <c r="AA183" s="1" t="str">
        <f>IFERROR(IF($Q$1=$P$3,INDEX(prem_analysis!$P$2:$Q$441,ROWS(Data!$P$2:Z183),COLUMNS(Data!$P$3:Y184)),IF($Q$1=$P$5,INDEX(prem_analysis!$BH$1:$BS$23,ROWS(Data!$Q$3:Z184),COLUMNS(Data!$Q$3:Z184)),IF($Q$1=$P$6,INDEX(prem_analysis!$BU$1:$CF$67,ROWS(prem_analysis!$N$2:W183),COLUMNS(prem_analysis!$N$2:W183)),IF($Q$1=$P$4,INDEX(Table24[[#All],[Year]:[Details]],ROWS(prem_analysis!$M$420:V601),COLUMNS(Data!$Q$3:Z184)))))),"")</f>
        <v/>
      </c>
      <c r="AB183" s="1" t="str">
        <f>IFERROR(IF($Q$1=$P$3,INDEX(prem_analysis!$P$2:$Q$441,ROWS(Data!$P$2:AA183),COLUMNS(Data!$P$3:Z184)),IF($Q$1=$P$5,INDEX(prem_analysis!$BH$1:$BS$23,ROWS(Data!$Q$3:AA184),COLUMNS(Data!$Q$3:AA184)),IF($Q$1=$P$6,INDEX(prem_analysis!$BU$1:$CF$67,ROWS(prem_analysis!$N$2:X183),COLUMNS(prem_analysis!$N$2:X183)),IF($Q$1=$P$4,INDEX(Table24[[#All],[Year]:[Details]],ROWS(prem_analysis!$M$420:W601),COLUMNS(Data!$Q$3:AA184)))))),"")</f>
        <v/>
      </c>
      <c r="AC183" s="1" t="str">
        <f>IFERROR(IF($Q$1=$P$3,INDEX(prem_analysis!$P$2:$Q$441,ROWS(Data!$P$2:AB183),COLUMNS(Data!$P$3:AA184)),IF($Q$1=$P$5,INDEX(prem_analysis!$BH$1:$BS$23,ROWS(Data!$Q$3:AB184),COLUMNS(Data!$Q$3:AB184)),IF($Q$1=$P$6,INDEX(prem_analysis!$BU$1:$CF$67,ROWS(prem_analysis!$N$2:Y183),COLUMNS(prem_analysis!$N$2:Y183)),IF($Q$1=$P$4,INDEX(Table24[[#All],[Year]:[Details]],ROWS(prem_analysis!$M$420:X601),COLUMNS(Data!$Q$3:AB184)))))),"")</f>
        <v/>
      </c>
    </row>
    <row r="184" spans="1:29" x14ac:dyDescent="0.2">
      <c r="A184" s="3">
        <v>2009</v>
      </c>
      <c r="B184" s="3">
        <v>3</v>
      </c>
      <c r="C184" s="6" t="s">
        <v>12</v>
      </c>
      <c r="D184" s="3">
        <v>38</v>
      </c>
      <c r="E184" s="3">
        <v>23</v>
      </c>
      <c r="F184" s="3">
        <v>6</v>
      </c>
      <c r="G184" s="3">
        <v>9</v>
      </c>
      <c r="H184" s="3">
        <v>83</v>
      </c>
      <c r="I184" s="3">
        <v>41</v>
      </c>
      <c r="J184" s="3">
        <v>42</v>
      </c>
      <c r="K184" s="3">
        <v>75</v>
      </c>
      <c r="L184" s="5">
        <f>IF(Table24[[#This Row],['#]]=1,"Champion", IF(Table24[[#This Row],['#]]&gt;=18,"Relegated",Table24[[#This Row],['#]]))</f>
        <v>3</v>
      </c>
      <c r="M184" s="5" t="str">
        <f>IF(Table24[[#This Row],[Details]]=2,K183-Table24[[#This Row],[Pts]],IF(Table24[[#This Row],[Details]]=17,Table24[[#This Row],[Pts]]-K185,""))</f>
        <v/>
      </c>
      <c r="R184" s="1" t="str">
        <f>IFERROR(IF($Q$1=$P$3,INDEX(prem_analysis!$P$2:$Q$441,ROWS(Data!$P$2:Q184),COLUMNS(Data!$P$3:P185)),IF($Q$1=$P$5,INDEX(prem_analysis!$BH$1:$BS$23,ROWS(Data!$Q$3:Q185),COLUMNS(Data!$Q$3:Q185)),IF($Q$1=$P$6,INDEX(prem_analysis!$BU$1:$CF$67,ROWS(prem_analysis!$N$2:N184),COLUMNS(prem_analysis!$N$2:N184)),IF($Q$1=$P$4,INDEX(Table24[[#All],[Year]:[Details]],ROWS(prem_analysis!$M$420:M602),COLUMNS(Data!$Q$3:Q185)))))),"")</f>
        <v/>
      </c>
      <c r="S184" s="1" t="str">
        <f>IFERROR(IF($Q$1=$P$3,INDEX(prem_analysis!$P$2:$Q$441,ROWS(Data!$P$2:R184),COLUMNS(Data!$P$3:Q185)),IF($Q$1=$P$5,INDEX(prem_analysis!$BH$1:$BS$23,ROWS(Data!$Q$3:R185),COLUMNS(Data!$Q$3:R185)),IF($Q$1=$P$6,INDEX(prem_analysis!$BU$1:$CF$67,ROWS(prem_analysis!$N$2:O184),COLUMNS(prem_analysis!$N$2:O184)),IF($Q$1=$P$4,INDEX(Table24[[#All],[Year]:[Details]],ROWS(prem_analysis!$M$420:N602),COLUMNS(Data!$Q$3:R185)))))),"")</f>
        <v/>
      </c>
      <c r="T184" s="1" t="str">
        <f>IFERROR(IF($Q$1=$P$3,INDEX(prem_analysis!$P$2:$Q$441,ROWS(Data!$P$2:S184),COLUMNS(Data!$P$3:R185)),IF($Q$1=$P$5,INDEX(prem_analysis!$BH$1:$BS$23,ROWS(Data!$Q$3:S185),COLUMNS(Data!$Q$3:S185)),IF($Q$1=$P$6,INDEX(prem_analysis!$BU$1:$CF$67,ROWS(prem_analysis!$N$2:P184),COLUMNS(prem_analysis!$N$2:P184)),IF($Q$1=$P$4,INDEX(Table24[[#All],[Year]:[Details]],ROWS(prem_analysis!$M$420:O602),COLUMNS(Data!$Q$3:S185)))))),"")</f>
        <v/>
      </c>
      <c r="U184" s="1" t="str">
        <f>IFERROR(IF($Q$1=$P$3,INDEX(prem_analysis!$P$2:$Q$441,ROWS(Data!$P$2:T184),COLUMNS(Data!$P$3:S185)),IF($Q$1=$P$5,INDEX(prem_analysis!$BH$1:$BS$23,ROWS(Data!$Q$3:T185),COLUMNS(Data!$Q$3:T185)),IF($Q$1=$P$6,INDEX(prem_analysis!$BU$1:$CF$67,ROWS(prem_analysis!$N$2:Q184),COLUMNS(prem_analysis!$N$2:Q184)),IF($Q$1=$P$4,INDEX(Table24[[#All],[Year]:[Details]],ROWS(prem_analysis!$M$420:P602),COLUMNS(Data!$Q$3:T185)))))),"")</f>
        <v/>
      </c>
      <c r="V184" s="1" t="str">
        <f>IFERROR(IF($Q$1=$P$3,INDEX(prem_analysis!$P$2:$Q$441,ROWS(Data!$P$2:U184),COLUMNS(Data!$P$3:T185)),IF($Q$1=$P$5,INDEX(prem_analysis!$BH$1:$BS$23,ROWS(Data!$Q$3:U185),COLUMNS(Data!$Q$3:U185)),IF($Q$1=$P$6,INDEX(prem_analysis!$BU$1:$CF$67,ROWS(prem_analysis!$N$2:R184),COLUMNS(prem_analysis!$N$2:R184)),IF($Q$1=$P$4,INDEX(Table24[[#All],[Year]:[Details]],ROWS(prem_analysis!$M$420:Q602),COLUMNS(Data!$Q$3:U185)))))),"")</f>
        <v/>
      </c>
      <c r="W184" s="1" t="str">
        <f>IFERROR(IF($Q$1=$P$3,INDEX(prem_analysis!$P$2:$Q$441,ROWS(Data!$P$2:V184),COLUMNS(Data!$P$3:U185)),IF($Q$1=$P$5,INDEX(prem_analysis!$BH$1:$BS$23,ROWS(Data!$Q$3:V185),COLUMNS(Data!$Q$3:V185)),IF($Q$1=$P$6,INDEX(prem_analysis!$BU$1:$CF$67,ROWS(prem_analysis!$N$2:S184),COLUMNS(prem_analysis!$N$2:S184)),IF($Q$1=$P$4,INDEX(Table24[[#All],[Year]:[Details]],ROWS(prem_analysis!$M$420:R602),COLUMNS(Data!$Q$3:V185)))))),"")</f>
        <v/>
      </c>
      <c r="X184" s="1" t="str">
        <f>IFERROR(IF($Q$1=$P$3,INDEX(prem_analysis!$P$2:$Q$441,ROWS(Data!$P$2:W184),COLUMNS(Data!$P$3:V185)),IF($Q$1=$P$5,INDEX(prem_analysis!$BH$1:$BS$23,ROWS(Data!$Q$3:W185),COLUMNS(Data!$Q$3:W185)),IF($Q$1=$P$6,INDEX(prem_analysis!$BU$1:$CF$67,ROWS(prem_analysis!$N$2:T184),COLUMNS(prem_analysis!$N$2:T184)),IF($Q$1=$P$4,INDEX(Table24[[#All],[Year]:[Details]],ROWS(prem_analysis!$M$420:S602),COLUMNS(Data!$Q$3:W185)))))),"")</f>
        <v/>
      </c>
      <c r="Y184" s="1" t="str">
        <f>IFERROR(IF($Q$1=$P$3,INDEX(prem_analysis!$P$2:$Q$441,ROWS(Data!$P$2:X184),COLUMNS(Data!$P$3:W185)),IF($Q$1=$P$5,INDEX(prem_analysis!$BH$1:$BS$23,ROWS(Data!$Q$3:X185),COLUMNS(Data!$Q$3:X185)),IF($Q$1=$P$6,INDEX(prem_analysis!$BU$1:$CF$67,ROWS(prem_analysis!$N$2:U184),COLUMNS(prem_analysis!$N$2:U184)),IF($Q$1=$P$4,INDEX(Table24[[#All],[Year]:[Details]],ROWS(prem_analysis!$M$420:T602),COLUMNS(Data!$Q$3:X185)))))),"")</f>
        <v/>
      </c>
      <c r="Z184" s="1" t="str">
        <f>IFERROR(IF($Q$1=$P$3,INDEX(prem_analysis!$P$2:$Q$441,ROWS(Data!$P$2:Y184),COLUMNS(Data!$P$3:X185)),IF($Q$1=$P$5,INDEX(prem_analysis!$BH$1:$BS$23,ROWS(Data!$Q$3:Y185),COLUMNS(Data!$Q$3:Y185)),IF($Q$1=$P$6,INDEX(prem_analysis!$BU$1:$CF$67,ROWS(prem_analysis!$N$2:V184),COLUMNS(prem_analysis!$N$2:V184)),IF($Q$1=$P$4,INDEX(Table24[[#All],[Year]:[Details]],ROWS(prem_analysis!$M$420:U602),COLUMNS(Data!$Q$3:Y185)))))),"")</f>
        <v/>
      </c>
      <c r="AA184" s="1" t="str">
        <f>IFERROR(IF($Q$1=$P$3,INDEX(prem_analysis!$P$2:$Q$441,ROWS(Data!$P$2:Z184),COLUMNS(Data!$P$3:Y185)),IF($Q$1=$P$5,INDEX(prem_analysis!$BH$1:$BS$23,ROWS(Data!$Q$3:Z185),COLUMNS(Data!$Q$3:Z185)),IF($Q$1=$P$6,INDEX(prem_analysis!$BU$1:$CF$67,ROWS(prem_analysis!$N$2:W184),COLUMNS(prem_analysis!$N$2:W184)),IF($Q$1=$P$4,INDEX(Table24[[#All],[Year]:[Details]],ROWS(prem_analysis!$M$420:V602),COLUMNS(Data!$Q$3:Z185)))))),"")</f>
        <v/>
      </c>
      <c r="AB184" s="1" t="str">
        <f>IFERROR(IF($Q$1=$P$3,INDEX(prem_analysis!$P$2:$Q$441,ROWS(Data!$P$2:AA184),COLUMNS(Data!$P$3:Z185)),IF($Q$1=$P$5,INDEX(prem_analysis!$BH$1:$BS$23,ROWS(Data!$Q$3:AA185),COLUMNS(Data!$Q$3:AA185)),IF($Q$1=$P$6,INDEX(prem_analysis!$BU$1:$CF$67,ROWS(prem_analysis!$N$2:X184),COLUMNS(prem_analysis!$N$2:X184)),IF($Q$1=$P$4,INDEX(Table24[[#All],[Year]:[Details]],ROWS(prem_analysis!$M$420:W602),COLUMNS(Data!$Q$3:AA185)))))),"")</f>
        <v/>
      </c>
      <c r="AC184" s="1" t="str">
        <f>IFERROR(IF($Q$1=$P$3,INDEX(prem_analysis!$P$2:$Q$441,ROWS(Data!$P$2:AB184),COLUMNS(Data!$P$3:AA185)),IF($Q$1=$P$5,INDEX(prem_analysis!$BH$1:$BS$23,ROWS(Data!$Q$3:AB185),COLUMNS(Data!$Q$3:AB185)),IF($Q$1=$P$6,INDEX(prem_analysis!$BU$1:$CF$67,ROWS(prem_analysis!$N$2:Y184),COLUMNS(prem_analysis!$N$2:Y184)),IF($Q$1=$P$4,INDEX(Table24[[#All],[Year]:[Details]],ROWS(prem_analysis!$M$420:X602),COLUMNS(Data!$Q$3:AB185)))))),"")</f>
        <v/>
      </c>
    </row>
    <row r="185" spans="1:29" x14ac:dyDescent="0.2">
      <c r="A185" s="5">
        <v>2009</v>
      </c>
      <c r="B185" s="5">
        <v>4</v>
      </c>
      <c r="C185" s="6" t="s">
        <v>22</v>
      </c>
      <c r="D185" s="5">
        <v>38</v>
      </c>
      <c r="E185" s="5">
        <v>21</v>
      </c>
      <c r="F185" s="5">
        <v>7</v>
      </c>
      <c r="G185" s="5">
        <v>10</v>
      </c>
      <c r="H185" s="5">
        <v>67</v>
      </c>
      <c r="I185" s="5">
        <v>41</v>
      </c>
      <c r="J185" s="5">
        <v>26</v>
      </c>
      <c r="K185" s="5">
        <v>70</v>
      </c>
      <c r="L185" s="5">
        <f>IF(Table24[[#This Row],['#]]=1,"Champion", IF(Table24[[#This Row],['#]]&gt;=18,"Relegated",Table24[[#This Row],['#]]))</f>
        <v>4</v>
      </c>
      <c r="M185" s="5" t="str">
        <f>IF(Table24[[#This Row],[Details]]=2,K184-Table24[[#This Row],[Pts]],IF(Table24[[#This Row],[Details]]=17,Table24[[#This Row],[Pts]]-K186,""))</f>
        <v/>
      </c>
      <c r="R185" s="1" t="str">
        <f>IFERROR(IF($Q$1=$P$3,INDEX(prem_analysis!$P$2:$Q$441,ROWS(Data!$P$2:Q185),COLUMNS(Data!$P$3:P186)),IF($Q$1=$P$5,INDEX(prem_analysis!$BH$1:$BS$23,ROWS(Data!$Q$3:Q186),COLUMNS(Data!$Q$3:Q186)),IF($Q$1=$P$6,INDEX(prem_analysis!$BU$1:$CF$67,ROWS(prem_analysis!$N$2:N185),COLUMNS(prem_analysis!$N$2:N185)),IF($Q$1=$P$4,INDEX(Table24[[#All],[Year]:[Details]],ROWS(prem_analysis!$M$420:M603),COLUMNS(Data!$Q$3:Q186)))))),"")</f>
        <v/>
      </c>
      <c r="S185" s="1" t="str">
        <f>IFERROR(IF($Q$1=$P$3,INDEX(prem_analysis!$P$2:$Q$441,ROWS(Data!$P$2:R185),COLUMNS(Data!$P$3:Q186)),IF($Q$1=$P$5,INDEX(prem_analysis!$BH$1:$BS$23,ROWS(Data!$Q$3:R186),COLUMNS(Data!$Q$3:R186)),IF($Q$1=$P$6,INDEX(prem_analysis!$BU$1:$CF$67,ROWS(prem_analysis!$N$2:O185),COLUMNS(prem_analysis!$N$2:O185)),IF($Q$1=$P$4,INDEX(Table24[[#All],[Year]:[Details]],ROWS(prem_analysis!$M$420:N603),COLUMNS(Data!$Q$3:R186)))))),"")</f>
        <v/>
      </c>
      <c r="T185" s="1" t="str">
        <f>IFERROR(IF($Q$1=$P$3,INDEX(prem_analysis!$P$2:$Q$441,ROWS(Data!$P$2:S185),COLUMNS(Data!$P$3:R186)),IF($Q$1=$P$5,INDEX(prem_analysis!$BH$1:$BS$23,ROWS(Data!$Q$3:S186),COLUMNS(Data!$Q$3:S186)),IF($Q$1=$P$6,INDEX(prem_analysis!$BU$1:$CF$67,ROWS(prem_analysis!$N$2:P185),COLUMNS(prem_analysis!$N$2:P185)),IF($Q$1=$P$4,INDEX(Table24[[#All],[Year]:[Details]],ROWS(prem_analysis!$M$420:O603),COLUMNS(Data!$Q$3:S186)))))),"")</f>
        <v/>
      </c>
      <c r="U185" s="1" t="str">
        <f>IFERROR(IF($Q$1=$P$3,INDEX(prem_analysis!$P$2:$Q$441,ROWS(Data!$P$2:T185),COLUMNS(Data!$P$3:S186)),IF($Q$1=$P$5,INDEX(prem_analysis!$BH$1:$BS$23,ROWS(Data!$Q$3:T186),COLUMNS(Data!$Q$3:T186)),IF($Q$1=$P$6,INDEX(prem_analysis!$BU$1:$CF$67,ROWS(prem_analysis!$N$2:Q185),COLUMNS(prem_analysis!$N$2:Q185)),IF($Q$1=$P$4,INDEX(Table24[[#All],[Year]:[Details]],ROWS(prem_analysis!$M$420:P603),COLUMNS(Data!$Q$3:T186)))))),"")</f>
        <v/>
      </c>
      <c r="V185" s="1" t="str">
        <f>IFERROR(IF($Q$1=$P$3,INDEX(prem_analysis!$P$2:$Q$441,ROWS(Data!$P$2:U185),COLUMNS(Data!$P$3:T186)),IF($Q$1=$P$5,INDEX(prem_analysis!$BH$1:$BS$23,ROWS(Data!$Q$3:U186),COLUMNS(Data!$Q$3:U186)),IF($Q$1=$P$6,INDEX(prem_analysis!$BU$1:$CF$67,ROWS(prem_analysis!$N$2:R185),COLUMNS(prem_analysis!$N$2:R185)),IF($Q$1=$P$4,INDEX(Table24[[#All],[Year]:[Details]],ROWS(prem_analysis!$M$420:Q603),COLUMNS(Data!$Q$3:U186)))))),"")</f>
        <v/>
      </c>
      <c r="W185" s="1" t="str">
        <f>IFERROR(IF($Q$1=$P$3,INDEX(prem_analysis!$P$2:$Q$441,ROWS(Data!$P$2:V185),COLUMNS(Data!$P$3:U186)),IF($Q$1=$P$5,INDEX(prem_analysis!$BH$1:$BS$23,ROWS(Data!$Q$3:V186),COLUMNS(Data!$Q$3:V186)),IF($Q$1=$P$6,INDEX(prem_analysis!$BU$1:$CF$67,ROWS(prem_analysis!$N$2:S185),COLUMNS(prem_analysis!$N$2:S185)),IF($Q$1=$P$4,INDEX(Table24[[#All],[Year]:[Details]],ROWS(prem_analysis!$M$420:R603),COLUMNS(Data!$Q$3:V186)))))),"")</f>
        <v/>
      </c>
      <c r="X185" s="1" t="str">
        <f>IFERROR(IF($Q$1=$P$3,INDEX(prem_analysis!$P$2:$Q$441,ROWS(Data!$P$2:W185),COLUMNS(Data!$P$3:V186)),IF($Q$1=$P$5,INDEX(prem_analysis!$BH$1:$BS$23,ROWS(Data!$Q$3:W186),COLUMNS(Data!$Q$3:W186)),IF($Q$1=$P$6,INDEX(prem_analysis!$BU$1:$CF$67,ROWS(prem_analysis!$N$2:T185),COLUMNS(prem_analysis!$N$2:T185)),IF($Q$1=$P$4,INDEX(Table24[[#All],[Year]:[Details]],ROWS(prem_analysis!$M$420:S603),COLUMNS(Data!$Q$3:W186)))))),"")</f>
        <v/>
      </c>
      <c r="Y185" s="1" t="str">
        <f>IFERROR(IF($Q$1=$P$3,INDEX(prem_analysis!$P$2:$Q$441,ROWS(Data!$P$2:X185),COLUMNS(Data!$P$3:W186)),IF($Q$1=$P$5,INDEX(prem_analysis!$BH$1:$BS$23,ROWS(Data!$Q$3:X186),COLUMNS(Data!$Q$3:X186)),IF($Q$1=$P$6,INDEX(prem_analysis!$BU$1:$CF$67,ROWS(prem_analysis!$N$2:U185),COLUMNS(prem_analysis!$N$2:U185)),IF($Q$1=$P$4,INDEX(Table24[[#All],[Year]:[Details]],ROWS(prem_analysis!$M$420:T603),COLUMNS(Data!$Q$3:X186)))))),"")</f>
        <v/>
      </c>
      <c r="Z185" s="1" t="str">
        <f>IFERROR(IF($Q$1=$P$3,INDEX(prem_analysis!$P$2:$Q$441,ROWS(Data!$P$2:Y185),COLUMNS(Data!$P$3:X186)),IF($Q$1=$P$5,INDEX(prem_analysis!$BH$1:$BS$23,ROWS(Data!$Q$3:Y186),COLUMNS(Data!$Q$3:Y186)),IF($Q$1=$P$6,INDEX(prem_analysis!$BU$1:$CF$67,ROWS(prem_analysis!$N$2:V185),COLUMNS(prem_analysis!$N$2:V185)),IF($Q$1=$P$4,INDEX(Table24[[#All],[Year]:[Details]],ROWS(prem_analysis!$M$420:U603),COLUMNS(Data!$Q$3:Y186)))))),"")</f>
        <v/>
      </c>
      <c r="AA185" s="1" t="str">
        <f>IFERROR(IF($Q$1=$P$3,INDEX(prem_analysis!$P$2:$Q$441,ROWS(Data!$P$2:Z185),COLUMNS(Data!$P$3:Y186)),IF($Q$1=$P$5,INDEX(prem_analysis!$BH$1:$BS$23,ROWS(Data!$Q$3:Z186),COLUMNS(Data!$Q$3:Z186)),IF($Q$1=$P$6,INDEX(prem_analysis!$BU$1:$CF$67,ROWS(prem_analysis!$N$2:W185),COLUMNS(prem_analysis!$N$2:W185)),IF($Q$1=$P$4,INDEX(Table24[[#All],[Year]:[Details]],ROWS(prem_analysis!$M$420:V603),COLUMNS(Data!$Q$3:Z186)))))),"")</f>
        <v/>
      </c>
      <c r="AB185" s="1" t="str">
        <f>IFERROR(IF($Q$1=$P$3,INDEX(prem_analysis!$P$2:$Q$441,ROWS(Data!$P$2:AA185),COLUMNS(Data!$P$3:Z186)),IF($Q$1=$P$5,INDEX(prem_analysis!$BH$1:$BS$23,ROWS(Data!$Q$3:AA186),COLUMNS(Data!$Q$3:AA186)),IF($Q$1=$P$6,INDEX(prem_analysis!$BU$1:$CF$67,ROWS(prem_analysis!$N$2:X185),COLUMNS(prem_analysis!$N$2:X185)),IF($Q$1=$P$4,INDEX(Table24[[#All],[Year]:[Details]],ROWS(prem_analysis!$M$420:W603),COLUMNS(Data!$Q$3:AA186)))))),"")</f>
        <v/>
      </c>
      <c r="AC185" s="1" t="str">
        <f>IFERROR(IF($Q$1=$P$3,INDEX(prem_analysis!$P$2:$Q$441,ROWS(Data!$P$2:AB185),COLUMNS(Data!$P$3:AA186)),IF($Q$1=$P$5,INDEX(prem_analysis!$BH$1:$BS$23,ROWS(Data!$Q$3:AB186),COLUMNS(Data!$Q$3:AB186)),IF($Q$1=$P$6,INDEX(prem_analysis!$BU$1:$CF$67,ROWS(prem_analysis!$N$2:Y185),COLUMNS(prem_analysis!$N$2:Y185)),IF($Q$1=$P$4,INDEX(Table24[[#All],[Year]:[Details]],ROWS(prem_analysis!$M$420:X603),COLUMNS(Data!$Q$3:AB186)))))),"")</f>
        <v/>
      </c>
    </row>
    <row r="186" spans="1:29" x14ac:dyDescent="0.2">
      <c r="A186" s="3">
        <v>2009</v>
      </c>
      <c r="B186" s="3">
        <v>5</v>
      </c>
      <c r="C186" s="4" t="s">
        <v>28</v>
      </c>
      <c r="D186" s="3">
        <v>38</v>
      </c>
      <c r="E186" s="3">
        <v>18</v>
      </c>
      <c r="F186" s="3">
        <v>13</v>
      </c>
      <c r="G186" s="3">
        <v>7</v>
      </c>
      <c r="H186" s="3">
        <v>73</v>
      </c>
      <c r="I186" s="3">
        <v>45</v>
      </c>
      <c r="J186" s="3">
        <v>28</v>
      </c>
      <c r="K186" s="3">
        <v>67</v>
      </c>
      <c r="L186" s="5">
        <f>IF(Table24[[#This Row],['#]]=1,"Champion", IF(Table24[[#This Row],['#]]&gt;=18,"Relegated",Table24[[#This Row],['#]]))</f>
        <v>5</v>
      </c>
      <c r="M186" s="5" t="str">
        <f>IF(Table24[[#This Row],[Details]]=2,K185-Table24[[#This Row],[Pts]],IF(Table24[[#This Row],[Details]]=17,Table24[[#This Row],[Pts]]-K187,""))</f>
        <v/>
      </c>
      <c r="R186" s="1" t="str">
        <f>IFERROR(IF($Q$1=$P$3,INDEX(prem_analysis!$P$2:$Q$441,ROWS(Data!$P$2:Q186),COLUMNS(Data!$P$3:P187)),IF($Q$1=$P$5,INDEX(prem_analysis!$BH$1:$BS$23,ROWS(Data!$Q$3:Q187),COLUMNS(Data!$Q$3:Q187)),IF($Q$1=$P$6,INDEX(prem_analysis!$BU$1:$CF$67,ROWS(prem_analysis!$N$2:N186),COLUMNS(prem_analysis!$N$2:N186)),IF($Q$1=$P$4,INDEX(Table24[[#All],[Year]:[Details]],ROWS(prem_analysis!$M$420:M604),COLUMNS(Data!$Q$3:Q187)))))),"")</f>
        <v/>
      </c>
      <c r="S186" s="1" t="str">
        <f>IFERROR(IF($Q$1=$P$3,INDEX(prem_analysis!$P$2:$Q$441,ROWS(Data!$P$2:R186),COLUMNS(Data!$P$3:Q187)),IF($Q$1=$P$5,INDEX(prem_analysis!$BH$1:$BS$23,ROWS(Data!$Q$3:R187),COLUMNS(Data!$Q$3:R187)),IF($Q$1=$P$6,INDEX(prem_analysis!$BU$1:$CF$67,ROWS(prem_analysis!$N$2:O186),COLUMNS(prem_analysis!$N$2:O186)),IF($Q$1=$P$4,INDEX(Table24[[#All],[Year]:[Details]],ROWS(prem_analysis!$M$420:N604),COLUMNS(Data!$Q$3:R187)))))),"")</f>
        <v/>
      </c>
      <c r="T186" s="1" t="str">
        <f>IFERROR(IF($Q$1=$P$3,INDEX(prem_analysis!$P$2:$Q$441,ROWS(Data!$P$2:S186),COLUMNS(Data!$P$3:R187)),IF($Q$1=$P$5,INDEX(prem_analysis!$BH$1:$BS$23,ROWS(Data!$Q$3:S187),COLUMNS(Data!$Q$3:S187)),IF($Q$1=$P$6,INDEX(prem_analysis!$BU$1:$CF$67,ROWS(prem_analysis!$N$2:P186),COLUMNS(prem_analysis!$N$2:P186)),IF($Q$1=$P$4,INDEX(Table24[[#All],[Year]:[Details]],ROWS(prem_analysis!$M$420:O604),COLUMNS(Data!$Q$3:S187)))))),"")</f>
        <v/>
      </c>
      <c r="U186" s="1" t="str">
        <f>IFERROR(IF($Q$1=$P$3,INDEX(prem_analysis!$P$2:$Q$441,ROWS(Data!$P$2:T186),COLUMNS(Data!$P$3:S187)),IF($Q$1=$P$5,INDEX(prem_analysis!$BH$1:$BS$23,ROWS(Data!$Q$3:T187),COLUMNS(Data!$Q$3:T187)),IF($Q$1=$P$6,INDEX(prem_analysis!$BU$1:$CF$67,ROWS(prem_analysis!$N$2:Q186),COLUMNS(prem_analysis!$N$2:Q186)),IF($Q$1=$P$4,INDEX(Table24[[#All],[Year]:[Details]],ROWS(prem_analysis!$M$420:P604),COLUMNS(Data!$Q$3:T187)))))),"")</f>
        <v/>
      </c>
      <c r="V186" s="1" t="str">
        <f>IFERROR(IF($Q$1=$P$3,INDEX(prem_analysis!$P$2:$Q$441,ROWS(Data!$P$2:U186),COLUMNS(Data!$P$3:T187)),IF($Q$1=$P$5,INDEX(prem_analysis!$BH$1:$BS$23,ROWS(Data!$Q$3:U187),COLUMNS(Data!$Q$3:U187)),IF($Q$1=$P$6,INDEX(prem_analysis!$BU$1:$CF$67,ROWS(prem_analysis!$N$2:R186),COLUMNS(prem_analysis!$N$2:R186)),IF($Q$1=$P$4,INDEX(Table24[[#All],[Year]:[Details]],ROWS(prem_analysis!$M$420:Q604),COLUMNS(Data!$Q$3:U187)))))),"")</f>
        <v/>
      </c>
      <c r="W186" s="1" t="str">
        <f>IFERROR(IF($Q$1=$P$3,INDEX(prem_analysis!$P$2:$Q$441,ROWS(Data!$P$2:V186),COLUMNS(Data!$P$3:U187)),IF($Q$1=$P$5,INDEX(prem_analysis!$BH$1:$BS$23,ROWS(Data!$Q$3:V187),COLUMNS(Data!$Q$3:V187)),IF($Q$1=$P$6,INDEX(prem_analysis!$BU$1:$CF$67,ROWS(prem_analysis!$N$2:S186),COLUMNS(prem_analysis!$N$2:S186)),IF($Q$1=$P$4,INDEX(Table24[[#All],[Year]:[Details]],ROWS(prem_analysis!$M$420:R604),COLUMNS(Data!$Q$3:V187)))))),"")</f>
        <v/>
      </c>
      <c r="X186" s="1" t="str">
        <f>IFERROR(IF($Q$1=$P$3,INDEX(prem_analysis!$P$2:$Q$441,ROWS(Data!$P$2:W186),COLUMNS(Data!$P$3:V187)),IF($Q$1=$P$5,INDEX(prem_analysis!$BH$1:$BS$23,ROWS(Data!$Q$3:W187),COLUMNS(Data!$Q$3:W187)),IF($Q$1=$P$6,INDEX(prem_analysis!$BU$1:$CF$67,ROWS(prem_analysis!$N$2:T186),COLUMNS(prem_analysis!$N$2:T186)),IF($Q$1=$P$4,INDEX(Table24[[#All],[Year]:[Details]],ROWS(prem_analysis!$M$420:S604),COLUMNS(Data!$Q$3:W187)))))),"")</f>
        <v/>
      </c>
      <c r="Y186" s="1" t="str">
        <f>IFERROR(IF($Q$1=$P$3,INDEX(prem_analysis!$P$2:$Q$441,ROWS(Data!$P$2:X186),COLUMNS(Data!$P$3:W187)),IF($Q$1=$P$5,INDEX(prem_analysis!$BH$1:$BS$23,ROWS(Data!$Q$3:X187),COLUMNS(Data!$Q$3:X187)),IF($Q$1=$P$6,INDEX(prem_analysis!$BU$1:$CF$67,ROWS(prem_analysis!$N$2:U186),COLUMNS(prem_analysis!$N$2:U186)),IF($Q$1=$P$4,INDEX(Table24[[#All],[Year]:[Details]],ROWS(prem_analysis!$M$420:T604),COLUMNS(Data!$Q$3:X187)))))),"")</f>
        <v/>
      </c>
      <c r="Z186" s="1" t="str">
        <f>IFERROR(IF($Q$1=$P$3,INDEX(prem_analysis!$P$2:$Q$441,ROWS(Data!$P$2:Y186),COLUMNS(Data!$P$3:X187)),IF($Q$1=$P$5,INDEX(prem_analysis!$BH$1:$BS$23,ROWS(Data!$Q$3:Y187),COLUMNS(Data!$Q$3:Y187)),IF($Q$1=$P$6,INDEX(prem_analysis!$BU$1:$CF$67,ROWS(prem_analysis!$N$2:V186),COLUMNS(prem_analysis!$N$2:V186)),IF($Q$1=$P$4,INDEX(Table24[[#All],[Year]:[Details]],ROWS(prem_analysis!$M$420:U604),COLUMNS(Data!$Q$3:Y187)))))),"")</f>
        <v/>
      </c>
      <c r="AA186" s="1" t="str">
        <f>IFERROR(IF($Q$1=$P$3,INDEX(prem_analysis!$P$2:$Q$441,ROWS(Data!$P$2:Z186),COLUMNS(Data!$P$3:Y187)),IF($Q$1=$P$5,INDEX(prem_analysis!$BH$1:$BS$23,ROWS(Data!$Q$3:Z187),COLUMNS(Data!$Q$3:Z187)),IF($Q$1=$P$6,INDEX(prem_analysis!$BU$1:$CF$67,ROWS(prem_analysis!$N$2:W186),COLUMNS(prem_analysis!$N$2:W186)),IF($Q$1=$P$4,INDEX(Table24[[#All],[Year]:[Details]],ROWS(prem_analysis!$M$420:V604),COLUMNS(Data!$Q$3:Z187)))))),"")</f>
        <v/>
      </c>
      <c r="AB186" s="1" t="str">
        <f>IFERROR(IF($Q$1=$P$3,INDEX(prem_analysis!$P$2:$Q$441,ROWS(Data!$P$2:AA186),COLUMNS(Data!$P$3:Z187)),IF($Q$1=$P$5,INDEX(prem_analysis!$BH$1:$BS$23,ROWS(Data!$Q$3:AA187),COLUMNS(Data!$Q$3:AA187)),IF($Q$1=$P$6,INDEX(prem_analysis!$BU$1:$CF$67,ROWS(prem_analysis!$N$2:X186),COLUMNS(prem_analysis!$N$2:X186)),IF($Q$1=$P$4,INDEX(Table24[[#All],[Year]:[Details]],ROWS(prem_analysis!$M$420:W604),COLUMNS(Data!$Q$3:AA187)))))),"")</f>
        <v/>
      </c>
      <c r="AC186" s="1" t="str">
        <f>IFERROR(IF($Q$1=$P$3,INDEX(prem_analysis!$P$2:$Q$441,ROWS(Data!$P$2:AB186),COLUMNS(Data!$P$3:AA187)),IF($Q$1=$P$5,INDEX(prem_analysis!$BH$1:$BS$23,ROWS(Data!$Q$3:AB187),COLUMNS(Data!$Q$3:AB187)),IF($Q$1=$P$6,INDEX(prem_analysis!$BU$1:$CF$67,ROWS(prem_analysis!$N$2:Y186),COLUMNS(prem_analysis!$N$2:Y186)),IF($Q$1=$P$4,INDEX(Table24[[#All],[Year]:[Details]],ROWS(prem_analysis!$M$420:X604),COLUMNS(Data!$Q$3:AB187)))))),"")</f>
        <v/>
      </c>
    </row>
    <row r="187" spans="1:29" x14ac:dyDescent="0.2">
      <c r="A187" s="5">
        <v>2009</v>
      </c>
      <c r="B187" s="5">
        <v>6</v>
      </c>
      <c r="C187" s="6" t="s">
        <v>18</v>
      </c>
      <c r="D187" s="5">
        <v>38</v>
      </c>
      <c r="E187" s="5">
        <v>17</v>
      </c>
      <c r="F187" s="5">
        <v>13</v>
      </c>
      <c r="G187" s="5">
        <v>8</v>
      </c>
      <c r="H187" s="5">
        <v>52</v>
      </c>
      <c r="I187" s="5">
        <v>39</v>
      </c>
      <c r="J187" s="5">
        <v>13</v>
      </c>
      <c r="K187" s="5">
        <v>64</v>
      </c>
      <c r="L187" s="5">
        <f>IF(Table24[[#This Row],['#]]=1,"Champion", IF(Table24[[#This Row],['#]]&gt;=18,"Relegated",Table24[[#This Row],['#]]))</f>
        <v>6</v>
      </c>
      <c r="M187" s="5" t="str">
        <f>IF(Table24[[#This Row],[Details]]=2,K186-Table24[[#This Row],[Pts]],IF(Table24[[#This Row],[Details]]=17,Table24[[#This Row],[Pts]]-K188,""))</f>
        <v/>
      </c>
      <c r="R187" s="1" t="str">
        <f>IFERROR(IF($Q$1=$P$3,INDEX(prem_analysis!$P$2:$Q$441,ROWS(Data!$P$2:Q187),COLUMNS(Data!$P$3:P188)),IF($Q$1=$P$5,INDEX(prem_analysis!$BH$1:$BS$23,ROWS(Data!$Q$3:Q188),COLUMNS(Data!$Q$3:Q188)),IF($Q$1=$P$6,INDEX(prem_analysis!$BU$1:$CF$67,ROWS(prem_analysis!$N$2:N187),COLUMNS(prem_analysis!$N$2:N187)),IF($Q$1=$P$4,INDEX(Table24[[#All],[Year]:[Details]],ROWS(prem_analysis!$M$420:M605),COLUMNS(Data!$Q$3:Q188)))))),"")</f>
        <v/>
      </c>
      <c r="S187" s="1" t="str">
        <f>IFERROR(IF($Q$1=$P$3,INDEX(prem_analysis!$P$2:$Q$441,ROWS(Data!$P$2:R187),COLUMNS(Data!$P$3:Q188)),IF($Q$1=$P$5,INDEX(prem_analysis!$BH$1:$BS$23,ROWS(Data!$Q$3:R188),COLUMNS(Data!$Q$3:R188)),IF($Q$1=$P$6,INDEX(prem_analysis!$BU$1:$CF$67,ROWS(prem_analysis!$N$2:O187),COLUMNS(prem_analysis!$N$2:O187)),IF($Q$1=$P$4,INDEX(Table24[[#All],[Year]:[Details]],ROWS(prem_analysis!$M$420:N605),COLUMNS(Data!$Q$3:R188)))))),"")</f>
        <v/>
      </c>
      <c r="T187" s="1" t="str">
        <f>IFERROR(IF($Q$1=$P$3,INDEX(prem_analysis!$P$2:$Q$441,ROWS(Data!$P$2:S187),COLUMNS(Data!$P$3:R188)),IF($Q$1=$P$5,INDEX(prem_analysis!$BH$1:$BS$23,ROWS(Data!$Q$3:S188),COLUMNS(Data!$Q$3:S188)),IF($Q$1=$P$6,INDEX(prem_analysis!$BU$1:$CF$67,ROWS(prem_analysis!$N$2:P187),COLUMNS(prem_analysis!$N$2:P187)),IF($Q$1=$P$4,INDEX(Table24[[#All],[Year]:[Details]],ROWS(prem_analysis!$M$420:O605),COLUMNS(Data!$Q$3:S188)))))),"")</f>
        <v/>
      </c>
      <c r="U187" s="1" t="str">
        <f>IFERROR(IF($Q$1=$P$3,INDEX(prem_analysis!$P$2:$Q$441,ROWS(Data!$P$2:T187),COLUMNS(Data!$P$3:S188)),IF($Q$1=$P$5,INDEX(prem_analysis!$BH$1:$BS$23,ROWS(Data!$Q$3:T188),COLUMNS(Data!$Q$3:T188)),IF($Q$1=$P$6,INDEX(prem_analysis!$BU$1:$CF$67,ROWS(prem_analysis!$N$2:Q187),COLUMNS(prem_analysis!$N$2:Q187)),IF($Q$1=$P$4,INDEX(Table24[[#All],[Year]:[Details]],ROWS(prem_analysis!$M$420:P605),COLUMNS(Data!$Q$3:T188)))))),"")</f>
        <v/>
      </c>
      <c r="V187" s="1" t="str">
        <f>IFERROR(IF($Q$1=$P$3,INDEX(prem_analysis!$P$2:$Q$441,ROWS(Data!$P$2:U187),COLUMNS(Data!$P$3:T188)),IF($Q$1=$P$5,INDEX(prem_analysis!$BH$1:$BS$23,ROWS(Data!$Q$3:U188),COLUMNS(Data!$Q$3:U188)),IF($Q$1=$P$6,INDEX(prem_analysis!$BU$1:$CF$67,ROWS(prem_analysis!$N$2:R187),COLUMNS(prem_analysis!$N$2:R187)),IF($Q$1=$P$4,INDEX(Table24[[#All],[Year]:[Details]],ROWS(prem_analysis!$M$420:Q605),COLUMNS(Data!$Q$3:U188)))))),"")</f>
        <v/>
      </c>
      <c r="W187" s="1" t="str">
        <f>IFERROR(IF($Q$1=$P$3,INDEX(prem_analysis!$P$2:$Q$441,ROWS(Data!$P$2:V187),COLUMNS(Data!$P$3:U188)),IF($Q$1=$P$5,INDEX(prem_analysis!$BH$1:$BS$23,ROWS(Data!$Q$3:V188),COLUMNS(Data!$Q$3:V188)),IF($Q$1=$P$6,INDEX(prem_analysis!$BU$1:$CF$67,ROWS(prem_analysis!$N$2:S187),COLUMNS(prem_analysis!$N$2:S187)),IF($Q$1=$P$4,INDEX(Table24[[#All],[Year]:[Details]],ROWS(prem_analysis!$M$420:R605),COLUMNS(Data!$Q$3:V188)))))),"")</f>
        <v/>
      </c>
      <c r="X187" s="1" t="str">
        <f>IFERROR(IF($Q$1=$P$3,INDEX(prem_analysis!$P$2:$Q$441,ROWS(Data!$P$2:W187),COLUMNS(Data!$P$3:V188)),IF($Q$1=$P$5,INDEX(prem_analysis!$BH$1:$BS$23,ROWS(Data!$Q$3:W188),COLUMNS(Data!$Q$3:W188)),IF($Q$1=$P$6,INDEX(prem_analysis!$BU$1:$CF$67,ROWS(prem_analysis!$N$2:T187),COLUMNS(prem_analysis!$N$2:T187)),IF($Q$1=$P$4,INDEX(Table24[[#All],[Year]:[Details]],ROWS(prem_analysis!$M$420:S605),COLUMNS(Data!$Q$3:W188)))))),"")</f>
        <v/>
      </c>
      <c r="Y187" s="1" t="str">
        <f>IFERROR(IF($Q$1=$P$3,INDEX(prem_analysis!$P$2:$Q$441,ROWS(Data!$P$2:X187),COLUMNS(Data!$P$3:W188)),IF($Q$1=$P$5,INDEX(prem_analysis!$BH$1:$BS$23,ROWS(Data!$Q$3:X188),COLUMNS(Data!$Q$3:X188)),IF($Q$1=$P$6,INDEX(prem_analysis!$BU$1:$CF$67,ROWS(prem_analysis!$N$2:U187),COLUMNS(prem_analysis!$N$2:U187)),IF($Q$1=$P$4,INDEX(Table24[[#All],[Year]:[Details]],ROWS(prem_analysis!$M$420:T605),COLUMNS(Data!$Q$3:X188)))))),"")</f>
        <v/>
      </c>
      <c r="Z187" s="1" t="str">
        <f>IFERROR(IF($Q$1=$P$3,INDEX(prem_analysis!$P$2:$Q$441,ROWS(Data!$P$2:Y187),COLUMNS(Data!$P$3:X188)),IF($Q$1=$P$5,INDEX(prem_analysis!$BH$1:$BS$23,ROWS(Data!$Q$3:Y188),COLUMNS(Data!$Q$3:Y188)),IF($Q$1=$P$6,INDEX(prem_analysis!$BU$1:$CF$67,ROWS(prem_analysis!$N$2:V187),COLUMNS(prem_analysis!$N$2:V187)),IF($Q$1=$P$4,INDEX(Table24[[#All],[Year]:[Details]],ROWS(prem_analysis!$M$420:U605),COLUMNS(Data!$Q$3:Y188)))))),"")</f>
        <v/>
      </c>
      <c r="AA187" s="1" t="str">
        <f>IFERROR(IF($Q$1=$P$3,INDEX(prem_analysis!$P$2:$Q$441,ROWS(Data!$P$2:Z187),COLUMNS(Data!$P$3:Y188)),IF($Q$1=$P$5,INDEX(prem_analysis!$BH$1:$BS$23,ROWS(Data!$Q$3:Z188),COLUMNS(Data!$Q$3:Z188)),IF($Q$1=$P$6,INDEX(prem_analysis!$BU$1:$CF$67,ROWS(prem_analysis!$N$2:W187),COLUMNS(prem_analysis!$N$2:W187)),IF($Q$1=$P$4,INDEX(Table24[[#All],[Year]:[Details]],ROWS(prem_analysis!$M$420:V605),COLUMNS(Data!$Q$3:Z188)))))),"")</f>
        <v/>
      </c>
      <c r="AB187" s="1" t="str">
        <f>IFERROR(IF($Q$1=$P$3,INDEX(prem_analysis!$P$2:$Q$441,ROWS(Data!$P$2:AA187),COLUMNS(Data!$P$3:Z188)),IF($Q$1=$P$5,INDEX(prem_analysis!$BH$1:$BS$23,ROWS(Data!$Q$3:AA188),COLUMNS(Data!$Q$3:AA188)),IF($Q$1=$P$6,INDEX(prem_analysis!$BU$1:$CF$67,ROWS(prem_analysis!$N$2:X187),COLUMNS(prem_analysis!$N$2:X187)),IF($Q$1=$P$4,INDEX(Table24[[#All],[Year]:[Details]],ROWS(prem_analysis!$M$420:W605),COLUMNS(Data!$Q$3:AA188)))))),"")</f>
        <v/>
      </c>
      <c r="AC187" s="1" t="str">
        <f>IFERROR(IF($Q$1=$P$3,INDEX(prem_analysis!$P$2:$Q$441,ROWS(Data!$P$2:AB187),COLUMNS(Data!$P$3:AA188)),IF($Q$1=$P$5,INDEX(prem_analysis!$BH$1:$BS$23,ROWS(Data!$Q$3:AB188),COLUMNS(Data!$Q$3:AB188)),IF($Q$1=$P$6,INDEX(prem_analysis!$BU$1:$CF$67,ROWS(prem_analysis!$N$2:Y187),COLUMNS(prem_analysis!$N$2:Y187)),IF($Q$1=$P$4,INDEX(Table24[[#All],[Year]:[Details]],ROWS(prem_analysis!$M$420:X605),COLUMNS(Data!$Q$3:AB188)))))),"")</f>
        <v/>
      </c>
    </row>
    <row r="188" spans="1:29" x14ac:dyDescent="0.2">
      <c r="A188" s="3">
        <v>2009</v>
      </c>
      <c r="B188" s="3">
        <v>7</v>
      </c>
      <c r="C188" s="4" t="s">
        <v>13</v>
      </c>
      <c r="D188" s="3">
        <v>38</v>
      </c>
      <c r="E188" s="3">
        <v>18</v>
      </c>
      <c r="F188" s="3">
        <v>9</v>
      </c>
      <c r="G188" s="3">
        <v>11</v>
      </c>
      <c r="H188" s="3">
        <v>61</v>
      </c>
      <c r="I188" s="3">
        <v>35</v>
      </c>
      <c r="J188" s="3">
        <v>26</v>
      </c>
      <c r="K188" s="3">
        <v>63</v>
      </c>
      <c r="L188" s="5">
        <f>IF(Table24[[#This Row],['#]]=1,"Champion", IF(Table24[[#This Row],['#]]&gt;=18,"Relegated",Table24[[#This Row],['#]]))</f>
        <v>7</v>
      </c>
      <c r="M188" s="5" t="str">
        <f>IF(Table24[[#This Row],[Details]]=2,K187-Table24[[#This Row],[Pts]],IF(Table24[[#This Row],[Details]]=17,Table24[[#This Row],[Pts]]-K189,""))</f>
        <v/>
      </c>
      <c r="R188" s="1" t="str">
        <f>IFERROR(IF($Q$1=$P$3,INDEX(prem_analysis!$P$2:$Q$441,ROWS(Data!$P$2:Q188),COLUMNS(Data!$P$3:P189)),IF($Q$1=$P$5,INDEX(prem_analysis!$BH$1:$BS$23,ROWS(Data!$Q$3:Q189),COLUMNS(Data!$Q$3:Q189)),IF($Q$1=$P$6,INDEX(prem_analysis!$BU$1:$CF$67,ROWS(prem_analysis!$N$2:N188),COLUMNS(prem_analysis!$N$2:N188)),IF($Q$1=$P$4,INDEX(Table24[[#All],[Year]:[Details]],ROWS(prem_analysis!$M$420:M606),COLUMNS(Data!$Q$3:Q189)))))),"")</f>
        <v/>
      </c>
      <c r="S188" s="1" t="str">
        <f>IFERROR(IF($Q$1=$P$3,INDEX(prem_analysis!$P$2:$Q$441,ROWS(Data!$P$2:R188),COLUMNS(Data!$P$3:Q189)),IF($Q$1=$P$5,INDEX(prem_analysis!$BH$1:$BS$23,ROWS(Data!$Q$3:R189),COLUMNS(Data!$Q$3:R189)),IF($Q$1=$P$6,INDEX(prem_analysis!$BU$1:$CF$67,ROWS(prem_analysis!$N$2:O188),COLUMNS(prem_analysis!$N$2:O188)),IF($Q$1=$P$4,INDEX(Table24[[#All],[Year]:[Details]],ROWS(prem_analysis!$M$420:N606),COLUMNS(Data!$Q$3:R189)))))),"")</f>
        <v/>
      </c>
      <c r="T188" s="1" t="str">
        <f>IFERROR(IF($Q$1=$P$3,INDEX(prem_analysis!$P$2:$Q$441,ROWS(Data!$P$2:S188),COLUMNS(Data!$P$3:R189)),IF($Q$1=$P$5,INDEX(prem_analysis!$BH$1:$BS$23,ROWS(Data!$Q$3:S189),COLUMNS(Data!$Q$3:S189)),IF($Q$1=$P$6,INDEX(prem_analysis!$BU$1:$CF$67,ROWS(prem_analysis!$N$2:P188),COLUMNS(prem_analysis!$N$2:P188)),IF($Q$1=$P$4,INDEX(Table24[[#All],[Year]:[Details]],ROWS(prem_analysis!$M$420:O606),COLUMNS(Data!$Q$3:S189)))))),"")</f>
        <v/>
      </c>
      <c r="U188" s="1" t="str">
        <f>IFERROR(IF($Q$1=$P$3,INDEX(prem_analysis!$P$2:$Q$441,ROWS(Data!$P$2:T188),COLUMNS(Data!$P$3:S189)),IF($Q$1=$P$5,INDEX(prem_analysis!$BH$1:$BS$23,ROWS(Data!$Q$3:T189),COLUMNS(Data!$Q$3:T189)),IF($Q$1=$P$6,INDEX(prem_analysis!$BU$1:$CF$67,ROWS(prem_analysis!$N$2:Q188),COLUMNS(prem_analysis!$N$2:Q188)),IF($Q$1=$P$4,INDEX(Table24[[#All],[Year]:[Details]],ROWS(prem_analysis!$M$420:P606),COLUMNS(Data!$Q$3:T189)))))),"")</f>
        <v/>
      </c>
      <c r="V188" s="1" t="str">
        <f>IFERROR(IF($Q$1=$P$3,INDEX(prem_analysis!$P$2:$Q$441,ROWS(Data!$P$2:U188),COLUMNS(Data!$P$3:T189)),IF($Q$1=$P$5,INDEX(prem_analysis!$BH$1:$BS$23,ROWS(Data!$Q$3:U189),COLUMNS(Data!$Q$3:U189)),IF($Q$1=$P$6,INDEX(prem_analysis!$BU$1:$CF$67,ROWS(prem_analysis!$N$2:R188),COLUMNS(prem_analysis!$N$2:R188)),IF($Q$1=$P$4,INDEX(Table24[[#All],[Year]:[Details]],ROWS(prem_analysis!$M$420:Q606),COLUMNS(Data!$Q$3:U189)))))),"")</f>
        <v/>
      </c>
      <c r="W188" s="1" t="str">
        <f>IFERROR(IF($Q$1=$P$3,INDEX(prem_analysis!$P$2:$Q$441,ROWS(Data!$P$2:V188),COLUMNS(Data!$P$3:U189)),IF($Q$1=$P$5,INDEX(prem_analysis!$BH$1:$BS$23,ROWS(Data!$Q$3:V189),COLUMNS(Data!$Q$3:V189)),IF($Q$1=$P$6,INDEX(prem_analysis!$BU$1:$CF$67,ROWS(prem_analysis!$N$2:S188),COLUMNS(prem_analysis!$N$2:S188)),IF($Q$1=$P$4,INDEX(Table24[[#All],[Year]:[Details]],ROWS(prem_analysis!$M$420:R606),COLUMNS(Data!$Q$3:V189)))))),"")</f>
        <v/>
      </c>
      <c r="X188" s="1" t="str">
        <f>IFERROR(IF($Q$1=$P$3,INDEX(prem_analysis!$P$2:$Q$441,ROWS(Data!$P$2:W188),COLUMNS(Data!$P$3:V189)),IF($Q$1=$P$5,INDEX(prem_analysis!$BH$1:$BS$23,ROWS(Data!$Q$3:W189),COLUMNS(Data!$Q$3:W189)),IF($Q$1=$P$6,INDEX(prem_analysis!$BU$1:$CF$67,ROWS(prem_analysis!$N$2:T188),COLUMNS(prem_analysis!$N$2:T188)),IF($Q$1=$P$4,INDEX(Table24[[#All],[Year]:[Details]],ROWS(prem_analysis!$M$420:S606),COLUMNS(Data!$Q$3:W189)))))),"")</f>
        <v/>
      </c>
      <c r="Y188" s="1" t="str">
        <f>IFERROR(IF($Q$1=$P$3,INDEX(prem_analysis!$P$2:$Q$441,ROWS(Data!$P$2:X188),COLUMNS(Data!$P$3:W189)),IF($Q$1=$P$5,INDEX(prem_analysis!$BH$1:$BS$23,ROWS(Data!$Q$3:X189),COLUMNS(Data!$Q$3:X189)),IF($Q$1=$P$6,INDEX(prem_analysis!$BU$1:$CF$67,ROWS(prem_analysis!$N$2:U188),COLUMNS(prem_analysis!$N$2:U188)),IF($Q$1=$P$4,INDEX(Table24[[#All],[Year]:[Details]],ROWS(prem_analysis!$M$420:T606),COLUMNS(Data!$Q$3:X189)))))),"")</f>
        <v/>
      </c>
      <c r="Z188" s="1" t="str">
        <f>IFERROR(IF($Q$1=$P$3,INDEX(prem_analysis!$P$2:$Q$441,ROWS(Data!$P$2:Y188),COLUMNS(Data!$P$3:X189)),IF($Q$1=$P$5,INDEX(prem_analysis!$BH$1:$BS$23,ROWS(Data!$Q$3:Y189),COLUMNS(Data!$Q$3:Y189)),IF($Q$1=$P$6,INDEX(prem_analysis!$BU$1:$CF$67,ROWS(prem_analysis!$N$2:V188),COLUMNS(prem_analysis!$N$2:V188)),IF($Q$1=$P$4,INDEX(Table24[[#All],[Year]:[Details]],ROWS(prem_analysis!$M$420:U606),COLUMNS(Data!$Q$3:Y189)))))),"")</f>
        <v/>
      </c>
      <c r="AA188" s="1" t="str">
        <f>IFERROR(IF($Q$1=$P$3,INDEX(prem_analysis!$P$2:$Q$441,ROWS(Data!$P$2:Z188),COLUMNS(Data!$P$3:Y189)),IF($Q$1=$P$5,INDEX(prem_analysis!$BH$1:$BS$23,ROWS(Data!$Q$3:Z189),COLUMNS(Data!$Q$3:Z189)),IF($Q$1=$P$6,INDEX(prem_analysis!$BU$1:$CF$67,ROWS(prem_analysis!$N$2:W188),COLUMNS(prem_analysis!$N$2:W188)),IF($Q$1=$P$4,INDEX(Table24[[#All],[Year]:[Details]],ROWS(prem_analysis!$M$420:V606),COLUMNS(Data!$Q$3:Z189)))))),"")</f>
        <v/>
      </c>
      <c r="AB188" s="1" t="str">
        <f>IFERROR(IF($Q$1=$P$3,INDEX(prem_analysis!$P$2:$Q$441,ROWS(Data!$P$2:AA188),COLUMNS(Data!$P$3:Z189)),IF($Q$1=$P$5,INDEX(prem_analysis!$BH$1:$BS$23,ROWS(Data!$Q$3:AA189),COLUMNS(Data!$Q$3:AA189)),IF($Q$1=$P$6,INDEX(prem_analysis!$BU$1:$CF$67,ROWS(prem_analysis!$N$2:X188),COLUMNS(prem_analysis!$N$2:X188)),IF($Q$1=$P$4,INDEX(Table24[[#All],[Year]:[Details]],ROWS(prem_analysis!$M$420:W606),COLUMNS(Data!$Q$3:AA189)))))),"")</f>
        <v/>
      </c>
      <c r="AC188" s="1" t="str">
        <f>IFERROR(IF($Q$1=$P$3,INDEX(prem_analysis!$P$2:$Q$441,ROWS(Data!$P$2:AB188),COLUMNS(Data!$P$3:AA189)),IF($Q$1=$P$5,INDEX(prem_analysis!$BH$1:$BS$23,ROWS(Data!$Q$3:AB189),COLUMNS(Data!$Q$3:AB189)),IF($Q$1=$P$6,INDEX(prem_analysis!$BU$1:$CF$67,ROWS(prem_analysis!$N$2:Y188),COLUMNS(prem_analysis!$N$2:Y188)),IF($Q$1=$P$4,INDEX(Table24[[#All],[Year]:[Details]],ROWS(prem_analysis!$M$420:X606),COLUMNS(Data!$Q$3:AB189)))))),"")</f>
        <v/>
      </c>
    </row>
    <row r="189" spans="1:29" x14ac:dyDescent="0.2">
      <c r="A189" s="5">
        <v>2009</v>
      </c>
      <c r="B189" s="5">
        <v>8</v>
      </c>
      <c r="C189" s="6" t="s">
        <v>26</v>
      </c>
      <c r="D189" s="5">
        <v>38</v>
      </c>
      <c r="E189" s="5">
        <v>16</v>
      </c>
      <c r="F189" s="5">
        <v>13</v>
      </c>
      <c r="G189" s="5">
        <v>9</v>
      </c>
      <c r="H189" s="5">
        <v>60</v>
      </c>
      <c r="I189" s="5">
        <v>49</v>
      </c>
      <c r="J189" s="5">
        <v>11</v>
      </c>
      <c r="K189" s="5">
        <v>61</v>
      </c>
      <c r="L189" s="5">
        <f>IF(Table24[[#This Row],['#]]=1,"Champion", IF(Table24[[#This Row],['#]]&gt;=18,"Relegated",Table24[[#This Row],['#]]))</f>
        <v>8</v>
      </c>
      <c r="M189" s="5" t="str">
        <f>IF(Table24[[#This Row],[Details]]=2,K188-Table24[[#This Row],[Pts]],IF(Table24[[#This Row],[Details]]=17,Table24[[#This Row],[Pts]]-K190,""))</f>
        <v/>
      </c>
      <c r="R189" s="1" t="str">
        <f>IFERROR(IF($Q$1=$P$3,INDEX(prem_analysis!$P$2:$Q$441,ROWS(Data!$P$2:Q189),COLUMNS(Data!$P$3:P190)),IF($Q$1=$P$5,INDEX(prem_analysis!$BH$1:$BS$23,ROWS(Data!$Q$3:Q190),COLUMNS(Data!$Q$3:Q190)),IF($Q$1=$P$6,INDEX(prem_analysis!$BU$1:$CF$67,ROWS(prem_analysis!$N$2:N189),COLUMNS(prem_analysis!$N$2:N189)),IF($Q$1=$P$4,INDEX(Table24[[#All],[Year]:[Details]],ROWS(prem_analysis!$M$420:M607),COLUMNS(Data!$Q$3:Q190)))))),"")</f>
        <v/>
      </c>
      <c r="S189" s="1" t="str">
        <f>IFERROR(IF($Q$1=$P$3,INDEX(prem_analysis!$P$2:$Q$441,ROWS(Data!$P$2:R189),COLUMNS(Data!$P$3:Q190)),IF($Q$1=$P$5,INDEX(prem_analysis!$BH$1:$BS$23,ROWS(Data!$Q$3:R190),COLUMNS(Data!$Q$3:R190)),IF($Q$1=$P$6,INDEX(prem_analysis!$BU$1:$CF$67,ROWS(prem_analysis!$N$2:O189),COLUMNS(prem_analysis!$N$2:O189)),IF($Q$1=$P$4,INDEX(Table24[[#All],[Year]:[Details]],ROWS(prem_analysis!$M$420:N607),COLUMNS(Data!$Q$3:R190)))))),"")</f>
        <v/>
      </c>
      <c r="T189" s="1" t="str">
        <f>IFERROR(IF($Q$1=$P$3,INDEX(prem_analysis!$P$2:$Q$441,ROWS(Data!$P$2:S189),COLUMNS(Data!$P$3:R190)),IF($Q$1=$P$5,INDEX(prem_analysis!$BH$1:$BS$23,ROWS(Data!$Q$3:S190),COLUMNS(Data!$Q$3:S190)),IF($Q$1=$P$6,INDEX(prem_analysis!$BU$1:$CF$67,ROWS(prem_analysis!$N$2:P189),COLUMNS(prem_analysis!$N$2:P189)),IF($Q$1=$P$4,INDEX(Table24[[#All],[Year]:[Details]],ROWS(prem_analysis!$M$420:O607),COLUMNS(Data!$Q$3:S190)))))),"")</f>
        <v/>
      </c>
      <c r="U189" s="1" t="str">
        <f>IFERROR(IF($Q$1=$P$3,INDEX(prem_analysis!$P$2:$Q$441,ROWS(Data!$P$2:T189),COLUMNS(Data!$P$3:S190)),IF($Q$1=$P$5,INDEX(prem_analysis!$BH$1:$BS$23,ROWS(Data!$Q$3:T190),COLUMNS(Data!$Q$3:T190)),IF($Q$1=$P$6,INDEX(prem_analysis!$BU$1:$CF$67,ROWS(prem_analysis!$N$2:Q189),COLUMNS(prem_analysis!$N$2:Q189)),IF($Q$1=$P$4,INDEX(Table24[[#All],[Year]:[Details]],ROWS(prem_analysis!$M$420:P607),COLUMNS(Data!$Q$3:T190)))))),"")</f>
        <v/>
      </c>
      <c r="V189" s="1" t="str">
        <f>IFERROR(IF($Q$1=$P$3,INDEX(prem_analysis!$P$2:$Q$441,ROWS(Data!$P$2:U189),COLUMNS(Data!$P$3:T190)),IF($Q$1=$P$5,INDEX(prem_analysis!$BH$1:$BS$23,ROWS(Data!$Q$3:U190),COLUMNS(Data!$Q$3:U190)),IF($Q$1=$P$6,INDEX(prem_analysis!$BU$1:$CF$67,ROWS(prem_analysis!$N$2:R189),COLUMNS(prem_analysis!$N$2:R189)),IF($Q$1=$P$4,INDEX(Table24[[#All],[Year]:[Details]],ROWS(prem_analysis!$M$420:Q607),COLUMNS(Data!$Q$3:U190)))))),"")</f>
        <v/>
      </c>
      <c r="W189" s="1" t="str">
        <f>IFERROR(IF($Q$1=$P$3,INDEX(prem_analysis!$P$2:$Q$441,ROWS(Data!$P$2:V189),COLUMNS(Data!$P$3:U190)),IF($Q$1=$P$5,INDEX(prem_analysis!$BH$1:$BS$23,ROWS(Data!$Q$3:V190),COLUMNS(Data!$Q$3:V190)),IF($Q$1=$P$6,INDEX(prem_analysis!$BU$1:$CF$67,ROWS(prem_analysis!$N$2:S189),COLUMNS(prem_analysis!$N$2:S189)),IF($Q$1=$P$4,INDEX(Table24[[#All],[Year]:[Details]],ROWS(prem_analysis!$M$420:R607),COLUMNS(Data!$Q$3:V190)))))),"")</f>
        <v/>
      </c>
      <c r="X189" s="1" t="str">
        <f>IFERROR(IF($Q$1=$P$3,INDEX(prem_analysis!$P$2:$Q$441,ROWS(Data!$P$2:W189),COLUMNS(Data!$P$3:V190)),IF($Q$1=$P$5,INDEX(prem_analysis!$BH$1:$BS$23,ROWS(Data!$Q$3:W190),COLUMNS(Data!$Q$3:W190)),IF($Q$1=$P$6,INDEX(prem_analysis!$BU$1:$CF$67,ROWS(prem_analysis!$N$2:T189),COLUMNS(prem_analysis!$N$2:T189)),IF($Q$1=$P$4,INDEX(Table24[[#All],[Year]:[Details]],ROWS(prem_analysis!$M$420:S607),COLUMNS(Data!$Q$3:W190)))))),"")</f>
        <v/>
      </c>
      <c r="Y189" s="1" t="str">
        <f>IFERROR(IF($Q$1=$P$3,INDEX(prem_analysis!$P$2:$Q$441,ROWS(Data!$P$2:X189),COLUMNS(Data!$P$3:W190)),IF($Q$1=$P$5,INDEX(prem_analysis!$BH$1:$BS$23,ROWS(Data!$Q$3:X190),COLUMNS(Data!$Q$3:X190)),IF($Q$1=$P$6,INDEX(prem_analysis!$BU$1:$CF$67,ROWS(prem_analysis!$N$2:U189),COLUMNS(prem_analysis!$N$2:U189)),IF($Q$1=$P$4,INDEX(Table24[[#All],[Year]:[Details]],ROWS(prem_analysis!$M$420:T607),COLUMNS(Data!$Q$3:X190)))))),"")</f>
        <v/>
      </c>
      <c r="Z189" s="1" t="str">
        <f>IFERROR(IF($Q$1=$P$3,INDEX(prem_analysis!$P$2:$Q$441,ROWS(Data!$P$2:Y189),COLUMNS(Data!$P$3:X190)),IF($Q$1=$P$5,INDEX(prem_analysis!$BH$1:$BS$23,ROWS(Data!$Q$3:Y190),COLUMNS(Data!$Q$3:Y190)),IF($Q$1=$P$6,INDEX(prem_analysis!$BU$1:$CF$67,ROWS(prem_analysis!$N$2:V189),COLUMNS(prem_analysis!$N$2:V189)),IF($Q$1=$P$4,INDEX(Table24[[#All],[Year]:[Details]],ROWS(prem_analysis!$M$420:U607),COLUMNS(Data!$Q$3:Y190)))))),"")</f>
        <v/>
      </c>
      <c r="AA189" s="1" t="str">
        <f>IFERROR(IF($Q$1=$P$3,INDEX(prem_analysis!$P$2:$Q$441,ROWS(Data!$P$2:Z189),COLUMNS(Data!$P$3:Y190)),IF($Q$1=$P$5,INDEX(prem_analysis!$BH$1:$BS$23,ROWS(Data!$Q$3:Z190),COLUMNS(Data!$Q$3:Z190)),IF($Q$1=$P$6,INDEX(prem_analysis!$BU$1:$CF$67,ROWS(prem_analysis!$N$2:W189),COLUMNS(prem_analysis!$N$2:W189)),IF($Q$1=$P$4,INDEX(Table24[[#All],[Year]:[Details]],ROWS(prem_analysis!$M$420:V607),COLUMNS(Data!$Q$3:Z190)))))),"")</f>
        <v/>
      </c>
      <c r="AB189" s="1" t="str">
        <f>IFERROR(IF($Q$1=$P$3,INDEX(prem_analysis!$P$2:$Q$441,ROWS(Data!$P$2:AA189),COLUMNS(Data!$P$3:Z190)),IF($Q$1=$P$5,INDEX(prem_analysis!$BH$1:$BS$23,ROWS(Data!$Q$3:AA190),COLUMNS(Data!$Q$3:AA190)),IF($Q$1=$P$6,INDEX(prem_analysis!$BU$1:$CF$67,ROWS(prem_analysis!$N$2:X189),COLUMNS(prem_analysis!$N$2:X189)),IF($Q$1=$P$4,INDEX(Table24[[#All],[Year]:[Details]],ROWS(prem_analysis!$M$420:W607),COLUMNS(Data!$Q$3:AA190)))))),"")</f>
        <v/>
      </c>
      <c r="AC189" s="1" t="str">
        <f>IFERROR(IF($Q$1=$P$3,INDEX(prem_analysis!$P$2:$Q$441,ROWS(Data!$P$2:AB189),COLUMNS(Data!$P$3:AA190)),IF($Q$1=$P$5,INDEX(prem_analysis!$BH$1:$BS$23,ROWS(Data!$Q$3:AB190),COLUMNS(Data!$Q$3:AB190)),IF($Q$1=$P$6,INDEX(prem_analysis!$BU$1:$CF$67,ROWS(prem_analysis!$N$2:Y189),COLUMNS(prem_analysis!$N$2:Y189)),IF($Q$1=$P$4,INDEX(Table24[[#All],[Year]:[Details]],ROWS(prem_analysis!$M$420:X607),COLUMNS(Data!$Q$3:AB190)))))),"")</f>
        <v/>
      </c>
    </row>
    <row r="190" spans="1:29" x14ac:dyDescent="0.2">
      <c r="A190" s="3">
        <v>2009</v>
      </c>
      <c r="B190" s="3">
        <v>9</v>
      </c>
      <c r="C190" s="4" t="s">
        <v>34</v>
      </c>
      <c r="D190" s="3">
        <v>38</v>
      </c>
      <c r="E190" s="3">
        <v>13</v>
      </c>
      <c r="F190" s="3">
        <v>11</v>
      </c>
      <c r="G190" s="3">
        <v>14</v>
      </c>
      <c r="H190" s="3">
        <v>38</v>
      </c>
      <c r="I190" s="3">
        <v>47</v>
      </c>
      <c r="J190" s="3">
        <v>-9</v>
      </c>
      <c r="K190" s="3">
        <v>50</v>
      </c>
      <c r="L190" s="5">
        <f>IF(Table24[[#This Row],['#]]=1,"Champion", IF(Table24[[#This Row],['#]]&gt;=18,"Relegated",Table24[[#This Row],['#]]))</f>
        <v>9</v>
      </c>
      <c r="M190" s="5" t="str">
        <f>IF(Table24[[#This Row],[Details]]=2,K189-Table24[[#This Row],[Pts]],IF(Table24[[#This Row],[Details]]=17,Table24[[#This Row],[Pts]]-K191,""))</f>
        <v/>
      </c>
      <c r="R190" s="1" t="str">
        <f>IFERROR(IF($Q$1=$P$3,INDEX(prem_analysis!$P$2:$Q$441,ROWS(Data!$P$2:Q190),COLUMNS(Data!$P$3:P191)),IF($Q$1=$P$5,INDEX(prem_analysis!$BH$1:$BS$23,ROWS(Data!$Q$3:Q191),COLUMNS(Data!$Q$3:Q191)),IF($Q$1=$P$6,INDEX(prem_analysis!$BU$1:$CF$67,ROWS(prem_analysis!$N$2:N190),COLUMNS(prem_analysis!$N$2:N190)),IF($Q$1=$P$4,INDEX(Table24[[#All],[Year]:[Details]],ROWS(prem_analysis!$M$420:M608),COLUMNS(Data!$Q$3:Q191)))))),"")</f>
        <v/>
      </c>
      <c r="S190" s="1" t="str">
        <f>IFERROR(IF($Q$1=$P$3,INDEX(prem_analysis!$P$2:$Q$441,ROWS(Data!$P$2:R190),COLUMNS(Data!$P$3:Q191)),IF($Q$1=$P$5,INDEX(prem_analysis!$BH$1:$BS$23,ROWS(Data!$Q$3:R191),COLUMNS(Data!$Q$3:R191)),IF($Q$1=$P$6,INDEX(prem_analysis!$BU$1:$CF$67,ROWS(prem_analysis!$N$2:O190),COLUMNS(prem_analysis!$N$2:O190)),IF($Q$1=$P$4,INDEX(Table24[[#All],[Year]:[Details]],ROWS(prem_analysis!$M$420:N608),COLUMNS(Data!$Q$3:R191)))))),"")</f>
        <v/>
      </c>
      <c r="T190" s="1" t="str">
        <f>IFERROR(IF($Q$1=$P$3,INDEX(prem_analysis!$P$2:$Q$441,ROWS(Data!$P$2:S190),COLUMNS(Data!$P$3:R191)),IF($Q$1=$P$5,INDEX(prem_analysis!$BH$1:$BS$23,ROWS(Data!$Q$3:S191),COLUMNS(Data!$Q$3:S191)),IF($Q$1=$P$6,INDEX(prem_analysis!$BU$1:$CF$67,ROWS(prem_analysis!$N$2:P190),COLUMNS(prem_analysis!$N$2:P190)),IF($Q$1=$P$4,INDEX(Table24[[#All],[Year]:[Details]],ROWS(prem_analysis!$M$420:O608),COLUMNS(Data!$Q$3:S191)))))),"")</f>
        <v/>
      </c>
      <c r="U190" s="1" t="str">
        <f>IFERROR(IF($Q$1=$P$3,INDEX(prem_analysis!$P$2:$Q$441,ROWS(Data!$P$2:T190),COLUMNS(Data!$P$3:S191)),IF($Q$1=$P$5,INDEX(prem_analysis!$BH$1:$BS$23,ROWS(Data!$Q$3:T191),COLUMNS(Data!$Q$3:T191)),IF($Q$1=$P$6,INDEX(prem_analysis!$BU$1:$CF$67,ROWS(prem_analysis!$N$2:Q190),COLUMNS(prem_analysis!$N$2:Q190)),IF($Q$1=$P$4,INDEX(Table24[[#All],[Year]:[Details]],ROWS(prem_analysis!$M$420:P608),COLUMNS(Data!$Q$3:T191)))))),"")</f>
        <v/>
      </c>
      <c r="V190" s="1" t="str">
        <f>IFERROR(IF($Q$1=$P$3,INDEX(prem_analysis!$P$2:$Q$441,ROWS(Data!$P$2:U190),COLUMNS(Data!$P$3:T191)),IF($Q$1=$P$5,INDEX(prem_analysis!$BH$1:$BS$23,ROWS(Data!$Q$3:U191),COLUMNS(Data!$Q$3:U191)),IF($Q$1=$P$6,INDEX(prem_analysis!$BU$1:$CF$67,ROWS(prem_analysis!$N$2:R190),COLUMNS(prem_analysis!$N$2:R190)),IF($Q$1=$P$4,INDEX(Table24[[#All],[Year]:[Details]],ROWS(prem_analysis!$M$420:Q608),COLUMNS(Data!$Q$3:U191)))))),"")</f>
        <v/>
      </c>
      <c r="W190" s="1" t="str">
        <f>IFERROR(IF($Q$1=$P$3,INDEX(prem_analysis!$P$2:$Q$441,ROWS(Data!$P$2:V190),COLUMNS(Data!$P$3:U191)),IF($Q$1=$P$5,INDEX(prem_analysis!$BH$1:$BS$23,ROWS(Data!$Q$3:V191),COLUMNS(Data!$Q$3:V191)),IF($Q$1=$P$6,INDEX(prem_analysis!$BU$1:$CF$67,ROWS(prem_analysis!$N$2:S190),COLUMNS(prem_analysis!$N$2:S190)),IF($Q$1=$P$4,INDEX(Table24[[#All],[Year]:[Details]],ROWS(prem_analysis!$M$420:R608),COLUMNS(Data!$Q$3:V191)))))),"")</f>
        <v/>
      </c>
      <c r="X190" s="1" t="str">
        <f>IFERROR(IF($Q$1=$P$3,INDEX(prem_analysis!$P$2:$Q$441,ROWS(Data!$P$2:W190),COLUMNS(Data!$P$3:V191)),IF($Q$1=$P$5,INDEX(prem_analysis!$BH$1:$BS$23,ROWS(Data!$Q$3:W191),COLUMNS(Data!$Q$3:W191)),IF($Q$1=$P$6,INDEX(prem_analysis!$BU$1:$CF$67,ROWS(prem_analysis!$N$2:T190),COLUMNS(prem_analysis!$N$2:T190)),IF($Q$1=$P$4,INDEX(Table24[[#All],[Year]:[Details]],ROWS(prem_analysis!$M$420:S608),COLUMNS(Data!$Q$3:W191)))))),"")</f>
        <v/>
      </c>
      <c r="Y190" s="1" t="str">
        <f>IFERROR(IF($Q$1=$P$3,INDEX(prem_analysis!$P$2:$Q$441,ROWS(Data!$P$2:X190),COLUMNS(Data!$P$3:W191)),IF($Q$1=$P$5,INDEX(prem_analysis!$BH$1:$BS$23,ROWS(Data!$Q$3:X191),COLUMNS(Data!$Q$3:X191)),IF($Q$1=$P$6,INDEX(prem_analysis!$BU$1:$CF$67,ROWS(prem_analysis!$N$2:U190),COLUMNS(prem_analysis!$N$2:U190)),IF($Q$1=$P$4,INDEX(Table24[[#All],[Year]:[Details]],ROWS(prem_analysis!$M$420:T608),COLUMNS(Data!$Q$3:X191)))))),"")</f>
        <v/>
      </c>
      <c r="Z190" s="1" t="str">
        <f>IFERROR(IF($Q$1=$P$3,INDEX(prem_analysis!$P$2:$Q$441,ROWS(Data!$P$2:Y190),COLUMNS(Data!$P$3:X191)),IF($Q$1=$P$5,INDEX(prem_analysis!$BH$1:$BS$23,ROWS(Data!$Q$3:Y191),COLUMNS(Data!$Q$3:Y191)),IF($Q$1=$P$6,INDEX(prem_analysis!$BU$1:$CF$67,ROWS(prem_analysis!$N$2:V190),COLUMNS(prem_analysis!$N$2:V190)),IF($Q$1=$P$4,INDEX(Table24[[#All],[Year]:[Details]],ROWS(prem_analysis!$M$420:U608),COLUMNS(Data!$Q$3:Y191)))))),"")</f>
        <v/>
      </c>
      <c r="AA190" s="1" t="str">
        <f>IFERROR(IF($Q$1=$P$3,INDEX(prem_analysis!$P$2:$Q$441,ROWS(Data!$P$2:Z190),COLUMNS(Data!$P$3:Y191)),IF($Q$1=$P$5,INDEX(prem_analysis!$BH$1:$BS$23,ROWS(Data!$Q$3:Z191),COLUMNS(Data!$Q$3:Z191)),IF($Q$1=$P$6,INDEX(prem_analysis!$BU$1:$CF$67,ROWS(prem_analysis!$N$2:W190),COLUMNS(prem_analysis!$N$2:W190)),IF($Q$1=$P$4,INDEX(Table24[[#All],[Year]:[Details]],ROWS(prem_analysis!$M$420:V608),COLUMNS(Data!$Q$3:Z191)))))),"")</f>
        <v/>
      </c>
      <c r="AB190" s="1" t="str">
        <f>IFERROR(IF($Q$1=$P$3,INDEX(prem_analysis!$P$2:$Q$441,ROWS(Data!$P$2:AA190),COLUMNS(Data!$P$3:Z191)),IF($Q$1=$P$5,INDEX(prem_analysis!$BH$1:$BS$23,ROWS(Data!$Q$3:AA191),COLUMNS(Data!$Q$3:AA191)),IF($Q$1=$P$6,INDEX(prem_analysis!$BU$1:$CF$67,ROWS(prem_analysis!$N$2:X190),COLUMNS(prem_analysis!$N$2:X190)),IF($Q$1=$P$4,INDEX(Table24[[#All],[Year]:[Details]],ROWS(prem_analysis!$M$420:W608),COLUMNS(Data!$Q$3:AA191)))))),"")</f>
        <v/>
      </c>
      <c r="AC190" s="1" t="str">
        <f>IFERROR(IF($Q$1=$P$3,INDEX(prem_analysis!$P$2:$Q$441,ROWS(Data!$P$2:AB190),COLUMNS(Data!$P$3:AA191)),IF($Q$1=$P$5,INDEX(prem_analysis!$BH$1:$BS$23,ROWS(Data!$Q$3:AB191),COLUMNS(Data!$Q$3:AB191)),IF($Q$1=$P$6,INDEX(prem_analysis!$BU$1:$CF$67,ROWS(prem_analysis!$N$2:Y190),COLUMNS(prem_analysis!$N$2:Y190)),IF($Q$1=$P$4,INDEX(Table24[[#All],[Year]:[Details]],ROWS(prem_analysis!$M$420:X608),COLUMNS(Data!$Q$3:AB191)))))),"")</f>
        <v/>
      </c>
    </row>
    <row r="191" spans="1:29" x14ac:dyDescent="0.2">
      <c r="A191" s="5">
        <v>2009</v>
      </c>
      <c r="B191" s="5">
        <v>10</v>
      </c>
      <c r="C191" s="6" t="s">
        <v>31</v>
      </c>
      <c r="D191" s="5">
        <v>38</v>
      </c>
      <c r="E191" s="5">
        <v>13</v>
      </c>
      <c r="F191" s="5">
        <v>11</v>
      </c>
      <c r="G191" s="5">
        <v>14</v>
      </c>
      <c r="H191" s="5">
        <v>41</v>
      </c>
      <c r="I191" s="5">
        <v>55</v>
      </c>
      <c r="J191" s="5">
        <v>-14</v>
      </c>
      <c r="K191" s="5">
        <v>50</v>
      </c>
      <c r="L191" s="5">
        <f>IF(Table24[[#This Row],['#]]=1,"Champion", IF(Table24[[#This Row],['#]]&gt;=18,"Relegated",Table24[[#This Row],['#]]))</f>
        <v>10</v>
      </c>
      <c r="M191" s="5" t="str">
        <f>IF(Table24[[#This Row],[Details]]=2,K190-Table24[[#This Row],[Pts]],IF(Table24[[#This Row],[Details]]=17,Table24[[#This Row],[Pts]]-K192,""))</f>
        <v/>
      </c>
      <c r="R191" s="1" t="str">
        <f>IFERROR(IF($Q$1=$P$3,INDEX(prem_analysis!$P$2:$Q$441,ROWS(Data!$P$2:Q191),COLUMNS(Data!$P$3:P192)),IF($Q$1=$P$5,INDEX(prem_analysis!$BH$1:$BS$23,ROWS(Data!$Q$3:Q192),COLUMNS(Data!$Q$3:Q192)),IF($Q$1=$P$6,INDEX(prem_analysis!$BU$1:$CF$67,ROWS(prem_analysis!$N$2:N191),COLUMNS(prem_analysis!$N$2:N191)),IF($Q$1=$P$4,INDEX(Table24[[#All],[Year]:[Details]],ROWS(prem_analysis!$M$420:M609),COLUMNS(Data!$Q$3:Q192)))))),"")</f>
        <v/>
      </c>
      <c r="S191" s="1" t="str">
        <f>IFERROR(IF($Q$1=$P$3,INDEX(prem_analysis!$P$2:$Q$441,ROWS(Data!$P$2:R191),COLUMNS(Data!$P$3:Q192)),IF($Q$1=$P$5,INDEX(prem_analysis!$BH$1:$BS$23,ROWS(Data!$Q$3:R192),COLUMNS(Data!$Q$3:R192)),IF($Q$1=$P$6,INDEX(prem_analysis!$BU$1:$CF$67,ROWS(prem_analysis!$N$2:O191),COLUMNS(prem_analysis!$N$2:O191)),IF($Q$1=$P$4,INDEX(Table24[[#All],[Year]:[Details]],ROWS(prem_analysis!$M$420:N609),COLUMNS(Data!$Q$3:R192)))))),"")</f>
        <v/>
      </c>
      <c r="T191" s="1" t="str">
        <f>IFERROR(IF($Q$1=$P$3,INDEX(prem_analysis!$P$2:$Q$441,ROWS(Data!$P$2:S191),COLUMNS(Data!$P$3:R192)),IF($Q$1=$P$5,INDEX(prem_analysis!$BH$1:$BS$23,ROWS(Data!$Q$3:S192),COLUMNS(Data!$Q$3:S192)),IF($Q$1=$P$6,INDEX(prem_analysis!$BU$1:$CF$67,ROWS(prem_analysis!$N$2:P191),COLUMNS(prem_analysis!$N$2:P191)),IF($Q$1=$P$4,INDEX(Table24[[#All],[Year]:[Details]],ROWS(prem_analysis!$M$420:O609),COLUMNS(Data!$Q$3:S192)))))),"")</f>
        <v/>
      </c>
      <c r="U191" s="1" t="str">
        <f>IFERROR(IF($Q$1=$P$3,INDEX(prem_analysis!$P$2:$Q$441,ROWS(Data!$P$2:T191),COLUMNS(Data!$P$3:S192)),IF($Q$1=$P$5,INDEX(prem_analysis!$BH$1:$BS$23,ROWS(Data!$Q$3:T192),COLUMNS(Data!$Q$3:T192)),IF($Q$1=$P$6,INDEX(prem_analysis!$BU$1:$CF$67,ROWS(prem_analysis!$N$2:Q191),COLUMNS(prem_analysis!$N$2:Q191)),IF($Q$1=$P$4,INDEX(Table24[[#All],[Year]:[Details]],ROWS(prem_analysis!$M$420:P609),COLUMNS(Data!$Q$3:T192)))))),"")</f>
        <v/>
      </c>
      <c r="V191" s="1" t="str">
        <f>IFERROR(IF($Q$1=$P$3,INDEX(prem_analysis!$P$2:$Q$441,ROWS(Data!$P$2:U191),COLUMNS(Data!$P$3:T192)),IF($Q$1=$P$5,INDEX(prem_analysis!$BH$1:$BS$23,ROWS(Data!$Q$3:U192),COLUMNS(Data!$Q$3:U192)),IF($Q$1=$P$6,INDEX(prem_analysis!$BU$1:$CF$67,ROWS(prem_analysis!$N$2:R191),COLUMNS(prem_analysis!$N$2:R191)),IF($Q$1=$P$4,INDEX(Table24[[#All],[Year]:[Details]],ROWS(prem_analysis!$M$420:Q609),COLUMNS(Data!$Q$3:U192)))))),"")</f>
        <v/>
      </c>
      <c r="W191" s="1" t="str">
        <f>IFERROR(IF($Q$1=$P$3,INDEX(prem_analysis!$P$2:$Q$441,ROWS(Data!$P$2:V191),COLUMNS(Data!$P$3:U192)),IF($Q$1=$P$5,INDEX(prem_analysis!$BH$1:$BS$23,ROWS(Data!$Q$3:V192),COLUMNS(Data!$Q$3:V192)),IF($Q$1=$P$6,INDEX(prem_analysis!$BU$1:$CF$67,ROWS(prem_analysis!$N$2:S191),COLUMNS(prem_analysis!$N$2:S191)),IF($Q$1=$P$4,INDEX(Table24[[#All],[Year]:[Details]],ROWS(prem_analysis!$M$420:R609),COLUMNS(Data!$Q$3:V192)))))),"")</f>
        <v/>
      </c>
      <c r="X191" s="1" t="str">
        <f>IFERROR(IF($Q$1=$P$3,INDEX(prem_analysis!$P$2:$Q$441,ROWS(Data!$P$2:W191),COLUMNS(Data!$P$3:V192)),IF($Q$1=$P$5,INDEX(prem_analysis!$BH$1:$BS$23,ROWS(Data!$Q$3:W192),COLUMNS(Data!$Q$3:W192)),IF($Q$1=$P$6,INDEX(prem_analysis!$BU$1:$CF$67,ROWS(prem_analysis!$N$2:T191),COLUMNS(prem_analysis!$N$2:T191)),IF($Q$1=$P$4,INDEX(Table24[[#All],[Year]:[Details]],ROWS(prem_analysis!$M$420:S609),COLUMNS(Data!$Q$3:W192)))))),"")</f>
        <v/>
      </c>
      <c r="Y191" s="1" t="str">
        <f>IFERROR(IF($Q$1=$P$3,INDEX(prem_analysis!$P$2:$Q$441,ROWS(Data!$P$2:X191),COLUMNS(Data!$P$3:W192)),IF($Q$1=$P$5,INDEX(prem_analysis!$BH$1:$BS$23,ROWS(Data!$Q$3:X192),COLUMNS(Data!$Q$3:X192)),IF($Q$1=$P$6,INDEX(prem_analysis!$BU$1:$CF$67,ROWS(prem_analysis!$N$2:U191),COLUMNS(prem_analysis!$N$2:U191)),IF($Q$1=$P$4,INDEX(Table24[[#All],[Year]:[Details]],ROWS(prem_analysis!$M$420:T609),COLUMNS(Data!$Q$3:X192)))))),"")</f>
        <v/>
      </c>
      <c r="Z191" s="1" t="str">
        <f>IFERROR(IF($Q$1=$P$3,INDEX(prem_analysis!$P$2:$Q$441,ROWS(Data!$P$2:Y191),COLUMNS(Data!$P$3:X192)),IF($Q$1=$P$5,INDEX(prem_analysis!$BH$1:$BS$23,ROWS(Data!$Q$3:Y192),COLUMNS(Data!$Q$3:Y192)),IF($Q$1=$P$6,INDEX(prem_analysis!$BU$1:$CF$67,ROWS(prem_analysis!$N$2:V191),COLUMNS(prem_analysis!$N$2:V191)),IF($Q$1=$P$4,INDEX(Table24[[#All],[Year]:[Details]],ROWS(prem_analysis!$M$420:U609),COLUMNS(Data!$Q$3:Y192)))))),"")</f>
        <v/>
      </c>
      <c r="AA191" s="1" t="str">
        <f>IFERROR(IF($Q$1=$P$3,INDEX(prem_analysis!$P$2:$Q$441,ROWS(Data!$P$2:Z191),COLUMNS(Data!$P$3:Y192)),IF($Q$1=$P$5,INDEX(prem_analysis!$BH$1:$BS$23,ROWS(Data!$Q$3:Z192),COLUMNS(Data!$Q$3:Z192)),IF($Q$1=$P$6,INDEX(prem_analysis!$BU$1:$CF$67,ROWS(prem_analysis!$N$2:W191),COLUMNS(prem_analysis!$N$2:W191)),IF($Q$1=$P$4,INDEX(Table24[[#All],[Year]:[Details]],ROWS(prem_analysis!$M$420:V609),COLUMNS(Data!$Q$3:Z192)))))),"")</f>
        <v/>
      </c>
      <c r="AB191" s="1" t="str">
        <f>IFERROR(IF($Q$1=$P$3,INDEX(prem_analysis!$P$2:$Q$441,ROWS(Data!$P$2:AA191),COLUMNS(Data!$P$3:Z192)),IF($Q$1=$P$5,INDEX(prem_analysis!$BH$1:$BS$23,ROWS(Data!$Q$3:AA192),COLUMNS(Data!$Q$3:AA192)),IF($Q$1=$P$6,INDEX(prem_analysis!$BU$1:$CF$67,ROWS(prem_analysis!$N$2:X191),COLUMNS(prem_analysis!$N$2:X191)),IF($Q$1=$P$4,INDEX(Table24[[#All],[Year]:[Details]],ROWS(prem_analysis!$M$420:W609),COLUMNS(Data!$Q$3:AA192)))))),"")</f>
        <v/>
      </c>
      <c r="AC191" s="1" t="str">
        <f>IFERROR(IF($Q$1=$P$3,INDEX(prem_analysis!$P$2:$Q$441,ROWS(Data!$P$2:AB191),COLUMNS(Data!$P$3:AA192)),IF($Q$1=$P$5,INDEX(prem_analysis!$BH$1:$BS$23,ROWS(Data!$Q$3:AB192),COLUMNS(Data!$Q$3:AB192)),IF($Q$1=$P$6,INDEX(prem_analysis!$BU$1:$CF$67,ROWS(prem_analysis!$N$2:Y191),COLUMNS(prem_analysis!$N$2:Y191)),IF($Q$1=$P$4,INDEX(Table24[[#All],[Year]:[Details]],ROWS(prem_analysis!$M$420:X609),COLUMNS(Data!$Q$3:AB192)))))),"")</f>
        <v/>
      </c>
    </row>
    <row r="192" spans="1:29" x14ac:dyDescent="0.2">
      <c r="A192" s="3">
        <v>2009</v>
      </c>
      <c r="B192" s="3">
        <v>11</v>
      </c>
      <c r="C192" s="4" t="s">
        <v>44</v>
      </c>
      <c r="D192" s="3">
        <v>38</v>
      </c>
      <c r="E192" s="3">
        <v>11</v>
      </c>
      <c r="F192" s="3">
        <v>14</v>
      </c>
      <c r="G192" s="3">
        <v>13</v>
      </c>
      <c r="H192" s="3">
        <v>34</v>
      </c>
      <c r="I192" s="3">
        <v>48</v>
      </c>
      <c r="J192" s="3">
        <v>-14</v>
      </c>
      <c r="K192" s="3">
        <v>47</v>
      </c>
      <c r="L192" s="5">
        <f>IF(Table24[[#This Row],['#]]=1,"Champion", IF(Table24[[#This Row],['#]]&gt;=18,"Relegated",Table24[[#This Row],['#]]))</f>
        <v>11</v>
      </c>
      <c r="M192" s="5" t="str">
        <f>IF(Table24[[#This Row],[Details]]=2,K191-Table24[[#This Row],[Pts]],IF(Table24[[#This Row],[Details]]=17,Table24[[#This Row],[Pts]]-K193,""))</f>
        <v/>
      </c>
      <c r="R192" s="1" t="str">
        <f>IFERROR(IF($Q$1=$P$3,INDEX(prem_analysis!$P$2:$Q$441,ROWS(Data!$P$2:Q192),COLUMNS(Data!$P$3:P193)),IF($Q$1=$P$5,INDEX(prem_analysis!$BH$1:$BS$23,ROWS(Data!$Q$3:Q193),COLUMNS(Data!$Q$3:Q193)),IF($Q$1=$P$6,INDEX(prem_analysis!$BU$1:$CF$67,ROWS(prem_analysis!$N$2:N192),COLUMNS(prem_analysis!$N$2:N192)),IF($Q$1=$P$4,INDEX(Table24[[#All],[Year]:[Details]],ROWS(prem_analysis!$M$420:M610),COLUMNS(Data!$Q$3:Q193)))))),"")</f>
        <v/>
      </c>
      <c r="S192" s="1" t="str">
        <f>IFERROR(IF($Q$1=$P$3,INDEX(prem_analysis!$P$2:$Q$441,ROWS(Data!$P$2:R192),COLUMNS(Data!$P$3:Q193)),IF($Q$1=$P$5,INDEX(prem_analysis!$BH$1:$BS$23,ROWS(Data!$Q$3:R193),COLUMNS(Data!$Q$3:R193)),IF($Q$1=$P$6,INDEX(prem_analysis!$BU$1:$CF$67,ROWS(prem_analysis!$N$2:O192),COLUMNS(prem_analysis!$N$2:O192)),IF($Q$1=$P$4,INDEX(Table24[[#All],[Year]:[Details]],ROWS(prem_analysis!$M$420:N610),COLUMNS(Data!$Q$3:R193)))))),"")</f>
        <v/>
      </c>
      <c r="T192" s="1" t="str">
        <f>IFERROR(IF($Q$1=$P$3,INDEX(prem_analysis!$P$2:$Q$441,ROWS(Data!$P$2:S192),COLUMNS(Data!$P$3:R193)),IF($Q$1=$P$5,INDEX(prem_analysis!$BH$1:$BS$23,ROWS(Data!$Q$3:S193),COLUMNS(Data!$Q$3:S193)),IF($Q$1=$P$6,INDEX(prem_analysis!$BU$1:$CF$67,ROWS(prem_analysis!$N$2:P192),COLUMNS(prem_analysis!$N$2:P192)),IF($Q$1=$P$4,INDEX(Table24[[#All],[Year]:[Details]],ROWS(prem_analysis!$M$420:O610),COLUMNS(Data!$Q$3:S193)))))),"")</f>
        <v/>
      </c>
      <c r="U192" s="1" t="str">
        <f>IFERROR(IF($Q$1=$P$3,INDEX(prem_analysis!$P$2:$Q$441,ROWS(Data!$P$2:T192),COLUMNS(Data!$P$3:S193)),IF($Q$1=$P$5,INDEX(prem_analysis!$BH$1:$BS$23,ROWS(Data!$Q$3:T193),COLUMNS(Data!$Q$3:T193)),IF($Q$1=$P$6,INDEX(prem_analysis!$BU$1:$CF$67,ROWS(prem_analysis!$N$2:Q192),COLUMNS(prem_analysis!$N$2:Q192)),IF($Q$1=$P$4,INDEX(Table24[[#All],[Year]:[Details]],ROWS(prem_analysis!$M$420:P610),COLUMNS(Data!$Q$3:T193)))))),"")</f>
        <v/>
      </c>
      <c r="V192" s="1" t="str">
        <f>IFERROR(IF($Q$1=$P$3,INDEX(prem_analysis!$P$2:$Q$441,ROWS(Data!$P$2:U192),COLUMNS(Data!$P$3:T193)),IF($Q$1=$P$5,INDEX(prem_analysis!$BH$1:$BS$23,ROWS(Data!$Q$3:U193),COLUMNS(Data!$Q$3:U193)),IF($Q$1=$P$6,INDEX(prem_analysis!$BU$1:$CF$67,ROWS(prem_analysis!$N$2:R192),COLUMNS(prem_analysis!$N$2:R192)),IF($Q$1=$P$4,INDEX(Table24[[#All],[Year]:[Details]],ROWS(prem_analysis!$M$420:Q610),COLUMNS(Data!$Q$3:U193)))))),"")</f>
        <v/>
      </c>
      <c r="W192" s="1" t="str">
        <f>IFERROR(IF($Q$1=$P$3,INDEX(prem_analysis!$P$2:$Q$441,ROWS(Data!$P$2:V192),COLUMNS(Data!$P$3:U193)),IF($Q$1=$P$5,INDEX(prem_analysis!$BH$1:$BS$23,ROWS(Data!$Q$3:V193),COLUMNS(Data!$Q$3:V193)),IF($Q$1=$P$6,INDEX(prem_analysis!$BU$1:$CF$67,ROWS(prem_analysis!$N$2:S192),COLUMNS(prem_analysis!$N$2:S192)),IF($Q$1=$P$4,INDEX(Table24[[#All],[Year]:[Details]],ROWS(prem_analysis!$M$420:R610),COLUMNS(Data!$Q$3:V193)))))),"")</f>
        <v/>
      </c>
      <c r="X192" s="1" t="str">
        <f>IFERROR(IF($Q$1=$P$3,INDEX(prem_analysis!$P$2:$Q$441,ROWS(Data!$P$2:W192),COLUMNS(Data!$P$3:V193)),IF($Q$1=$P$5,INDEX(prem_analysis!$BH$1:$BS$23,ROWS(Data!$Q$3:W193),COLUMNS(Data!$Q$3:W193)),IF($Q$1=$P$6,INDEX(prem_analysis!$BU$1:$CF$67,ROWS(prem_analysis!$N$2:T192),COLUMNS(prem_analysis!$N$2:T192)),IF($Q$1=$P$4,INDEX(Table24[[#All],[Year]:[Details]],ROWS(prem_analysis!$M$420:S610),COLUMNS(Data!$Q$3:W193)))))),"")</f>
        <v/>
      </c>
      <c r="Y192" s="1" t="str">
        <f>IFERROR(IF($Q$1=$P$3,INDEX(prem_analysis!$P$2:$Q$441,ROWS(Data!$P$2:X192),COLUMNS(Data!$P$3:W193)),IF($Q$1=$P$5,INDEX(prem_analysis!$BH$1:$BS$23,ROWS(Data!$Q$3:X193),COLUMNS(Data!$Q$3:X193)),IF($Q$1=$P$6,INDEX(prem_analysis!$BU$1:$CF$67,ROWS(prem_analysis!$N$2:U192),COLUMNS(prem_analysis!$N$2:U192)),IF($Q$1=$P$4,INDEX(Table24[[#All],[Year]:[Details]],ROWS(prem_analysis!$M$420:T610),COLUMNS(Data!$Q$3:X193)))))),"")</f>
        <v/>
      </c>
      <c r="Z192" s="1" t="str">
        <f>IFERROR(IF($Q$1=$P$3,INDEX(prem_analysis!$P$2:$Q$441,ROWS(Data!$P$2:Y192),COLUMNS(Data!$P$3:X193)),IF($Q$1=$P$5,INDEX(prem_analysis!$BH$1:$BS$23,ROWS(Data!$Q$3:Y193),COLUMNS(Data!$Q$3:Y193)),IF($Q$1=$P$6,INDEX(prem_analysis!$BU$1:$CF$67,ROWS(prem_analysis!$N$2:V192),COLUMNS(prem_analysis!$N$2:V192)),IF($Q$1=$P$4,INDEX(Table24[[#All],[Year]:[Details]],ROWS(prem_analysis!$M$420:U610),COLUMNS(Data!$Q$3:Y193)))))),"")</f>
        <v/>
      </c>
      <c r="AA192" s="1" t="str">
        <f>IFERROR(IF($Q$1=$P$3,INDEX(prem_analysis!$P$2:$Q$441,ROWS(Data!$P$2:Z192),COLUMNS(Data!$P$3:Y193)),IF($Q$1=$P$5,INDEX(prem_analysis!$BH$1:$BS$23,ROWS(Data!$Q$3:Z193),COLUMNS(Data!$Q$3:Z193)),IF($Q$1=$P$6,INDEX(prem_analysis!$BU$1:$CF$67,ROWS(prem_analysis!$N$2:W192),COLUMNS(prem_analysis!$N$2:W192)),IF($Q$1=$P$4,INDEX(Table24[[#All],[Year]:[Details]],ROWS(prem_analysis!$M$420:V610),COLUMNS(Data!$Q$3:Z193)))))),"")</f>
        <v/>
      </c>
      <c r="AB192" s="1" t="str">
        <f>IFERROR(IF($Q$1=$P$3,INDEX(prem_analysis!$P$2:$Q$441,ROWS(Data!$P$2:AA192),COLUMNS(Data!$P$3:Z193)),IF($Q$1=$P$5,INDEX(prem_analysis!$BH$1:$BS$23,ROWS(Data!$Q$3:AA193),COLUMNS(Data!$Q$3:AA193)),IF($Q$1=$P$6,INDEX(prem_analysis!$BU$1:$CF$67,ROWS(prem_analysis!$N$2:X192),COLUMNS(prem_analysis!$N$2:X192)),IF($Q$1=$P$4,INDEX(Table24[[#All],[Year]:[Details]],ROWS(prem_analysis!$M$420:W610),COLUMNS(Data!$Q$3:AA193)))))),"")</f>
        <v/>
      </c>
      <c r="AC192" s="1" t="str">
        <f>IFERROR(IF($Q$1=$P$3,INDEX(prem_analysis!$P$2:$Q$441,ROWS(Data!$P$2:AB192),COLUMNS(Data!$P$3:AA193)),IF($Q$1=$P$5,INDEX(prem_analysis!$BH$1:$BS$23,ROWS(Data!$Q$3:AB193),COLUMNS(Data!$Q$3:AB193)),IF($Q$1=$P$6,INDEX(prem_analysis!$BU$1:$CF$67,ROWS(prem_analysis!$N$2:Y192),COLUMNS(prem_analysis!$N$2:Y192)),IF($Q$1=$P$4,INDEX(Table24[[#All],[Year]:[Details]],ROWS(prem_analysis!$M$420:X610),COLUMNS(Data!$Q$3:AB193)))))),"")</f>
        <v/>
      </c>
    </row>
    <row r="193" spans="1:29" x14ac:dyDescent="0.2">
      <c r="A193" s="5">
        <v>2009</v>
      </c>
      <c r="B193" s="5">
        <v>12</v>
      </c>
      <c r="C193" s="6" t="s">
        <v>32</v>
      </c>
      <c r="D193" s="5">
        <v>38</v>
      </c>
      <c r="E193" s="5">
        <v>12</v>
      </c>
      <c r="F193" s="5">
        <v>10</v>
      </c>
      <c r="G193" s="5">
        <v>16</v>
      </c>
      <c r="H193" s="5">
        <v>39</v>
      </c>
      <c r="I193" s="5">
        <v>46</v>
      </c>
      <c r="J193" s="5">
        <v>-7</v>
      </c>
      <c r="K193" s="5">
        <v>46</v>
      </c>
      <c r="L193" s="5">
        <f>IF(Table24[[#This Row],['#]]=1,"Champion", IF(Table24[[#This Row],['#]]&gt;=18,"Relegated",Table24[[#This Row],['#]]))</f>
        <v>12</v>
      </c>
      <c r="M193" s="5" t="str">
        <f>IF(Table24[[#This Row],[Details]]=2,K192-Table24[[#This Row],[Pts]],IF(Table24[[#This Row],[Details]]=17,Table24[[#This Row],[Pts]]-K194,""))</f>
        <v/>
      </c>
      <c r="R193" s="1" t="str">
        <f>IFERROR(IF($Q$1=$P$3,INDEX(prem_analysis!$P$2:$Q$441,ROWS(Data!$P$2:Q193),COLUMNS(Data!$P$3:P194)),IF($Q$1=$P$5,INDEX(prem_analysis!$BH$1:$BS$23,ROWS(Data!$Q$3:Q194),COLUMNS(Data!$Q$3:Q194)),IF($Q$1=$P$6,INDEX(prem_analysis!$BU$1:$CF$67,ROWS(prem_analysis!$N$2:N193),COLUMNS(prem_analysis!$N$2:N193)),IF($Q$1=$P$4,INDEX(Table24[[#All],[Year]:[Details]],ROWS(prem_analysis!$M$420:M611),COLUMNS(Data!$Q$3:Q194)))))),"")</f>
        <v/>
      </c>
      <c r="S193" s="1" t="str">
        <f>IFERROR(IF($Q$1=$P$3,INDEX(prem_analysis!$P$2:$Q$441,ROWS(Data!$P$2:R193),COLUMNS(Data!$P$3:Q194)),IF($Q$1=$P$5,INDEX(prem_analysis!$BH$1:$BS$23,ROWS(Data!$Q$3:R194),COLUMNS(Data!$Q$3:R194)),IF($Q$1=$P$6,INDEX(prem_analysis!$BU$1:$CF$67,ROWS(prem_analysis!$N$2:O193),COLUMNS(prem_analysis!$N$2:O193)),IF($Q$1=$P$4,INDEX(Table24[[#All],[Year]:[Details]],ROWS(prem_analysis!$M$420:N611),COLUMNS(Data!$Q$3:R194)))))),"")</f>
        <v/>
      </c>
      <c r="T193" s="1" t="str">
        <f>IFERROR(IF($Q$1=$P$3,INDEX(prem_analysis!$P$2:$Q$441,ROWS(Data!$P$2:S193),COLUMNS(Data!$P$3:R194)),IF($Q$1=$P$5,INDEX(prem_analysis!$BH$1:$BS$23,ROWS(Data!$Q$3:S194),COLUMNS(Data!$Q$3:S194)),IF($Q$1=$P$6,INDEX(prem_analysis!$BU$1:$CF$67,ROWS(prem_analysis!$N$2:P193),COLUMNS(prem_analysis!$N$2:P193)),IF($Q$1=$P$4,INDEX(Table24[[#All],[Year]:[Details]],ROWS(prem_analysis!$M$420:O611),COLUMNS(Data!$Q$3:S194)))))),"")</f>
        <v/>
      </c>
      <c r="U193" s="1" t="str">
        <f>IFERROR(IF($Q$1=$P$3,INDEX(prem_analysis!$P$2:$Q$441,ROWS(Data!$P$2:T193),COLUMNS(Data!$P$3:S194)),IF($Q$1=$P$5,INDEX(prem_analysis!$BH$1:$BS$23,ROWS(Data!$Q$3:T194),COLUMNS(Data!$Q$3:T194)),IF($Q$1=$P$6,INDEX(prem_analysis!$BU$1:$CF$67,ROWS(prem_analysis!$N$2:Q193),COLUMNS(prem_analysis!$N$2:Q193)),IF($Q$1=$P$4,INDEX(Table24[[#All],[Year]:[Details]],ROWS(prem_analysis!$M$420:P611),COLUMNS(Data!$Q$3:T194)))))),"")</f>
        <v/>
      </c>
      <c r="V193" s="1" t="str">
        <f>IFERROR(IF($Q$1=$P$3,INDEX(prem_analysis!$P$2:$Q$441,ROWS(Data!$P$2:U193),COLUMNS(Data!$P$3:T194)),IF($Q$1=$P$5,INDEX(prem_analysis!$BH$1:$BS$23,ROWS(Data!$Q$3:U194),COLUMNS(Data!$Q$3:U194)),IF($Q$1=$P$6,INDEX(prem_analysis!$BU$1:$CF$67,ROWS(prem_analysis!$N$2:R193),COLUMNS(prem_analysis!$N$2:R193)),IF($Q$1=$P$4,INDEX(Table24[[#All],[Year]:[Details]],ROWS(prem_analysis!$M$420:Q611),COLUMNS(Data!$Q$3:U194)))))),"")</f>
        <v/>
      </c>
      <c r="W193" s="1" t="str">
        <f>IFERROR(IF($Q$1=$P$3,INDEX(prem_analysis!$P$2:$Q$441,ROWS(Data!$P$2:V193),COLUMNS(Data!$P$3:U194)),IF($Q$1=$P$5,INDEX(prem_analysis!$BH$1:$BS$23,ROWS(Data!$Q$3:V194),COLUMNS(Data!$Q$3:V194)),IF($Q$1=$P$6,INDEX(prem_analysis!$BU$1:$CF$67,ROWS(prem_analysis!$N$2:S193),COLUMNS(prem_analysis!$N$2:S193)),IF($Q$1=$P$4,INDEX(Table24[[#All],[Year]:[Details]],ROWS(prem_analysis!$M$420:R611),COLUMNS(Data!$Q$3:V194)))))),"")</f>
        <v/>
      </c>
      <c r="X193" s="1" t="str">
        <f>IFERROR(IF($Q$1=$P$3,INDEX(prem_analysis!$P$2:$Q$441,ROWS(Data!$P$2:W193),COLUMNS(Data!$P$3:V194)),IF($Q$1=$P$5,INDEX(prem_analysis!$BH$1:$BS$23,ROWS(Data!$Q$3:W194),COLUMNS(Data!$Q$3:W194)),IF($Q$1=$P$6,INDEX(prem_analysis!$BU$1:$CF$67,ROWS(prem_analysis!$N$2:T193),COLUMNS(prem_analysis!$N$2:T193)),IF($Q$1=$P$4,INDEX(Table24[[#All],[Year]:[Details]],ROWS(prem_analysis!$M$420:S611),COLUMNS(Data!$Q$3:W194)))))),"")</f>
        <v/>
      </c>
      <c r="Y193" s="1" t="str">
        <f>IFERROR(IF($Q$1=$P$3,INDEX(prem_analysis!$P$2:$Q$441,ROWS(Data!$P$2:X193),COLUMNS(Data!$P$3:W194)),IF($Q$1=$P$5,INDEX(prem_analysis!$BH$1:$BS$23,ROWS(Data!$Q$3:X194),COLUMNS(Data!$Q$3:X194)),IF($Q$1=$P$6,INDEX(prem_analysis!$BU$1:$CF$67,ROWS(prem_analysis!$N$2:U193),COLUMNS(prem_analysis!$N$2:U193)),IF($Q$1=$P$4,INDEX(Table24[[#All],[Year]:[Details]],ROWS(prem_analysis!$M$420:T611),COLUMNS(Data!$Q$3:X194)))))),"")</f>
        <v/>
      </c>
      <c r="Z193" s="1" t="str">
        <f>IFERROR(IF($Q$1=$P$3,INDEX(prem_analysis!$P$2:$Q$441,ROWS(Data!$P$2:Y193),COLUMNS(Data!$P$3:X194)),IF($Q$1=$P$5,INDEX(prem_analysis!$BH$1:$BS$23,ROWS(Data!$Q$3:Y194),COLUMNS(Data!$Q$3:Y194)),IF($Q$1=$P$6,INDEX(prem_analysis!$BU$1:$CF$67,ROWS(prem_analysis!$N$2:V193),COLUMNS(prem_analysis!$N$2:V193)),IF($Q$1=$P$4,INDEX(Table24[[#All],[Year]:[Details]],ROWS(prem_analysis!$M$420:U611),COLUMNS(Data!$Q$3:Y194)))))),"")</f>
        <v/>
      </c>
      <c r="AA193" s="1" t="str">
        <f>IFERROR(IF($Q$1=$P$3,INDEX(prem_analysis!$P$2:$Q$441,ROWS(Data!$P$2:Z193),COLUMNS(Data!$P$3:Y194)),IF($Q$1=$P$5,INDEX(prem_analysis!$BH$1:$BS$23,ROWS(Data!$Q$3:Z194),COLUMNS(Data!$Q$3:Z194)),IF($Q$1=$P$6,INDEX(prem_analysis!$BU$1:$CF$67,ROWS(prem_analysis!$N$2:W193),COLUMNS(prem_analysis!$N$2:W193)),IF($Q$1=$P$4,INDEX(Table24[[#All],[Year]:[Details]],ROWS(prem_analysis!$M$420:V611),COLUMNS(Data!$Q$3:Z194)))))),"")</f>
        <v/>
      </c>
      <c r="AB193" s="1" t="str">
        <f>IFERROR(IF($Q$1=$P$3,INDEX(prem_analysis!$P$2:$Q$441,ROWS(Data!$P$2:AA193),COLUMNS(Data!$P$3:Z194)),IF($Q$1=$P$5,INDEX(prem_analysis!$BH$1:$BS$23,ROWS(Data!$Q$3:AA194),COLUMNS(Data!$Q$3:AA194)),IF($Q$1=$P$6,INDEX(prem_analysis!$BU$1:$CF$67,ROWS(prem_analysis!$N$2:X193),COLUMNS(prem_analysis!$N$2:X193)),IF($Q$1=$P$4,INDEX(Table24[[#All],[Year]:[Details]],ROWS(prem_analysis!$M$420:W611),COLUMNS(Data!$Q$3:AA194)))))),"")</f>
        <v/>
      </c>
      <c r="AC193" s="1" t="str">
        <f>IFERROR(IF($Q$1=$P$3,INDEX(prem_analysis!$P$2:$Q$441,ROWS(Data!$P$2:AB193),COLUMNS(Data!$P$3:AA194)),IF($Q$1=$P$5,INDEX(prem_analysis!$BH$1:$BS$23,ROWS(Data!$Q$3:AB194),COLUMNS(Data!$Q$3:AB194)),IF($Q$1=$P$6,INDEX(prem_analysis!$BU$1:$CF$67,ROWS(prem_analysis!$N$2:Y193),COLUMNS(prem_analysis!$N$2:Y193)),IF($Q$1=$P$4,INDEX(Table24[[#All],[Year]:[Details]],ROWS(prem_analysis!$M$420:X611),COLUMNS(Data!$Q$3:AB194)))))),"")</f>
        <v/>
      </c>
    </row>
    <row r="194" spans="1:29" x14ac:dyDescent="0.2">
      <c r="A194" s="3">
        <v>2009</v>
      </c>
      <c r="B194" s="3">
        <v>13</v>
      </c>
      <c r="C194" s="4" t="s">
        <v>17</v>
      </c>
      <c r="D194" s="3">
        <v>38</v>
      </c>
      <c r="E194" s="3">
        <v>11</v>
      </c>
      <c r="F194" s="3">
        <v>11</v>
      </c>
      <c r="G194" s="3">
        <v>16</v>
      </c>
      <c r="H194" s="3">
        <v>48</v>
      </c>
      <c r="I194" s="3">
        <v>56</v>
      </c>
      <c r="J194" s="3">
        <v>-8</v>
      </c>
      <c r="K194" s="3">
        <v>44</v>
      </c>
      <c r="L194" s="5">
        <f>IF(Table24[[#This Row],['#]]=1,"Champion", IF(Table24[[#This Row],['#]]&gt;=18,"Relegated",Table24[[#This Row],['#]]))</f>
        <v>13</v>
      </c>
      <c r="M194" s="5" t="str">
        <f>IF(Table24[[#This Row],[Details]]=2,K193-Table24[[#This Row],[Pts]],IF(Table24[[#This Row],[Details]]=17,Table24[[#This Row],[Pts]]-K195,""))</f>
        <v/>
      </c>
      <c r="R194" s="1" t="str">
        <f>IFERROR(IF($Q$1=$P$3,INDEX(prem_analysis!$P$2:$Q$441,ROWS(Data!$P$2:Q194),COLUMNS(Data!$P$3:P195)),IF($Q$1=$P$5,INDEX(prem_analysis!$BH$1:$BS$23,ROWS(Data!$Q$3:Q195),COLUMNS(Data!$Q$3:Q195)),IF($Q$1=$P$6,INDEX(prem_analysis!$BU$1:$CF$67,ROWS(prem_analysis!$N$2:N194),COLUMNS(prem_analysis!$N$2:N194)),IF($Q$1=$P$4,INDEX(Table24[[#All],[Year]:[Details]],ROWS(prem_analysis!$M$420:M612),COLUMNS(Data!$Q$3:Q195)))))),"")</f>
        <v/>
      </c>
      <c r="S194" s="1" t="str">
        <f>IFERROR(IF($Q$1=$P$3,INDEX(prem_analysis!$P$2:$Q$441,ROWS(Data!$P$2:R194),COLUMNS(Data!$P$3:Q195)),IF($Q$1=$P$5,INDEX(prem_analysis!$BH$1:$BS$23,ROWS(Data!$Q$3:R195),COLUMNS(Data!$Q$3:R195)),IF($Q$1=$P$6,INDEX(prem_analysis!$BU$1:$CF$67,ROWS(prem_analysis!$N$2:O194),COLUMNS(prem_analysis!$N$2:O194)),IF($Q$1=$P$4,INDEX(Table24[[#All],[Year]:[Details]],ROWS(prem_analysis!$M$420:N612),COLUMNS(Data!$Q$3:R195)))))),"")</f>
        <v/>
      </c>
      <c r="T194" s="1" t="str">
        <f>IFERROR(IF($Q$1=$P$3,INDEX(prem_analysis!$P$2:$Q$441,ROWS(Data!$P$2:S194),COLUMNS(Data!$P$3:R195)),IF($Q$1=$P$5,INDEX(prem_analysis!$BH$1:$BS$23,ROWS(Data!$Q$3:S195),COLUMNS(Data!$Q$3:S195)),IF($Q$1=$P$6,INDEX(prem_analysis!$BU$1:$CF$67,ROWS(prem_analysis!$N$2:P194),COLUMNS(prem_analysis!$N$2:P194)),IF($Q$1=$P$4,INDEX(Table24[[#All],[Year]:[Details]],ROWS(prem_analysis!$M$420:O612),COLUMNS(Data!$Q$3:S195)))))),"")</f>
        <v/>
      </c>
      <c r="U194" s="1" t="str">
        <f>IFERROR(IF($Q$1=$P$3,INDEX(prem_analysis!$P$2:$Q$441,ROWS(Data!$P$2:T194),COLUMNS(Data!$P$3:S195)),IF($Q$1=$P$5,INDEX(prem_analysis!$BH$1:$BS$23,ROWS(Data!$Q$3:T195),COLUMNS(Data!$Q$3:T195)),IF($Q$1=$P$6,INDEX(prem_analysis!$BU$1:$CF$67,ROWS(prem_analysis!$N$2:Q194),COLUMNS(prem_analysis!$N$2:Q194)),IF($Q$1=$P$4,INDEX(Table24[[#All],[Year]:[Details]],ROWS(prem_analysis!$M$420:P612),COLUMNS(Data!$Q$3:T195)))))),"")</f>
        <v/>
      </c>
      <c r="V194" s="1" t="str">
        <f>IFERROR(IF($Q$1=$P$3,INDEX(prem_analysis!$P$2:$Q$441,ROWS(Data!$P$2:U194),COLUMNS(Data!$P$3:T195)),IF($Q$1=$P$5,INDEX(prem_analysis!$BH$1:$BS$23,ROWS(Data!$Q$3:U195),COLUMNS(Data!$Q$3:U195)),IF($Q$1=$P$6,INDEX(prem_analysis!$BU$1:$CF$67,ROWS(prem_analysis!$N$2:R194),COLUMNS(prem_analysis!$N$2:R194)),IF($Q$1=$P$4,INDEX(Table24[[#All],[Year]:[Details]],ROWS(prem_analysis!$M$420:Q612),COLUMNS(Data!$Q$3:U195)))))),"")</f>
        <v/>
      </c>
      <c r="W194" s="1" t="str">
        <f>IFERROR(IF($Q$1=$P$3,INDEX(prem_analysis!$P$2:$Q$441,ROWS(Data!$P$2:V194),COLUMNS(Data!$P$3:U195)),IF($Q$1=$P$5,INDEX(prem_analysis!$BH$1:$BS$23,ROWS(Data!$Q$3:V195),COLUMNS(Data!$Q$3:V195)),IF($Q$1=$P$6,INDEX(prem_analysis!$BU$1:$CF$67,ROWS(prem_analysis!$N$2:S194),COLUMNS(prem_analysis!$N$2:S194)),IF($Q$1=$P$4,INDEX(Table24[[#All],[Year]:[Details]],ROWS(prem_analysis!$M$420:R612),COLUMNS(Data!$Q$3:V195)))))),"")</f>
        <v/>
      </c>
      <c r="X194" s="1" t="str">
        <f>IFERROR(IF($Q$1=$P$3,INDEX(prem_analysis!$P$2:$Q$441,ROWS(Data!$P$2:W194),COLUMNS(Data!$P$3:V195)),IF($Q$1=$P$5,INDEX(prem_analysis!$BH$1:$BS$23,ROWS(Data!$Q$3:W195),COLUMNS(Data!$Q$3:W195)),IF($Q$1=$P$6,INDEX(prem_analysis!$BU$1:$CF$67,ROWS(prem_analysis!$N$2:T194),COLUMNS(prem_analysis!$N$2:T194)),IF($Q$1=$P$4,INDEX(Table24[[#All],[Year]:[Details]],ROWS(prem_analysis!$M$420:S612),COLUMNS(Data!$Q$3:W195)))))),"")</f>
        <v/>
      </c>
      <c r="Y194" s="1" t="str">
        <f>IFERROR(IF($Q$1=$P$3,INDEX(prem_analysis!$P$2:$Q$441,ROWS(Data!$P$2:X194),COLUMNS(Data!$P$3:W195)),IF($Q$1=$P$5,INDEX(prem_analysis!$BH$1:$BS$23,ROWS(Data!$Q$3:X195),COLUMNS(Data!$Q$3:X195)),IF($Q$1=$P$6,INDEX(prem_analysis!$BU$1:$CF$67,ROWS(prem_analysis!$N$2:U194),COLUMNS(prem_analysis!$N$2:U194)),IF($Q$1=$P$4,INDEX(Table24[[#All],[Year]:[Details]],ROWS(prem_analysis!$M$420:T612),COLUMNS(Data!$Q$3:X195)))))),"")</f>
        <v/>
      </c>
      <c r="Z194" s="1" t="str">
        <f>IFERROR(IF($Q$1=$P$3,INDEX(prem_analysis!$P$2:$Q$441,ROWS(Data!$P$2:Y194),COLUMNS(Data!$P$3:X195)),IF($Q$1=$P$5,INDEX(prem_analysis!$BH$1:$BS$23,ROWS(Data!$Q$3:Y195),COLUMNS(Data!$Q$3:Y195)),IF($Q$1=$P$6,INDEX(prem_analysis!$BU$1:$CF$67,ROWS(prem_analysis!$N$2:V194),COLUMNS(prem_analysis!$N$2:V194)),IF($Q$1=$P$4,INDEX(Table24[[#All],[Year]:[Details]],ROWS(prem_analysis!$M$420:U612),COLUMNS(Data!$Q$3:Y195)))))),"")</f>
        <v/>
      </c>
      <c r="AA194" s="1" t="str">
        <f>IFERROR(IF($Q$1=$P$3,INDEX(prem_analysis!$P$2:$Q$441,ROWS(Data!$P$2:Z194),COLUMNS(Data!$P$3:Y195)),IF($Q$1=$P$5,INDEX(prem_analysis!$BH$1:$BS$23,ROWS(Data!$Q$3:Z195),COLUMNS(Data!$Q$3:Z195)),IF($Q$1=$P$6,INDEX(prem_analysis!$BU$1:$CF$67,ROWS(prem_analysis!$N$2:W194),COLUMNS(prem_analysis!$N$2:W194)),IF($Q$1=$P$4,INDEX(Table24[[#All],[Year]:[Details]],ROWS(prem_analysis!$M$420:V612),COLUMNS(Data!$Q$3:Z195)))))),"")</f>
        <v/>
      </c>
      <c r="AB194" s="1" t="str">
        <f>IFERROR(IF($Q$1=$P$3,INDEX(prem_analysis!$P$2:$Q$441,ROWS(Data!$P$2:AA194),COLUMNS(Data!$P$3:Z195)),IF($Q$1=$P$5,INDEX(prem_analysis!$BH$1:$BS$23,ROWS(Data!$Q$3:AA195),COLUMNS(Data!$Q$3:AA195)),IF($Q$1=$P$6,INDEX(prem_analysis!$BU$1:$CF$67,ROWS(prem_analysis!$N$2:X194),COLUMNS(prem_analysis!$N$2:X194)),IF($Q$1=$P$4,INDEX(Table24[[#All],[Year]:[Details]],ROWS(prem_analysis!$M$420:W612),COLUMNS(Data!$Q$3:AA195)))))),"")</f>
        <v/>
      </c>
      <c r="AC194" s="1" t="str">
        <f>IFERROR(IF($Q$1=$P$3,INDEX(prem_analysis!$P$2:$Q$441,ROWS(Data!$P$2:AB194),COLUMNS(Data!$P$3:AA195)),IF($Q$1=$P$5,INDEX(prem_analysis!$BH$1:$BS$23,ROWS(Data!$Q$3:AB195),COLUMNS(Data!$Q$3:AB195)),IF($Q$1=$P$6,INDEX(prem_analysis!$BU$1:$CF$67,ROWS(prem_analysis!$N$2:Y194),COLUMNS(prem_analysis!$N$2:Y194)),IF($Q$1=$P$4,INDEX(Table24[[#All],[Year]:[Details]],ROWS(prem_analysis!$M$420:X612),COLUMNS(Data!$Q$3:AB195)))))),"")</f>
        <v/>
      </c>
    </row>
    <row r="195" spans="1:29" x14ac:dyDescent="0.2">
      <c r="A195" s="5">
        <v>2009</v>
      </c>
      <c r="B195" s="5">
        <v>14</v>
      </c>
      <c r="C195" s="6" t="s">
        <v>33</v>
      </c>
      <c r="D195" s="5">
        <v>38</v>
      </c>
      <c r="E195" s="5">
        <v>10</v>
      </c>
      <c r="F195" s="5">
        <v>9</v>
      </c>
      <c r="G195" s="5">
        <v>19</v>
      </c>
      <c r="H195" s="5">
        <v>42</v>
      </c>
      <c r="I195" s="5">
        <v>67</v>
      </c>
      <c r="J195" s="5">
        <v>-25</v>
      </c>
      <c r="K195" s="5">
        <v>39</v>
      </c>
      <c r="L195" s="5">
        <f>IF(Table24[[#This Row],['#]]=1,"Champion", IF(Table24[[#This Row],['#]]&gt;=18,"Relegated",Table24[[#This Row],['#]]))</f>
        <v>14</v>
      </c>
      <c r="M195" s="5" t="str">
        <f>IF(Table24[[#This Row],[Details]]=2,K194-Table24[[#This Row],[Pts]],IF(Table24[[#This Row],[Details]]=17,Table24[[#This Row],[Pts]]-K196,""))</f>
        <v/>
      </c>
      <c r="R195" s="1" t="str">
        <f>IFERROR(IF($Q$1=$P$3,INDEX(prem_analysis!$P$2:$Q$441,ROWS(Data!$P$2:Q195),COLUMNS(Data!$P$3:P196)),IF($Q$1=$P$5,INDEX(prem_analysis!$BH$1:$BS$23,ROWS(Data!$Q$3:Q196),COLUMNS(Data!$Q$3:Q196)),IF($Q$1=$P$6,INDEX(prem_analysis!$BU$1:$CF$67,ROWS(prem_analysis!$N$2:N195),COLUMNS(prem_analysis!$N$2:N195)),IF($Q$1=$P$4,INDEX(Table24[[#All],[Year]:[Details]],ROWS(prem_analysis!$M$420:M613),COLUMNS(Data!$Q$3:Q196)))))),"")</f>
        <v/>
      </c>
      <c r="S195" s="1" t="str">
        <f>IFERROR(IF($Q$1=$P$3,INDEX(prem_analysis!$P$2:$Q$441,ROWS(Data!$P$2:R195),COLUMNS(Data!$P$3:Q196)),IF($Q$1=$P$5,INDEX(prem_analysis!$BH$1:$BS$23,ROWS(Data!$Q$3:R196),COLUMNS(Data!$Q$3:R196)),IF($Q$1=$P$6,INDEX(prem_analysis!$BU$1:$CF$67,ROWS(prem_analysis!$N$2:O195),COLUMNS(prem_analysis!$N$2:O195)),IF($Q$1=$P$4,INDEX(Table24[[#All],[Year]:[Details]],ROWS(prem_analysis!$M$420:N613),COLUMNS(Data!$Q$3:R196)))))),"")</f>
        <v/>
      </c>
      <c r="T195" s="1" t="str">
        <f>IFERROR(IF($Q$1=$P$3,INDEX(prem_analysis!$P$2:$Q$441,ROWS(Data!$P$2:S195),COLUMNS(Data!$P$3:R196)),IF($Q$1=$P$5,INDEX(prem_analysis!$BH$1:$BS$23,ROWS(Data!$Q$3:S196),COLUMNS(Data!$Q$3:S196)),IF($Q$1=$P$6,INDEX(prem_analysis!$BU$1:$CF$67,ROWS(prem_analysis!$N$2:P195),COLUMNS(prem_analysis!$N$2:P195)),IF($Q$1=$P$4,INDEX(Table24[[#All],[Year]:[Details]],ROWS(prem_analysis!$M$420:O613),COLUMNS(Data!$Q$3:S196)))))),"")</f>
        <v/>
      </c>
      <c r="U195" s="1" t="str">
        <f>IFERROR(IF($Q$1=$P$3,INDEX(prem_analysis!$P$2:$Q$441,ROWS(Data!$P$2:T195),COLUMNS(Data!$P$3:S196)),IF($Q$1=$P$5,INDEX(prem_analysis!$BH$1:$BS$23,ROWS(Data!$Q$3:T196),COLUMNS(Data!$Q$3:T196)),IF($Q$1=$P$6,INDEX(prem_analysis!$BU$1:$CF$67,ROWS(prem_analysis!$N$2:Q195),COLUMNS(prem_analysis!$N$2:Q195)),IF($Q$1=$P$4,INDEX(Table24[[#All],[Year]:[Details]],ROWS(prem_analysis!$M$420:P613),COLUMNS(Data!$Q$3:T196)))))),"")</f>
        <v/>
      </c>
      <c r="V195" s="1" t="str">
        <f>IFERROR(IF($Q$1=$P$3,INDEX(prem_analysis!$P$2:$Q$441,ROWS(Data!$P$2:U195),COLUMNS(Data!$P$3:T196)),IF($Q$1=$P$5,INDEX(prem_analysis!$BH$1:$BS$23,ROWS(Data!$Q$3:U196),COLUMNS(Data!$Q$3:U196)),IF($Q$1=$P$6,INDEX(prem_analysis!$BU$1:$CF$67,ROWS(prem_analysis!$N$2:R195),COLUMNS(prem_analysis!$N$2:R195)),IF($Q$1=$P$4,INDEX(Table24[[#All],[Year]:[Details]],ROWS(prem_analysis!$M$420:Q613),COLUMNS(Data!$Q$3:U196)))))),"")</f>
        <v/>
      </c>
      <c r="W195" s="1" t="str">
        <f>IFERROR(IF($Q$1=$P$3,INDEX(prem_analysis!$P$2:$Q$441,ROWS(Data!$P$2:V195),COLUMNS(Data!$P$3:U196)),IF($Q$1=$P$5,INDEX(prem_analysis!$BH$1:$BS$23,ROWS(Data!$Q$3:V196),COLUMNS(Data!$Q$3:V196)),IF($Q$1=$P$6,INDEX(prem_analysis!$BU$1:$CF$67,ROWS(prem_analysis!$N$2:S195),COLUMNS(prem_analysis!$N$2:S195)),IF($Q$1=$P$4,INDEX(Table24[[#All],[Year]:[Details]],ROWS(prem_analysis!$M$420:R613),COLUMNS(Data!$Q$3:V196)))))),"")</f>
        <v/>
      </c>
      <c r="X195" s="1" t="str">
        <f>IFERROR(IF($Q$1=$P$3,INDEX(prem_analysis!$P$2:$Q$441,ROWS(Data!$P$2:W195),COLUMNS(Data!$P$3:V196)),IF($Q$1=$P$5,INDEX(prem_analysis!$BH$1:$BS$23,ROWS(Data!$Q$3:W196),COLUMNS(Data!$Q$3:W196)),IF($Q$1=$P$6,INDEX(prem_analysis!$BU$1:$CF$67,ROWS(prem_analysis!$N$2:T195),COLUMNS(prem_analysis!$N$2:T195)),IF($Q$1=$P$4,INDEX(Table24[[#All],[Year]:[Details]],ROWS(prem_analysis!$M$420:S613),COLUMNS(Data!$Q$3:W196)))))),"")</f>
        <v/>
      </c>
      <c r="Y195" s="1" t="str">
        <f>IFERROR(IF($Q$1=$P$3,INDEX(prem_analysis!$P$2:$Q$441,ROWS(Data!$P$2:X195),COLUMNS(Data!$P$3:W196)),IF($Q$1=$P$5,INDEX(prem_analysis!$BH$1:$BS$23,ROWS(Data!$Q$3:X196),COLUMNS(Data!$Q$3:X196)),IF($Q$1=$P$6,INDEX(prem_analysis!$BU$1:$CF$67,ROWS(prem_analysis!$N$2:U195),COLUMNS(prem_analysis!$N$2:U195)),IF($Q$1=$P$4,INDEX(Table24[[#All],[Year]:[Details]],ROWS(prem_analysis!$M$420:T613),COLUMNS(Data!$Q$3:X196)))))),"")</f>
        <v/>
      </c>
      <c r="Z195" s="1" t="str">
        <f>IFERROR(IF($Q$1=$P$3,INDEX(prem_analysis!$P$2:$Q$441,ROWS(Data!$P$2:Y195),COLUMNS(Data!$P$3:X196)),IF($Q$1=$P$5,INDEX(prem_analysis!$BH$1:$BS$23,ROWS(Data!$Q$3:Y196),COLUMNS(Data!$Q$3:Y196)),IF($Q$1=$P$6,INDEX(prem_analysis!$BU$1:$CF$67,ROWS(prem_analysis!$N$2:V195),COLUMNS(prem_analysis!$N$2:V195)),IF($Q$1=$P$4,INDEX(Table24[[#All],[Year]:[Details]],ROWS(prem_analysis!$M$420:U613),COLUMNS(Data!$Q$3:Y196)))))),"")</f>
        <v/>
      </c>
      <c r="AA195" s="1" t="str">
        <f>IFERROR(IF($Q$1=$P$3,INDEX(prem_analysis!$P$2:$Q$441,ROWS(Data!$P$2:Z195),COLUMNS(Data!$P$3:Y196)),IF($Q$1=$P$5,INDEX(prem_analysis!$BH$1:$BS$23,ROWS(Data!$Q$3:Z196),COLUMNS(Data!$Q$3:Z196)),IF($Q$1=$P$6,INDEX(prem_analysis!$BU$1:$CF$67,ROWS(prem_analysis!$N$2:W195),COLUMNS(prem_analysis!$N$2:W195)),IF($Q$1=$P$4,INDEX(Table24[[#All],[Year]:[Details]],ROWS(prem_analysis!$M$420:V613),COLUMNS(Data!$Q$3:Z196)))))),"")</f>
        <v/>
      </c>
      <c r="AB195" s="1" t="str">
        <f>IFERROR(IF($Q$1=$P$3,INDEX(prem_analysis!$P$2:$Q$441,ROWS(Data!$P$2:AA195),COLUMNS(Data!$P$3:Z196)),IF($Q$1=$P$5,INDEX(prem_analysis!$BH$1:$BS$23,ROWS(Data!$Q$3:AA196),COLUMNS(Data!$Q$3:AA196)),IF($Q$1=$P$6,INDEX(prem_analysis!$BU$1:$CF$67,ROWS(prem_analysis!$N$2:X195),COLUMNS(prem_analysis!$N$2:X195)),IF($Q$1=$P$4,INDEX(Table24[[#All],[Year]:[Details]],ROWS(prem_analysis!$M$420:W613),COLUMNS(Data!$Q$3:AA196)))))),"")</f>
        <v/>
      </c>
      <c r="AC195" s="1" t="str">
        <f>IFERROR(IF($Q$1=$P$3,INDEX(prem_analysis!$P$2:$Q$441,ROWS(Data!$P$2:AB195),COLUMNS(Data!$P$3:AA196)),IF($Q$1=$P$5,INDEX(prem_analysis!$BH$1:$BS$23,ROWS(Data!$Q$3:AB196),COLUMNS(Data!$Q$3:AB196)),IF($Q$1=$P$6,INDEX(prem_analysis!$BU$1:$CF$67,ROWS(prem_analysis!$N$2:Y195),COLUMNS(prem_analysis!$N$2:Y195)),IF($Q$1=$P$4,INDEX(Table24[[#All],[Year]:[Details]],ROWS(prem_analysis!$M$420:X613),COLUMNS(Data!$Q$3:AB196)))))),"")</f>
        <v/>
      </c>
    </row>
    <row r="196" spans="1:29" x14ac:dyDescent="0.2">
      <c r="A196" s="3">
        <v>2009</v>
      </c>
      <c r="B196" s="3">
        <v>15</v>
      </c>
      <c r="C196" s="4" t="s">
        <v>37</v>
      </c>
      <c r="D196" s="3">
        <v>38</v>
      </c>
      <c r="E196" s="3">
        <v>9</v>
      </c>
      <c r="F196" s="3">
        <v>11</v>
      </c>
      <c r="G196" s="3">
        <v>18</v>
      </c>
      <c r="H196" s="3">
        <v>32</v>
      </c>
      <c r="I196" s="3">
        <v>56</v>
      </c>
      <c r="J196" s="3">
        <v>-24</v>
      </c>
      <c r="K196" s="3">
        <v>38</v>
      </c>
      <c r="L196" s="5">
        <f>IF(Table24[[#This Row],['#]]=1,"Champion", IF(Table24[[#This Row],['#]]&gt;=18,"Relegated",Table24[[#This Row],['#]]))</f>
        <v>15</v>
      </c>
      <c r="M196" s="5" t="str">
        <f>IF(Table24[[#This Row],[Details]]=2,K195-Table24[[#This Row],[Pts]],IF(Table24[[#This Row],[Details]]=17,Table24[[#This Row],[Pts]]-K197,""))</f>
        <v/>
      </c>
      <c r="R196" s="1" t="str">
        <f>IFERROR(IF($Q$1=$P$3,INDEX(prem_analysis!$P$2:$Q$441,ROWS(Data!$P$2:Q196),COLUMNS(Data!$P$3:P197)),IF($Q$1=$P$5,INDEX(prem_analysis!$BH$1:$BS$23,ROWS(Data!$Q$3:Q197),COLUMNS(Data!$Q$3:Q197)),IF($Q$1=$P$6,INDEX(prem_analysis!$BU$1:$CF$67,ROWS(prem_analysis!$N$2:N196),COLUMNS(prem_analysis!$N$2:N196)),IF($Q$1=$P$4,INDEX(Table24[[#All],[Year]:[Details]],ROWS(prem_analysis!$M$420:M614),COLUMNS(Data!$Q$3:Q197)))))),"")</f>
        <v/>
      </c>
      <c r="S196" s="1" t="str">
        <f>IFERROR(IF($Q$1=$P$3,INDEX(prem_analysis!$P$2:$Q$441,ROWS(Data!$P$2:R196),COLUMNS(Data!$P$3:Q197)),IF($Q$1=$P$5,INDEX(prem_analysis!$BH$1:$BS$23,ROWS(Data!$Q$3:R197),COLUMNS(Data!$Q$3:R197)),IF($Q$1=$P$6,INDEX(prem_analysis!$BU$1:$CF$67,ROWS(prem_analysis!$N$2:O196),COLUMNS(prem_analysis!$N$2:O196)),IF($Q$1=$P$4,INDEX(Table24[[#All],[Year]:[Details]],ROWS(prem_analysis!$M$420:N614),COLUMNS(Data!$Q$3:R197)))))),"")</f>
        <v/>
      </c>
      <c r="T196" s="1" t="str">
        <f>IFERROR(IF($Q$1=$P$3,INDEX(prem_analysis!$P$2:$Q$441,ROWS(Data!$P$2:S196),COLUMNS(Data!$P$3:R197)),IF($Q$1=$P$5,INDEX(prem_analysis!$BH$1:$BS$23,ROWS(Data!$Q$3:S197),COLUMNS(Data!$Q$3:S197)),IF($Q$1=$P$6,INDEX(prem_analysis!$BU$1:$CF$67,ROWS(prem_analysis!$N$2:P196),COLUMNS(prem_analysis!$N$2:P196)),IF($Q$1=$P$4,INDEX(Table24[[#All],[Year]:[Details]],ROWS(prem_analysis!$M$420:O614),COLUMNS(Data!$Q$3:S197)))))),"")</f>
        <v/>
      </c>
      <c r="U196" s="1" t="str">
        <f>IFERROR(IF($Q$1=$P$3,INDEX(prem_analysis!$P$2:$Q$441,ROWS(Data!$P$2:T196),COLUMNS(Data!$P$3:S197)),IF($Q$1=$P$5,INDEX(prem_analysis!$BH$1:$BS$23,ROWS(Data!$Q$3:T197),COLUMNS(Data!$Q$3:T197)),IF($Q$1=$P$6,INDEX(prem_analysis!$BU$1:$CF$67,ROWS(prem_analysis!$N$2:Q196),COLUMNS(prem_analysis!$N$2:Q196)),IF($Q$1=$P$4,INDEX(Table24[[#All],[Year]:[Details]],ROWS(prem_analysis!$M$420:P614),COLUMNS(Data!$Q$3:T197)))))),"")</f>
        <v/>
      </c>
      <c r="V196" s="1" t="str">
        <f>IFERROR(IF($Q$1=$P$3,INDEX(prem_analysis!$P$2:$Q$441,ROWS(Data!$P$2:U196),COLUMNS(Data!$P$3:T197)),IF($Q$1=$P$5,INDEX(prem_analysis!$BH$1:$BS$23,ROWS(Data!$Q$3:U197),COLUMNS(Data!$Q$3:U197)),IF($Q$1=$P$6,INDEX(prem_analysis!$BU$1:$CF$67,ROWS(prem_analysis!$N$2:R196),COLUMNS(prem_analysis!$N$2:R196)),IF($Q$1=$P$4,INDEX(Table24[[#All],[Year]:[Details]],ROWS(prem_analysis!$M$420:Q614),COLUMNS(Data!$Q$3:U197)))))),"")</f>
        <v/>
      </c>
      <c r="W196" s="1" t="str">
        <f>IFERROR(IF($Q$1=$P$3,INDEX(prem_analysis!$P$2:$Q$441,ROWS(Data!$P$2:V196),COLUMNS(Data!$P$3:U197)),IF($Q$1=$P$5,INDEX(prem_analysis!$BH$1:$BS$23,ROWS(Data!$Q$3:V197),COLUMNS(Data!$Q$3:V197)),IF($Q$1=$P$6,INDEX(prem_analysis!$BU$1:$CF$67,ROWS(prem_analysis!$N$2:S196),COLUMNS(prem_analysis!$N$2:S196)),IF($Q$1=$P$4,INDEX(Table24[[#All],[Year]:[Details]],ROWS(prem_analysis!$M$420:R614),COLUMNS(Data!$Q$3:V197)))))),"")</f>
        <v/>
      </c>
      <c r="X196" s="1" t="str">
        <f>IFERROR(IF($Q$1=$P$3,INDEX(prem_analysis!$P$2:$Q$441,ROWS(Data!$P$2:W196),COLUMNS(Data!$P$3:V197)),IF($Q$1=$P$5,INDEX(prem_analysis!$BH$1:$BS$23,ROWS(Data!$Q$3:W197),COLUMNS(Data!$Q$3:W197)),IF($Q$1=$P$6,INDEX(prem_analysis!$BU$1:$CF$67,ROWS(prem_analysis!$N$2:T196),COLUMNS(prem_analysis!$N$2:T196)),IF($Q$1=$P$4,INDEX(Table24[[#All],[Year]:[Details]],ROWS(prem_analysis!$M$420:S614),COLUMNS(Data!$Q$3:W197)))))),"")</f>
        <v/>
      </c>
      <c r="Y196" s="1" t="str">
        <f>IFERROR(IF($Q$1=$P$3,INDEX(prem_analysis!$P$2:$Q$441,ROWS(Data!$P$2:X196),COLUMNS(Data!$P$3:W197)),IF($Q$1=$P$5,INDEX(prem_analysis!$BH$1:$BS$23,ROWS(Data!$Q$3:X197),COLUMNS(Data!$Q$3:X197)),IF($Q$1=$P$6,INDEX(prem_analysis!$BU$1:$CF$67,ROWS(prem_analysis!$N$2:U196),COLUMNS(prem_analysis!$N$2:U196)),IF($Q$1=$P$4,INDEX(Table24[[#All],[Year]:[Details]],ROWS(prem_analysis!$M$420:T614),COLUMNS(Data!$Q$3:X197)))))),"")</f>
        <v/>
      </c>
      <c r="Z196" s="1" t="str">
        <f>IFERROR(IF($Q$1=$P$3,INDEX(prem_analysis!$P$2:$Q$441,ROWS(Data!$P$2:Y196),COLUMNS(Data!$P$3:X197)),IF($Q$1=$P$5,INDEX(prem_analysis!$BH$1:$BS$23,ROWS(Data!$Q$3:Y197),COLUMNS(Data!$Q$3:Y197)),IF($Q$1=$P$6,INDEX(prem_analysis!$BU$1:$CF$67,ROWS(prem_analysis!$N$2:V196),COLUMNS(prem_analysis!$N$2:V196)),IF($Q$1=$P$4,INDEX(Table24[[#All],[Year]:[Details]],ROWS(prem_analysis!$M$420:U614),COLUMNS(Data!$Q$3:Y197)))))),"")</f>
        <v/>
      </c>
      <c r="AA196" s="1" t="str">
        <f>IFERROR(IF($Q$1=$P$3,INDEX(prem_analysis!$P$2:$Q$441,ROWS(Data!$P$2:Z196),COLUMNS(Data!$P$3:Y197)),IF($Q$1=$P$5,INDEX(prem_analysis!$BH$1:$BS$23,ROWS(Data!$Q$3:Z197),COLUMNS(Data!$Q$3:Z197)),IF($Q$1=$P$6,INDEX(prem_analysis!$BU$1:$CF$67,ROWS(prem_analysis!$N$2:W196),COLUMNS(prem_analysis!$N$2:W196)),IF($Q$1=$P$4,INDEX(Table24[[#All],[Year]:[Details]],ROWS(prem_analysis!$M$420:V614),COLUMNS(Data!$Q$3:Z197)))))),"")</f>
        <v/>
      </c>
      <c r="AB196" s="1" t="str">
        <f>IFERROR(IF($Q$1=$P$3,INDEX(prem_analysis!$P$2:$Q$441,ROWS(Data!$P$2:AA196),COLUMNS(Data!$P$3:Z197)),IF($Q$1=$P$5,INDEX(prem_analysis!$BH$1:$BS$23,ROWS(Data!$Q$3:AA197),COLUMNS(Data!$Q$3:AA197)),IF($Q$1=$P$6,INDEX(prem_analysis!$BU$1:$CF$67,ROWS(prem_analysis!$N$2:X196),COLUMNS(prem_analysis!$N$2:X196)),IF($Q$1=$P$4,INDEX(Table24[[#All],[Year]:[Details]],ROWS(prem_analysis!$M$420:W614),COLUMNS(Data!$Q$3:AA197)))))),"")</f>
        <v/>
      </c>
      <c r="AC196" s="1" t="str">
        <f>IFERROR(IF($Q$1=$P$3,INDEX(prem_analysis!$P$2:$Q$441,ROWS(Data!$P$2:AB196),COLUMNS(Data!$P$3:AA197)),IF($Q$1=$P$5,INDEX(prem_analysis!$BH$1:$BS$23,ROWS(Data!$Q$3:AB197),COLUMNS(Data!$Q$3:AB197)),IF($Q$1=$P$6,INDEX(prem_analysis!$BU$1:$CF$67,ROWS(prem_analysis!$N$2:Y196),COLUMNS(prem_analysis!$N$2:Y196)),IF($Q$1=$P$4,INDEX(Table24[[#All],[Year]:[Details]],ROWS(prem_analysis!$M$420:X614),COLUMNS(Data!$Q$3:AB197)))))),"")</f>
        <v/>
      </c>
    </row>
    <row r="197" spans="1:29" x14ac:dyDescent="0.2">
      <c r="A197" s="5">
        <v>2009</v>
      </c>
      <c r="B197" s="5">
        <v>16</v>
      </c>
      <c r="C197" s="6" t="s">
        <v>40</v>
      </c>
      <c r="D197" s="5">
        <v>38</v>
      </c>
      <c r="E197" s="5">
        <v>9</v>
      </c>
      <c r="F197" s="5">
        <v>9</v>
      </c>
      <c r="G197" s="5">
        <v>20</v>
      </c>
      <c r="H197" s="5">
        <v>37</v>
      </c>
      <c r="I197" s="5">
        <v>79</v>
      </c>
      <c r="J197" s="5">
        <v>-42</v>
      </c>
      <c r="K197" s="5">
        <v>36</v>
      </c>
      <c r="L197" s="5">
        <f>IF(Table24[[#This Row],['#]]=1,"Champion", IF(Table24[[#This Row],['#]]&gt;=18,"Relegated",Table24[[#This Row],['#]]))</f>
        <v>16</v>
      </c>
      <c r="M197" s="5" t="str">
        <f>IF(Table24[[#This Row],[Details]]=2,K196-Table24[[#This Row],[Pts]],IF(Table24[[#This Row],[Details]]=17,Table24[[#This Row],[Pts]]-K198,""))</f>
        <v/>
      </c>
      <c r="R197" s="1" t="str">
        <f>IFERROR(IF($Q$1=$P$3,INDEX(prem_analysis!$P$2:$Q$441,ROWS(Data!$P$2:Q197),COLUMNS(Data!$P$3:P198)),IF($Q$1=$P$5,INDEX(prem_analysis!$BH$1:$BS$23,ROWS(Data!$Q$3:Q198),COLUMNS(Data!$Q$3:Q198)),IF($Q$1=$P$6,INDEX(prem_analysis!$BU$1:$CF$67,ROWS(prem_analysis!$N$2:N197),COLUMNS(prem_analysis!$N$2:N197)),IF($Q$1=$P$4,INDEX(Table24[[#All],[Year]:[Details]],ROWS(prem_analysis!$M$420:M615),COLUMNS(Data!$Q$3:Q198)))))),"")</f>
        <v/>
      </c>
      <c r="S197" s="1" t="str">
        <f>IFERROR(IF($Q$1=$P$3,INDEX(prem_analysis!$P$2:$Q$441,ROWS(Data!$P$2:R197),COLUMNS(Data!$P$3:Q198)),IF($Q$1=$P$5,INDEX(prem_analysis!$BH$1:$BS$23,ROWS(Data!$Q$3:R198),COLUMNS(Data!$Q$3:R198)),IF($Q$1=$P$6,INDEX(prem_analysis!$BU$1:$CF$67,ROWS(prem_analysis!$N$2:O197),COLUMNS(prem_analysis!$N$2:O197)),IF($Q$1=$P$4,INDEX(Table24[[#All],[Year]:[Details]],ROWS(prem_analysis!$M$420:N615),COLUMNS(Data!$Q$3:R198)))))),"")</f>
        <v/>
      </c>
      <c r="T197" s="1" t="str">
        <f>IFERROR(IF($Q$1=$P$3,INDEX(prem_analysis!$P$2:$Q$441,ROWS(Data!$P$2:S197),COLUMNS(Data!$P$3:R198)),IF($Q$1=$P$5,INDEX(prem_analysis!$BH$1:$BS$23,ROWS(Data!$Q$3:S198),COLUMNS(Data!$Q$3:S198)),IF($Q$1=$P$6,INDEX(prem_analysis!$BU$1:$CF$67,ROWS(prem_analysis!$N$2:P197),COLUMNS(prem_analysis!$N$2:P197)),IF($Q$1=$P$4,INDEX(Table24[[#All],[Year]:[Details]],ROWS(prem_analysis!$M$420:O615),COLUMNS(Data!$Q$3:S198)))))),"")</f>
        <v/>
      </c>
      <c r="U197" s="1" t="str">
        <f>IFERROR(IF($Q$1=$P$3,INDEX(prem_analysis!$P$2:$Q$441,ROWS(Data!$P$2:T197),COLUMNS(Data!$P$3:S198)),IF($Q$1=$P$5,INDEX(prem_analysis!$BH$1:$BS$23,ROWS(Data!$Q$3:T198),COLUMNS(Data!$Q$3:T198)),IF($Q$1=$P$6,INDEX(prem_analysis!$BU$1:$CF$67,ROWS(prem_analysis!$N$2:Q197),COLUMNS(prem_analysis!$N$2:Q197)),IF($Q$1=$P$4,INDEX(Table24[[#All],[Year]:[Details]],ROWS(prem_analysis!$M$420:P615),COLUMNS(Data!$Q$3:T198)))))),"")</f>
        <v/>
      </c>
      <c r="V197" s="1" t="str">
        <f>IFERROR(IF($Q$1=$P$3,INDEX(prem_analysis!$P$2:$Q$441,ROWS(Data!$P$2:U197),COLUMNS(Data!$P$3:T198)),IF($Q$1=$P$5,INDEX(prem_analysis!$BH$1:$BS$23,ROWS(Data!$Q$3:U198),COLUMNS(Data!$Q$3:U198)),IF($Q$1=$P$6,INDEX(prem_analysis!$BU$1:$CF$67,ROWS(prem_analysis!$N$2:R197),COLUMNS(prem_analysis!$N$2:R197)),IF($Q$1=$P$4,INDEX(Table24[[#All],[Year]:[Details]],ROWS(prem_analysis!$M$420:Q615),COLUMNS(Data!$Q$3:U198)))))),"")</f>
        <v/>
      </c>
      <c r="W197" s="1" t="str">
        <f>IFERROR(IF($Q$1=$P$3,INDEX(prem_analysis!$P$2:$Q$441,ROWS(Data!$P$2:V197),COLUMNS(Data!$P$3:U198)),IF($Q$1=$P$5,INDEX(prem_analysis!$BH$1:$BS$23,ROWS(Data!$Q$3:V198),COLUMNS(Data!$Q$3:V198)),IF($Q$1=$P$6,INDEX(prem_analysis!$BU$1:$CF$67,ROWS(prem_analysis!$N$2:S197),COLUMNS(prem_analysis!$N$2:S197)),IF($Q$1=$P$4,INDEX(Table24[[#All],[Year]:[Details]],ROWS(prem_analysis!$M$420:R615),COLUMNS(Data!$Q$3:V198)))))),"")</f>
        <v/>
      </c>
      <c r="X197" s="1" t="str">
        <f>IFERROR(IF($Q$1=$P$3,INDEX(prem_analysis!$P$2:$Q$441,ROWS(Data!$P$2:W197),COLUMNS(Data!$P$3:V198)),IF($Q$1=$P$5,INDEX(prem_analysis!$BH$1:$BS$23,ROWS(Data!$Q$3:W198),COLUMNS(Data!$Q$3:W198)),IF($Q$1=$P$6,INDEX(prem_analysis!$BU$1:$CF$67,ROWS(prem_analysis!$N$2:T197),COLUMNS(prem_analysis!$N$2:T197)),IF($Q$1=$P$4,INDEX(Table24[[#All],[Year]:[Details]],ROWS(prem_analysis!$M$420:S615),COLUMNS(Data!$Q$3:W198)))))),"")</f>
        <v/>
      </c>
      <c r="Y197" s="1" t="str">
        <f>IFERROR(IF($Q$1=$P$3,INDEX(prem_analysis!$P$2:$Q$441,ROWS(Data!$P$2:X197),COLUMNS(Data!$P$3:W198)),IF($Q$1=$P$5,INDEX(prem_analysis!$BH$1:$BS$23,ROWS(Data!$Q$3:X198),COLUMNS(Data!$Q$3:X198)),IF($Q$1=$P$6,INDEX(prem_analysis!$BU$1:$CF$67,ROWS(prem_analysis!$N$2:U197),COLUMNS(prem_analysis!$N$2:U197)),IF($Q$1=$P$4,INDEX(Table24[[#All],[Year]:[Details]],ROWS(prem_analysis!$M$420:T615),COLUMNS(Data!$Q$3:X198)))))),"")</f>
        <v/>
      </c>
      <c r="Z197" s="1" t="str">
        <f>IFERROR(IF($Q$1=$P$3,INDEX(prem_analysis!$P$2:$Q$441,ROWS(Data!$P$2:Y197),COLUMNS(Data!$P$3:X198)),IF($Q$1=$P$5,INDEX(prem_analysis!$BH$1:$BS$23,ROWS(Data!$Q$3:Y198),COLUMNS(Data!$Q$3:Y198)),IF($Q$1=$P$6,INDEX(prem_analysis!$BU$1:$CF$67,ROWS(prem_analysis!$N$2:V197),COLUMNS(prem_analysis!$N$2:V197)),IF($Q$1=$P$4,INDEX(Table24[[#All],[Year]:[Details]],ROWS(prem_analysis!$M$420:U615),COLUMNS(Data!$Q$3:Y198)))))),"")</f>
        <v/>
      </c>
      <c r="AA197" s="1" t="str">
        <f>IFERROR(IF($Q$1=$P$3,INDEX(prem_analysis!$P$2:$Q$441,ROWS(Data!$P$2:Z197),COLUMNS(Data!$P$3:Y198)),IF($Q$1=$P$5,INDEX(prem_analysis!$BH$1:$BS$23,ROWS(Data!$Q$3:Z198),COLUMNS(Data!$Q$3:Z198)),IF($Q$1=$P$6,INDEX(prem_analysis!$BU$1:$CF$67,ROWS(prem_analysis!$N$2:W197),COLUMNS(prem_analysis!$N$2:W197)),IF($Q$1=$P$4,INDEX(Table24[[#All],[Year]:[Details]],ROWS(prem_analysis!$M$420:V615),COLUMNS(Data!$Q$3:Z198)))))),"")</f>
        <v/>
      </c>
      <c r="AB197" s="1" t="str">
        <f>IFERROR(IF($Q$1=$P$3,INDEX(prem_analysis!$P$2:$Q$441,ROWS(Data!$P$2:AA197),COLUMNS(Data!$P$3:Z198)),IF($Q$1=$P$5,INDEX(prem_analysis!$BH$1:$BS$23,ROWS(Data!$Q$3:AA198),COLUMNS(Data!$Q$3:AA198)),IF($Q$1=$P$6,INDEX(prem_analysis!$BU$1:$CF$67,ROWS(prem_analysis!$N$2:X197),COLUMNS(prem_analysis!$N$2:X197)),IF($Q$1=$P$4,INDEX(Table24[[#All],[Year]:[Details]],ROWS(prem_analysis!$M$420:W615),COLUMNS(Data!$Q$3:AA198)))))),"")</f>
        <v/>
      </c>
      <c r="AC197" s="1" t="str">
        <f>IFERROR(IF($Q$1=$P$3,INDEX(prem_analysis!$P$2:$Q$441,ROWS(Data!$P$2:AB197),COLUMNS(Data!$P$3:AA198)),IF($Q$1=$P$5,INDEX(prem_analysis!$BH$1:$BS$23,ROWS(Data!$Q$3:AB198),COLUMNS(Data!$Q$3:AB198)),IF($Q$1=$P$6,INDEX(prem_analysis!$BU$1:$CF$67,ROWS(prem_analysis!$N$2:Y197),COLUMNS(prem_analysis!$N$2:Y197)),IF($Q$1=$P$4,INDEX(Table24[[#All],[Year]:[Details]],ROWS(prem_analysis!$M$420:X615),COLUMNS(Data!$Q$3:AB198)))))),"")</f>
        <v/>
      </c>
    </row>
    <row r="198" spans="1:29" x14ac:dyDescent="0.2">
      <c r="A198" s="3">
        <v>2009</v>
      </c>
      <c r="B198" s="3">
        <v>17</v>
      </c>
      <c r="C198" s="4" t="s">
        <v>25</v>
      </c>
      <c r="D198" s="3">
        <v>38</v>
      </c>
      <c r="E198" s="3">
        <v>8</v>
      </c>
      <c r="F198" s="3">
        <v>11</v>
      </c>
      <c r="G198" s="3">
        <v>19</v>
      </c>
      <c r="H198" s="3">
        <v>47</v>
      </c>
      <c r="I198" s="3">
        <v>66</v>
      </c>
      <c r="J198" s="3">
        <v>-19</v>
      </c>
      <c r="K198" s="3">
        <v>35</v>
      </c>
      <c r="L198" s="5">
        <f>IF(Table24[[#This Row],['#]]=1,"Champion", IF(Table24[[#This Row],['#]]&gt;=18,"Relegated",Table24[[#This Row],['#]]))</f>
        <v>17</v>
      </c>
      <c r="M198" s="5">
        <f>IF(Table24[[#This Row],[Details]]=2,K197-Table24[[#This Row],[Pts]],IF(Table24[[#This Row],[Details]]=17,Table24[[#This Row],[Pts]]-K199,""))</f>
        <v>5</v>
      </c>
      <c r="R198" s="1" t="str">
        <f>IFERROR(IF($Q$1=$P$3,INDEX(prem_analysis!$P$2:$Q$441,ROWS(Data!$P$2:Q198),COLUMNS(Data!$P$3:P199)),IF($Q$1=$P$5,INDEX(prem_analysis!$BH$1:$BS$23,ROWS(Data!$Q$3:Q199),COLUMNS(Data!$Q$3:Q199)),IF($Q$1=$P$6,INDEX(prem_analysis!$BU$1:$CF$67,ROWS(prem_analysis!$N$2:N198),COLUMNS(prem_analysis!$N$2:N198)),IF($Q$1=$P$4,INDEX(Table24[[#All],[Year]:[Details]],ROWS(prem_analysis!$M$420:M616),COLUMNS(Data!$Q$3:Q199)))))),"")</f>
        <v/>
      </c>
      <c r="S198" s="1" t="str">
        <f>IFERROR(IF($Q$1=$P$3,INDEX(prem_analysis!$P$2:$Q$441,ROWS(Data!$P$2:R198),COLUMNS(Data!$P$3:Q199)),IF($Q$1=$P$5,INDEX(prem_analysis!$BH$1:$BS$23,ROWS(Data!$Q$3:R199),COLUMNS(Data!$Q$3:R199)),IF($Q$1=$P$6,INDEX(prem_analysis!$BU$1:$CF$67,ROWS(prem_analysis!$N$2:O198),COLUMNS(prem_analysis!$N$2:O198)),IF($Q$1=$P$4,INDEX(Table24[[#All],[Year]:[Details]],ROWS(prem_analysis!$M$420:N616),COLUMNS(Data!$Q$3:R199)))))),"")</f>
        <v/>
      </c>
      <c r="T198" s="1" t="str">
        <f>IFERROR(IF($Q$1=$P$3,INDEX(prem_analysis!$P$2:$Q$441,ROWS(Data!$P$2:S198),COLUMNS(Data!$P$3:R199)),IF($Q$1=$P$5,INDEX(prem_analysis!$BH$1:$BS$23,ROWS(Data!$Q$3:S199),COLUMNS(Data!$Q$3:S199)),IF($Q$1=$P$6,INDEX(prem_analysis!$BU$1:$CF$67,ROWS(prem_analysis!$N$2:P198),COLUMNS(prem_analysis!$N$2:P198)),IF($Q$1=$P$4,INDEX(Table24[[#All],[Year]:[Details]],ROWS(prem_analysis!$M$420:O616),COLUMNS(Data!$Q$3:S199)))))),"")</f>
        <v/>
      </c>
      <c r="U198" s="1" t="str">
        <f>IFERROR(IF($Q$1=$P$3,INDEX(prem_analysis!$P$2:$Q$441,ROWS(Data!$P$2:T198),COLUMNS(Data!$P$3:S199)),IF($Q$1=$P$5,INDEX(prem_analysis!$BH$1:$BS$23,ROWS(Data!$Q$3:T199),COLUMNS(Data!$Q$3:T199)),IF($Q$1=$P$6,INDEX(prem_analysis!$BU$1:$CF$67,ROWS(prem_analysis!$N$2:Q198),COLUMNS(prem_analysis!$N$2:Q198)),IF($Q$1=$P$4,INDEX(Table24[[#All],[Year]:[Details]],ROWS(prem_analysis!$M$420:P616),COLUMNS(Data!$Q$3:T199)))))),"")</f>
        <v/>
      </c>
      <c r="V198" s="1" t="str">
        <f>IFERROR(IF($Q$1=$P$3,INDEX(prem_analysis!$P$2:$Q$441,ROWS(Data!$P$2:U198),COLUMNS(Data!$P$3:T199)),IF($Q$1=$P$5,INDEX(prem_analysis!$BH$1:$BS$23,ROWS(Data!$Q$3:U199),COLUMNS(Data!$Q$3:U199)),IF($Q$1=$P$6,INDEX(prem_analysis!$BU$1:$CF$67,ROWS(prem_analysis!$N$2:R198),COLUMNS(prem_analysis!$N$2:R198)),IF($Q$1=$P$4,INDEX(Table24[[#All],[Year]:[Details]],ROWS(prem_analysis!$M$420:Q616),COLUMNS(Data!$Q$3:U199)))))),"")</f>
        <v/>
      </c>
      <c r="W198" s="1" t="str">
        <f>IFERROR(IF($Q$1=$P$3,INDEX(prem_analysis!$P$2:$Q$441,ROWS(Data!$P$2:V198),COLUMNS(Data!$P$3:U199)),IF($Q$1=$P$5,INDEX(prem_analysis!$BH$1:$BS$23,ROWS(Data!$Q$3:V199),COLUMNS(Data!$Q$3:V199)),IF($Q$1=$P$6,INDEX(prem_analysis!$BU$1:$CF$67,ROWS(prem_analysis!$N$2:S198),COLUMNS(prem_analysis!$N$2:S198)),IF($Q$1=$P$4,INDEX(Table24[[#All],[Year]:[Details]],ROWS(prem_analysis!$M$420:R616),COLUMNS(Data!$Q$3:V199)))))),"")</f>
        <v/>
      </c>
      <c r="X198" s="1" t="str">
        <f>IFERROR(IF($Q$1=$P$3,INDEX(prem_analysis!$P$2:$Q$441,ROWS(Data!$P$2:W198),COLUMNS(Data!$P$3:V199)),IF($Q$1=$P$5,INDEX(prem_analysis!$BH$1:$BS$23,ROWS(Data!$Q$3:W199),COLUMNS(Data!$Q$3:W199)),IF($Q$1=$P$6,INDEX(prem_analysis!$BU$1:$CF$67,ROWS(prem_analysis!$N$2:T198),COLUMNS(prem_analysis!$N$2:T198)),IF($Q$1=$P$4,INDEX(Table24[[#All],[Year]:[Details]],ROWS(prem_analysis!$M$420:S616),COLUMNS(Data!$Q$3:W199)))))),"")</f>
        <v/>
      </c>
      <c r="Y198" s="1" t="str">
        <f>IFERROR(IF($Q$1=$P$3,INDEX(prem_analysis!$P$2:$Q$441,ROWS(Data!$P$2:X198),COLUMNS(Data!$P$3:W199)),IF($Q$1=$P$5,INDEX(prem_analysis!$BH$1:$BS$23,ROWS(Data!$Q$3:X199),COLUMNS(Data!$Q$3:X199)),IF($Q$1=$P$6,INDEX(prem_analysis!$BU$1:$CF$67,ROWS(prem_analysis!$N$2:U198),COLUMNS(prem_analysis!$N$2:U198)),IF($Q$1=$P$4,INDEX(Table24[[#All],[Year]:[Details]],ROWS(prem_analysis!$M$420:T616),COLUMNS(Data!$Q$3:X199)))))),"")</f>
        <v/>
      </c>
      <c r="Z198" s="1" t="str">
        <f>IFERROR(IF($Q$1=$P$3,INDEX(prem_analysis!$P$2:$Q$441,ROWS(Data!$P$2:Y198),COLUMNS(Data!$P$3:X199)),IF($Q$1=$P$5,INDEX(prem_analysis!$BH$1:$BS$23,ROWS(Data!$Q$3:Y199),COLUMNS(Data!$Q$3:Y199)),IF($Q$1=$P$6,INDEX(prem_analysis!$BU$1:$CF$67,ROWS(prem_analysis!$N$2:V198),COLUMNS(prem_analysis!$N$2:V198)),IF($Q$1=$P$4,INDEX(Table24[[#All],[Year]:[Details]],ROWS(prem_analysis!$M$420:U616),COLUMNS(Data!$Q$3:Y199)))))),"")</f>
        <v/>
      </c>
      <c r="AA198" s="1" t="str">
        <f>IFERROR(IF($Q$1=$P$3,INDEX(prem_analysis!$P$2:$Q$441,ROWS(Data!$P$2:Z198),COLUMNS(Data!$P$3:Y199)),IF($Q$1=$P$5,INDEX(prem_analysis!$BH$1:$BS$23,ROWS(Data!$Q$3:Z199),COLUMNS(Data!$Q$3:Z199)),IF($Q$1=$P$6,INDEX(prem_analysis!$BU$1:$CF$67,ROWS(prem_analysis!$N$2:W198),COLUMNS(prem_analysis!$N$2:W198)),IF($Q$1=$P$4,INDEX(Table24[[#All],[Year]:[Details]],ROWS(prem_analysis!$M$420:V616),COLUMNS(Data!$Q$3:Z199)))))),"")</f>
        <v/>
      </c>
      <c r="AB198" s="1" t="str">
        <f>IFERROR(IF($Q$1=$P$3,INDEX(prem_analysis!$P$2:$Q$441,ROWS(Data!$P$2:AA198),COLUMNS(Data!$P$3:Z199)),IF($Q$1=$P$5,INDEX(prem_analysis!$BH$1:$BS$23,ROWS(Data!$Q$3:AA199),COLUMNS(Data!$Q$3:AA199)),IF($Q$1=$P$6,INDEX(prem_analysis!$BU$1:$CF$67,ROWS(prem_analysis!$N$2:X198),COLUMNS(prem_analysis!$N$2:X198)),IF($Q$1=$P$4,INDEX(Table24[[#All],[Year]:[Details]],ROWS(prem_analysis!$M$420:W616),COLUMNS(Data!$Q$3:AA199)))))),"")</f>
        <v/>
      </c>
      <c r="AC198" s="1" t="str">
        <f>IFERROR(IF($Q$1=$P$3,INDEX(prem_analysis!$P$2:$Q$441,ROWS(Data!$P$2:AB198),COLUMNS(Data!$P$3:AA199)),IF($Q$1=$P$5,INDEX(prem_analysis!$BH$1:$BS$23,ROWS(Data!$Q$3:AB199),COLUMNS(Data!$Q$3:AB199)),IF($Q$1=$P$6,INDEX(prem_analysis!$BU$1:$CF$67,ROWS(prem_analysis!$N$2:Y198),COLUMNS(prem_analysis!$N$2:Y198)),IF($Q$1=$P$4,INDEX(Table24[[#All],[Year]:[Details]],ROWS(prem_analysis!$M$420:X616),COLUMNS(Data!$Q$3:AB199)))))),"")</f>
        <v/>
      </c>
    </row>
    <row r="199" spans="1:29" x14ac:dyDescent="0.2">
      <c r="A199" s="5">
        <v>2009</v>
      </c>
      <c r="B199" s="5">
        <v>18</v>
      </c>
      <c r="C199" s="6" t="s">
        <v>46</v>
      </c>
      <c r="D199" s="5">
        <v>38</v>
      </c>
      <c r="E199" s="5">
        <v>8</v>
      </c>
      <c r="F199" s="5">
        <v>6</v>
      </c>
      <c r="G199" s="5">
        <v>24</v>
      </c>
      <c r="H199" s="5">
        <v>42</v>
      </c>
      <c r="I199" s="5">
        <v>82</v>
      </c>
      <c r="J199" s="5">
        <v>-40</v>
      </c>
      <c r="K199" s="5">
        <v>30</v>
      </c>
      <c r="L199" s="5" t="str">
        <f>IF(Table24[[#This Row],['#]]=1,"Champion", IF(Table24[[#This Row],['#]]&gt;=18,"Relegated",Table24[[#This Row],['#]]))</f>
        <v>Relegated</v>
      </c>
      <c r="M199" s="5" t="str">
        <f>IF(Table24[[#This Row],[Details]]=2,K198-Table24[[#This Row],[Pts]],IF(Table24[[#This Row],[Details]]=17,Table24[[#This Row],[Pts]]-K200,""))</f>
        <v/>
      </c>
      <c r="R199" s="1" t="str">
        <f>IFERROR(IF($Q$1=$P$3,INDEX(prem_analysis!$P$2:$Q$441,ROWS(Data!$P$2:Q199),COLUMNS(Data!$P$3:P200)),IF($Q$1=$P$5,INDEX(prem_analysis!$BH$1:$BS$23,ROWS(Data!$Q$3:Q200),COLUMNS(Data!$Q$3:Q200)),IF($Q$1=$P$6,INDEX(prem_analysis!$BU$1:$CF$67,ROWS(prem_analysis!$N$2:N199),COLUMNS(prem_analysis!$N$2:N199)),IF($Q$1=$P$4,INDEX(Table24[[#All],[Year]:[Details]],ROWS(prem_analysis!$M$420:M617),COLUMNS(Data!$Q$3:Q200)))))),"")</f>
        <v/>
      </c>
      <c r="S199" s="1" t="str">
        <f>IFERROR(IF($Q$1=$P$3,INDEX(prem_analysis!$P$2:$Q$441,ROWS(Data!$P$2:R199),COLUMNS(Data!$P$3:Q200)),IF($Q$1=$P$5,INDEX(prem_analysis!$BH$1:$BS$23,ROWS(Data!$Q$3:R200),COLUMNS(Data!$Q$3:R200)),IF($Q$1=$P$6,INDEX(prem_analysis!$BU$1:$CF$67,ROWS(prem_analysis!$N$2:O199),COLUMNS(prem_analysis!$N$2:O199)),IF($Q$1=$P$4,INDEX(Table24[[#All],[Year]:[Details]],ROWS(prem_analysis!$M$420:N617),COLUMNS(Data!$Q$3:R200)))))),"")</f>
        <v/>
      </c>
      <c r="T199" s="1" t="str">
        <f>IFERROR(IF($Q$1=$P$3,INDEX(prem_analysis!$P$2:$Q$441,ROWS(Data!$P$2:S199),COLUMNS(Data!$P$3:R200)),IF($Q$1=$P$5,INDEX(prem_analysis!$BH$1:$BS$23,ROWS(Data!$Q$3:S200),COLUMNS(Data!$Q$3:S200)),IF($Q$1=$P$6,INDEX(prem_analysis!$BU$1:$CF$67,ROWS(prem_analysis!$N$2:P199),COLUMNS(prem_analysis!$N$2:P199)),IF($Q$1=$P$4,INDEX(Table24[[#All],[Year]:[Details]],ROWS(prem_analysis!$M$420:O617),COLUMNS(Data!$Q$3:S200)))))),"")</f>
        <v/>
      </c>
      <c r="U199" s="1" t="str">
        <f>IFERROR(IF($Q$1=$P$3,INDEX(prem_analysis!$P$2:$Q$441,ROWS(Data!$P$2:T199),COLUMNS(Data!$P$3:S200)),IF($Q$1=$P$5,INDEX(prem_analysis!$BH$1:$BS$23,ROWS(Data!$Q$3:T200),COLUMNS(Data!$Q$3:T200)),IF($Q$1=$P$6,INDEX(prem_analysis!$BU$1:$CF$67,ROWS(prem_analysis!$N$2:Q199),COLUMNS(prem_analysis!$N$2:Q199)),IF($Q$1=$P$4,INDEX(Table24[[#All],[Year]:[Details]],ROWS(prem_analysis!$M$420:P617),COLUMNS(Data!$Q$3:T200)))))),"")</f>
        <v/>
      </c>
      <c r="V199" s="1" t="str">
        <f>IFERROR(IF($Q$1=$P$3,INDEX(prem_analysis!$P$2:$Q$441,ROWS(Data!$P$2:U199),COLUMNS(Data!$P$3:T200)),IF($Q$1=$P$5,INDEX(prem_analysis!$BH$1:$BS$23,ROWS(Data!$Q$3:U200),COLUMNS(Data!$Q$3:U200)),IF($Q$1=$P$6,INDEX(prem_analysis!$BU$1:$CF$67,ROWS(prem_analysis!$N$2:R199),COLUMNS(prem_analysis!$N$2:R199)),IF($Q$1=$P$4,INDEX(Table24[[#All],[Year]:[Details]],ROWS(prem_analysis!$M$420:Q617),COLUMNS(Data!$Q$3:U200)))))),"")</f>
        <v/>
      </c>
      <c r="W199" s="1" t="str">
        <f>IFERROR(IF($Q$1=$P$3,INDEX(prem_analysis!$P$2:$Q$441,ROWS(Data!$P$2:V199),COLUMNS(Data!$P$3:U200)),IF($Q$1=$P$5,INDEX(prem_analysis!$BH$1:$BS$23,ROWS(Data!$Q$3:V200),COLUMNS(Data!$Q$3:V200)),IF($Q$1=$P$6,INDEX(prem_analysis!$BU$1:$CF$67,ROWS(prem_analysis!$N$2:S199),COLUMNS(prem_analysis!$N$2:S199)),IF($Q$1=$P$4,INDEX(Table24[[#All],[Year]:[Details]],ROWS(prem_analysis!$M$420:R617),COLUMNS(Data!$Q$3:V200)))))),"")</f>
        <v/>
      </c>
      <c r="X199" s="1" t="str">
        <f>IFERROR(IF($Q$1=$P$3,INDEX(prem_analysis!$P$2:$Q$441,ROWS(Data!$P$2:W199),COLUMNS(Data!$P$3:V200)),IF($Q$1=$P$5,INDEX(prem_analysis!$BH$1:$BS$23,ROWS(Data!$Q$3:W200),COLUMNS(Data!$Q$3:W200)),IF($Q$1=$P$6,INDEX(prem_analysis!$BU$1:$CF$67,ROWS(prem_analysis!$N$2:T199),COLUMNS(prem_analysis!$N$2:T199)),IF($Q$1=$P$4,INDEX(Table24[[#All],[Year]:[Details]],ROWS(prem_analysis!$M$420:S617),COLUMNS(Data!$Q$3:W200)))))),"")</f>
        <v/>
      </c>
      <c r="Y199" s="1" t="str">
        <f>IFERROR(IF($Q$1=$P$3,INDEX(prem_analysis!$P$2:$Q$441,ROWS(Data!$P$2:X199),COLUMNS(Data!$P$3:W200)),IF($Q$1=$P$5,INDEX(prem_analysis!$BH$1:$BS$23,ROWS(Data!$Q$3:X200),COLUMNS(Data!$Q$3:X200)),IF($Q$1=$P$6,INDEX(prem_analysis!$BU$1:$CF$67,ROWS(prem_analysis!$N$2:U199),COLUMNS(prem_analysis!$N$2:U199)),IF($Q$1=$P$4,INDEX(Table24[[#All],[Year]:[Details]],ROWS(prem_analysis!$M$420:T617),COLUMNS(Data!$Q$3:X200)))))),"")</f>
        <v/>
      </c>
      <c r="Z199" s="1" t="str">
        <f>IFERROR(IF($Q$1=$P$3,INDEX(prem_analysis!$P$2:$Q$441,ROWS(Data!$P$2:Y199),COLUMNS(Data!$P$3:X200)),IF($Q$1=$P$5,INDEX(prem_analysis!$BH$1:$BS$23,ROWS(Data!$Q$3:Y200),COLUMNS(Data!$Q$3:Y200)),IF($Q$1=$P$6,INDEX(prem_analysis!$BU$1:$CF$67,ROWS(prem_analysis!$N$2:V199),COLUMNS(prem_analysis!$N$2:V199)),IF($Q$1=$P$4,INDEX(Table24[[#All],[Year]:[Details]],ROWS(prem_analysis!$M$420:U617),COLUMNS(Data!$Q$3:Y200)))))),"")</f>
        <v/>
      </c>
      <c r="AA199" s="1" t="str">
        <f>IFERROR(IF($Q$1=$P$3,INDEX(prem_analysis!$P$2:$Q$441,ROWS(Data!$P$2:Z199),COLUMNS(Data!$P$3:Y200)),IF($Q$1=$P$5,INDEX(prem_analysis!$BH$1:$BS$23,ROWS(Data!$Q$3:Z200),COLUMNS(Data!$Q$3:Z200)),IF($Q$1=$P$6,INDEX(prem_analysis!$BU$1:$CF$67,ROWS(prem_analysis!$N$2:W199),COLUMNS(prem_analysis!$N$2:W199)),IF($Q$1=$P$4,INDEX(Table24[[#All],[Year]:[Details]],ROWS(prem_analysis!$M$420:V617),COLUMNS(Data!$Q$3:Z200)))))),"")</f>
        <v/>
      </c>
      <c r="AB199" s="1" t="str">
        <f>IFERROR(IF($Q$1=$P$3,INDEX(prem_analysis!$P$2:$Q$441,ROWS(Data!$P$2:AA199),COLUMNS(Data!$P$3:Z200)),IF($Q$1=$P$5,INDEX(prem_analysis!$BH$1:$BS$23,ROWS(Data!$Q$3:AA200),COLUMNS(Data!$Q$3:AA200)),IF($Q$1=$P$6,INDEX(prem_analysis!$BU$1:$CF$67,ROWS(prem_analysis!$N$2:X199),COLUMNS(prem_analysis!$N$2:X199)),IF($Q$1=$P$4,INDEX(Table24[[#All],[Year]:[Details]],ROWS(prem_analysis!$M$420:W617),COLUMNS(Data!$Q$3:AA200)))))),"")</f>
        <v/>
      </c>
      <c r="AC199" s="1" t="str">
        <f>IFERROR(IF($Q$1=$P$3,INDEX(prem_analysis!$P$2:$Q$441,ROWS(Data!$P$2:AB199),COLUMNS(Data!$P$3:AA200)),IF($Q$1=$P$5,INDEX(prem_analysis!$BH$1:$BS$23,ROWS(Data!$Q$3:AB200),COLUMNS(Data!$Q$3:AB200)),IF($Q$1=$P$6,INDEX(prem_analysis!$BU$1:$CF$67,ROWS(prem_analysis!$N$2:Y199),COLUMNS(prem_analysis!$N$2:Y199)),IF($Q$1=$P$4,INDEX(Table24[[#All],[Year]:[Details]],ROWS(prem_analysis!$M$420:X617),COLUMNS(Data!$Q$3:AB200)))))),"")</f>
        <v/>
      </c>
    </row>
    <row r="200" spans="1:29" x14ac:dyDescent="0.2">
      <c r="A200" s="3">
        <v>2009</v>
      </c>
      <c r="B200" s="3">
        <v>19</v>
      </c>
      <c r="C200" s="4" t="s">
        <v>45</v>
      </c>
      <c r="D200" s="3">
        <v>38</v>
      </c>
      <c r="E200" s="3">
        <v>6</v>
      </c>
      <c r="F200" s="3">
        <v>12</v>
      </c>
      <c r="G200" s="3">
        <v>20</v>
      </c>
      <c r="H200" s="3">
        <v>34</v>
      </c>
      <c r="I200" s="3">
        <v>75</v>
      </c>
      <c r="J200" s="3">
        <v>-41</v>
      </c>
      <c r="K200" s="3">
        <v>30</v>
      </c>
      <c r="L200" s="5" t="str">
        <f>IF(Table24[[#This Row],['#]]=1,"Champion", IF(Table24[[#This Row],['#]]&gt;=18,"Relegated",Table24[[#This Row],['#]]))</f>
        <v>Relegated</v>
      </c>
      <c r="M200" s="5" t="str">
        <f>IF(Table24[[#This Row],[Details]]=2,K199-Table24[[#This Row],[Pts]],IF(Table24[[#This Row],[Details]]=17,Table24[[#This Row],[Pts]]-K201,""))</f>
        <v/>
      </c>
      <c r="R200" s="1" t="str">
        <f>IFERROR(IF($Q$1=$P$3,INDEX(prem_analysis!$P$2:$Q$441,ROWS(Data!$P$2:Q200),COLUMNS(Data!$P$3:P201)),IF($Q$1=$P$5,INDEX(prem_analysis!$BH$1:$BS$23,ROWS(Data!$Q$3:Q201),COLUMNS(Data!$Q$3:Q201)),IF($Q$1=$P$6,INDEX(prem_analysis!$BU$1:$CF$67,ROWS(prem_analysis!$N$2:N200),COLUMNS(prem_analysis!$N$2:N200)),IF($Q$1=$P$4,INDEX(Table24[[#All],[Year]:[Details]],ROWS(prem_analysis!$M$420:M618),COLUMNS(Data!$Q$3:Q201)))))),"")</f>
        <v/>
      </c>
      <c r="S200" s="1" t="str">
        <f>IFERROR(IF($Q$1=$P$3,INDEX(prem_analysis!$P$2:$Q$441,ROWS(Data!$P$2:R200),COLUMNS(Data!$P$3:Q201)),IF($Q$1=$P$5,INDEX(prem_analysis!$BH$1:$BS$23,ROWS(Data!$Q$3:R201),COLUMNS(Data!$Q$3:R201)),IF($Q$1=$P$6,INDEX(prem_analysis!$BU$1:$CF$67,ROWS(prem_analysis!$N$2:O200),COLUMNS(prem_analysis!$N$2:O200)),IF($Q$1=$P$4,INDEX(Table24[[#All],[Year]:[Details]],ROWS(prem_analysis!$M$420:N618),COLUMNS(Data!$Q$3:R201)))))),"")</f>
        <v/>
      </c>
      <c r="T200" s="1" t="str">
        <f>IFERROR(IF($Q$1=$P$3,INDEX(prem_analysis!$P$2:$Q$441,ROWS(Data!$P$2:S200),COLUMNS(Data!$P$3:R201)),IF($Q$1=$P$5,INDEX(prem_analysis!$BH$1:$BS$23,ROWS(Data!$Q$3:S201),COLUMNS(Data!$Q$3:S201)),IF($Q$1=$P$6,INDEX(prem_analysis!$BU$1:$CF$67,ROWS(prem_analysis!$N$2:P200),COLUMNS(prem_analysis!$N$2:P200)),IF($Q$1=$P$4,INDEX(Table24[[#All],[Year]:[Details]],ROWS(prem_analysis!$M$420:O618),COLUMNS(Data!$Q$3:S201)))))),"")</f>
        <v/>
      </c>
      <c r="U200" s="1" t="str">
        <f>IFERROR(IF($Q$1=$P$3,INDEX(prem_analysis!$P$2:$Q$441,ROWS(Data!$P$2:T200),COLUMNS(Data!$P$3:S201)),IF($Q$1=$P$5,INDEX(prem_analysis!$BH$1:$BS$23,ROWS(Data!$Q$3:T201),COLUMNS(Data!$Q$3:T201)),IF($Q$1=$P$6,INDEX(prem_analysis!$BU$1:$CF$67,ROWS(prem_analysis!$N$2:Q200),COLUMNS(prem_analysis!$N$2:Q200)),IF($Q$1=$P$4,INDEX(Table24[[#All],[Year]:[Details]],ROWS(prem_analysis!$M$420:P618),COLUMNS(Data!$Q$3:T201)))))),"")</f>
        <v/>
      </c>
      <c r="V200" s="1" t="str">
        <f>IFERROR(IF($Q$1=$P$3,INDEX(prem_analysis!$P$2:$Q$441,ROWS(Data!$P$2:U200),COLUMNS(Data!$P$3:T201)),IF($Q$1=$P$5,INDEX(prem_analysis!$BH$1:$BS$23,ROWS(Data!$Q$3:U201),COLUMNS(Data!$Q$3:U201)),IF($Q$1=$P$6,INDEX(prem_analysis!$BU$1:$CF$67,ROWS(prem_analysis!$N$2:R200),COLUMNS(prem_analysis!$N$2:R200)),IF($Q$1=$P$4,INDEX(Table24[[#All],[Year]:[Details]],ROWS(prem_analysis!$M$420:Q618),COLUMNS(Data!$Q$3:U201)))))),"")</f>
        <v/>
      </c>
      <c r="W200" s="1" t="str">
        <f>IFERROR(IF($Q$1=$P$3,INDEX(prem_analysis!$P$2:$Q$441,ROWS(Data!$P$2:V200),COLUMNS(Data!$P$3:U201)),IF($Q$1=$P$5,INDEX(prem_analysis!$BH$1:$BS$23,ROWS(Data!$Q$3:V201),COLUMNS(Data!$Q$3:V201)),IF($Q$1=$P$6,INDEX(prem_analysis!$BU$1:$CF$67,ROWS(prem_analysis!$N$2:S200),COLUMNS(prem_analysis!$N$2:S200)),IF($Q$1=$P$4,INDEX(Table24[[#All],[Year]:[Details]],ROWS(prem_analysis!$M$420:R618),COLUMNS(Data!$Q$3:V201)))))),"")</f>
        <v/>
      </c>
      <c r="X200" s="1" t="str">
        <f>IFERROR(IF($Q$1=$P$3,INDEX(prem_analysis!$P$2:$Q$441,ROWS(Data!$P$2:W200),COLUMNS(Data!$P$3:V201)),IF($Q$1=$P$5,INDEX(prem_analysis!$BH$1:$BS$23,ROWS(Data!$Q$3:W201),COLUMNS(Data!$Q$3:W201)),IF($Q$1=$P$6,INDEX(prem_analysis!$BU$1:$CF$67,ROWS(prem_analysis!$N$2:T200),COLUMNS(prem_analysis!$N$2:T200)),IF($Q$1=$P$4,INDEX(Table24[[#All],[Year]:[Details]],ROWS(prem_analysis!$M$420:S618),COLUMNS(Data!$Q$3:W201)))))),"")</f>
        <v/>
      </c>
      <c r="Y200" s="1" t="str">
        <f>IFERROR(IF($Q$1=$P$3,INDEX(prem_analysis!$P$2:$Q$441,ROWS(Data!$P$2:X200),COLUMNS(Data!$P$3:W201)),IF($Q$1=$P$5,INDEX(prem_analysis!$BH$1:$BS$23,ROWS(Data!$Q$3:X201),COLUMNS(Data!$Q$3:X201)),IF($Q$1=$P$6,INDEX(prem_analysis!$BU$1:$CF$67,ROWS(prem_analysis!$N$2:U200),COLUMNS(prem_analysis!$N$2:U200)),IF($Q$1=$P$4,INDEX(Table24[[#All],[Year]:[Details]],ROWS(prem_analysis!$M$420:T618),COLUMNS(Data!$Q$3:X201)))))),"")</f>
        <v/>
      </c>
      <c r="Z200" s="1" t="str">
        <f>IFERROR(IF($Q$1=$P$3,INDEX(prem_analysis!$P$2:$Q$441,ROWS(Data!$P$2:Y200),COLUMNS(Data!$P$3:X201)),IF($Q$1=$P$5,INDEX(prem_analysis!$BH$1:$BS$23,ROWS(Data!$Q$3:Y201),COLUMNS(Data!$Q$3:Y201)),IF($Q$1=$P$6,INDEX(prem_analysis!$BU$1:$CF$67,ROWS(prem_analysis!$N$2:V200),COLUMNS(prem_analysis!$N$2:V200)),IF($Q$1=$P$4,INDEX(Table24[[#All],[Year]:[Details]],ROWS(prem_analysis!$M$420:U618),COLUMNS(Data!$Q$3:Y201)))))),"")</f>
        <v/>
      </c>
      <c r="AA200" s="1" t="str">
        <f>IFERROR(IF($Q$1=$P$3,INDEX(prem_analysis!$P$2:$Q$441,ROWS(Data!$P$2:Z200),COLUMNS(Data!$P$3:Y201)),IF($Q$1=$P$5,INDEX(prem_analysis!$BH$1:$BS$23,ROWS(Data!$Q$3:Z201),COLUMNS(Data!$Q$3:Z201)),IF($Q$1=$P$6,INDEX(prem_analysis!$BU$1:$CF$67,ROWS(prem_analysis!$N$2:W200),COLUMNS(prem_analysis!$N$2:W200)),IF($Q$1=$P$4,INDEX(Table24[[#All],[Year]:[Details]],ROWS(prem_analysis!$M$420:V618),COLUMNS(Data!$Q$3:Z201)))))),"")</f>
        <v/>
      </c>
      <c r="AB200" s="1" t="str">
        <f>IFERROR(IF($Q$1=$P$3,INDEX(prem_analysis!$P$2:$Q$441,ROWS(Data!$P$2:AA200),COLUMNS(Data!$P$3:Z201)),IF($Q$1=$P$5,INDEX(prem_analysis!$BH$1:$BS$23,ROWS(Data!$Q$3:AA201),COLUMNS(Data!$Q$3:AA201)),IF($Q$1=$P$6,INDEX(prem_analysis!$BU$1:$CF$67,ROWS(prem_analysis!$N$2:X200),COLUMNS(prem_analysis!$N$2:X200)),IF($Q$1=$P$4,INDEX(Table24[[#All],[Year]:[Details]],ROWS(prem_analysis!$M$420:W618),COLUMNS(Data!$Q$3:AA201)))))),"")</f>
        <v/>
      </c>
      <c r="AC200" s="1" t="str">
        <f>IFERROR(IF($Q$1=$P$3,INDEX(prem_analysis!$P$2:$Q$441,ROWS(Data!$P$2:AB200),COLUMNS(Data!$P$3:AA201)),IF($Q$1=$P$5,INDEX(prem_analysis!$BH$1:$BS$23,ROWS(Data!$Q$3:AB201),COLUMNS(Data!$Q$3:AB201)),IF($Q$1=$P$6,INDEX(prem_analysis!$BU$1:$CF$67,ROWS(prem_analysis!$N$2:Y200),COLUMNS(prem_analysis!$N$2:Y200)),IF($Q$1=$P$4,INDEX(Table24[[#All],[Year]:[Details]],ROWS(prem_analysis!$M$420:X618),COLUMNS(Data!$Q$3:AB201)))))),"")</f>
        <v/>
      </c>
    </row>
    <row r="201" spans="1:29" x14ac:dyDescent="0.2">
      <c r="A201" s="5">
        <v>2009</v>
      </c>
      <c r="B201" s="5">
        <v>20</v>
      </c>
      <c r="C201" s="6" t="s">
        <v>36</v>
      </c>
      <c r="D201" s="5">
        <v>38</v>
      </c>
      <c r="E201" s="5">
        <v>7</v>
      </c>
      <c r="F201" s="5">
        <v>7</v>
      </c>
      <c r="G201" s="5">
        <v>24</v>
      </c>
      <c r="H201" s="5">
        <v>34</v>
      </c>
      <c r="I201" s="5">
        <v>66</v>
      </c>
      <c r="J201" s="5">
        <v>-32</v>
      </c>
      <c r="K201" s="5">
        <v>19</v>
      </c>
      <c r="L201" s="5" t="str">
        <f>IF(Table24[[#This Row],['#]]=1,"Champion", IF(Table24[[#This Row],['#]]&gt;=18,"Relegated",Table24[[#This Row],['#]]))</f>
        <v>Relegated</v>
      </c>
      <c r="M201" s="5" t="str">
        <f>IF(Table24[[#This Row],[Details]]=2,K200-Table24[[#This Row],[Pts]],IF(Table24[[#This Row],[Details]]=17,Table24[[#This Row],[Pts]]-K202,""))</f>
        <v/>
      </c>
      <c r="R201" s="1" t="str">
        <f>IFERROR(IF($Q$1=$P$3,INDEX(prem_analysis!$P$2:$Q$441,ROWS(Data!$P$2:Q201),COLUMNS(Data!$P$3:P202)),IF($Q$1=$P$5,INDEX(prem_analysis!$BH$1:$BS$23,ROWS(Data!$Q$3:Q202),COLUMNS(Data!$Q$3:Q202)),IF($Q$1=$P$6,INDEX(prem_analysis!$BU$1:$CF$67,ROWS(prem_analysis!$N$2:N201),COLUMNS(prem_analysis!$N$2:N201)),IF($Q$1=$P$4,INDEX(Table24[[#All],[Year]:[Details]],ROWS(prem_analysis!$M$420:M619),COLUMNS(Data!$Q$3:Q202)))))),"")</f>
        <v/>
      </c>
      <c r="S201" s="1" t="str">
        <f>IFERROR(IF($Q$1=$P$3,INDEX(prem_analysis!$P$2:$Q$441,ROWS(Data!$P$2:R201),COLUMNS(Data!$P$3:Q202)),IF($Q$1=$P$5,INDEX(prem_analysis!$BH$1:$BS$23,ROWS(Data!$Q$3:R202),COLUMNS(Data!$Q$3:R202)),IF($Q$1=$P$6,INDEX(prem_analysis!$BU$1:$CF$67,ROWS(prem_analysis!$N$2:O201),COLUMNS(prem_analysis!$N$2:O201)),IF($Q$1=$P$4,INDEX(Table24[[#All],[Year]:[Details]],ROWS(prem_analysis!$M$420:N619),COLUMNS(Data!$Q$3:R202)))))),"")</f>
        <v/>
      </c>
      <c r="T201" s="1" t="str">
        <f>IFERROR(IF($Q$1=$P$3,INDEX(prem_analysis!$P$2:$Q$441,ROWS(Data!$P$2:S201),COLUMNS(Data!$P$3:R202)),IF($Q$1=$P$5,INDEX(prem_analysis!$BH$1:$BS$23,ROWS(Data!$Q$3:S202),COLUMNS(Data!$Q$3:S202)),IF($Q$1=$P$6,INDEX(prem_analysis!$BU$1:$CF$67,ROWS(prem_analysis!$N$2:P201),COLUMNS(prem_analysis!$N$2:P201)),IF($Q$1=$P$4,INDEX(Table24[[#All],[Year]:[Details]],ROWS(prem_analysis!$M$420:O619),COLUMNS(Data!$Q$3:S202)))))),"")</f>
        <v/>
      </c>
      <c r="U201" s="1" t="str">
        <f>IFERROR(IF($Q$1=$P$3,INDEX(prem_analysis!$P$2:$Q$441,ROWS(Data!$P$2:T201),COLUMNS(Data!$P$3:S202)),IF($Q$1=$P$5,INDEX(prem_analysis!$BH$1:$BS$23,ROWS(Data!$Q$3:T202),COLUMNS(Data!$Q$3:T202)),IF($Q$1=$P$6,INDEX(prem_analysis!$BU$1:$CF$67,ROWS(prem_analysis!$N$2:Q201),COLUMNS(prem_analysis!$N$2:Q201)),IF($Q$1=$P$4,INDEX(Table24[[#All],[Year]:[Details]],ROWS(prem_analysis!$M$420:P619),COLUMNS(Data!$Q$3:T202)))))),"")</f>
        <v/>
      </c>
      <c r="V201" s="1" t="str">
        <f>IFERROR(IF($Q$1=$P$3,INDEX(prem_analysis!$P$2:$Q$441,ROWS(Data!$P$2:U201),COLUMNS(Data!$P$3:T202)),IF($Q$1=$P$5,INDEX(prem_analysis!$BH$1:$BS$23,ROWS(Data!$Q$3:U202),COLUMNS(Data!$Q$3:U202)),IF($Q$1=$P$6,INDEX(prem_analysis!$BU$1:$CF$67,ROWS(prem_analysis!$N$2:R201),COLUMNS(prem_analysis!$N$2:R201)),IF($Q$1=$P$4,INDEX(Table24[[#All],[Year]:[Details]],ROWS(prem_analysis!$M$420:Q619),COLUMNS(Data!$Q$3:U202)))))),"")</f>
        <v/>
      </c>
      <c r="W201" s="1" t="str">
        <f>IFERROR(IF($Q$1=$P$3,INDEX(prem_analysis!$P$2:$Q$441,ROWS(Data!$P$2:V201),COLUMNS(Data!$P$3:U202)),IF($Q$1=$P$5,INDEX(prem_analysis!$BH$1:$BS$23,ROWS(Data!$Q$3:V202),COLUMNS(Data!$Q$3:V202)),IF($Q$1=$P$6,INDEX(prem_analysis!$BU$1:$CF$67,ROWS(prem_analysis!$N$2:S201),COLUMNS(prem_analysis!$N$2:S201)),IF($Q$1=$P$4,INDEX(Table24[[#All],[Year]:[Details]],ROWS(prem_analysis!$M$420:R619),COLUMNS(Data!$Q$3:V202)))))),"")</f>
        <v/>
      </c>
      <c r="X201" s="1" t="str">
        <f>IFERROR(IF($Q$1=$P$3,INDEX(prem_analysis!$P$2:$Q$441,ROWS(Data!$P$2:W201),COLUMNS(Data!$P$3:V202)),IF($Q$1=$P$5,INDEX(prem_analysis!$BH$1:$BS$23,ROWS(Data!$Q$3:W202),COLUMNS(Data!$Q$3:W202)),IF($Q$1=$P$6,INDEX(prem_analysis!$BU$1:$CF$67,ROWS(prem_analysis!$N$2:T201),COLUMNS(prem_analysis!$N$2:T201)),IF($Q$1=$P$4,INDEX(Table24[[#All],[Year]:[Details]],ROWS(prem_analysis!$M$420:S619),COLUMNS(Data!$Q$3:W202)))))),"")</f>
        <v/>
      </c>
      <c r="Y201" s="1" t="str">
        <f>IFERROR(IF($Q$1=$P$3,INDEX(prem_analysis!$P$2:$Q$441,ROWS(Data!$P$2:X201),COLUMNS(Data!$P$3:W202)),IF($Q$1=$P$5,INDEX(prem_analysis!$BH$1:$BS$23,ROWS(Data!$Q$3:X202),COLUMNS(Data!$Q$3:X202)),IF($Q$1=$P$6,INDEX(prem_analysis!$BU$1:$CF$67,ROWS(prem_analysis!$N$2:U201),COLUMNS(prem_analysis!$N$2:U201)),IF($Q$1=$P$4,INDEX(Table24[[#All],[Year]:[Details]],ROWS(prem_analysis!$M$420:T619),COLUMNS(Data!$Q$3:X202)))))),"")</f>
        <v/>
      </c>
      <c r="Z201" s="1" t="str">
        <f>IFERROR(IF($Q$1=$P$3,INDEX(prem_analysis!$P$2:$Q$441,ROWS(Data!$P$2:Y201),COLUMNS(Data!$P$3:X202)),IF($Q$1=$P$5,INDEX(prem_analysis!$BH$1:$BS$23,ROWS(Data!$Q$3:Y202),COLUMNS(Data!$Q$3:Y202)),IF($Q$1=$P$6,INDEX(prem_analysis!$BU$1:$CF$67,ROWS(prem_analysis!$N$2:V201),COLUMNS(prem_analysis!$N$2:V201)),IF($Q$1=$P$4,INDEX(Table24[[#All],[Year]:[Details]],ROWS(prem_analysis!$M$420:U619),COLUMNS(Data!$Q$3:Y202)))))),"")</f>
        <v/>
      </c>
      <c r="AA201" s="1" t="str">
        <f>IFERROR(IF($Q$1=$P$3,INDEX(prem_analysis!$P$2:$Q$441,ROWS(Data!$P$2:Z201),COLUMNS(Data!$P$3:Y202)),IF($Q$1=$P$5,INDEX(prem_analysis!$BH$1:$BS$23,ROWS(Data!$Q$3:Z202),COLUMNS(Data!$Q$3:Z202)),IF($Q$1=$P$6,INDEX(prem_analysis!$BU$1:$CF$67,ROWS(prem_analysis!$N$2:W201),COLUMNS(prem_analysis!$N$2:W201)),IF($Q$1=$P$4,INDEX(Table24[[#All],[Year]:[Details]],ROWS(prem_analysis!$M$420:V619),COLUMNS(Data!$Q$3:Z202)))))),"")</f>
        <v/>
      </c>
      <c r="AB201" s="1" t="str">
        <f>IFERROR(IF($Q$1=$P$3,INDEX(prem_analysis!$P$2:$Q$441,ROWS(Data!$P$2:AA201),COLUMNS(Data!$P$3:Z202)),IF($Q$1=$P$5,INDEX(prem_analysis!$BH$1:$BS$23,ROWS(Data!$Q$3:AA202),COLUMNS(Data!$Q$3:AA202)),IF($Q$1=$P$6,INDEX(prem_analysis!$BU$1:$CF$67,ROWS(prem_analysis!$N$2:X201),COLUMNS(prem_analysis!$N$2:X201)),IF($Q$1=$P$4,INDEX(Table24[[#All],[Year]:[Details]],ROWS(prem_analysis!$M$420:W619),COLUMNS(Data!$Q$3:AA202)))))),"")</f>
        <v/>
      </c>
      <c r="AC201" s="1" t="str">
        <f>IFERROR(IF($Q$1=$P$3,INDEX(prem_analysis!$P$2:$Q$441,ROWS(Data!$P$2:AB201),COLUMNS(Data!$P$3:AA202)),IF($Q$1=$P$5,INDEX(prem_analysis!$BH$1:$BS$23,ROWS(Data!$Q$3:AB202),COLUMNS(Data!$Q$3:AB202)),IF($Q$1=$P$6,INDEX(prem_analysis!$BU$1:$CF$67,ROWS(prem_analysis!$N$2:Y201),COLUMNS(prem_analysis!$N$2:Y201)),IF($Q$1=$P$4,INDEX(Table24[[#All],[Year]:[Details]],ROWS(prem_analysis!$M$420:X619),COLUMNS(Data!$Q$3:AB202)))))),"")</f>
        <v/>
      </c>
    </row>
    <row r="202" spans="1:29" x14ac:dyDescent="0.2">
      <c r="A202" s="3">
        <v>2010</v>
      </c>
      <c r="B202" s="3">
        <v>1</v>
      </c>
      <c r="C202" s="4" t="s">
        <v>11</v>
      </c>
      <c r="D202" s="3">
        <v>38</v>
      </c>
      <c r="E202" s="3">
        <v>23</v>
      </c>
      <c r="F202" s="3">
        <v>11</v>
      </c>
      <c r="G202" s="3">
        <v>4</v>
      </c>
      <c r="H202" s="3">
        <v>78</v>
      </c>
      <c r="I202" s="3">
        <v>37</v>
      </c>
      <c r="J202" s="3">
        <v>41</v>
      </c>
      <c r="K202" s="3">
        <v>80</v>
      </c>
      <c r="L202" s="5" t="str">
        <f>IF(Table24[[#This Row],['#]]=1,"Champion", IF(Table24[[#This Row],['#]]&gt;=18,"Relegated",Table24[[#This Row],['#]]))</f>
        <v>Champion</v>
      </c>
      <c r="M202" s="5" t="str">
        <f>IF(Table24[[#This Row],[Details]]=2,K201-Table24[[#This Row],[Pts]],IF(Table24[[#This Row],[Details]]=17,Table24[[#This Row],[Pts]]-K203,""))</f>
        <v/>
      </c>
      <c r="R202" s="1" t="str">
        <f>IFERROR(IF($Q$1=$P$3,INDEX(prem_analysis!$P$2:$Q$441,ROWS(Data!$P$2:Q202),COLUMNS(Data!$P$3:P203)),IF($Q$1=$P$5,INDEX(prem_analysis!$BH$1:$BS$23,ROWS(Data!$Q$3:Q203),COLUMNS(Data!$Q$3:Q203)),IF($Q$1=$P$6,INDEX(prem_analysis!$BU$1:$CF$67,ROWS(prem_analysis!$N$2:N202),COLUMNS(prem_analysis!$N$2:N202)),IF($Q$1=$P$4,INDEX(Table24[[#All],[Year]:[Details]],ROWS(prem_analysis!$M$420:M620),COLUMNS(Data!$Q$3:Q203)))))),"")</f>
        <v/>
      </c>
      <c r="S202" s="1" t="str">
        <f>IFERROR(IF($Q$1=$P$3,INDEX(prem_analysis!$P$2:$Q$441,ROWS(Data!$P$2:R202),COLUMNS(Data!$P$3:Q203)),IF($Q$1=$P$5,INDEX(prem_analysis!$BH$1:$BS$23,ROWS(Data!$Q$3:R203),COLUMNS(Data!$Q$3:R203)),IF($Q$1=$P$6,INDEX(prem_analysis!$BU$1:$CF$67,ROWS(prem_analysis!$N$2:O202),COLUMNS(prem_analysis!$N$2:O202)),IF($Q$1=$P$4,INDEX(Table24[[#All],[Year]:[Details]],ROWS(prem_analysis!$M$420:N620),COLUMNS(Data!$Q$3:R203)))))),"")</f>
        <v/>
      </c>
      <c r="T202" s="1" t="str">
        <f>IFERROR(IF($Q$1=$P$3,INDEX(prem_analysis!$P$2:$Q$441,ROWS(Data!$P$2:S202),COLUMNS(Data!$P$3:R203)),IF($Q$1=$P$5,INDEX(prem_analysis!$BH$1:$BS$23,ROWS(Data!$Q$3:S203),COLUMNS(Data!$Q$3:S203)),IF($Q$1=$P$6,INDEX(prem_analysis!$BU$1:$CF$67,ROWS(prem_analysis!$N$2:P202),COLUMNS(prem_analysis!$N$2:P202)),IF($Q$1=$P$4,INDEX(Table24[[#All],[Year]:[Details]],ROWS(prem_analysis!$M$420:O620),COLUMNS(Data!$Q$3:S203)))))),"")</f>
        <v/>
      </c>
      <c r="U202" s="1" t="str">
        <f>IFERROR(IF($Q$1=$P$3,INDEX(prem_analysis!$P$2:$Q$441,ROWS(Data!$P$2:T202),COLUMNS(Data!$P$3:S203)),IF($Q$1=$P$5,INDEX(prem_analysis!$BH$1:$BS$23,ROWS(Data!$Q$3:T203),COLUMNS(Data!$Q$3:T203)),IF($Q$1=$P$6,INDEX(prem_analysis!$BU$1:$CF$67,ROWS(prem_analysis!$N$2:Q202),COLUMNS(prem_analysis!$N$2:Q202)),IF($Q$1=$P$4,INDEX(Table24[[#All],[Year]:[Details]],ROWS(prem_analysis!$M$420:P620),COLUMNS(Data!$Q$3:T203)))))),"")</f>
        <v/>
      </c>
      <c r="V202" s="1" t="str">
        <f>IFERROR(IF($Q$1=$P$3,INDEX(prem_analysis!$P$2:$Q$441,ROWS(Data!$P$2:U202),COLUMNS(Data!$P$3:T203)),IF($Q$1=$P$5,INDEX(prem_analysis!$BH$1:$BS$23,ROWS(Data!$Q$3:U203),COLUMNS(Data!$Q$3:U203)),IF($Q$1=$P$6,INDEX(prem_analysis!$BU$1:$CF$67,ROWS(prem_analysis!$N$2:R202),COLUMNS(prem_analysis!$N$2:R202)),IF($Q$1=$P$4,INDEX(Table24[[#All],[Year]:[Details]],ROWS(prem_analysis!$M$420:Q620),COLUMNS(Data!$Q$3:U203)))))),"")</f>
        <v/>
      </c>
      <c r="W202" s="1" t="str">
        <f>IFERROR(IF($Q$1=$P$3,INDEX(prem_analysis!$P$2:$Q$441,ROWS(Data!$P$2:V202),COLUMNS(Data!$P$3:U203)),IF($Q$1=$P$5,INDEX(prem_analysis!$BH$1:$BS$23,ROWS(Data!$Q$3:V203),COLUMNS(Data!$Q$3:V203)),IF($Q$1=$P$6,INDEX(prem_analysis!$BU$1:$CF$67,ROWS(prem_analysis!$N$2:S202),COLUMNS(prem_analysis!$N$2:S202)),IF($Q$1=$P$4,INDEX(Table24[[#All],[Year]:[Details]],ROWS(prem_analysis!$M$420:R620),COLUMNS(Data!$Q$3:V203)))))),"")</f>
        <v/>
      </c>
      <c r="X202" s="1" t="str">
        <f>IFERROR(IF($Q$1=$P$3,INDEX(prem_analysis!$P$2:$Q$441,ROWS(Data!$P$2:W202),COLUMNS(Data!$P$3:V203)),IF($Q$1=$P$5,INDEX(prem_analysis!$BH$1:$BS$23,ROWS(Data!$Q$3:W203),COLUMNS(Data!$Q$3:W203)),IF($Q$1=$P$6,INDEX(prem_analysis!$BU$1:$CF$67,ROWS(prem_analysis!$N$2:T202),COLUMNS(prem_analysis!$N$2:T202)),IF($Q$1=$P$4,INDEX(Table24[[#All],[Year]:[Details]],ROWS(prem_analysis!$M$420:S620),COLUMNS(Data!$Q$3:W203)))))),"")</f>
        <v/>
      </c>
      <c r="Y202" s="1" t="str">
        <f>IFERROR(IF($Q$1=$P$3,INDEX(prem_analysis!$P$2:$Q$441,ROWS(Data!$P$2:X202),COLUMNS(Data!$P$3:W203)),IF($Q$1=$P$5,INDEX(prem_analysis!$BH$1:$BS$23,ROWS(Data!$Q$3:X203),COLUMNS(Data!$Q$3:X203)),IF($Q$1=$P$6,INDEX(prem_analysis!$BU$1:$CF$67,ROWS(prem_analysis!$N$2:U202),COLUMNS(prem_analysis!$N$2:U202)),IF($Q$1=$P$4,INDEX(Table24[[#All],[Year]:[Details]],ROWS(prem_analysis!$M$420:T620),COLUMNS(Data!$Q$3:X203)))))),"")</f>
        <v/>
      </c>
      <c r="Z202" s="1" t="str">
        <f>IFERROR(IF($Q$1=$P$3,INDEX(prem_analysis!$P$2:$Q$441,ROWS(Data!$P$2:Y202),COLUMNS(Data!$P$3:X203)),IF($Q$1=$P$5,INDEX(prem_analysis!$BH$1:$BS$23,ROWS(Data!$Q$3:Y203),COLUMNS(Data!$Q$3:Y203)),IF($Q$1=$P$6,INDEX(prem_analysis!$BU$1:$CF$67,ROWS(prem_analysis!$N$2:V202),COLUMNS(prem_analysis!$N$2:V202)),IF($Q$1=$P$4,INDEX(Table24[[#All],[Year]:[Details]],ROWS(prem_analysis!$M$420:U620),COLUMNS(Data!$Q$3:Y203)))))),"")</f>
        <v/>
      </c>
      <c r="AA202" s="1" t="str">
        <f>IFERROR(IF($Q$1=$P$3,INDEX(prem_analysis!$P$2:$Q$441,ROWS(Data!$P$2:Z202),COLUMNS(Data!$P$3:Y203)),IF($Q$1=$P$5,INDEX(prem_analysis!$BH$1:$BS$23,ROWS(Data!$Q$3:Z203),COLUMNS(Data!$Q$3:Z203)),IF($Q$1=$P$6,INDEX(prem_analysis!$BU$1:$CF$67,ROWS(prem_analysis!$N$2:W202),COLUMNS(prem_analysis!$N$2:W202)),IF($Q$1=$P$4,INDEX(Table24[[#All],[Year]:[Details]],ROWS(prem_analysis!$M$420:V620),COLUMNS(Data!$Q$3:Z203)))))),"")</f>
        <v/>
      </c>
      <c r="AB202" s="1" t="str">
        <f>IFERROR(IF($Q$1=$P$3,INDEX(prem_analysis!$P$2:$Q$441,ROWS(Data!$P$2:AA202),COLUMNS(Data!$P$3:Z203)),IF($Q$1=$P$5,INDEX(prem_analysis!$BH$1:$BS$23,ROWS(Data!$Q$3:AA203),COLUMNS(Data!$Q$3:AA203)),IF($Q$1=$P$6,INDEX(prem_analysis!$BU$1:$CF$67,ROWS(prem_analysis!$N$2:X202),COLUMNS(prem_analysis!$N$2:X202)),IF($Q$1=$P$4,INDEX(Table24[[#All],[Year]:[Details]],ROWS(prem_analysis!$M$420:W620),COLUMNS(Data!$Q$3:AA203)))))),"")</f>
        <v/>
      </c>
      <c r="AC202" s="1" t="str">
        <f>IFERROR(IF($Q$1=$P$3,INDEX(prem_analysis!$P$2:$Q$441,ROWS(Data!$P$2:AB202),COLUMNS(Data!$P$3:AA203)),IF($Q$1=$P$5,INDEX(prem_analysis!$BH$1:$BS$23,ROWS(Data!$Q$3:AB203),COLUMNS(Data!$Q$3:AB203)),IF($Q$1=$P$6,INDEX(prem_analysis!$BU$1:$CF$67,ROWS(prem_analysis!$N$2:Y202),COLUMNS(prem_analysis!$N$2:Y202)),IF($Q$1=$P$4,INDEX(Table24[[#All],[Year]:[Details]],ROWS(prem_analysis!$M$420:X620),COLUMNS(Data!$Q$3:AB203)))))),"")</f>
        <v/>
      </c>
    </row>
    <row r="203" spans="1:29" x14ac:dyDescent="0.2">
      <c r="A203" s="5">
        <v>2010</v>
      </c>
      <c r="B203" s="5">
        <v>2</v>
      </c>
      <c r="C203" s="6" t="s">
        <v>16</v>
      </c>
      <c r="D203" s="5">
        <v>38</v>
      </c>
      <c r="E203" s="5">
        <v>21</v>
      </c>
      <c r="F203" s="5">
        <v>8</v>
      </c>
      <c r="G203" s="5">
        <v>9</v>
      </c>
      <c r="H203" s="5">
        <v>69</v>
      </c>
      <c r="I203" s="5">
        <v>33</v>
      </c>
      <c r="J203" s="5">
        <v>36</v>
      </c>
      <c r="K203" s="5">
        <v>71</v>
      </c>
      <c r="L203" s="5">
        <f>IF(Table24[[#This Row],['#]]=1,"Champion", IF(Table24[[#This Row],['#]]&gt;=18,"Relegated",Table24[[#This Row],['#]]))</f>
        <v>2</v>
      </c>
      <c r="M203" s="5">
        <f>IF(Table24[[#This Row],[Details]]=2,K202-Table24[[#This Row],[Pts]],IF(Table24[[#This Row],[Details]]=17,Table24[[#This Row],[Pts]]-K204,""))</f>
        <v>9</v>
      </c>
      <c r="R203" s="1" t="str">
        <f>IFERROR(IF($Q$1=$P$3,INDEX(prem_analysis!$P$2:$Q$441,ROWS(Data!$P$2:Q203),COLUMNS(Data!$P$3:P204)),IF($Q$1=$P$5,INDEX(prem_analysis!$BH$1:$BS$23,ROWS(Data!$Q$3:Q204),COLUMNS(Data!$Q$3:Q204)),IF($Q$1=$P$6,INDEX(prem_analysis!$BU$1:$CF$67,ROWS(prem_analysis!$N$2:N203),COLUMNS(prem_analysis!$N$2:N203)),IF($Q$1=$P$4,INDEX(Table24[[#All],[Year]:[Details]],ROWS(prem_analysis!$M$420:M621),COLUMNS(Data!$Q$3:Q204)))))),"")</f>
        <v/>
      </c>
      <c r="S203" s="1" t="str">
        <f>IFERROR(IF($Q$1=$P$3,INDEX(prem_analysis!$P$2:$Q$441,ROWS(Data!$P$2:R203),COLUMNS(Data!$P$3:Q204)),IF($Q$1=$P$5,INDEX(prem_analysis!$BH$1:$BS$23,ROWS(Data!$Q$3:R204),COLUMNS(Data!$Q$3:R204)),IF($Q$1=$P$6,INDEX(prem_analysis!$BU$1:$CF$67,ROWS(prem_analysis!$N$2:O203),COLUMNS(prem_analysis!$N$2:O203)),IF($Q$1=$P$4,INDEX(Table24[[#All],[Year]:[Details]],ROWS(prem_analysis!$M$420:N621),COLUMNS(Data!$Q$3:R204)))))),"")</f>
        <v/>
      </c>
      <c r="T203" s="1" t="str">
        <f>IFERROR(IF($Q$1=$P$3,INDEX(prem_analysis!$P$2:$Q$441,ROWS(Data!$P$2:S203),COLUMNS(Data!$P$3:R204)),IF($Q$1=$P$5,INDEX(prem_analysis!$BH$1:$BS$23,ROWS(Data!$Q$3:S204),COLUMNS(Data!$Q$3:S204)),IF($Q$1=$P$6,INDEX(prem_analysis!$BU$1:$CF$67,ROWS(prem_analysis!$N$2:P203),COLUMNS(prem_analysis!$N$2:P203)),IF($Q$1=$P$4,INDEX(Table24[[#All],[Year]:[Details]],ROWS(prem_analysis!$M$420:O621),COLUMNS(Data!$Q$3:S204)))))),"")</f>
        <v/>
      </c>
      <c r="U203" s="1" t="str">
        <f>IFERROR(IF($Q$1=$P$3,INDEX(prem_analysis!$P$2:$Q$441,ROWS(Data!$P$2:T203),COLUMNS(Data!$P$3:S204)),IF($Q$1=$P$5,INDEX(prem_analysis!$BH$1:$BS$23,ROWS(Data!$Q$3:T204),COLUMNS(Data!$Q$3:T204)),IF($Q$1=$P$6,INDEX(prem_analysis!$BU$1:$CF$67,ROWS(prem_analysis!$N$2:Q203),COLUMNS(prem_analysis!$N$2:Q203)),IF($Q$1=$P$4,INDEX(Table24[[#All],[Year]:[Details]],ROWS(prem_analysis!$M$420:P621),COLUMNS(Data!$Q$3:T204)))))),"")</f>
        <v/>
      </c>
      <c r="V203" s="1" t="str">
        <f>IFERROR(IF($Q$1=$P$3,INDEX(prem_analysis!$P$2:$Q$441,ROWS(Data!$P$2:U203),COLUMNS(Data!$P$3:T204)),IF($Q$1=$P$5,INDEX(prem_analysis!$BH$1:$BS$23,ROWS(Data!$Q$3:U204),COLUMNS(Data!$Q$3:U204)),IF($Q$1=$P$6,INDEX(prem_analysis!$BU$1:$CF$67,ROWS(prem_analysis!$N$2:R203),COLUMNS(prem_analysis!$N$2:R203)),IF($Q$1=$P$4,INDEX(Table24[[#All],[Year]:[Details]],ROWS(prem_analysis!$M$420:Q621),COLUMNS(Data!$Q$3:U204)))))),"")</f>
        <v/>
      </c>
      <c r="W203" s="1" t="str">
        <f>IFERROR(IF($Q$1=$P$3,INDEX(prem_analysis!$P$2:$Q$441,ROWS(Data!$P$2:V203),COLUMNS(Data!$P$3:U204)),IF($Q$1=$P$5,INDEX(prem_analysis!$BH$1:$BS$23,ROWS(Data!$Q$3:V204),COLUMNS(Data!$Q$3:V204)),IF($Q$1=$P$6,INDEX(prem_analysis!$BU$1:$CF$67,ROWS(prem_analysis!$N$2:S203),COLUMNS(prem_analysis!$N$2:S203)),IF($Q$1=$P$4,INDEX(Table24[[#All],[Year]:[Details]],ROWS(prem_analysis!$M$420:R621),COLUMNS(Data!$Q$3:V204)))))),"")</f>
        <v/>
      </c>
      <c r="X203" s="1" t="str">
        <f>IFERROR(IF($Q$1=$P$3,INDEX(prem_analysis!$P$2:$Q$441,ROWS(Data!$P$2:W203),COLUMNS(Data!$P$3:V204)),IF($Q$1=$P$5,INDEX(prem_analysis!$BH$1:$BS$23,ROWS(Data!$Q$3:W204),COLUMNS(Data!$Q$3:W204)),IF($Q$1=$P$6,INDEX(prem_analysis!$BU$1:$CF$67,ROWS(prem_analysis!$N$2:T203),COLUMNS(prem_analysis!$N$2:T203)),IF($Q$1=$P$4,INDEX(Table24[[#All],[Year]:[Details]],ROWS(prem_analysis!$M$420:S621),COLUMNS(Data!$Q$3:W204)))))),"")</f>
        <v/>
      </c>
      <c r="Y203" s="1" t="str">
        <f>IFERROR(IF($Q$1=$P$3,INDEX(prem_analysis!$P$2:$Q$441,ROWS(Data!$P$2:X203),COLUMNS(Data!$P$3:W204)),IF($Q$1=$P$5,INDEX(prem_analysis!$BH$1:$BS$23,ROWS(Data!$Q$3:X204),COLUMNS(Data!$Q$3:X204)),IF($Q$1=$P$6,INDEX(prem_analysis!$BU$1:$CF$67,ROWS(prem_analysis!$N$2:U203),COLUMNS(prem_analysis!$N$2:U203)),IF($Q$1=$P$4,INDEX(Table24[[#All],[Year]:[Details]],ROWS(prem_analysis!$M$420:T621),COLUMNS(Data!$Q$3:X204)))))),"")</f>
        <v/>
      </c>
      <c r="Z203" s="1" t="str">
        <f>IFERROR(IF($Q$1=$P$3,INDEX(prem_analysis!$P$2:$Q$441,ROWS(Data!$P$2:Y203),COLUMNS(Data!$P$3:X204)),IF($Q$1=$P$5,INDEX(prem_analysis!$BH$1:$BS$23,ROWS(Data!$Q$3:Y204),COLUMNS(Data!$Q$3:Y204)),IF($Q$1=$P$6,INDEX(prem_analysis!$BU$1:$CF$67,ROWS(prem_analysis!$N$2:V203),COLUMNS(prem_analysis!$N$2:V203)),IF($Q$1=$P$4,INDEX(Table24[[#All],[Year]:[Details]],ROWS(prem_analysis!$M$420:U621),COLUMNS(Data!$Q$3:Y204)))))),"")</f>
        <v/>
      </c>
      <c r="AA203" s="1" t="str">
        <f>IFERROR(IF($Q$1=$P$3,INDEX(prem_analysis!$P$2:$Q$441,ROWS(Data!$P$2:Z203),COLUMNS(Data!$P$3:Y204)),IF($Q$1=$P$5,INDEX(prem_analysis!$BH$1:$BS$23,ROWS(Data!$Q$3:Z204),COLUMNS(Data!$Q$3:Z204)),IF($Q$1=$P$6,INDEX(prem_analysis!$BU$1:$CF$67,ROWS(prem_analysis!$N$2:W203),COLUMNS(prem_analysis!$N$2:W203)),IF($Q$1=$P$4,INDEX(Table24[[#All],[Year]:[Details]],ROWS(prem_analysis!$M$420:V621),COLUMNS(Data!$Q$3:Z204)))))),"")</f>
        <v/>
      </c>
      <c r="AB203" s="1" t="str">
        <f>IFERROR(IF($Q$1=$P$3,INDEX(prem_analysis!$P$2:$Q$441,ROWS(Data!$P$2:AA203),COLUMNS(Data!$P$3:Z204)),IF($Q$1=$P$5,INDEX(prem_analysis!$BH$1:$BS$23,ROWS(Data!$Q$3:AA204),COLUMNS(Data!$Q$3:AA204)),IF($Q$1=$P$6,INDEX(prem_analysis!$BU$1:$CF$67,ROWS(prem_analysis!$N$2:X203),COLUMNS(prem_analysis!$N$2:X203)),IF($Q$1=$P$4,INDEX(Table24[[#All],[Year]:[Details]],ROWS(prem_analysis!$M$420:W621),COLUMNS(Data!$Q$3:AA204)))))),"")</f>
        <v/>
      </c>
      <c r="AC203" s="1" t="str">
        <f>IFERROR(IF($Q$1=$P$3,INDEX(prem_analysis!$P$2:$Q$441,ROWS(Data!$P$2:AB203),COLUMNS(Data!$P$3:AA204)),IF($Q$1=$P$5,INDEX(prem_analysis!$BH$1:$BS$23,ROWS(Data!$Q$3:AB204),COLUMNS(Data!$Q$3:AB204)),IF($Q$1=$P$6,INDEX(prem_analysis!$BU$1:$CF$67,ROWS(prem_analysis!$N$2:Y203),COLUMNS(prem_analysis!$N$2:Y203)),IF($Q$1=$P$4,INDEX(Table24[[#All],[Year]:[Details]],ROWS(prem_analysis!$M$420:X621),COLUMNS(Data!$Q$3:AB204)))))),"")</f>
        <v/>
      </c>
    </row>
    <row r="204" spans="1:29" x14ac:dyDescent="0.2">
      <c r="A204" s="3">
        <v>2010</v>
      </c>
      <c r="B204" s="3">
        <v>3</v>
      </c>
      <c r="C204" s="4" t="s">
        <v>28</v>
      </c>
      <c r="D204" s="3">
        <v>38</v>
      </c>
      <c r="E204" s="3">
        <v>21</v>
      </c>
      <c r="F204" s="3">
        <v>8</v>
      </c>
      <c r="G204" s="3">
        <v>9</v>
      </c>
      <c r="H204" s="3">
        <v>60</v>
      </c>
      <c r="I204" s="3">
        <v>33</v>
      </c>
      <c r="J204" s="3">
        <v>27</v>
      </c>
      <c r="K204" s="3">
        <v>71</v>
      </c>
      <c r="L204" s="5">
        <f>IF(Table24[[#This Row],['#]]=1,"Champion", IF(Table24[[#This Row],['#]]&gt;=18,"Relegated",Table24[[#This Row],['#]]))</f>
        <v>3</v>
      </c>
      <c r="M204" s="5" t="str">
        <f>IF(Table24[[#This Row],[Details]]=2,K203-Table24[[#This Row],[Pts]],IF(Table24[[#This Row],[Details]]=17,Table24[[#This Row],[Pts]]-K205,""))</f>
        <v/>
      </c>
      <c r="R204" s="1" t="str">
        <f>IFERROR(IF($Q$1=$P$3,INDEX(prem_analysis!$P$2:$Q$441,ROWS(Data!$P$2:Q204),COLUMNS(Data!$P$3:P205)),IF($Q$1=$P$5,INDEX(prem_analysis!$BH$1:$BS$23,ROWS(Data!$Q$3:Q205),COLUMNS(Data!$Q$3:Q205)),IF($Q$1=$P$6,INDEX(prem_analysis!$BU$1:$CF$67,ROWS(prem_analysis!$N$2:N204),COLUMNS(prem_analysis!$N$2:N204)),IF($Q$1=$P$4,INDEX(Table24[[#All],[Year]:[Details]],ROWS(prem_analysis!$M$420:M622),COLUMNS(Data!$Q$3:Q205)))))),"")</f>
        <v/>
      </c>
      <c r="S204" s="1" t="str">
        <f>IFERROR(IF($Q$1=$P$3,INDEX(prem_analysis!$P$2:$Q$441,ROWS(Data!$P$2:R204),COLUMNS(Data!$P$3:Q205)),IF($Q$1=$P$5,INDEX(prem_analysis!$BH$1:$BS$23,ROWS(Data!$Q$3:R205),COLUMNS(Data!$Q$3:R205)),IF($Q$1=$P$6,INDEX(prem_analysis!$BU$1:$CF$67,ROWS(prem_analysis!$N$2:O204),COLUMNS(prem_analysis!$N$2:O204)),IF($Q$1=$P$4,INDEX(Table24[[#All],[Year]:[Details]],ROWS(prem_analysis!$M$420:N622),COLUMNS(Data!$Q$3:R205)))))),"")</f>
        <v/>
      </c>
      <c r="T204" s="1" t="str">
        <f>IFERROR(IF($Q$1=$P$3,INDEX(prem_analysis!$P$2:$Q$441,ROWS(Data!$P$2:S204),COLUMNS(Data!$P$3:R205)),IF($Q$1=$P$5,INDEX(prem_analysis!$BH$1:$BS$23,ROWS(Data!$Q$3:S205),COLUMNS(Data!$Q$3:S205)),IF($Q$1=$P$6,INDEX(prem_analysis!$BU$1:$CF$67,ROWS(prem_analysis!$N$2:P204),COLUMNS(prem_analysis!$N$2:P204)),IF($Q$1=$P$4,INDEX(Table24[[#All],[Year]:[Details]],ROWS(prem_analysis!$M$420:O622),COLUMNS(Data!$Q$3:S205)))))),"")</f>
        <v/>
      </c>
      <c r="U204" s="1" t="str">
        <f>IFERROR(IF($Q$1=$P$3,INDEX(prem_analysis!$P$2:$Q$441,ROWS(Data!$P$2:T204),COLUMNS(Data!$P$3:S205)),IF($Q$1=$P$5,INDEX(prem_analysis!$BH$1:$BS$23,ROWS(Data!$Q$3:T205),COLUMNS(Data!$Q$3:T205)),IF($Q$1=$P$6,INDEX(prem_analysis!$BU$1:$CF$67,ROWS(prem_analysis!$N$2:Q204),COLUMNS(prem_analysis!$N$2:Q204)),IF($Q$1=$P$4,INDEX(Table24[[#All],[Year]:[Details]],ROWS(prem_analysis!$M$420:P622),COLUMNS(Data!$Q$3:T205)))))),"")</f>
        <v/>
      </c>
      <c r="V204" s="1" t="str">
        <f>IFERROR(IF($Q$1=$P$3,INDEX(prem_analysis!$P$2:$Q$441,ROWS(Data!$P$2:U204),COLUMNS(Data!$P$3:T205)),IF($Q$1=$P$5,INDEX(prem_analysis!$BH$1:$BS$23,ROWS(Data!$Q$3:U205),COLUMNS(Data!$Q$3:U205)),IF($Q$1=$P$6,INDEX(prem_analysis!$BU$1:$CF$67,ROWS(prem_analysis!$N$2:R204),COLUMNS(prem_analysis!$N$2:R204)),IF($Q$1=$P$4,INDEX(Table24[[#All],[Year]:[Details]],ROWS(prem_analysis!$M$420:Q622),COLUMNS(Data!$Q$3:U205)))))),"")</f>
        <v/>
      </c>
      <c r="W204" s="1" t="str">
        <f>IFERROR(IF($Q$1=$P$3,INDEX(prem_analysis!$P$2:$Q$441,ROWS(Data!$P$2:V204),COLUMNS(Data!$P$3:U205)),IF($Q$1=$P$5,INDEX(prem_analysis!$BH$1:$BS$23,ROWS(Data!$Q$3:V205),COLUMNS(Data!$Q$3:V205)),IF($Q$1=$P$6,INDEX(prem_analysis!$BU$1:$CF$67,ROWS(prem_analysis!$N$2:S204),COLUMNS(prem_analysis!$N$2:S204)),IF($Q$1=$P$4,INDEX(Table24[[#All],[Year]:[Details]],ROWS(prem_analysis!$M$420:R622),COLUMNS(Data!$Q$3:V205)))))),"")</f>
        <v/>
      </c>
      <c r="X204" s="1" t="str">
        <f>IFERROR(IF($Q$1=$P$3,INDEX(prem_analysis!$P$2:$Q$441,ROWS(Data!$P$2:W204),COLUMNS(Data!$P$3:V205)),IF($Q$1=$P$5,INDEX(prem_analysis!$BH$1:$BS$23,ROWS(Data!$Q$3:W205),COLUMNS(Data!$Q$3:W205)),IF($Q$1=$P$6,INDEX(prem_analysis!$BU$1:$CF$67,ROWS(prem_analysis!$N$2:T204),COLUMNS(prem_analysis!$N$2:T204)),IF($Q$1=$P$4,INDEX(Table24[[#All],[Year]:[Details]],ROWS(prem_analysis!$M$420:S622),COLUMNS(Data!$Q$3:W205)))))),"")</f>
        <v/>
      </c>
      <c r="Y204" s="1" t="str">
        <f>IFERROR(IF($Q$1=$P$3,INDEX(prem_analysis!$P$2:$Q$441,ROWS(Data!$P$2:X204),COLUMNS(Data!$P$3:W205)),IF($Q$1=$P$5,INDEX(prem_analysis!$BH$1:$BS$23,ROWS(Data!$Q$3:X205),COLUMNS(Data!$Q$3:X205)),IF($Q$1=$P$6,INDEX(prem_analysis!$BU$1:$CF$67,ROWS(prem_analysis!$N$2:U204),COLUMNS(prem_analysis!$N$2:U204)),IF($Q$1=$P$4,INDEX(Table24[[#All],[Year]:[Details]],ROWS(prem_analysis!$M$420:T622),COLUMNS(Data!$Q$3:X205)))))),"")</f>
        <v/>
      </c>
      <c r="Z204" s="1" t="str">
        <f>IFERROR(IF($Q$1=$P$3,INDEX(prem_analysis!$P$2:$Q$441,ROWS(Data!$P$2:Y204),COLUMNS(Data!$P$3:X205)),IF($Q$1=$P$5,INDEX(prem_analysis!$BH$1:$BS$23,ROWS(Data!$Q$3:Y205),COLUMNS(Data!$Q$3:Y205)),IF($Q$1=$P$6,INDEX(prem_analysis!$BU$1:$CF$67,ROWS(prem_analysis!$N$2:V204),COLUMNS(prem_analysis!$N$2:V204)),IF($Q$1=$P$4,INDEX(Table24[[#All],[Year]:[Details]],ROWS(prem_analysis!$M$420:U622),COLUMNS(Data!$Q$3:Y205)))))),"")</f>
        <v/>
      </c>
      <c r="AA204" s="1" t="str">
        <f>IFERROR(IF($Q$1=$P$3,INDEX(prem_analysis!$P$2:$Q$441,ROWS(Data!$P$2:Z204),COLUMNS(Data!$P$3:Y205)),IF($Q$1=$P$5,INDEX(prem_analysis!$BH$1:$BS$23,ROWS(Data!$Q$3:Z205),COLUMNS(Data!$Q$3:Z205)),IF($Q$1=$P$6,INDEX(prem_analysis!$BU$1:$CF$67,ROWS(prem_analysis!$N$2:W204),COLUMNS(prem_analysis!$N$2:W204)),IF($Q$1=$P$4,INDEX(Table24[[#All],[Year]:[Details]],ROWS(prem_analysis!$M$420:V622),COLUMNS(Data!$Q$3:Z205)))))),"")</f>
        <v/>
      </c>
      <c r="AB204" s="1" t="str">
        <f>IFERROR(IF($Q$1=$P$3,INDEX(prem_analysis!$P$2:$Q$441,ROWS(Data!$P$2:AA204),COLUMNS(Data!$P$3:Z205)),IF($Q$1=$P$5,INDEX(prem_analysis!$BH$1:$BS$23,ROWS(Data!$Q$3:AA205),COLUMNS(Data!$Q$3:AA205)),IF($Q$1=$P$6,INDEX(prem_analysis!$BU$1:$CF$67,ROWS(prem_analysis!$N$2:X204),COLUMNS(prem_analysis!$N$2:X204)),IF($Q$1=$P$4,INDEX(Table24[[#All],[Year]:[Details]],ROWS(prem_analysis!$M$420:W622),COLUMNS(Data!$Q$3:AA205)))))),"")</f>
        <v/>
      </c>
      <c r="AC204" s="1" t="str">
        <f>IFERROR(IF($Q$1=$P$3,INDEX(prem_analysis!$P$2:$Q$441,ROWS(Data!$P$2:AB204),COLUMNS(Data!$P$3:AA205)),IF($Q$1=$P$5,INDEX(prem_analysis!$BH$1:$BS$23,ROWS(Data!$Q$3:AB205),COLUMNS(Data!$Q$3:AB205)),IF($Q$1=$P$6,INDEX(prem_analysis!$BU$1:$CF$67,ROWS(prem_analysis!$N$2:Y204),COLUMNS(prem_analysis!$N$2:Y204)),IF($Q$1=$P$4,INDEX(Table24[[#All],[Year]:[Details]],ROWS(prem_analysis!$M$420:X622),COLUMNS(Data!$Q$3:AB205)))))),"")</f>
        <v/>
      </c>
    </row>
    <row r="205" spans="1:29" x14ac:dyDescent="0.2">
      <c r="A205" s="5">
        <v>2010</v>
      </c>
      <c r="B205" s="5">
        <v>4</v>
      </c>
      <c r="C205" s="6" t="s">
        <v>12</v>
      </c>
      <c r="D205" s="5">
        <v>38</v>
      </c>
      <c r="E205" s="5">
        <v>19</v>
      </c>
      <c r="F205" s="5">
        <v>11</v>
      </c>
      <c r="G205" s="5">
        <v>8</v>
      </c>
      <c r="H205" s="5">
        <v>72</v>
      </c>
      <c r="I205" s="5">
        <v>43</v>
      </c>
      <c r="J205" s="5">
        <v>29</v>
      </c>
      <c r="K205" s="5">
        <v>68</v>
      </c>
      <c r="L205" s="5">
        <f>IF(Table24[[#This Row],['#]]=1,"Champion", IF(Table24[[#This Row],['#]]&gt;=18,"Relegated",Table24[[#This Row],['#]]))</f>
        <v>4</v>
      </c>
      <c r="M205" s="5" t="str">
        <f>IF(Table24[[#This Row],[Details]]=2,K204-Table24[[#This Row],[Pts]],IF(Table24[[#This Row],[Details]]=17,Table24[[#This Row],[Pts]]-K206,""))</f>
        <v/>
      </c>
      <c r="R205" s="1" t="str">
        <f>IFERROR(IF($Q$1=$P$3,INDEX(prem_analysis!$P$2:$Q$441,ROWS(Data!$P$2:Q205),COLUMNS(Data!$P$3:P206)),IF($Q$1=$P$5,INDEX(prem_analysis!$BH$1:$BS$23,ROWS(Data!$Q$3:Q206),COLUMNS(Data!$Q$3:Q206)),IF($Q$1=$P$6,INDEX(prem_analysis!$BU$1:$CF$67,ROWS(prem_analysis!$N$2:N205),COLUMNS(prem_analysis!$N$2:N205)),IF($Q$1=$P$4,INDEX(Table24[[#All],[Year]:[Details]],ROWS(prem_analysis!$M$420:M623),COLUMNS(Data!$Q$3:Q206)))))),"")</f>
        <v/>
      </c>
      <c r="S205" s="1" t="str">
        <f>IFERROR(IF($Q$1=$P$3,INDEX(prem_analysis!$P$2:$Q$441,ROWS(Data!$P$2:R205),COLUMNS(Data!$P$3:Q206)),IF($Q$1=$P$5,INDEX(prem_analysis!$BH$1:$BS$23,ROWS(Data!$Q$3:R206),COLUMNS(Data!$Q$3:R206)),IF($Q$1=$P$6,INDEX(prem_analysis!$BU$1:$CF$67,ROWS(prem_analysis!$N$2:O205),COLUMNS(prem_analysis!$N$2:O205)),IF($Q$1=$P$4,INDEX(Table24[[#All],[Year]:[Details]],ROWS(prem_analysis!$M$420:N623),COLUMNS(Data!$Q$3:R206)))))),"")</f>
        <v/>
      </c>
      <c r="T205" s="1" t="str">
        <f>IFERROR(IF($Q$1=$P$3,INDEX(prem_analysis!$P$2:$Q$441,ROWS(Data!$P$2:S205),COLUMNS(Data!$P$3:R206)),IF($Q$1=$P$5,INDEX(prem_analysis!$BH$1:$BS$23,ROWS(Data!$Q$3:S206),COLUMNS(Data!$Q$3:S206)),IF($Q$1=$P$6,INDEX(prem_analysis!$BU$1:$CF$67,ROWS(prem_analysis!$N$2:P205),COLUMNS(prem_analysis!$N$2:P205)),IF($Q$1=$P$4,INDEX(Table24[[#All],[Year]:[Details]],ROWS(prem_analysis!$M$420:O623),COLUMNS(Data!$Q$3:S206)))))),"")</f>
        <v/>
      </c>
      <c r="U205" s="1" t="str">
        <f>IFERROR(IF($Q$1=$P$3,INDEX(prem_analysis!$P$2:$Q$441,ROWS(Data!$P$2:T205),COLUMNS(Data!$P$3:S206)),IF($Q$1=$P$5,INDEX(prem_analysis!$BH$1:$BS$23,ROWS(Data!$Q$3:T206),COLUMNS(Data!$Q$3:T206)),IF($Q$1=$P$6,INDEX(prem_analysis!$BU$1:$CF$67,ROWS(prem_analysis!$N$2:Q205),COLUMNS(prem_analysis!$N$2:Q205)),IF($Q$1=$P$4,INDEX(Table24[[#All],[Year]:[Details]],ROWS(prem_analysis!$M$420:P623),COLUMNS(Data!$Q$3:T206)))))),"")</f>
        <v/>
      </c>
      <c r="V205" s="1" t="str">
        <f>IFERROR(IF($Q$1=$P$3,INDEX(prem_analysis!$P$2:$Q$441,ROWS(Data!$P$2:U205),COLUMNS(Data!$P$3:T206)),IF($Q$1=$P$5,INDEX(prem_analysis!$BH$1:$BS$23,ROWS(Data!$Q$3:U206),COLUMNS(Data!$Q$3:U206)),IF($Q$1=$P$6,INDEX(prem_analysis!$BU$1:$CF$67,ROWS(prem_analysis!$N$2:R205),COLUMNS(prem_analysis!$N$2:R205)),IF($Q$1=$P$4,INDEX(Table24[[#All],[Year]:[Details]],ROWS(prem_analysis!$M$420:Q623),COLUMNS(Data!$Q$3:U206)))))),"")</f>
        <v/>
      </c>
      <c r="W205" s="1" t="str">
        <f>IFERROR(IF($Q$1=$P$3,INDEX(prem_analysis!$P$2:$Q$441,ROWS(Data!$P$2:V205),COLUMNS(Data!$P$3:U206)),IF($Q$1=$P$5,INDEX(prem_analysis!$BH$1:$BS$23,ROWS(Data!$Q$3:V206),COLUMNS(Data!$Q$3:V206)),IF($Q$1=$P$6,INDEX(prem_analysis!$BU$1:$CF$67,ROWS(prem_analysis!$N$2:S205),COLUMNS(prem_analysis!$N$2:S205)),IF($Q$1=$P$4,INDEX(Table24[[#All],[Year]:[Details]],ROWS(prem_analysis!$M$420:R623),COLUMNS(Data!$Q$3:V206)))))),"")</f>
        <v/>
      </c>
      <c r="X205" s="1" t="str">
        <f>IFERROR(IF($Q$1=$P$3,INDEX(prem_analysis!$P$2:$Q$441,ROWS(Data!$P$2:W205),COLUMNS(Data!$P$3:V206)),IF($Q$1=$P$5,INDEX(prem_analysis!$BH$1:$BS$23,ROWS(Data!$Q$3:W206),COLUMNS(Data!$Q$3:W206)),IF($Q$1=$P$6,INDEX(prem_analysis!$BU$1:$CF$67,ROWS(prem_analysis!$N$2:T205),COLUMNS(prem_analysis!$N$2:T205)),IF($Q$1=$P$4,INDEX(Table24[[#All],[Year]:[Details]],ROWS(prem_analysis!$M$420:S623),COLUMNS(Data!$Q$3:W206)))))),"")</f>
        <v/>
      </c>
      <c r="Y205" s="1" t="str">
        <f>IFERROR(IF($Q$1=$P$3,INDEX(prem_analysis!$P$2:$Q$441,ROWS(Data!$P$2:X205),COLUMNS(Data!$P$3:W206)),IF($Q$1=$P$5,INDEX(prem_analysis!$BH$1:$BS$23,ROWS(Data!$Q$3:X206),COLUMNS(Data!$Q$3:X206)),IF($Q$1=$P$6,INDEX(prem_analysis!$BU$1:$CF$67,ROWS(prem_analysis!$N$2:U205),COLUMNS(prem_analysis!$N$2:U205)),IF($Q$1=$P$4,INDEX(Table24[[#All],[Year]:[Details]],ROWS(prem_analysis!$M$420:T623),COLUMNS(Data!$Q$3:X206)))))),"")</f>
        <v/>
      </c>
      <c r="Z205" s="1" t="str">
        <f>IFERROR(IF($Q$1=$P$3,INDEX(prem_analysis!$P$2:$Q$441,ROWS(Data!$P$2:Y205),COLUMNS(Data!$P$3:X206)),IF($Q$1=$P$5,INDEX(prem_analysis!$BH$1:$BS$23,ROWS(Data!$Q$3:Y206),COLUMNS(Data!$Q$3:Y206)),IF($Q$1=$P$6,INDEX(prem_analysis!$BU$1:$CF$67,ROWS(prem_analysis!$N$2:V205),COLUMNS(prem_analysis!$N$2:V205)),IF($Q$1=$P$4,INDEX(Table24[[#All],[Year]:[Details]],ROWS(prem_analysis!$M$420:U623),COLUMNS(Data!$Q$3:Y206)))))),"")</f>
        <v/>
      </c>
      <c r="AA205" s="1" t="str">
        <f>IFERROR(IF($Q$1=$P$3,INDEX(prem_analysis!$P$2:$Q$441,ROWS(Data!$P$2:Z205),COLUMNS(Data!$P$3:Y206)),IF($Q$1=$P$5,INDEX(prem_analysis!$BH$1:$BS$23,ROWS(Data!$Q$3:Z206),COLUMNS(Data!$Q$3:Z206)),IF($Q$1=$P$6,INDEX(prem_analysis!$BU$1:$CF$67,ROWS(prem_analysis!$N$2:W205),COLUMNS(prem_analysis!$N$2:W205)),IF($Q$1=$P$4,INDEX(Table24[[#All],[Year]:[Details]],ROWS(prem_analysis!$M$420:V623),COLUMNS(Data!$Q$3:Z206)))))),"")</f>
        <v/>
      </c>
      <c r="AB205" s="1" t="str">
        <f>IFERROR(IF($Q$1=$P$3,INDEX(prem_analysis!$P$2:$Q$441,ROWS(Data!$P$2:AA205),COLUMNS(Data!$P$3:Z206)),IF($Q$1=$P$5,INDEX(prem_analysis!$BH$1:$BS$23,ROWS(Data!$Q$3:AA206),COLUMNS(Data!$Q$3:AA206)),IF($Q$1=$P$6,INDEX(prem_analysis!$BU$1:$CF$67,ROWS(prem_analysis!$N$2:X205),COLUMNS(prem_analysis!$N$2:X205)),IF($Q$1=$P$4,INDEX(Table24[[#All],[Year]:[Details]],ROWS(prem_analysis!$M$420:W623),COLUMNS(Data!$Q$3:AA206)))))),"")</f>
        <v/>
      </c>
      <c r="AC205" s="1" t="str">
        <f>IFERROR(IF($Q$1=$P$3,INDEX(prem_analysis!$P$2:$Q$441,ROWS(Data!$P$2:AB205),COLUMNS(Data!$P$3:AA206)),IF($Q$1=$P$5,INDEX(prem_analysis!$BH$1:$BS$23,ROWS(Data!$Q$3:AB206),COLUMNS(Data!$Q$3:AB206)),IF($Q$1=$P$6,INDEX(prem_analysis!$BU$1:$CF$67,ROWS(prem_analysis!$N$2:Y205),COLUMNS(prem_analysis!$N$2:Y205)),IF($Q$1=$P$4,INDEX(Table24[[#All],[Year]:[Details]],ROWS(prem_analysis!$M$420:X623),COLUMNS(Data!$Q$3:AB206)))))),"")</f>
        <v/>
      </c>
    </row>
    <row r="206" spans="1:29" x14ac:dyDescent="0.2">
      <c r="A206" s="3">
        <v>2010</v>
      </c>
      <c r="B206" s="3">
        <v>5</v>
      </c>
      <c r="C206" s="4" t="s">
        <v>22</v>
      </c>
      <c r="D206" s="3">
        <v>38</v>
      </c>
      <c r="E206" s="3">
        <v>16</v>
      </c>
      <c r="F206" s="3">
        <v>14</v>
      </c>
      <c r="G206" s="3">
        <v>8</v>
      </c>
      <c r="H206" s="3">
        <v>55</v>
      </c>
      <c r="I206" s="3">
        <v>46</v>
      </c>
      <c r="J206" s="3">
        <v>9</v>
      </c>
      <c r="K206" s="3">
        <v>62</v>
      </c>
      <c r="L206" s="5">
        <f>IF(Table24[[#This Row],['#]]=1,"Champion", IF(Table24[[#This Row],['#]]&gt;=18,"Relegated",Table24[[#This Row],['#]]))</f>
        <v>5</v>
      </c>
      <c r="M206" s="5" t="str">
        <f>IF(Table24[[#This Row],[Details]]=2,K205-Table24[[#This Row],[Pts]],IF(Table24[[#This Row],[Details]]=17,Table24[[#This Row],[Pts]]-K207,""))</f>
        <v/>
      </c>
      <c r="R206" s="1" t="str">
        <f>IFERROR(IF($Q$1=$P$3,INDEX(prem_analysis!$P$2:$Q$441,ROWS(Data!$P$2:Q206),COLUMNS(Data!$P$3:P207)),IF($Q$1=$P$5,INDEX(prem_analysis!$BH$1:$BS$23,ROWS(Data!$Q$3:Q207),COLUMNS(Data!$Q$3:Q207)),IF($Q$1=$P$6,INDEX(prem_analysis!$BU$1:$CF$67,ROWS(prem_analysis!$N$2:N206),COLUMNS(prem_analysis!$N$2:N206)),IF($Q$1=$P$4,INDEX(Table24[[#All],[Year]:[Details]],ROWS(prem_analysis!$M$420:M624),COLUMNS(Data!$Q$3:Q207)))))),"")</f>
        <v/>
      </c>
      <c r="S206" s="1" t="str">
        <f>IFERROR(IF($Q$1=$P$3,INDEX(prem_analysis!$P$2:$Q$441,ROWS(Data!$P$2:R206),COLUMNS(Data!$P$3:Q207)),IF($Q$1=$P$5,INDEX(prem_analysis!$BH$1:$BS$23,ROWS(Data!$Q$3:R207),COLUMNS(Data!$Q$3:R207)),IF($Q$1=$P$6,INDEX(prem_analysis!$BU$1:$CF$67,ROWS(prem_analysis!$N$2:O206),COLUMNS(prem_analysis!$N$2:O206)),IF($Q$1=$P$4,INDEX(Table24[[#All],[Year]:[Details]],ROWS(prem_analysis!$M$420:N624),COLUMNS(Data!$Q$3:R207)))))),"")</f>
        <v/>
      </c>
      <c r="T206" s="1" t="str">
        <f>IFERROR(IF($Q$1=$P$3,INDEX(prem_analysis!$P$2:$Q$441,ROWS(Data!$P$2:S206),COLUMNS(Data!$P$3:R207)),IF($Q$1=$P$5,INDEX(prem_analysis!$BH$1:$BS$23,ROWS(Data!$Q$3:S207),COLUMNS(Data!$Q$3:S207)),IF($Q$1=$P$6,INDEX(prem_analysis!$BU$1:$CF$67,ROWS(prem_analysis!$N$2:P206),COLUMNS(prem_analysis!$N$2:P206)),IF($Q$1=$P$4,INDEX(Table24[[#All],[Year]:[Details]],ROWS(prem_analysis!$M$420:O624),COLUMNS(Data!$Q$3:S207)))))),"")</f>
        <v/>
      </c>
      <c r="U206" s="1" t="str">
        <f>IFERROR(IF($Q$1=$P$3,INDEX(prem_analysis!$P$2:$Q$441,ROWS(Data!$P$2:T206),COLUMNS(Data!$P$3:S207)),IF($Q$1=$P$5,INDEX(prem_analysis!$BH$1:$BS$23,ROWS(Data!$Q$3:T207),COLUMNS(Data!$Q$3:T207)),IF($Q$1=$P$6,INDEX(prem_analysis!$BU$1:$CF$67,ROWS(prem_analysis!$N$2:Q206),COLUMNS(prem_analysis!$N$2:Q206)),IF($Q$1=$P$4,INDEX(Table24[[#All],[Year]:[Details]],ROWS(prem_analysis!$M$420:P624),COLUMNS(Data!$Q$3:T207)))))),"")</f>
        <v/>
      </c>
      <c r="V206" s="1" t="str">
        <f>IFERROR(IF($Q$1=$P$3,INDEX(prem_analysis!$P$2:$Q$441,ROWS(Data!$P$2:U206),COLUMNS(Data!$P$3:T207)),IF($Q$1=$P$5,INDEX(prem_analysis!$BH$1:$BS$23,ROWS(Data!$Q$3:U207),COLUMNS(Data!$Q$3:U207)),IF($Q$1=$P$6,INDEX(prem_analysis!$BU$1:$CF$67,ROWS(prem_analysis!$N$2:R206),COLUMNS(prem_analysis!$N$2:R206)),IF($Q$1=$P$4,INDEX(Table24[[#All],[Year]:[Details]],ROWS(prem_analysis!$M$420:Q624),COLUMNS(Data!$Q$3:U207)))))),"")</f>
        <v/>
      </c>
      <c r="W206" s="1" t="str">
        <f>IFERROR(IF($Q$1=$P$3,INDEX(prem_analysis!$P$2:$Q$441,ROWS(Data!$P$2:V206),COLUMNS(Data!$P$3:U207)),IF($Q$1=$P$5,INDEX(prem_analysis!$BH$1:$BS$23,ROWS(Data!$Q$3:V207),COLUMNS(Data!$Q$3:V207)),IF($Q$1=$P$6,INDEX(prem_analysis!$BU$1:$CF$67,ROWS(prem_analysis!$N$2:S206),COLUMNS(prem_analysis!$N$2:S206)),IF($Q$1=$P$4,INDEX(Table24[[#All],[Year]:[Details]],ROWS(prem_analysis!$M$420:R624),COLUMNS(Data!$Q$3:V207)))))),"")</f>
        <v/>
      </c>
      <c r="X206" s="1" t="str">
        <f>IFERROR(IF($Q$1=$P$3,INDEX(prem_analysis!$P$2:$Q$441,ROWS(Data!$P$2:W206),COLUMNS(Data!$P$3:V207)),IF($Q$1=$P$5,INDEX(prem_analysis!$BH$1:$BS$23,ROWS(Data!$Q$3:W207),COLUMNS(Data!$Q$3:W207)),IF($Q$1=$P$6,INDEX(prem_analysis!$BU$1:$CF$67,ROWS(prem_analysis!$N$2:T206),COLUMNS(prem_analysis!$N$2:T206)),IF($Q$1=$P$4,INDEX(Table24[[#All],[Year]:[Details]],ROWS(prem_analysis!$M$420:S624),COLUMNS(Data!$Q$3:W207)))))),"")</f>
        <v/>
      </c>
      <c r="Y206" s="1" t="str">
        <f>IFERROR(IF($Q$1=$P$3,INDEX(prem_analysis!$P$2:$Q$441,ROWS(Data!$P$2:X206),COLUMNS(Data!$P$3:W207)),IF($Q$1=$P$5,INDEX(prem_analysis!$BH$1:$BS$23,ROWS(Data!$Q$3:X207),COLUMNS(Data!$Q$3:X207)),IF($Q$1=$P$6,INDEX(prem_analysis!$BU$1:$CF$67,ROWS(prem_analysis!$N$2:U206),COLUMNS(prem_analysis!$N$2:U206)),IF($Q$1=$P$4,INDEX(Table24[[#All],[Year]:[Details]],ROWS(prem_analysis!$M$420:T624),COLUMNS(Data!$Q$3:X207)))))),"")</f>
        <v/>
      </c>
      <c r="Z206" s="1" t="str">
        <f>IFERROR(IF($Q$1=$P$3,INDEX(prem_analysis!$P$2:$Q$441,ROWS(Data!$P$2:Y206),COLUMNS(Data!$P$3:X207)),IF($Q$1=$P$5,INDEX(prem_analysis!$BH$1:$BS$23,ROWS(Data!$Q$3:Y207),COLUMNS(Data!$Q$3:Y207)),IF($Q$1=$P$6,INDEX(prem_analysis!$BU$1:$CF$67,ROWS(prem_analysis!$N$2:V206),COLUMNS(prem_analysis!$N$2:V206)),IF($Q$1=$P$4,INDEX(Table24[[#All],[Year]:[Details]],ROWS(prem_analysis!$M$420:U624),COLUMNS(Data!$Q$3:Y207)))))),"")</f>
        <v/>
      </c>
      <c r="AA206" s="1" t="str">
        <f>IFERROR(IF($Q$1=$P$3,INDEX(prem_analysis!$P$2:$Q$441,ROWS(Data!$P$2:Z206),COLUMNS(Data!$P$3:Y207)),IF($Q$1=$P$5,INDEX(prem_analysis!$BH$1:$BS$23,ROWS(Data!$Q$3:Z207),COLUMNS(Data!$Q$3:Z207)),IF($Q$1=$P$6,INDEX(prem_analysis!$BU$1:$CF$67,ROWS(prem_analysis!$N$2:W206),COLUMNS(prem_analysis!$N$2:W206)),IF($Q$1=$P$4,INDEX(Table24[[#All],[Year]:[Details]],ROWS(prem_analysis!$M$420:V624),COLUMNS(Data!$Q$3:Z207)))))),"")</f>
        <v/>
      </c>
      <c r="AB206" s="1" t="str">
        <f>IFERROR(IF($Q$1=$P$3,INDEX(prem_analysis!$P$2:$Q$441,ROWS(Data!$P$2:AA206),COLUMNS(Data!$P$3:Z207)),IF($Q$1=$P$5,INDEX(prem_analysis!$BH$1:$BS$23,ROWS(Data!$Q$3:AA207),COLUMNS(Data!$Q$3:AA207)),IF($Q$1=$P$6,INDEX(prem_analysis!$BU$1:$CF$67,ROWS(prem_analysis!$N$2:X206),COLUMNS(prem_analysis!$N$2:X206)),IF($Q$1=$P$4,INDEX(Table24[[#All],[Year]:[Details]],ROWS(prem_analysis!$M$420:W624),COLUMNS(Data!$Q$3:AA207)))))),"")</f>
        <v/>
      </c>
      <c r="AC206" s="1" t="str">
        <f>IFERROR(IF($Q$1=$P$3,INDEX(prem_analysis!$P$2:$Q$441,ROWS(Data!$P$2:AB206),COLUMNS(Data!$P$3:AA207)),IF($Q$1=$P$5,INDEX(prem_analysis!$BH$1:$BS$23,ROWS(Data!$Q$3:AB207),COLUMNS(Data!$Q$3:AB207)),IF($Q$1=$P$6,INDEX(prem_analysis!$BU$1:$CF$67,ROWS(prem_analysis!$N$2:Y206),COLUMNS(prem_analysis!$N$2:Y206)),IF($Q$1=$P$4,INDEX(Table24[[#All],[Year]:[Details]],ROWS(prem_analysis!$M$420:X624),COLUMNS(Data!$Q$3:AB207)))))),"")</f>
        <v/>
      </c>
    </row>
    <row r="207" spans="1:29" x14ac:dyDescent="0.2">
      <c r="A207" s="5">
        <v>2010</v>
      </c>
      <c r="B207" s="5">
        <v>6</v>
      </c>
      <c r="C207" s="4" t="s">
        <v>13</v>
      </c>
      <c r="D207" s="5">
        <v>38</v>
      </c>
      <c r="E207" s="5">
        <v>17</v>
      </c>
      <c r="F207" s="5">
        <v>7</v>
      </c>
      <c r="G207" s="5">
        <v>14</v>
      </c>
      <c r="H207" s="5">
        <v>59</v>
      </c>
      <c r="I207" s="5">
        <v>44</v>
      </c>
      <c r="J207" s="5">
        <v>15</v>
      </c>
      <c r="K207" s="5">
        <v>58</v>
      </c>
      <c r="L207" s="5">
        <f>IF(Table24[[#This Row],['#]]=1,"Champion", IF(Table24[[#This Row],['#]]&gt;=18,"Relegated",Table24[[#This Row],['#]]))</f>
        <v>6</v>
      </c>
      <c r="M207" s="5" t="str">
        <f>IF(Table24[[#This Row],[Details]]=2,K206-Table24[[#This Row],[Pts]],IF(Table24[[#This Row],[Details]]=17,Table24[[#This Row],[Pts]]-K208,""))</f>
        <v/>
      </c>
      <c r="R207" s="1" t="str">
        <f>IFERROR(IF($Q$1=$P$3,INDEX(prem_analysis!$P$2:$Q$441,ROWS(Data!$P$2:Q207),COLUMNS(Data!$P$3:P208)),IF($Q$1=$P$5,INDEX(prem_analysis!$BH$1:$BS$23,ROWS(Data!$Q$3:Q208),COLUMNS(Data!$Q$3:Q208)),IF($Q$1=$P$6,INDEX(prem_analysis!$BU$1:$CF$67,ROWS(prem_analysis!$N$2:N207),COLUMNS(prem_analysis!$N$2:N207)),IF($Q$1=$P$4,INDEX(Table24[[#All],[Year]:[Details]],ROWS(prem_analysis!$M$420:M625),COLUMNS(Data!$Q$3:Q208)))))),"")</f>
        <v/>
      </c>
      <c r="S207" s="1" t="str">
        <f>IFERROR(IF($Q$1=$P$3,INDEX(prem_analysis!$P$2:$Q$441,ROWS(Data!$P$2:R207),COLUMNS(Data!$P$3:Q208)),IF($Q$1=$P$5,INDEX(prem_analysis!$BH$1:$BS$23,ROWS(Data!$Q$3:R208),COLUMNS(Data!$Q$3:R208)),IF($Q$1=$P$6,INDEX(prem_analysis!$BU$1:$CF$67,ROWS(prem_analysis!$N$2:O207),COLUMNS(prem_analysis!$N$2:O207)),IF($Q$1=$P$4,INDEX(Table24[[#All],[Year]:[Details]],ROWS(prem_analysis!$M$420:N625),COLUMNS(Data!$Q$3:R208)))))),"")</f>
        <v/>
      </c>
      <c r="T207" s="1" t="str">
        <f>IFERROR(IF($Q$1=$P$3,INDEX(prem_analysis!$P$2:$Q$441,ROWS(Data!$P$2:S207),COLUMNS(Data!$P$3:R208)),IF($Q$1=$P$5,INDEX(prem_analysis!$BH$1:$BS$23,ROWS(Data!$Q$3:S208),COLUMNS(Data!$Q$3:S208)),IF($Q$1=$P$6,INDEX(prem_analysis!$BU$1:$CF$67,ROWS(prem_analysis!$N$2:P207),COLUMNS(prem_analysis!$N$2:P207)),IF($Q$1=$P$4,INDEX(Table24[[#All],[Year]:[Details]],ROWS(prem_analysis!$M$420:O625),COLUMNS(Data!$Q$3:S208)))))),"")</f>
        <v/>
      </c>
      <c r="U207" s="1" t="str">
        <f>IFERROR(IF($Q$1=$P$3,INDEX(prem_analysis!$P$2:$Q$441,ROWS(Data!$P$2:T207),COLUMNS(Data!$P$3:S208)),IF($Q$1=$P$5,INDEX(prem_analysis!$BH$1:$BS$23,ROWS(Data!$Q$3:T208),COLUMNS(Data!$Q$3:T208)),IF($Q$1=$P$6,INDEX(prem_analysis!$BU$1:$CF$67,ROWS(prem_analysis!$N$2:Q207),COLUMNS(prem_analysis!$N$2:Q207)),IF($Q$1=$P$4,INDEX(Table24[[#All],[Year]:[Details]],ROWS(prem_analysis!$M$420:P625),COLUMNS(Data!$Q$3:T208)))))),"")</f>
        <v/>
      </c>
      <c r="V207" s="1" t="str">
        <f>IFERROR(IF($Q$1=$P$3,INDEX(prem_analysis!$P$2:$Q$441,ROWS(Data!$P$2:U207),COLUMNS(Data!$P$3:T208)),IF($Q$1=$P$5,INDEX(prem_analysis!$BH$1:$BS$23,ROWS(Data!$Q$3:U208),COLUMNS(Data!$Q$3:U208)),IF($Q$1=$P$6,INDEX(prem_analysis!$BU$1:$CF$67,ROWS(prem_analysis!$N$2:R207),COLUMNS(prem_analysis!$N$2:R207)),IF($Q$1=$P$4,INDEX(Table24[[#All],[Year]:[Details]],ROWS(prem_analysis!$M$420:Q625),COLUMNS(Data!$Q$3:U208)))))),"")</f>
        <v/>
      </c>
      <c r="W207" s="1" t="str">
        <f>IFERROR(IF($Q$1=$P$3,INDEX(prem_analysis!$P$2:$Q$441,ROWS(Data!$P$2:V207),COLUMNS(Data!$P$3:U208)),IF($Q$1=$P$5,INDEX(prem_analysis!$BH$1:$BS$23,ROWS(Data!$Q$3:V208),COLUMNS(Data!$Q$3:V208)),IF($Q$1=$P$6,INDEX(prem_analysis!$BU$1:$CF$67,ROWS(prem_analysis!$N$2:S207),COLUMNS(prem_analysis!$N$2:S207)),IF($Q$1=$P$4,INDEX(Table24[[#All],[Year]:[Details]],ROWS(prem_analysis!$M$420:R625),COLUMNS(Data!$Q$3:V208)))))),"")</f>
        <v/>
      </c>
      <c r="X207" s="1" t="str">
        <f>IFERROR(IF($Q$1=$P$3,INDEX(prem_analysis!$P$2:$Q$441,ROWS(Data!$P$2:W207),COLUMNS(Data!$P$3:V208)),IF($Q$1=$P$5,INDEX(prem_analysis!$BH$1:$BS$23,ROWS(Data!$Q$3:W208),COLUMNS(Data!$Q$3:W208)),IF($Q$1=$P$6,INDEX(prem_analysis!$BU$1:$CF$67,ROWS(prem_analysis!$N$2:T207),COLUMNS(prem_analysis!$N$2:T207)),IF($Q$1=$P$4,INDEX(Table24[[#All],[Year]:[Details]],ROWS(prem_analysis!$M$420:S625),COLUMNS(Data!$Q$3:W208)))))),"")</f>
        <v/>
      </c>
      <c r="Y207" s="1" t="str">
        <f>IFERROR(IF($Q$1=$P$3,INDEX(prem_analysis!$P$2:$Q$441,ROWS(Data!$P$2:X207),COLUMNS(Data!$P$3:W208)),IF($Q$1=$P$5,INDEX(prem_analysis!$BH$1:$BS$23,ROWS(Data!$Q$3:X208),COLUMNS(Data!$Q$3:X208)),IF($Q$1=$P$6,INDEX(prem_analysis!$BU$1:$CF$67,ROWS(prem_analysis!$N$2:U207),COLUMNS(prem_analysis!$N$2:U207)),IF($Q$1=$P$4,INDEX(Table24[[#All],[Year]:[Details]],ROWS(prem_analysis!$M$420:T625),COLUMNS(Data!$Q$3:X208)))))),"")</f>
        <v/>
      </c>
      <c r="Z207" s="1" t="str">
        <f>IFERROR(IF($Q$1=$P$3,INDEX(prem_analysis!$P$2:$Q$441,ROWS(Data!$P$2:Y207),COLUMNS(Data!$P$3:X208)),IF($Q$1=$P$5,INDEX(prem_analysis!$BH$1:$BS$23,ROWS(Data!$Q$3:Y208),COLUMNS(Data!$Q$3:Y208)),IF($Q$1=$P$6,INDEX(prem_analysis!$BU$1:$CF$67,ROWS(prem_analysis!$N$2:V207),COLUMNS(prem_analysis!$N$2:V207)),IF($Q$1=$P$4,INDEX(Table24[[#All],[Year]:[Details]],ROWS(prem_analysis!$M$420:U625),COLUMNS(Data!$Q$3:Y208)))))),"")</f>
        <v/>
      </c>
      <c r="AA207" s="1" t="str">
        <f>IFERROR(IF($Q$1=$P$3,INDEX(prem_analysis!$P$2:$Q$441,ROWS(Data!$P$2:Z207),COLUMNS(Data!$P$3:Y208)),IF($Q$1=$P$5,INDEX(prem_analysis!$BH$1:$BS$23,ROWS(Data!$Q$3:Z208),COLUMNS(Data!$Q$3:Z208)),IF($Q$1=$P$6,INDEX(prem_analysis!$BU$1:$CF$67,ROWS(prem_analysis!$N$2:W207),COLUMNS(prem_analysis!$N$2:W207)),IF($Q$1=$P$4,INDEX(Table24[[#All],[Year]:[Details]],ROWS(prem_analysis!$M$420:V625),COLUMNS(Data!$Q$3:Z208)))))),"")</f>
        <v/>
      </c>
      <c r="AB207" s="1" t="str">
        <f>IFERROR(IF($Q$1=$P$3,INDEX(prem_analysis!$P$2:$Q$441,ROWS(Data!$P$2:AA207),COLUMNS(Data!$P$3:Z208)),IF($Q$1=$P$5,INDEX(prem_analysis!$BH$1:$BS$23,ROWS(Data!$Q$3:AA208),COLUMNS(Data!$Q$3:AA208)),IF($Q$1=$P$6,INDEX(prem_analysis!$BU$1:$CF$67,ROWS(prem_analysis!$N$2:X207),COLUMNS(prem_analysis!$N$2:X207)),IF($Q$1=$P$4,INDEX(Table24[[#All],[Year]:[Details]],ROWS(prem_analysis!$M$420:W625),COLUMNS(Data!$Q$3:AA208)))))),"")</f>
        <v/>
      </c>
      <c r="AC207" s="1" t="str">
        <f>IFERROR(IF($Q$1=$P$3,INDEX(prem_analysis!$P$2:$Q$441,ROWS(Data!$P$2:AB207),COLUMNS(Data!$P$3:AA208)),IF($Q$1=$P$5,INDEX(prem_analysis!$BH$1:$BS$23,ROWS(Data!$Q$3:AB208),COLUMNS(Data!$Q$3:AB208)),IF($Q$1=$P$6,INDEX(prem_analysis!$BU$1:$CF$67,ROWS(prem_analysis!$N$2:Y207),COLUMNS(prem_analysis!$N$2:Y207)),IF($Q$1=$P$4,INDEX(Table24[[#All],[Year]:[Details]],ROWS(prem_analysis!$M$420:X625),COLUMNS(Data!$Q$3:AB208)))))),"")</f>
        <v/>
      </c>
    </row>
    <row r="208" spans="1:29" x14ac:dyDescent="0.2">
      <c r="A208" s="3">
        <v>2010</v>
      </c>
      <c r="B208" s="3">
        <v>7</v>
      </c>
      <c r="C208" s="4" t="s">
        <v>26</v>
      </c>
      <c r="D208" s="3">
        <v>38</v>
      </c>
      <c r="E208" s="3">
        <v>13</v>
      </c>
      <c r="F208" s="3">
        <v>15</v>
      </c>
      <c r="G208" s="3">
        <v>10</v>
      </c>
      <c r="H208" s="3">
        <v>51</v>
      </c>
      <c r="I208" s="3">
        <v>45</v>
      </c>
      <c r="J208" s="3">
        <v>6</v>
      </c>
      <c r="K208" s="3">
        <v>54</v>
      </c>
      <c r="L208" s="5">
        <f>IF(Table24[[#This Row],['#]]=1,"Champion", IF(Table24[[#This Row],['#]]&gt;=18,"Relegated",Table24[[#This Row],['#]]))</f>
        <v>7</v>
      </c>
      <c r="M208" s="5" t="str">
        <f>IF(Table24[[#This Row],[Details]]=2,K207-Table24[[#This Row],[Pts]],IF(Table24[[#This Row],[Details]]=17,Table24[[#This Row],[Pts]]-K209,""))</f>
        <v/>
      </c>
      <c r="R208" s="1" t="str">
        <f>IFERROR(IF($Q$1=$P$3,INDEX(prem_analysis!$P$2:$Q$441,ROWS(Data!$P$2:Q208),COLUMNS(Data!$P$3:P209)),IF($Q$1=$P$5,INDEX(prem_analysis!$BH$1:$BS$23,ROWS(Data!$Q$3:Q209),COLUMNS(Data!$Q$3:Q209)),IF($Q$1=$P$6,INDEX(prem_analysis!$BU$1:$CF$67,ROWS(prem_analysis!$N$2:N208),COLUMNS(prem_analysis!$N$2:N208)),IF($Q$1=$P$4,INDEX(Table24[[#All],[Year]:[Details]],ROWS(prem_analysis!$M$420:M626),COLUMNS(Data!$Q$3:Q209)))))),"")</f>
        <v/>
      </c>
      <c r="S208" s="1" t="str">
        <f>IFERROR(IF($Q$1=$P$3,INDEX(prem_analysis!$P$2:$Q$441,ROWS(Data!$P$2:R208),COLUMNS(Data!$P$3:Q209)),IF($Q$1=$P$5,INDEX(prem_analysis!$BH$1:$BS$23,ROWS(Data!$Q$3:R209),COLUMNS(Data!$Q$3:R209)),IF($Q$1=$P$6,INDEX(prem_analysis!$BU$1:$CF$67,ROWS(prem_analysis!$N$2:O208),COLUMNS(prem_analysis!$N$2:O208)),IF($Q$1=$P$4,INDEX(Table24[[#All],[Year]:[Details]],ROWS(prem_analysis!$M$420:N626),COLUMNS(Data!$Q$3:R209)))))),"")</f>
        <v/>
      </c>
      <c r="T208" s="1" t="str">
        <f>IFERROR(IF($Q$1=$P$3,INDEX(prem_analysis!$P$2:$Q$441,ROWS(Data!$P$2:S208),COLUMNS(Data!$P$3:R209)),IF($Q$1=$P$5,INDEX(prem_analysis!$BH$1:$BS$23,ROWS(Data!$Q$3:S209),COLUMNS(Data!$Q$3:S209)),IF($Q$1=$P$6,INDEX(prem_analysis!$BU$1:$CF$67,ROWS(prem_analysis!$N$2:P208),COLUMNS(prem_analysis!$N$2:P208)),IF($Q$1=$P$4,INDEX(Table24[[#All],[Year]:[Details]],ROWS(prem_analysis!$M$420:O626),COLUMNS(Data!$Q$3:S209)))))),"")</f>
        <v/>
      </c>
      <c r="U208" s="1" t="str">
        <f>IFERROR(IF($Q$1=$P$3,INDEX(prem_analysis!$P$2:$Q$441,ROWS(Data!$P$2:T208),COLUMNS(Data!$P$3:S209)),IF($Q$1=$P$5,INDEX(prem_analysis!$BH$1:$BS$23,ROWS(Data!$Q$3:T209),COLUMNS(Data!$Q$3:T209)),IF($Q$1=$P$6,INDEX(prem_analysis!$BU$1:$CF$67,ROWS(prem_analysis!$N$2:Q208),COLUMNS(prem_analysis!$N$2:Q208)),IF($Q$1=$P$4,INDEX(Table24[[#All],[Year]:[Details]],ROWS(prem_analysis!$M$420:P626),COLUMNS(Data!$Q$3:T209)))))),"")</f>
        <v/>
      </c>
      <c r="V208" s="1" t="str">
        <f>IFERROR(IF($Q$1=$P$3,INDEX(prem_analysis!$P$2:$Q$441,ROWS(Data!$P$2:U208),COLUMNS(Data!$P$3:T209)),IF($Q$1=$P$5,INDEX(prem_analysis!$BH$1:$BS$23,ROWS(Data!$Q$3:U209),COLUMNS(Data!$Q$3:U209)),IF($Q$1=$P$6,INDEX(prem_analysis!$BU$1:$CF$67,ROWS(prem_analysis!$N$2:R208),COLUMNS(prem_analysis!$N$2:R208)),IF($Q$1=$P$4,INDEX(Table24[[#All],[Year]:[Details]],ROWS(prem_analysis!$M$420:Q626),COLUMNS(Data!$Q$3:U209)))))),"")</f>
        <v/>
      </c>
      <c r="W208" s="1" t="str">
        <f>IFERROR(IF($Q$1=$P$3,INDEX(prem_analysis!$P$2:$Q$441,ROWS(Data!$P$2:V208),COLUMNS(Data!$P$3:U209)),IF($Q$1=$P$5,INDEX(prem_analysis!$BH$1:$BS$23,ROWS(Data!$Q$3:V209),COLUMNS(Data!$Q$3:V209)),IF($Q$1=$P$6,INDEX(prem_analysis!$BU$1:$CF$67,ROWS(prem_analysis!$N$2:S208),COLUMNS(prem_analysis!$N$2:S208)),IF($Q$1=$P$4,INDEX(Table24[[#All],[Year]:[Details]],ROWS(prem_analysis!$M$420:R626),COLUMNS(Data!$Q$3:V209)))))),"")</f>
        <v/>
      </c>
      <c r="X208" s="1" t="str">
        <f>IFERROR(IF($Q$1=$P$3,INDEX(prem_analysis!$P$2:$Q$441,ROWS(Data!$P$2:W208),COLUMNS(Data!$P$3:V209)),IF($Q$1=$P$5,INDEX(prem_analysis!$BH$1:$BS$23,ROWS(Data!$Q$3:W209),COLUMNS(Data!$Q$3:W209)),IF($Q$1=$P$6,INDEX(prem_analysis!$BU$1:$CF$67,ROWS(prem_analysis!$N$2:T208),COLUMNS(prem_analysis!$N$2:T208)),IF($Q$1=$P$4,INDEX(Table24[[#All],[Year]:[Details]],ROWS(prem_analysis!$M$420:S626),COLUMNS(Data!$Q$3:W209)))))),"")</f>
        <v/>
      </c>
      <c r="Y208" s="1" t="str">
        <f>IFERROR(IF($Q$1=$P$3,INDEX(prem_analysis!$P$2:$Q$441,ROWS(Data!$P$2:X208),COLUMNS(Data!$P$3:W209)),IF($Q$1=$P$5,INDEX(prem_analysis!$BH$1:$BS$23,ROWS(Data!$Q$3:X209),COLUMNS(Data!$Q$3:X209)),IF($Q$1=$P$6,INDEX(prem_analysis!$BU$1:$CF$67,ROWS(prem_analysis!$N$2:U208),COLUMNS(prem_analysis!$N$2:U208)),IF($Q$1=$P$4,INDEX(Table24[[#All],[Year]:[Details]],ROWS(prem_analysis!$M$420:T626),COLUMNS(Data!$Q$3:X209)))))),"")</f>
        <v/>
      </c>
      <c r="Z208" s="1" t="str">
        <f>IFERROR(IF($Q$1=$P$3,INDEX(prem_analysis!$P$2:$Q$441,ROWS(Data!$P$2:Y208),COLUMNS(Data!$P$3:X209)),IF($Q$1=$P$5,INDEX(prem_analysis!$BH$1:$BS$23,ROWS(Data!$Q$3:Y209),COLUMNS(Data!$Q$3:Y209)),IF($Q$1=$P$6,INDEX(prem_analysis!$BU$1:$CF$67,ROWS(prem_analysis!$N$2:V208),COLUMNS(prem_analysis!$N$2:V208)),IF($Q$1=$P$4,INDEX(Table24[[#All],[Year]:[Details]],ROWS(prem_analysis!$M$420:U626),COLUMNS(Data!$Q$3:Y209)))))),"")</f>
        <v/>
      </c>
      <c r="AA208" s="1" t="str">
        <f>IFERROR(IF($Q$1=$P$3,INDEX(prem_analysis!$P$2:$Q$441,ROWS(Data!$P$2:Z208),COLUMNS(Data!$P$3:Y209)),IF($Q$1=$P$5,INDEX(prem_analysis!$BH$1:$BS$23,ROWS(Data!$Q$3:Z209),COLUMNS(Data!$Q$3:Z209)),IF($Q$1=$P$6,INDEX(prem_analysis!$BU$1:$CF$67,ROWS(prem_analysis!$N$2:W208),COLUMNS(prem_analysis!$N$2:W208)),IF($Q$1=$P$4,INDEX(Table24[[#All],[Year]:[Details]],ROWS(prem_analysis!$M$420:V626),COLUMNS(Data!$Q$3:Z209)))))),"")</f>
        <v/>
      </c>
      <c r="AB208" s="1" t="str">
        <f>IFERROR(IF($Q$1=$P$3,INDEX(prem_analysis!$P$2:$Q$441,ROWS(Data!$P$2:AA208),COLUMNS(Data!$P$3:Z209)),IF($Q$1=$P$5,INDEX(prem_analysis!$BH$1:$BS$23,ROWS(Data!$Q$3:AA209),COLUMNS(Data!$Q$3:AA209)),IF($Q$1=$P$6,INDEX(prem_analysis!$BU$1:$CF$67,ROWS(prem_analysis!$N$2:X208),COLUMNS(prem_analysis!$N$2:X208)),IF($Q$1=$P$4,INDEX(Table24[[#All],[Year]:[Details]],ROWS(prem_analysis!$M$420:W626),COLUMNS(Data!$Q$3:AA209)))))),"")</f>
        <v/>
      </c>
      <c r="AC208" s="1" t="str">
        <f>IFERROR(IF($Q$1=$P$3,INDEX(prem_analysis!$P$2:$Q$441,ROWS(Data!$P$2:AB208),COLUMNS(Data!$P$3:AA209)),IF($Q$1=$P$5,INDEX(prem_analysis!$BH$1:$BS$23,ROWS(Data!$Q$3:AB209),COLUMNS(Data!$Q$3:AB209)),IF($Q$1=$P$6,INDEX(prem_analysis!$BU$1:$CF$67,ROWS(prem_analysis!$N$2:Y208),COLUMNS(prem_analysis!$N$2:Y208)),IF($Q$1=$P$4,INDEX(Table24[[#All],[Year]:[Details]],ROWS(prem_analysis!$M$420:X626),COLUMNS(Data!$Q$3:AB209)))))),"")</f>
        <v/>
      </c>
    </row>
    <row r="209" spans="1:29" x14ac:dyDescent="0.2">
      <c r="A209" s="5">
        <v>2010</v>
      </c>
      <c r="B209" s="5">
        <v>8</v>
      </c>
      <c r="C209" s="6" t="s">
        <v>32</v>
      </c>
      <c r="D209" s="5">
        <v>38</v>
      </c>
      <c r="E209" s="5">
        <v>11</v>
      </c>
      <c r="F209" s="5">
        <v>16</v>
      </c>
      <c r="G209" s="5">
        <v>11</v>
      </c>
      <c r="H209" s="5">
        <v>49</v>
      </c>
      <c r="I209" s="5">
        <v>43</v>
      </c>
      <c r="J209" s="5">
        <v>6</v>
      </c>
      <c r="K209" s="5">
        <v>49</v>
      </c>
      <c r="L209" s="5">
        <f>IF(Table24[[#This Row],['#]]=1,"Champion", IF(Table24[[#This Row],['#]]&gt;=18,"Relegated",Table24[[#This Row],['#]]))</f>
        <v>8</v>
      </c>
      <c r="M209" s="5" t="str">
        <f>IF(Table24[[#This Row],[Details]]=2,K208-Table24[[#This Row],[Pts]],IF(Table24[[#This Row],[Details]]=17,Table24[[#This Row],[Pts]]-K210,""))</f>
        <v/>
      </c>
      <c r="R209" s="1" t="str">
        <f>IFERROR(IF($Q$1=$P$3,INDEX(prem_analysis!$P$2:$Q$441,ROWS(Data!$P$2:Q209),COLUMNS(Data!$P$3:P210)),IF($Q$1=$P$5,INDEX(prem_analysis!$BH$1:$BS$23,ROWS(Data!$Q$3:Q210),COLUMNS(Data!$Q$3:Q210)),IF($Q$1=$P$6,INDEX(prem_analysis!$BU$1:$CF$67,ROWS(prem_analysis!$N$2:N209),COLUMNS(prem_analysis!$N$2:N209)),IF($Q$1=$P$4,INDEX(Table24[[#All],[Year]:[Details]],ROWS(prem_analysis!$M$420:M627),COLUMNS(Data!$Q$3:Q210)))))),"")</f>
        <v/>
      </c>
      <c r="S209" s="1" t="str">
        <f>IFERROR(IF($Q$1=$P$3,INDEX(prem_analysis!$P$2:$Q$441,ROWS(Data!$P$2:R209),COLUMNS(Data!$P$3:Q210)),IF($Q$1=$P$5,INDEX(prem_analysis!$BH$1:$BS$23,ROWS(Data!$Q$3:R210),COLUMNS(Data!$Q$3:R210)),IF($Q$1=$P$6,INDEX(prem_analysis!$BU$1:$CF$67,ROWS(prem_analysis!$N$2:O209),COLUMNS(prem_analysis!$N$2:O209)),IF($Q$1=$P$4,INDEX(Table24[[#All],[Year]:[Details]],ROWS(prem_analysis!$M$420:N627),COLUMNS(Data!$Q$3:R210)))))),"")</f>
        <v/>
      </c>
      <c r="T209" s="1" t="str">
        <f>IFERROR(IF($Q$1=$P$3,INDEX(prem_analysis!$P$2:$Q$441,ROWS(Data!$P$2:S209),COLUMNS(Data!$P$3:R210)),IF($Q$1=$P$5,INDEX(prem_analysis!$BH$1:$BS$23,ROWS(Data!$Q$3:S210),COLUMNS(Data!$Q$3:S210)),IF($Q$1=$P$6,INDEX(prem_analysis!$BU$1:$CF$67,ROWS(prem_analysis!$N$2:P209),COLUMNS(prem_analysis!$N$2:P209)),IF($Q$1=$P$4,INDEX(Table24[[#All],[Year]:[Details]],ROWS(prem_analysis!$M$420:O627),COLUMNS(Data!$Q$3:S210)))))),"")</f>
        <v/>
      </c>
      <c r="U209" s="1" t="str">
        <f>IFERROR(IF($Q$1=$P$3,INDEX(prem_analysis!$P$2:$Q$441,ROWS(Data!$P$2:T209),COLUMNS(Data!$P$3:S210)),IF($Q$1=$P$5,INDEX(prem_analysis!$BH$1:$BS$23,ROWS(Data!$Q$3:T210),COLUMNS(Data!$Q$3:T210)),IF($Q$1=$P$6,INDEX(prem_analysis!$BU$1:$CF$67,ROWS(prem_analysis!$N$2:Q209),COLUMNS(prem_analysis!$N$2:Q209)),IF($Q$1=$P$4,INDEX(Table24[[#All],[Year]:[Details]],ROWS(prem_analysis!$M$420:P627),COLUMNS(Data!$Q$3:T210)))))),"")</f>
        <v/>
      </c>
      <c r="V209" s="1" t="str">
        <f>IFERROR(IF($Q$1=$P$3,INDEX(prem_analysis!$P$2:$Q$441,ROWS(Data!$P$2:U209),COLUMNS(Data!$P$3:T210)),IF($Q$1=$P$5,INDEX(prem_analysis!$BH$1:$BS$23,ROWS(Data!$Q$3:U210),COLUMNS(Data!$Q$3:U210)),IF($Q$1=$P$6,INDEX(prem_analysis!$BU$1:$CF$67,ROWS(prem_analysis!$N$2:R209),COLUMNS(prem_analysis!$N$2:R209)),IF($Q$1=$P$4,INDEX(Table24[[#All],[Year]:[Details]],ROWS(prem_analysis!$M$420:Q627),COLUMNS(Data!$Q$3:U210)))))),"")</f>
        <v/>
      </c>
      <c r="W209" s="1" t="str">
        <f>IFERROR(IF($Q$1=$P$3,INDEX(prem_analysis!$P$2:$Q$441,ROWS(Data!$P$2:V209),COLUMNS(Data!$P$3:U210)),IF($Q$1=$P$5,INDEX(prem_analysis!$BH$1:$BS$23,ROWS(Data!$Q$3:V210),COLUMNS(Data!$Q$3:V210)),IF($Q$1=$P$6,INDEX(prem_analysis!$BU$1:$CF$67,ROWS(prem_analysis!$N$2:S209),COLUMNS(prem_analysis!$N$2:S209)),IF($Q$1=$P$4,INDEX(Table24[[#All],[Year]:[Details]],ROWS(prem_analysis!$M$420:R627),COLUMNS(Data!$Q$3:V210)))))),"")</f>
        <v/>
      </c>
      <c r="X209" s="1" t="str">
        <f>IFERROR(IF($Q$1=$P$3,INDEX(prem_analysis!$P$2:$Q$441,ROWS(Data!$P$2:W209),COLUMNS(Data!$P$3:V210)),IF($Q$1=$P$5,INDEX(prem_analysis!$BH$1:$BS$23,ROWS(Data!$Q$3:W210),COLUMNS(Data!$Q$3:W210)),IF($Q$1=$P$6,INDEX(prem_analysis!$BU$1:$CF$67,ROWS(prem_analysis!$N$2:T209),COLUMNS(prem_analysis!$N$2:T209)),IF($Q$1=$P$4,INDEX(Table24[[#All],[Year]:[Details]],ROWS(prem_analysis!$M$420:S627),COLUMNS(Data!$Q$3:W210)))))),"")</f>
        <v/>
      </c>
      <c r="Y209" s="1" t="str">
        <f>IFERROR(IF($Q$1=$P$3,INDEX(prem_analysis!$P$2:$Q$441,ROWS(Data!$P$2:X209),COLUMNS(Data!$P$3:W210)),IF($Q$1=$P$5,INDEX(prem_analysis!$BH$1:$BS$23,ROWS(Data!$Q$3:X210),COLUMNS(Data!$Q$3:X210)),IF($Q$1=$P$6,INDEX(prem_analysis!$BU$1:$CF$67,ROWS(prem_analysis!$N$2:U209),COLUMNS(prem_analysis!$N$2:U209)),IF($Q$1=$P$4,INDEX(Table24[[#All],[Year]:[Details]],ROWS(prem_analysis!$M$420:T627),COLUMNS(Data!$Q$3:X210)))))),"")</f>
        <v/>
      </c>
      <c r="Z209" s="1" t="str">
        <f>IFERROR(IF($Q$1=$P$3,INDEX(prem_analysis!$P$2:$Q$441,ROWS(Data!$P$2:Y209),COLUMNS(Data!$P$3:X210)),IF($Q$1=$P$5,INDEX(prem_analysis!$BH$1:$BS$23,ROWS(Data!$Q$3:Y210),COLUMNS(Data!$Q$3:Y210)),IF($Q$1=$P$6,INDEX(prem_analysis!$BU$1:$CF$67,ROWS(prem_analysis!$N$2:V209),COLUMNS(prem_analysis!$N$2:V209)),IF($Q$1=$P$4,INDEX(Table24[[#All],[Year]:[Details]],ROWS(prem_analysis!$M$420:U627),COLUMNS(Data!$Q$3:Y210)))))),"")</f>
        <v/>
      </c>
      <c r="AA209" s="1" t="str">
        <f>IFERROR(IF($Q$1=$P$3,INDEX(prem_analysis!$P$2:$Q$441,ROWS(Data!$P$2:Z209),COLUMNS(Data!$P$3:Y210)),IF($Q$1=$P$5,INDEX(prem_analysis!$BH$1:$BS$23,ROWS(Data!$Q$3:Z210),COLUMNS(Data!$Q$3:Z210)),IF($Q$1=$P$6,INDEX(prem_analysis!$BU$1:$CF$67,ROWS(prem_analysis!$N$2:W209),COLUMNS(prem_analysis!$N$2:W209)),IF($Q$1=$P$4,INDEX(Table24[[#All],[Year]:[Details]],ROWS(prem_analysis!$M$420:V627),COLUMNS(Data!$Q$3:Z210)))))),"")</f>
        <v/>
      </c>
      <c r="AB209" s="1" t="str">
        <f>IFERROR(IF($Q$1=$P$3,INDEX(prem_analysis!$P$2:$Q$441,ROWS(Data!$P$2:AA209),COLUMNS(Data!$P$3:Z210)),IF($Q$1=$P$5,INDEX(prem_analysis!$BH$1:$BS$23,ROWS(Data!$Q$3:AA210),COLUMNS(Data!$Q$3:AA210)),IF($Q$1=$P$6,INDEX(prem_analysis!$BU$1:$CF$67,ROWS(prem_analysis!$N$2:X209),COLUMNS(prem_analysis!$N$2:X209)),IF($Q$1=$P$4,INDEX(Table24[[#All],[Year]:[Details]],ROWS(prem_analysis!$M$420:W627),COLUMNS(Data!$Q$3:AA210)))))),"")</f>
        <v/>
      </c>
      <c r="AC209" s="1" t="str">
        <f>IFERROR(IF($Q$1=$P$3,INDEX(prem_analysis!$P$2:$Q$441,ROWS(Data!$P$2:AB209),COLUMNS(Data!$P$3:AA210)),IF($Q$1=$P$5,INDEX(prem_analysis!$BH$1:$BS$23,ROWS(Data!$Q$3:AB210),COLUMNS(Data!$Q$3:AB210)),IF($Q$1=$P$6,INDEX(prem_analysis!$BU$1:$CF$67,ROWS(prem_analysis!$N$2:Y209),COLUMNS(prem_analysis!$N$2:Y209)),IF($Q$1=$P$4,INDEX(Table24[[#All],[Year]:[Details]],ROWS(prem_analysis!$M$420:X627),COLUMNS(Data!$Q$3:AB210)))))),"")</f>
        <v/>
      </c>
    </row>
    <row r="210" spans="1:29" x14ac:dyDescent="0.2">
      <c r="A210" s="3">
        <v>2010</v>
      </c>
      <c r="B210" s="3">
        <v>9</v>
      </c>
      <c r="C210" s="4" t="s">
        <v>18</v>
      </c>
      <c r="D210" s="3">
        <v>38</v>
      </c>
      <c r="E210" s="3">
        <v>12</v>
      </c>
      <c r="F210" s="3">
        <v>12</v>
      </c>
      <c r="G210" s="3">
        <v>14</v>
      </c>
      <c r="H210" s="3">
        <v>48</v>
      </c>
      <c r="I210" s="3">
        <v>59</v>
      </c>
      <c r="J210" s="3">
        <v>-11</v>
      </c>
      <c r="K210" s="3">
        <v>48</v>
      </c>
      <c r="L210" s="5">
        <f>IF(Table24[[#This Row],['#]]=1,"Champion", IF(Table24[[#This Row],['#]]&gt;=18,"Relegated",Table24[[#This Row],['#]]))</f>
        <v>9</v>
      </c>
      <c r="M210" s="5" t="str">
        <f>IF(Table24[[#This Row],[Details]]=2,K209-Table24[[#This Row],[Pts]],IF(Table24[[#This Row],[Details]]=17,Table24[[#This Row],[Pts]]-K211,""))</f>
        <v/>
      </c>
      <c r="R210" s="1" t="str">
        <f>IFERROR(IF($Q$1=$P$3,INDEX(prem_analysis!$P$2:$Q$441,ROWS(Data!$P$2:Q210),COLUMNS(Data!$P$3:P211)),IF($Q$1=$P$5,INDEX(prem_analysis!$BH$1:$BS$23,ROWS(Data!$Q$3:Q211),COLUMNS(Data!$Q$3:Q211)),IF($Q$1=$P$6,INDEX(prem_analysis!$BU$1:$CF$67,ROWS(prem_analysis!$N$2:N210),COLUMNS(prem_analysis!$N$2:N210)),IF($Q$1=$P$4,INDEX(Table24[[#All],[Year]:[Details]],ROWS(prem_analysis!$M$420:M628),COLUMNS(Data!$Q$3:Q211)))))),"")</f>
        <v/>
      </c>
      <c r="S210" s="1" t="str">
        <f>IFERROR(IF($Q$1=$P$3,INDEX(prem_analysis!$P$2:$Q$441,ROWS(Data!$P$2:R210),COLUMNS(Data!$P$3:Q211)),IF($Q$1=$P$5,INDEX(prem_analysis!$BH$1:$BS$23,ROWS(Data!$Q$3:R211),COLUMNS(Data!$Q$3:R211)),IF($Q$1=$P$6,INDEX(prem_analysis!$BU$1:$CF$67,ROWS(prem_analysis!$N$2:O210),COLUMNS(prem_analysis!$N$2:O210)),IF($Q$1=$P$4,INDEX(Table24[[#All],[Year]:[Details]],ROWS(prem_analysis!$M$420:N628),COLUMNS(Data!$Q$3:R211)))))),"")</f>
        <v/>
      </c>
      <c r="T210" s="1" t="str">
        <f>IFERROR(IF($Q$1=$P$3,INDEX(prem_analysis!$P$2:$Q$441,ROWS(Data!$P$2:S210),COLUMNS(Data!$P$3:R211)),IF($Q$1=$P$5,INDEX(prem_analysis!$BH$1:$BS$23,ROWS(Data!$Q$3:S211),COLUMNS(Data!$Q$3:S211)),IF($Q$1=$P$6,INDEX(prem_analysis!$BU$1:$CF$67,ROWS(prem_analysis!$N$2:P210),COLUMNS(prem_analysis!$N$2:P210)),IF($Q$1=$P$4,INDEX(Table24[[#All],[Year]:[Details]],ROWS(prem_analysis!$M$420:O628),COLUMNS(Data!$Q$3:S211)))))),"")</f>
        <v/>
      </c>
      <c r="U210" s="1" t="str">
        <f>IFERROR(IF($Q$1=$P$3,INDEX(prem_analysis!$P$2:$Q$441,ROWS(Data!$P$2:T210),COLUMNS(Data!$P$3:S211)),IF($Q$1=$P$5,INDEX(prem_analysis!$BH$1:$BS$23,ROWS(Data!$Q$3:T211),COLUMNS(Data!$Q$3:T211)),IF($Q$1=$P$6,INDEX(prem_analysis!$BU$1:$CF$67,ROWS(prem_analysis!$N$2:Q210),COLUMNS(prem_analysis!$N$2:Q210)),IF($Q$1=$P$4,INDEX(Table24[[#All],[Year]:[Details]],ROWS(prem_analysis!$M$420:P628),COLUMNS(Data!$Q$3:T211)))))),"")</f>
        <v/>
      </c>
      <c r="V210" s="1" t="str">
        <f>IFERROR(IF($Q$1=$P$3,INDEX(prem_analysis!$P$2:$Q$441,ROWS(Data!$P$2:U210),COLUMNS(Data!$P$3:T211)),IF($Q$1=$P$5,INDEX(prem_analysis!$BH$1:$BS$23,ROWS(Data!$Q$3:U211),COLUMNS(Data!$Q$3:U211)),IF($Q$1=$P$6,INDEX(prem_analysis!$BU$1:$CF$67,ROWS(prem_analysis!$N$2:R210),COLUMNS(prem_analysis!$N$2:R210)),IF($Q$1=$P$4,INDEX(Table24[[#All],[Year]:[Details]],ROWS(prem_analysis!$M$420:Q628),COLUMNS(Data!$Q$3:U211)))))),"")</f>
        <v/>
      </c>
      <c r="W210" s="1" t="str">
        <f>IFERROR(IF($Q$1=$P$3,INDEX(prem_analysis!$P$2:$Q$441,ROWS(Data!$P$2:V210),COLUMNS(Data!$P$3:U211)),IF($Q$1=$P$5,INDEX(prem_analysis!$BH$1:$BS$23,ROWS(Data!$Q$3:V211),COLUMNS(Data!$Q$3:V211)),IF($Q$1=$P$6,INDEX(prem_analysis!$BU$1:$CF$67,ROWS(prem_analysis!$N$2:S210),COLUMNS(prem_analysis!$N$2:S210)),IF($Q$1=$P$4,INDEX(Table24[[#All],[Year]:[Details]],ROWS(prem_analysis!$M$420:R628),COLUMNS(Data!$Q$3:V211)))))),"")</f>
        <v/>
      </c>
      <c r="X210" s="1" t="str">
        <f>IFERROR(IF($Q$1=$P$3,INDEX(prem_analysis!$P$2:$Q$441,ROWS(Data!$P$2:W210),COLUMNS(Data!$P$3:V211)),IF($Q$1=$P$5,INDEX(prem_analysis!$BH$1:$BS$23,ROWS(Data!$Q$3:W211),COLUMNS(Data!$Q$3:W211)),IF($Q$1=$P$6,INDEX(prem_analysis!$BU$1:$CF$67,ROWS(prem_analysis!$N$2:T210),COLUMNS(prem_analysis!$N$2:T210)),IF($Q$1=$P$4,INDEX(Table24[[#All],[Year]:[Details]],ROWS(prem_analysis!$M$420:S628),COLUMNS(Data!$Q$3:W211)))))),"")</f>
        <v/>
      </c>
      <c r="Y210" s="1" t="str">
        <f>IFERROR(IF($Q$1=$P$3,INDEX(prem_analysis!$P$2:$Q$441,ROWS(Data!$P$2:X210),COLUMNS(Data!$P$3:W211)),IF($Q$1=$P$5,INDEX(prem_analysis!$BH$1:$BS$23,ROWS(Data!$Q$3:X211),COLUMNS(Data!$Q$3:X211)),IF($Q$1=$P$6,INDEX(prem_analysis!$BU$1:$CF$67,ROWS(prem_analysis!$N$2:U210),COLUMNS(prem_analysis!$N$2:U210)),IF($Q$1=$P$4,INDEX(Table24[[#All],[Year]:[Details]],ROWS(prem_analysis!$M$420:T628),COLUMNS(Data!$Q$3:X211)))))),"")</f>
        <v/>
      </c>
      <c r="Z210" s="1" t="str">
        <f>IFERROR(IF($Q$1=$P$3,INDEX(prem_analysis!$P$2:$Q$441,ROWS(Data!$P$2:Y210),COLUMNS(Data!$P$3:X211)),IF($Q$1=$P$5,INDEX(prem_analysis!$BH$1:$BS$23,ROWS(Data!$Q$3:Y211),COLUMNS(Data!$Q$3:Y211)),IF($Q$1=$P$6,INDEX(prem_analysis!$BU$1:$CF$67,ROWS(prem_analysis!$N$2:V210),COLUMNS(prem_analysis!$N$2:V210)),IF($Q$1=$P$4,INDEX(Table24[[#All],[Year]:[Details]],ROWS(prem_analysis!$M$420:U628),COLUMNS(Data!$Q$3:Y211)))))),"")</f>
        <v/>
      </c>
      <c r="AA210" s="1" t="str">
        <f>IFERROR(IF($Q$1=$P$3,INDEX(prem_analysis!$P$2:$Q$441,ROWS(Data!$P$2:Z210),COLUMNS(Data!$P$3:Y211)),IF($Q$1=$P$5,INDEX(prem_analysis!$BH$1:$BS$23,ROWS(Data!$Q$3:Z211),COLUMNS(Data!$Q$3:Z211)),IF($Q$1=$P$6,INDEX(prem_analysis!$BU$1:$CF$67,ROWS(prem_analysis!$N$2:W210),COLUMNS(prem_analysis!$N$2:W210)),IF($Q$1=$P$4,INDEX(Table24[[#All],[Year]:[Details]],ROWS(prem_analysis!$M$420:V628),COLUMNS(Data!$Q$3:Z211)))))),"")</f>
        <v/>
      </c>
      <c r="AB210" s="1" t="str">
        <f>IFERROR(IF($Q$1=$P$3,INDEX(prem_analysis!$P$2:$Q$441,ROWS(Data!$P$2:AA210),COLUMNS(Data!$P$3:Z211)),IF($Q$1=$P$5,INDEX(prem_analysis!$BH$1:$BS$23,ROWS(Data!$Q$3:AA211),COLUMNS(Data!$Q$3:AA211)),IF($Q$1=$P$6,INDEX(prem_analysis!$BU$1:$CF$67,ROWS(prem_analysis!$N$2:X210),COLUMNS(prem_analysis!$N$2:X210)),IF($Q$1=$P$4,INDEX(Table24[[#All],[Year]:[Details]],ROWS(prem_analysis!$M$420:W628),COLUMNS(Data!$Q$3:AA211)))))),"")</f>
        <v/>
      </c>
      <c r="AC210" s="1" t="str">
        <f>IFERROR(IF($Q$1=$P$3,INDEX(prem_analysis!$P$2:$Q$441,ROWS(Data!$P$2:AB210),COLUMNS(Data!$P$3:AA211)),IF($Q$1=$P$5,INDEX(prem_analysis!$BH$1:$BS$23,ROWS(Data!$Q$3:AB211),COLUMNS(Data!$Q$3:AB211)),IF($Q$1=$P$6,INDEX(prem_analysis!$BU$1:$CF$67,ROWS(prem_analysis!$N$2:Y210),COLUMNS(prem_analysis!$N$2:Y210)),IF($Q$1=$P$4,INDEX(Table24[[#All],[Year]:[Details]],ROWS(prem_analysis!$M$420:X628),COLUMNS(Data!$Q$3:AB211)))))),"")</f>
        <v/>
      </c>
    </row>
    <row r="211" spans="1:29" x14ac:dyDescent="0.2">
      <c r="A211" s="5">
        <v>2010</v>
      </c>
      <c r="B211" s="5">
        <v>10</v>
      </c>
      <c r="C211" s="6" t="s">
        <v>17</v>
      </c>
      <c r="D211" s="5">
        <v>38</v>
      </c>
      <c r="E211" s="5">
        <v>12</v>
      </c>
      <c r="F211" s="5">
        <v>11</v>
      </c>
      <c r="G211" s="5">
        <v>15</v>
      </c>
      <c r="H211" s="5">
        <v>45</v>
      </c>
      <c r="I211" s="5">
        <v>56</v>
      </c>
      <c r="J211" s="5">
        <v>-11</v>
      </c>
      <c r="K211" s="5">
        <v>47</v>
      </c>
      <c r="L211" s="5">
        <f>IF(Table24[[#This Row],['#]]=1,"Champion", IF(Table24[[#This Row],['#]]&gt;=18,"Relegated",Table24[[#This Row],['#]]))</f>
        <v>10</v>
      </c>
      <c r="M211" s="5" t="str">
        <f>IF(Table24[[#This Row],[Details]]=2,K210-Table24[[#This Row],[Pts]],IF(Table24[[#This Row],[Details]]=17,Table24[[#This Row],[Pts]]-K212,""))</f>
        <v/>
      </c>
      <c r="R211" s="1" t="str">
        <f>IFERROR(IF($Q$1=$P$3,INDEX(prem_analysis!$P$2:$Q$441,ROWS(Data!$P$2:Q211),COLUMNS(Data!$P$3:P212)),IF($Q$1=$P$5,INDEX(prem_analysis!$BH$1:$BS$23,ROWS(Data!$Q$3:Q212),COLUMNS(Data!$Q$3:Q212)),IF($Q$1=$P$6,INDEX(prem_analysis!$BU$1:$CF$67,ROWS(prem_analysis!$N$2:N211),COLUMNS(prem_analysis!$N$2:N211)),IF($Q$1=$P$4,INDEX(Table24[[#All],[Year]:[Details]],ROWS(prem_analysis!$M$420:M629),COLUMNS(Data!$Q$3:Q212)))))),"")</f>
        <v/>
      </c>
      <c r="S211" s="1" t="str">
        <f>IFERROR(IF($Q$1=$P$3,INDEX(prem_analysis!$P$2:$Q$441,ROWS(Data!$P$2:R211),COLUMNS(Data!$P$3:Q212)),IF($Q$1=$P$5,INDEX(prem_analysis!$BH$1:$BS$23,ROWS(Data!$Q$3:R212),COLUMNS(Data!$Q$3:R212)),IF($Q$1=$P$6,INDEX(prem_analysis!$BU$1:$CF$67,ROWS(prem_analysis!$N$2:O211),COLUMNS(prem_analysis!$N$2:O211)),IF($Q$1=$P$4,INDEX(Table24[[#All],[Year]:[Details]],ROWS(prem_analysis!$M$420:N629),COLUMNS(Data!$Q$3:R212)))))),"")</f>
        <v/>
      </c>
      <c r="T211" s="1" t="str">
        <f>IFERROR(IF($Q$1=$P$3,INDEX(prem_analysis!$P$2:$Q$441,ROWS(Data!$P$2:S211),COLUMNS(Data!$P$3:R212)),IF($Q$1=$P$5,INDEX(prem_analysis!$BH$1:$BS$23,ROWS(Data!$Q$3:S212),COLUMNS(Data!$Q$3:S212)),IF($Q$1=$P$6,INDEX(prem_analysis!$BU$1:$CF$67,ROWS(prem_analysis!$N$2:P211),COLUMNS(prem_analysis!$N$2:P211)),IF($Q$1=$P$4,INDEX(Table24[[#All],[Year]:[Details]],ROWS(prem_analysis!$M$420:O629),COLUMNS(Data!$Q$3:S212)))))),"")</f>
        <v/>
      </c>
      <c r="U211" s="1" t="str">
        <f>IFERROR(IF($Q$1=$P$3,INDEX(prem_analysis!$P$2:$Q$441,ROWS(Data!$P$2:T211),COLUMNS(Data!$P$3:S212)),IF($Q$1=$P$5,INDEX(prem_analysis!$BH$1:$BS$23,ROWS(Data!$Q$3:T212),COLUMNS(Data!$Q$3:T212)),IF($Q$1=$P$6,INDEX(prem_analysis!$BU$1:$CF$67,ROWS(prem_analysis!$N$2:Q211),COLUMNS(prem_analysis!$N$2:Q211)),IF($Q$1=$P$4,INDEX(Table24[[#All],[Year]:[Details]],ROWS(prem_analysis!$M$420:P629),COLUMNS(Data!$Q$3:T212)))))),"")</f>
        <v/>
      </c>
      <c r="V211" s="1" t="str">
        <f>IFERROR(IF($Q$1=$P$3,INDEX(prem_analysis!$P$2:$Q$441,ROWS(Data!$P$2:U211),COLUMNS(Data!$P$3:T212)),IF($Q$1=$P$5,INDEX(prem_analysis!$BH$1:$BS$23,ROWS(Data!$Q$3:U212),COLUMNS(Data!$Q$3:U212)),IF($Q$1=$P$6,INDEX(prem_analysis!$BU$1:$CF$67,ROWS(prem_analysis!$N$2:R211),COLUMNS(prem_analysis!$N$2:R211)),IF($Q$1=$P$4,INDEX(Table24[[#All],[Year]:[Details]],ROWS(prem_analysis!$M$420:Q629),COLUMNS(Data!$Q$3:U212)))))),"")</f>
        <v/>
      </c>
      <c r="W211" s="1" t="str">
        <f>IFERROR(IF($Q$1=$P$3,INDEX(prem_analysis!$P$2:$Q$441,ROWS(Data!$P$2:V211),COLUMNS(Data!$P$3:U212)),IF($Q$1=$P$5,INDEX(prem_analysis!$BH$1:$BS$23,ROWS(Data!$Q$3:V212),COLUMNS(Data!$Q$3:V212)),IF($Q$1=$P$6,INDEX(prem_analysis!$BU$1:$CF$67,ROWS(prem_analysis!$N$2:S211),COLUMNS(prem_analysis!$N$2:S211)),IF($Q$1=$P$4,INDEX(Table24[[#All],[Year]:[Details]],ROWS(prem_analysis!$M$420:R629),COLUMNS(Data!$Q$3:V212)))))),"")</f>
        <v/>
      </c>
      <c r="X211" s="1" t="str">
        <f>IFERROR(IF($Q$1=$P$3,INDEX(prem_analysis!$P$2:$Q$441,ROWS(Data!$P$2:W211),COLUMNS(Data!$P$3:V212)),IF($Q$1=$P$5,INDEX(prem_analysis!$BH$1:$BS$23,ROWS(Data!$Q$3:W212),COLUMNS(Data!$Q$3:W212)),IF($Q$1=$P$6,INDEX(prem_analysis!$BU$1:$CF$67,ROWS(prem_analysis!$N$2:T211),COLUMNS(prem_analysis!$N$2:T211)),IF($Q$1=$P$4,INDEX(Table24[[#All],[Year]:[Details]],ROWS(prem_analysis!$M$420:S629),COLUMNS(Data!$Q$3:W212)))))),"")</f>
        <v/>
      </c>
      <c r="Y211" s="1" t="str">
        <f>IFERROR(IF($Q$1=$P$3,INDEX(prem_analysis!$P$2:$Q$441,ROWS(Data!$P$2:X211),COLUMNS(Data!$P$3:W212)),IF($Q$1=$P$5,INDEX(prem_analysis!$BH$1:$BS$23,ROWS(Data!$Q$3:X212),COLUMNS(Data!$Q$3:X212)),IF($Q$1=$P$6,INDEX(prem_analysis!$BU$1:$CF$67,ROWS(prem_analysis!$N$2:U211),COLUMNS(prem_analysis!$N$2:U211)),IF($Q$1=$P$4,INDEX(Table24[[#All],[Year]:[Details]],ROWS(prem_analysis!$M$420:T629),COLUMNS(Data!$Q$3:X212)))))),"")</f>
        <v/>
      </c>
      <c r="Z211" s="1" t="str">
        <f>IFERROR(IF($Q$1=$P$3,INDEX(prem_analysis!$P$2:$Q$441,ROWS(Data!$P$2:Y211),COLUMNS(Data!$P$3:X212)),IF($Q$1=$P$5,INDEX(prem_analysis!$BH$1:$BS$23,ROWS(Data!$Q$3:Y212),COLUMNS(Data!$Q$3:Y212)),IF($Q$1=$P$6,INDEX(prem_analysis!$BU$1:$CF$67,ROWS(prem_analysis!$N$2:V211),COLUMNS(prem_analysis!$N$2:V211)),IF($Q$1=$P$4,INDEX(Table24[[#All],[Year]:[Details]],ROWS(prem_analysis!$M$420:U629),COLUMNS(Data!$Q$3:Y212)))))),"")</f>
        <v/>
      </c>
      <c r="AA211" s="1" t="str">
        <f>IFERROR(IF($Q$1=$P$3,INDEX(prem_analysis!$P$2:$Q$441,ROWS(Data!$P$2:Z211),COLUMNS(Data!$P$3:Y212)),IF($Q$1=$P$5,INDEX(prem_analysis!$BH$1:$BS$23,ROWS(Data!$Q$3:Z212),COLUMNS(Data!$Q$3:Z212)),IF($Q$1=$P$6,INDEX(prem_analysis!$BU$1:$CF$67,ROWS(prem_analysis!$N$2:W211),COLUMNS(prem_analysis!$N$2:W211)),IF($Q$1=$P$4,INDEX(Table24[[#All],[Year]:[Details]],ROWS(prem_analysis!$M$420:V629),COLUMNS(Data!$Q$3:Z212)))))),"")</f>
        <v/>
      </c>
      <c r="AB211" s="1" t="str">
        <f>IFERROR(IF($Q$1=$P$3,INDEX(prem_analysis!$P$2:$Q$441,ROWS(Data!$P$2:AA211),COLUMNS(Data!$P$3:Z212)),IF($Q$1=$P$5,INDEX(prem_analysis!$BH$1:$BS$23,ROWS(Data!$Q$3:AA212),COLUMNS(Data!$Q$3:AA212)),IF($Q$1=$P$6,INDEX(prem_analysis!$BU$1:$CF$67,ROWS(prem_analysis!$N$2:X211),COLUMNS(prem_analysis!$N$2:X211)),IF($Q$1=$P$4,INDEX(Table24[[#All],[Year]:[Details]],ROWS(prem_analysis!$M$420:W629),COLUMNS(Data!$Q$3:AA212)))))),"")</f>
        <v/>
      </c>
      <c r="AC211" s="1" t="str">
        <f>IFERROR(IF($Q$1=$P$3,INDEX(prem_analysis!$P$2:$Q$441,ROWS(Data!$P$2:AB211),COLUMNS(Data!$P$3:AA212)),IF($Q$1=$P$5,INDEX(prem_analysis!$BH$1:$BS$23,ROWS(Data!$Q$3:AB212),COLUMNS(Data!$Q$3:AB212)),IF($Q$1=$P$6,INDEX(prem_analysis!$BU$1:$CF$67,ROWS(prem_analysis!$N$2:Y211),COLUMNS(prem_analysis!$N$2:Y211)),IF($Q$1=$P$4,INDEX(Table24[[#All],[Year]:[Details]],ROWS(prem_analysis!$M$420:X629),COLUMNS(Data!$Q$3:AB212)))))),"")</f>
        <v/>
      </c>
    </row>
    <row r="212" spans="1:29" x14ac:dyDescent="0.2">
      <c r="A212" s="3">
        <v>2010</v>
      </c>
      <c r="B212" s="3">
        <v>11</v>
      </c>
      <c r="C212" s="4" t="s">
        <v>35</v>
      </c>
      <c r="D212" s="3">
        <v>38</v>
      </c>
      <c r="E212" s="3">
        <v>12</v>
      </c>
      <c r="F212" s="3">
        <v>11</v>
      </c>
      <c r="G212" s="3">
        <v>15</v>
      </c>
      <c r="H212" s="3">
        <v>56</v>
      </c>
      <c r="I212" s="3">
        <v>71</v>
      </c>
      <c r="J212" s="3">
        <v>-15</v>
      </c>
      <c r="K212" s="3">
        <v>47</v>
      </c>
      <c r="L212" s="5">
        <f>IF(Table24[[#This Row],['#]]=1,"Champion", IF(Table24[[#This Row],['#]]&gt;=18,"Relegated",Table24[[#This Row],['#]]))</f>
        <v>11</v>
      </c>
      <c r="M212" s="5" t="str">
        <f>IF(Table24[[#This Row],[Details]]=2,K211-Table24[[#This Row],[Pts]],IF(Table24[[#This Row],[Details]]=17,Table24[[#This Row],[Pts]]-K213,""))</f>
        <v/>
      </c>
      <c r="R212" s="1" t="str">
        <f>IFERROR(IF($Q$1=$P$3,INDEX(prem_analysis!$P$2:$Q$441,ROWS(Data!$P$2:Q212),COLUMNS(Data!$P$3:P213)),IF($Q$1=$P$5,INDEX(prem_analysis!$BH$1:$BS$23,ROWS(Data!$Q$3:Q213),COLUMNS(Data!$Q$3:Q213)),IF($Q$1=$P$6,INDEX(prem_analysis!$BU$1:$CF$67,ROWS(prem_analysis!$N$2:N212),COLUMNS(prem_analysis!$N$2:N212)),IF($Q$1=$P$4,INDEX(Table24[[#All],[Year]:[Details]],ROWS(prem_analysis!$M$420:M630),COLUMNS(Data!$Q$3:Q213)))))),"")</f>
        <v/>
      </c>
      <c r="S212" s="1" t="str">
        <f>IFERROR(IF($Q$1=$P$3,INDEX(prem_analysis!$P$2:$Q$441,ROWS(Data!$P$2:R212),COLUMNS(Data!$P$3:Q213)),IF($Q$1=$P$5,INDEX(prem_analysis!$BH$1:$BS$23,ROWS(Data!$Q$3:R213),COLUMNS(Data!$Q$3:R213)),IF($Q$1=$P$6,INDEX(prem_analysis!$BU$1:$CF$67,ROWS(prem_analysis!$N$2:O212),COLUMNS(prem_analysis!$N$2:O212)),IF($Q$1=$P$4,INDEX(Table24[[#All],[Year]:[Details]],ROWS(prem_analysis!$M$420:N630),COLUMNS(Data!$Q$3:R213)))))),"")</f>
        <v/>
      </c>
      <c r="T212" s="1" t="str">
        <f>IFERROR(IF($Q$1=$P$3,INDEX(prem_analysis!$P$2:$Q$441,ROWS(Data!$P$2:S212),COLUMNS(Data!$P$3:R213)),IF($Q$1=$P$5,INDEX(prem_analysis!$BH$1:$BS$23,ROWS(Data!$Q$3:S213),COLUMNS(Data!$Q$3:S213)),IF($Q$1=$P$6,INDEX(prem_analysis!$BU$1:$CF$67,ROWS(prem_analysis!$N$2:P212),COLUMNS(prem_analysis!$N$2:P212)),IF($Q$1=$P$4,INDEX(Table24[[#All],[Year]:[Details]],ROWS(prem_analysis!$M$420:O630),COLUMNS(Data!$Q$3:S213)))))),"")</f>
        <v/>
      </c>
      <c r="U212" s="1" t="str">
        <f>IFERROR(IF($Q$1=$P$3,INDEX(prem_analysis!$P$2:$Q$441,ROWS(Data!$P$2:T212),COLUMNS(Data!$P$3:S213)),IF($Q$1=$P$5,INDEX(prem_analysis!$BH$1:$BS$23,ROWS(Data!$Q$3:T213),COLUMNS(Data!$Q$3:T213)),IF($Q$1=$P$6,INDEX(prem_analysis!$BU$1:$CF$67,ROWS(prem_analysis!$N$2:Q212),COLUMNS(prem_analysis!$N$2:Q212)),IF($Q$1=$P$4,INDEX(Table24[[#All],[Year]:[Details]],ROWS(prem_analysis!$M$420:P630),COLUMNS(Data!$Q$3:T213)))))),"")</f>
        <v/>
      </c>
      <c r="V212" s="1" t="str">
        <f>IFERROR(IF($Q$1=$P$3,INDEX(prem_analysis!$P$2:$Q$441,ROWS(Data!$P$2:U212),COLUMNS(Data!$P$3:T213)),IF($Q$1=$P$5,INDEX(prem_analysis!$BH$1:$BS$23,ROWS(Data!$Q$3:U213),COLUMNS(Data!$Q$3:U213)),IF($Q$1=$P$6,INDEX(prem_analysis!$BU$1:$CF$67,ROWS(prem_analysis!$N$2:R212),COLUMNS(prem_analysis!$N$2:R212)),IF($Q$1=$P$4,INDEX(Table24[[#All],[Year]:[Details]],ROWS(prem_analysis!$M$420:Q630),COLUMNS(Data!$Q$3:U213)))))),"")</f>
        <v/>
      </c>
      <c r="W212" s="1" t="str">
        <f>IFERROR(IF($Q$1=$P$3,INDEX(prem_analysis!$P$2:$Q$441,ROWS(Data!$P$2:V212),COLUMNS(Data!$P$3:U213)),IF($Q$1=$P$5,INDEX(prem_analysis!$BH$1:$BS$23,ROWS(Data!$Q$3:V213),COLUMNS(Data!$Q$3:V213)),IF($Q$1=$P$6,INDEX(prem_analysis!$BU$1:$CF$67,ROWS(prem_analysis!$N$2:S212),COLUMNS(prem_analysis!$N$2:S212)),IF($Q$1=$P$4,INDEX(Table24[[#All],[Year]:[Details]],ROWS(prem_analysis!$M$420:R630),COLUMNS(Data!$Q$3:V213)))))),"")</f>
        <v/>
      </c>
      <c r="X212" s="1" t="str">
        <f>IFERROR(IF($Q$1=$P$3,INDEX(prem_analysis!$P$2:$Q$441,ROWS(Data!$P$2:W212),COLUMNS(Data!$P$3:V213)),IF($Q$1=$P$5,INDEX(prem_analysis!$BH$1:$BS$23,ROWS(Data!$Q$3:W213),COLUMNS(Data!$Q$3:W213)),IF($Q$1=$P$6,INDEX(prem_analysis!$BU$1:$CF$67,ROWS(prem_analysis!$N$2:T212),COLUMNS(prem_analysis!$N$2:T212)),IF($Q$1=$P$4,INDEX(Table24[[#All],[Year]:[Details]],ROWS(prem_analysis!$M$420:S630),COLUMNS(Data!$Q$3:W213)))))),"")</f>
        <v/>
      </c>
      <c r="Y212" s="1" t="str">
        <f>IFERROR(IF($Q$1=$P$3,INDEX(prem_analysis!$P$2:$Q$441,ROWS(Data!$P$2:X212),COLUMNS(Data!$P$3:W213)),IF($Q$1=$P$5,INDEX(prem_analysis!$BH$1:$BS$23,ROWS(Data!$Q$3:X213),COLUMNS(Data!$Q$3:X213)),IF($Q$1=$P$6,INDEX(prem_analysis!$BU$1:$CF$67,ROWS(prem_analysis!$N$2:U212),COLUMNS(prem_analysis!$N$2:U212)),IF($Q$1=$P$4,INDEX(Table24[[#All],[Year]:[Details]],ROWS(prem_analysis!$M$420:T630),COLUMNS(Data!$Q$3:X213)))))),"")</f>
        <v/>
      </c>
      <c r="Z212" s="1" t="str">
        <f>IFERROR(IF($Q$1=$P$3,INDEX(prem_analysis!$P$2:$Q$441,ROWS(Data!$P$2:Y212),COLUMNS(Data!$P$3:X213)),IF($Q$1=$P$5,INDEX(prem_analysis!$BH$1:$BS$23,ROWS(Data!$Q$3:Y213),COLUMNS(Data!$Q$3:Y213)),IF($Q$1=$P$6,INDEX(prem_analysis!$BU$1:$CF$67,ROWS(prem_analysis!$N$2:V212),COLUMNS(prem_analysis!$N$2:V212)),IF($Q$1=$P$4,INDEX(Table24[[#All],[Year]:[Details]],ROWS(prem_analysis!$M$420:U630),COLUMNS(Data!$Q$3:Y213)))))),"")</f>
        <v/>
      </c>
      <c r="AA212" s="1" t="str">
        <f>IFERROR(IF($Q$1=$P$3,INDEX(prem_analysis!$P$2:$Q$441,ROWS(Data!$P$2:Z212),COLUMNS(Data!$P$3:Y213)),IF($Q$1=$P$5,INDEX(prem_analysis!$BH$1:$BS$23,ROWS(Data!$Q$3:Z213),COLUMNS(Data!$Q$3:Z213)),IF($Q$1=$P$6,INDEX(prem_analysis!$BU$1:$CF$67,ROWS(prem_analysis!$N$2:W212),COLUMNS(prem_analysis!$N$2:W212)),IF($Q$1=$P$4,INDEX(Table24[[#All],[Year]:[Details]],ROWS(prem_analysis!$M$420:V630),COLUMNS(Data!$Q$3:Z213)))))),"")</f>
        <v/>
      </c>
      <c r="AB212" s="1" t="str">
        <f>IFERROR(IF($Q$1=$P$3,INDEX(prem_analysis!$P$2:$Q$441,ROWS(Data!$P$2:AA212),COLUMNS(Data!$P$3:Z213)),IF($Q$1=$P$5,INDEX(prem_analysis!$BH$1:$BS$23,ROWS(Data!$Q$3:AA213),COLUMNS(Data!$Q$3:AA213)),IF($Q$1=$P$6,INDEX(prem_analysis!$BU$1:$CF$67,ROWS(prem_analysis!$N$2:X212),COLUMNS(prem_analysis!$N$2:X212)),IF($Q$1=$P$4,INDEX(Table24[[#All],[Year]:[Details]],ROWS(prem_analysis!$M$420:W630),COLUMNS(Data!$Q$3:AA213)))))),"")</f>
        <v/>
      </c>
      <c r="AC212" s="1" t="str">
        <f>IFERROR(IF($Q$1=$P$3,INDEX(prem_analysis!$P$2:$Q$441,ROWS(Data!$P$2:AB212),COLUMNS(Data!$P$3:AA213)),IF($Q$1=$P$5,INDEX(prem_analysis!$BH$1:$BS$23,ROWS(Data!$Q$3:AB213),COLUMNS(Data!$Q$3:AB213)),IF($Q$1=$P$6,INDEX(prem_analysis!$BU$1:$CF$67,ROWS(prem_analysis!$N$2:Y212),COLUMNS(prem_analysis!$N$2:Y212)),IF($Q$1=$P$4,INDEX(Table24[[#All],[Year]:[Details]],ROWS(prem_analysis!$M$420:X630),COLUMNS(Data!$Q$3:AB213)))))),"")</f>
        <v/>
      </c>
    </row>
    <row r="213" spans="1:29" x14ac:dyDescent="0.2">
      <c r="A213" s="5">
        <v>2010</v>
      </c>
      <c r="B213" s="5">
        <v>12</v>
      </c>
      <c r="C213" s="6" t="s">
        <v>21</v>
      </c>
      <c r="D213" s="5">
        <v>38</v>
      </c>
      <c r="E213" s="5">
        <v>11</v>
      </c>
      <c r="F213" s="5">
        <v>13</v>
      </c>
      <c r="G213" s="5">
        <v>14</v>
      </c>
      <c r="H213" s="5">
        <v>56</v>
      </c>
      <c r="I213" s="5">
        <v>57</v>
      </c>
      <c r="J213" s="5">
        <v>-1</v>
      </c>
      <c r="K213" s="5">
        <v>46</v>
      </c>
      <c r="L213" s="5">
        <f>IF(Table24[[#This Row],['#]]=1,"Champion", IF(Table24[[#This Row],['#]]&gt;=18,"Relegated",Table24[[#This Row],['#]]))</f>
        <v>12</v>
      </c>
      <c r="M213" s="5" t="str">
        <f>IF(Table24[[#This Row],[Details]]=2,K212-Table24[[#This Row],[Pts]],IF(Table24[[#This Row],[Details]]=17,Table24[[#This Row],[Pts]]-K214,""))</f>
        <v/>
      </c>
      <c r="R213" s="1" t="str">
        <f>IFERROR(IF($Q$1=$P$3,INDEX(prem_analysis!$P$2:$Q$441,ROWS(Data!$P$2:Q213),COLUMNS(Data!$P$3:P214)),IF($Q$1=$P$5,INDEX(prem_analysis!$BH$1:$BS$23,ROWS(Data!$Q$3:Q214),COLUMNS(Data!$Q$3:Q214)),IF($Q$1=$P$6,INDEX(prem_analysis!$BU$1:$CF$67,ROWS(prem_analysis!$N$2:N213),COLUMNS(prem_analysis!$N$2:N213)),IF($Q$1=$P$4,INDEX(Table24[[#All],[Year]:[Details]],ROWS(prem_analysis!$M$420:M631),COLUMNS(Data!$Q$3:Q214)))))),"")</f>
        <v/>
      </c>
      <c r="S213" s="1" t="str">
        <f>IFERROR(IF($Q$1=$P$3,INDEX(prem_analysis!$P$2:$Q$441,ROWS(Data!$P$2:R213),COLUMNS(Data!$P$3:Q214)),IF($Q$1=$P$5,INDEX(prem_analysis!$BH$1:$BS$23,ROWS(Data!$Q$3:R214),COLUMNS(Data!$Q$3:R214)),IF($Q$1=$P$6,INDEX(prem_analysis!$BU$1:$CF$67,ROWS(prem_analysis!$N$2:O213),COLUMNS(prem_analysis!$N$2:O213)),IF($Q$1=$P$4,INDEX(Table24[[#All],[Year]:[Details]],ROWS(prem_analysis!$M$420:N631),COLUMNS(Data!$Q$3:R214)))))),"")</f>
        <v/>
      </c>
      <c r="T213" s="1" t="str">
        <f>IFERROR(IF($Q$1=$P$3,INDEX(prem_analysis!$P$2:$Q$441,ROWS(Data!$P$2:S213),COLUMNS(Data!$P$3:R214)),IF($Q$1=$P$5,INDEX(prem_analysis!$BH$1:$BS$23,ROWS(Data!$Q$3:S214),COLUMNS(Data!$Q$3:S214)),IF($Q$1=$P$6,INDEX(prem_analysis!$BU$1:$CF$67,ROWS(prem_analysis!$N$2:P213),COLUMNS(prem_analysis!$N$2:P213)),IF($Q$1=$P$4,INDEX(Table24[[#All],[Year]:[Details]],ROWS(prem_analysis!$M$420:O631),COLUMNS(Data!$Q$3:S214)))))),"")</f>
        <v/>
      </c>
      <c r="U213" s="1" t="str">
        <f>IFERROR(IF($Q$1=$P$3,INDEX(prem_analysis!$P$2:$Q$441,ROWS(Data!$P$2:T213),COLUMNS(Data!$P$3:S214)),IF($Q$1=$P$5,INDEX(prem_analysis!$BH$1:$BS$23,ROWS(Data!$Q$3:T214),COLUMNS(Data!$Q$3:T214)),IF($Q$1=$P$6,INDEX(prem_analysis!$BU$1:$CF$67,ROWS(prem_analysis!$N$2:Q213),COLUMNS(prem_analysis!$N$2:Q213)),IF($Q$1=$P$4,INDEX(Table24[[#All],[Year]:[Details]],ROWS(prem_analysis!$M$420:P631),COLUMNS(Data!$Q$3:T214)))))),"")</f>
        <v/>
      </c>
      <c r="V213" s="1" t="str">
        <f>IFERROR(IF($Q$1=$P$3,INDEX(prem_analysis!$P$2:$Q$441,ROWS(Data!$P$2:U213),COLUMNS(Data!$P$3:T214)),IF($Q$1=$P$5,INDEX(prem_analysis!$BH$1:$BS$23,ROWS(Data!$Q$3:U214),COLUMNS(Data!$Q$3:U214)),IF($Q$1=$P$6,INDEX(prem_analysis!$BU$1:$CF$67,ROWS(prem_analysis!$N$2:R213),COLUMNS(prem_analysis!$N$2:R213)),IF($Q$1=$P$4,INDEX(Table24[[#All],[Year]:[Details]],ROWS(prem_analysis!$M$420:Q631),COLUMNS(Data!$Q$3:U214)))))),"")</f>
        <v/>
      </c>
      <c r="W213" s="1" t="str">
        <f>IFERROR(IF($Q$1=$P$3,INDEX(prem_analysis!$P$2:$Q$441,ROWS(Data!$P$2:V213),COLUMNS(Data!$P$3:U214)),IF($Q$1=$P$5,INDEX(prem_analysis!$BH$1:$BS$23,ROWS(Data!$Q$3:V214),COLUMNS(Data!$Q$3:V214)),IF($Q$1=$P$6,INDEX(prem_analysis!$BU$1:$CF$67,ROWS(prem_analysis!$N$2:S213),COLUMNS(prem_analysis!$N$2:S213)),IF($Q$1=$P$4,INDEX(Table24[[#All],[Year]:[Details]],ROWS(prem_analysis!$M$420:R631),COLUMNS(Data!$Q$3:V214)))))),"")</f>
        <v/>
      </c>
      <c r="X213" s="1" t="str">
        <f>IFERROR(IF($Q$1=$P$3,INDEX(prem_analysis!$P$2:$Q$441,ROWS(Data!$P$2:W213),COLUMNS(Data!$P$3:V214)),IF($Q$1=$P$5,INDEX(prem_analysis!$BH$1:$BS$23,ROWS(Data!$Q$3:W214),COLUMNS(Data!$Q$3:W214)),IF($Q$1=$P$6,INDEX(prem_analysis!$BU$1:$CF$67,ROWS(prem_analysis!$N$2:T213),COLUMNS(prem_analysis!$N$2:T213)),IF($Q$1=$P$4,INDEX(Table24[[#All],[Year]:[Details]],ROWS(prem_analysis!$M$420:S631),COLUMNS(Data!$Q$3:W214)))))),"")</f>
        <v/>
      </c>
      <c r="Y213" s="1" t="str">
        <f>IFERROR(IF($Q$1=$P$3,INDEX(prem_analysis!$P$2:$Q$441,ROWS(Data!$P$2:X213),COLUMNS(Data!$P$3:W214)),IF($Q$1=$P$5,INDEX(prem_analysis!$BH$1:$BS$23,ROWS(Data!$Q$3:X214),COLUMNS(Data!$Q$3:X214)),IF($Q$1=$P$6,INDEX(prem_analysis!$BU$1:$CF$67,ROWS(prem_analysis!$N$2:U213),COLUMNS(prem_analysis!$N$2:U213)),IF($Q$1=$P$4,INDEX(Table24[[#All],[Year]:[Details]],ROWS(prem_analysis!$M$420:T631),COLUMNS(Data!$Q$3:X214)))))),"")</f>
        <v/>
      </c>
      <c r="Z213" s="1" t="str">
        <f>IFERROR(IF($Q$1=$P$3,INDEX(prem_analysis!$P$2:$Q$441,ROWS(Data!$P$2:Y213),COLUMNS(Data!$P$3:X214)),IF($Q$1=$P$5,INDEX(prem_analysis!$BH$1:$BS$23,ROWS(Data!$Q$3:Y214),COLUMNS(Data!$Q$3:Y214)),IF($Q$1=$P$6,INDEX(prem_analysis!$BU$1:$CF$67,ROWS(prem_analysis!$N$2:V213),COLUMNS(prem_analysis!$N$2:V213)),IF($Q$1=$P$4,INDEX(Table24[[#All],[Year]:[Details]],ROWS(prem_analysis!$M$420:U631),COLUMNS(Data!$Q$3:Y214)))))),"")</f>
        <v/>
      </c>
      <c r="AA213" s="1" t="str">
        <f>IFERROR(IF($Q$1=$P$3,INDEX(prem_analysis!$P$2:$Q$441,ROWS(Data!$P$2:Z213),COLUMNS(Data!$P$3:Y214)),IF($Q$1=$P$5,INDEX(prem_analysis!$BH$1:$BS$23,ROWS(Data!$Q$3:Z214),COLUMNS(Data!$Q$3:Z214)),IF($Q$1=$P$6,INDEX(prem_analysis!$BU$1:$CF$67,ROWS(prem_analysis!$N$2:W213),COLUMNS(prem_analysis!$N$2:W213)),IF($Q$1=$P$4,INDEX(Table24[[#All],[Year]:[Details]],ROWS(prem_analysis!$M$420:V631),COLUMNS(Data!$Q$3:Z214)))))),"")</f>
        <v/>
      </c>
      <c r="AB213" s="1" t="str">
        <f>IFERROR(IF($Q$1=$P$3,INDEX(prem_analysis!$P$2:$Q$441,ROWS(Data!$P$2:AA213),COLUMNS(Data!$P$3:Z214)),IF($Q$1=$P$5,INDEX(prem_analysis!$BH$1:$BS$23,ROWS(Data!$Q$3:AA214),COLUMNS(Data!$Q$3:AA214)),IF($Q$1=$P$6,INDEX(prem_analysis!$BU$1:$CF$67,ROWS(prem_analysis!$N$2:X213),COLUMNS(prem_analysis!$N$2:X213)),IF($Q$1=$P$4,INDEX(Table24[[#All],[Year]:[Details]],ROWS(prem_analysis!$M$420:W631),COLUMNS(Data!$Q$3:AA214)))))),"")</f>
        <v/>
      </c>
      <c r="AC213" s="1" t="str">
        <f>IFERROR(IF($Q$1=$P$3,INDEX(prem_analysis!$P$2:$Q$441,ROWS(Data!$P$2:AB213),COLUMNS(Data!$P$3:AA214)),IF($Q$1=$P$5,INDEX(prem_analysis!$BH$1:$BS$23,ROWS(Data!$Q$3:AB214),COLUMNS(Data!$Q$3:AB214)),IF($Q$1=$P$6,INDEX(prem_analysis!$BU$1:$CF$67,ROWS(prem_analysis!$N$2:Y213),COLUMNS(prem_analysis!$N$2:Y213)),IF($Q$1=$P$4,INDEX(Table24[[#All],[Year]:[Details]],ROWS(prem_analysis!$M$420:X631),COLUMNS(Data!$Q$3:AB214)))))),"")</f>
        <v/>
      </c>
    </row>
    <row r="214" spans="1:29" x14ac:dyDescent="0.2">
      <c r="A214" s="3">
        <v>2010</v>
      </c>
      <c r="B214" s="3">
        <v>13</v>
      </c>
      <c r="C214" s="4" t="s">
        <v>44</v>
      </c>
      <c r="D214" s="3">
        <v>38</v>
      </c>
      <c r="E214" s="3">
        <v>13</v>
      </c>
      <c r="F214" s="3">
        <v>7</v>
      </c>
      <c r="G214" s="3">
        <v>18</v>
      </c>
      <c r="H214" s="3">
        <v>46</v>
      </c>
      <c r="I214" s="3">
        <v>48</v>
      </c>
      <c r="J214" s="3">
        <v>-2</v>
      </c>
      <c r="K214" s="3">
        <v>46</v>
      </c>
      <c r="L214" s="5">
        <f>IF(Table24[[#This Row],['#]]=1,"Champion", IF(Table24[[#This Row],['#]]&gt;=18,"Relegated",Table24[[#This Row],['#]]))</f>
        <v>13</v>
      </c>
      <c r="M214" s="5" t="str">
        <f>IF(Table24[[#This Row],[Details]]=2,K213-Table24[[#This Row],[Pts]],IF(Table24[[#This Row],[Details]]=17,Table24[[#This Row],[Pts]]-K215,""))</f>
        <v/>
      </c>
      <c r="R214" s="1" t="str">
        <f>IFERROR(IF($Q$1=$P$3,INDEX(prem_analysis!$P$2:$Q$441,ROWS(Data!$P$2:Q214),COLUMNS(Data!$P$3:P215)),IF($Q$1=$P$5,INDEX(prem_analysis!$BH$1:$BS$23,ROWS(Data!$Q$3:Q215),COLUMNS(Data!$Q$3:Q215)),IF($Q$1=$P$6,INDEX(prem_analysis!$BU$1:$CF$67,ROWS(prem_analysis!$N$2:N214),COLUMNS(prem_analysis!$N$2:N214)),IF($Q$1=$P$4,INDEX(Table24[[#All],[Year]:[Details]],ROWS(prem_analysis!$M$420:M632),COLUMNS(Data!$Q$3:Q215)))))),"")</f>
        <v/>
      </c>
      <c r="S214" s="1" t="str">
        <f>IFERROR(IF($Q$1=$P$3,INDEX(prem_analysis!$P$2:$Q$441,ROWS(Data!$P$2:R214),COLUMNS(Data!$P$3:Q215)),IF($Q$1=$P$5,INDEX(prem_analysis!$BH$1:$BS$23,ROWS(Data!$Q$3:R215),COLUMNS(Data!$Q$3:R215)),IF($Q$1=$P$6,INDEX(prem_analysis!$BU$1:$CF$67,ROWS(prem_analysis!$N$2:O214),COLUMNS(prem_analysis!$N$2:O214)),IF($Q$1=$P$4,INDEX(Table24[[#All],[Year]:[Details]],ROWS(prem_analysis!$M$420:N632),COLUMNS(Data!$Q$3:R215)))))),"")</f>
        <v/>
      </c>
      <c r="T214" s="1" t="str">
        <f>IFERROR(IF($Q$1=$P$3,INDEX(prem_analysis!$P$2:$Q$441,ROWS(Data!$P$2:S214),COLUMNS(Data!$P$3:R215)),IF($Q$1=$P$5,INDEX(prem_analysis!$BH$1:$BS$23,ROWS(Data!$Q$3:S215),COLUMNS(Data!$Q$3:S215)),IF($Q$1=$P$6,INDEX(prem_analysis!$BU$1:$CF$67,ROWS(prem_analysis!$N$2:P214),COLUMNS(prem_analysis!$N$2:P214)),IF($Q$1=$P$4,INDEX(Table24[[#All],[Year]:[Details]],ROWS(prem_analysis!$M$420:O632),COLUMNS(Data!$Q$3:S215)))))),"")</f>
        <v/>
      </c>
      <c r="U214" s="1" t="str">
        <f>IFERROR(IF($Q$1=$P$3,INDEX(prem_analysis!$P$2:$Q$441,ROWS(Data!$P$2:T214),COLUMNS(Data!$P$3:S215)),IF($Q$1=$P$5,INDEX(prem_analysis!$BH$1:$BS$23,ROWS(Data!$Q$3:T215),COLUMNS(Data!$Q$3:T215)),IF($Q$1=$P$6,INDEX(prem_analysis!$BU$1:$CF$67,ROWS(prem_analysis!$N$2:Q214),COLUMNS(prem_analysis!$N$2:Q214)),IF($Q$1=$P$4,INDEX(Table24[[#All],[Year]:[Details]],ROWS(prem_analysis!$M$420:P632),COLUMNS(Data!$Q$3:T215)))))),"")</f>
        <v/>
      </c>
      <c r="V214" s="1" t="str">
        <f>IFERROR(IF($Q$1=$P$3,INDEX(prem_analysis!$P$2:$Q$441,ROWS(Data!$P$2:U214),COLUMNS(Data!$P$3:T215)),IF($Q$1=$P$5,INDEX(prem_analysis!$BH$1:$BS$23,ROWS(Data!$Q$3:U215),COLUMNS(Data!$Q$3:U215)),IF($Q$1=$P$6,INDEX(prem_analysis!$BU$1:$CF$67,ROWS(prem_analysis!$N$2:R214),COLUMNS(prem_analysis!$N$2:R214)),IF($Q$1=$P$4,INDEX(Table24[[#All],[Year]:[Details]],ROWS(prem_analysis!$M$420:Q632),COLUMNS(Data!$Q$3:U215)))))),"")</f>
        <v/>
      </c>
      <c r="W214" s="1" t="str">
        <f>IFERROR(IF($Q$1=$P$3,INDEX(prem_analysis!$P$2:$Q$441,ROWS(Data!$P$2:V214),COLUMNS(Data!$P$3:U215)),IF($Q$1=$P$5,INDEX(prem_analysis!$BH$1:$BS$23,ROWS(Data!$Q$3:V215),COLUMNS(Data!$Q$3:V215)),IF($Q$1=$P$6,INDEX(prem_analysis!$BU$1:$CF$67,ROWS(prem_analysis!$N$2:S214),COLUMNS(prem_analysis!$N$2:S214)),IF($Q$1=$P$4,INDEX(Table24[[#All],[Year]:[Details]],ROWS(prem_analysis!$M$420:R632),COLUMNS(Data!$Q$3:V215)))))),"")</f>
        <v/>
      </c>
      <c r="X214" s="1" t="str">
        <f>IFERROR(IF($Q$1=$P$3,INDEX(prem_analysis!$P$2:$Q$441,ROWS(Data!$P$2:W214),COLUMNS(Data!$P$3:V215)),IF($Q$1=$P$5,INDEX(prem_analysis!$BH$1:$BS$23,ROWS(Data!$Q$3:W215),COLUMNS(Data!$Q$3:W215)),IF($Q$1=$P$6,INDEX(prem_analysis!$BU$1:$CF$67,ROWS(prem_analysis!$N$2:T214),COLUMNS(prem_analysis!$N$2:T214)),IF($Q$1=$P$4,INDEX(Table24[[#All],[Year]:[Details]],ROWS(prem_analysis!$M$420:S632),COLUMNS(Data!$Q$3:W215)))))),"")</f>
        <v/>
      </c>
      <c r="Y214" s="1" t="str">
        <f>IFERROR(IF($Q$1=$P$3,INDEX(prem_analysis!$P$2:$Q$441,ROWS(Data!$P$2:X214),COLUMNS(Data!$P$3:W215)),IF($Q$1=$P$5,INDEX(prem_analysis!$BH$1:$BS$23,ROWS(Data!$Q$3:X215),COLUMNS(Data!$Q$3:X215)),IF($Q$1=$P$6,INDEX(prem_analysis!$BU$1:$CF$67,ROWS(prem_analysis!$N$2:U214),COLUMNS(prem_analysis!$N$2:U214)),IF($Q$1=$P$4,INDEX(Table24[[#All],[Year]:[Details]],ROWS(prem_analysis!$M$420:T632),COLUMNS(Data!$Q$3:X215)))))),"")</f>
        <v/>
      </c>
      <c r="Z214" s="1" t="str">
        <f>IFERROR(IF($Q$1=$P$3,INDEX(prem_analysis!$P$2:$Q$441,ROWS(Data!$P$2:Y214),COLUMNS(Data!$P$3:X215)),IF($Q$1=$P$5,INDEX(prem_analysis!$BH$1:$BS$23,ROWS(Data!$Q$3:Y215),COLUMNS(Data!$Q$3:Y215)),IF($Q$1=$P$6,INDEX(prem_analysis!$BU$1:$CF$67,ROWS(prem_analysis!$N$2:V214),COLUMNS(prem_analysis!$N$2:V214)),IF($Q$1=$P$4,INDEX(Table24[[#All],[Year]:[Details]],ROWS(prem_analysis!$M$420:U632),COLUMNS(Data!$Q$3:Y215)))))),"")</f>
        <v/>
      </c>
      <c r="AA214" s="1" t="str">
        <f>IFERROR(IF($Q$1=$P$3,INDEX(prem_analysis!$P$2:$Q$441,ROWS(Data!$P$2:Z214),COLUMNS(Data!$P$3:Y215)),IF($Q$1=$P$5,INDEX(prem_analysis!$BH$1:$BS$23,ROWS(Data!$Q$3:Z215),COLUMNS(Data!$Q$3:Z215)),IF($Q$1=$P$6,INDEX(prem_analysis!$BU$1:$CF$67,ROWS(prem_analysis!$N$2:W214),COLUMNS(prem_analysis!$N$2:W214)),IF($Q$1=$P$4,INDEX(Table24[[#All],[Year]:[Details]],ROWS(prem_analysis!$M$420:V632),COLUMNS(Data!$Q$3:Z215)))))),"")</f>
        <v/>
      </c>
      <c r="AB214" s="1" t="str">
        <f>IFERROR(IF($Q$1=$P$3,INDEX(prem_analysis!$P$2:$Q$441,ROWS(Data!$P$2:AA214),COLUMNS(Data!$P$3:Z215)),IF($Q$1=$P$5,INDEX(prem_analysis!$BH$1:$BS$23,ROWS(Data!$Q$3:AA215),COLUMNS(Data!$Q$3:AA215)),IF($Q$1=$P$6,INDEX(prem_analysis!$BU$1:$CF$67,ROWS(prem_analysis!$N$2:X214),COLUMNS(prem_analysis!$N$2:X214)),IF($Q$1=$P$4,INDEX(Table24[[#All],[Year]:[Details]],ROWS(prem_analysis!$M$420:W632),COLUMNS(Data!$Q$3:AA215)))))),"")</f>
        <v/>
      </c>
      <c r="AC214" s="1" t="str">
        <f>IFERROR(IF($Q$1=$P$3,INDEX(prem_analysis!$P$2:$Q$441,ROWS(Data!$P$2:AB214),COLUMNS(Data!$P$3:AA215)),IF($Q$1=$P$5,INDEX(prem_analysis!$BH$1:$BS$23,ROWS(Data!$Q$3:AB215),COLUMNS(Data!$Q$3:AB215)),IF($Q$1=$P$6,INDEX(prem_analysis!$BU$1:$CF$67,ROWS(prem_analysis!$N$2:Y214),COLUMNS(prem_analysis!$N$2:Y214)),IF($Q$1=$P$4,INDEX(Table24[[#All],[Year]:[Details]],ROWS(prem_analysis!$M$420:X632),COLUMNS(Data!$Q$3:AB215)))))),"")</f>
        <v/>
      </c>
    </row>
    <row r="215" spans="1:29" x14ac:dyDescent="0.2">
      <c r="A215" s="5">
        <v>2010</v>
      </c>
      <c r="B215" s="5">
        <v>14</v>
      </c>
      <c r="C215" s="6" t="s">
        <v>33</v>
      </c>
      <c r="D215" s="5">
        <v>38</v>
      </c>
      <c r="E215" s="5">
        <v>12</v>
      </c>
      <c r="F215" s="5">
        <v>10</v>
      </c>
      <c r="G215" s="5">
        <v>16</v>
      </c>
      <c r="H215" s="5">
        <v>52</v>
      </c>
      <c r="I215" s="5">
        <v>56</v>
      </c>
      <c r="J215" s="5">
        <v>-4</v>
      </c>
      <c r="K215" s="5">
        <v>46</v>
      </c>
      <c r="L215" s="5">
        <f>IF(Table24[[#This Row],['#]]=1,"Champion", IF(Table24[[#This Row],['#]]&gt;=18,"Relegated",Table24[[#This Row],['#]]))</f>
        <v>14</v>
      </c>
      <c r="M215" s="5" t="str">
        <f>IF(Table24[[#This Row],[Details]]=2,K214-Table24[[#This Row],[Pts]],IF(Table24[[#This Row],[Details]]=17,Table24[[#This Row],[Pts]]-K216,""))</f>
        <v/>
      </c>
      <c r="R215" s="1" t="str">
        <f>IFERROR(IF($Q$1=$P$3,INDEX(prem_analysis!$P$2:$Q$441,ROWS(Data!$P$2:Q215),COLUMNS(Data!$P$3:P216)),IF($Q$1=$P$5,INDEX(prem_analysis!$BH$1:$BS$23,ROWS(Data!$Q$3:Q216),COLUMNS(Data!$Q$3:Q216)),IF($Q$1=$P$6,INDEX(prem_analysis!$BU$1:$CF$67,ROWS(prem_analysis!$N$2:N215),COLUMNS(prem_analysis!$N$2:N215)),IF($Q$1=$P$4,INDEX(Table24[[#All],[Year]:[Details]],ROWS(prem_analysis!$M$420:M633),COLUMNS(Data!$Q$3:Q216)))))),"")</f>
        <v/>
      </c>
      <c r="S215" s="1" t="str">
        <f>IFERROR(IF($Q$1=$P$3,INDEX(prem_analysis!$P$2:$Q$441,ROWS(Data!$P$2:R215),COLUMNS(Data!$P$3:Q216)),IF($Q$1=$P$5,INDEX(prem_analysis!$BH$1:$BS$23,ROWS(Data!$Q$3:R216),COLUMNS(Data!$Q$3:R216)),IF($Q$1=$P$6,INDEX(prem_analysis!$BU$1:$CF$67,ROWS(prem_analysis!$N$2:O215),COLUMNS(prem_analysis!$N$2:O215)),IF($Q$1=$P$4,INDEX(Table24[[#All],[Year]:[Details]],ROWS(prem_analysis!$M$420:N633),COLUMNS(Data!$Q$3:R216)))))),"")</f>
        <v/>
      </c>
      <c r="T215" s="1" t="str">
        <f>IFERROR(IF($Q$1=$P$3,INDEX(prem_analysis!$P$2:$Q$441,ROWS(Data!$P$2:S215),COLUMNS(Data!$P$3:R216)),IF($Q$1=$P$5,INDEX(prem_analysis!$BH$1:$BS$23,ROWS(Data!$Q$3:S216),COLUMNS(Data!$Q$3:S216)),IF($Q$1=$P$6,INDEX(prem_analysis!$BU$1:$CF$67,ROWS(prem_analysis!$N$2:P215),COLUMNS(prem_analysis!$N$2:P215)),IF($Q$1=$P$4,INDEX(Table24[[#All],[Year]:[Details]],ROWS(prem_analysis!$M$420:O633),COLUMNS(Data!$Q$3:S216)))))),"")</f>
        <v/>
      </c>
      <c r="U215" s="1" t="str">
        <f>IFERROR(IF($Q$1=$P$3,INDEX(prem_analysis!$P$2:$Q$441,ROWS(Data!$P$2:T215),COLUMNS(Data!$P$3:S216)),IF($Q$1=$P$5,INDEX(prem_analysis!$BH$1:$BS$23,ROWS(Data!$Q$3:T216),COLUMNS(Data!$Q$3:T216)),IF($Q$1=$P$6,INDEX(prem_analysis!$BU$1:$CF$67,ROWS(prem_analysis!$N$2:Q215),COLUMNS(prem_analysis!$N$2:Q215)),IF($Q$1=$P$4,INDEX(Table24[[#All],[Year]:[Details]],ROWS(prem_analysis!$M$420:P633),COLUMNS(Data!$Q$3:T216)))))),"")</f>
        <v/>
      </c>
      <c r="V215" s="1" t="str">
        <f>IFERROR(IF($Q$1=$P$3,INDEX(prem_analysis!$P$2:$Q$441,ROWS(Data!$P$2:U215),COLUMNS(Data!$P$3:T216)),IF($Q$1=$P$5,INDEX(prem_analysis!$BH$1:$BS$23,ROWS(Data!$Q$3:U216),COLUMNS(Data!$Q$3:U216)),IF($Q$1=$P$6,INDEX(prem_analysis!$BU$1:$CF$67,ROWS(prem_analysis!$N$2:R215),COLUMNS(prem_analysis!$N$2:R215)),IF($Q$1=$P$4,INDEX(Table24[[#All],[Year]:[Details]],ROWS(prem_analysis!$M$420:Q633),COLUMNS(Data!$Q$3:U216)))))),"")</f>
        <v/>
      </c>
      <c r="W215" s="1" t="str">
        <f>IFERROR(IF($Q$1=$P$3,INDEX(prem_analysis!$P$2:$Q$441,ROWS(Data!$P$2:V215),COLUMNS(Data!$P$3:U216)),IF($Q$1=$P$5,INDEX(prem_analysis!$BH$1:$BS$23,ROWS(Data!$Q$3:V216),COLUMNS(Data!$Q$3:V216)),IF($Q$1=$P$6,INDEX(prem_analysis!$BU$1:$CF$67,ROWS(prem_analysis!$N$2:S215),COLUMNS(prem_analysis!$N$2:S215)),IF($Q$1=$P$4,INDEX(Table24[[#All],[Year]:[Details]],ROWS(prem_analysis!$M$420:R633),COLUMNS(Data!$Q$3:V216)))))),"")</f>
        <v/>
      </c>
      <c r="X215" s="1" t="str">
        <f>IFERROR(IF($Q$1=$P$3,INDEX(prem_analysis!$P$2:$Q$441,ROWS(Data!$P$2:W215),COLUMNS(Data!$P$3:V216)),IF($Q$1=$P$5,INDEX(prem_analysis!$BH$1:$BS$23,ROWS(Data!$Q$3:W216),COLUMNS(Data!$Q$3:W216)),IF($Q$1=$P$6,INDEX(prem_analysis!$BU$1:$CF$67,ROWS(prem_analysis!$N$2:T215),COLUMNS(prem_analysis!$N$2:T215)),IF($Q$1=$P$4,INDEX(Table24[[#All],[Year]:[Details]],ROWS(prem_analysis!$M$420:S633),COLUMNS(Data!$Q$3:W216)))))),"")</f>
        <v/>
      </c>
      <c r="Y215" s="1" t="str">
        <f>IFERROR(IF($Q$1=$P$3,INDEX(prem_analysis!$P$2:$Q$441,ROWS(Data!$P$2:X215),COLUMNS(Data!$P$3:W216)),IF($Q$1=$P$5,INDEX(prem_analysis!$BH$1:$BS$23,ROWS(Data!$Q$3:X216),COLUMNS(Data!$Q$3:X216)),IF($Q$1=$P$6,INDEX(prem_analysis!$BU$1:$CF$67,ROWS(prem_analysis!$N$2:U215),COLUMNS(prem_analysis!$N$2:U215)),IF($Q$1=$P$4,INDEX(Table24[[#All],[Year]:[Details]],ROWS(prem_analysis!$M$420:T633),COLUMNS(Data!$Q$3:X216)))))),"")</f>
        <v/>
      </c>
      <c r="Z215" s="1" t="str">
        <f>IFERROR(IF($Q$1=$P$3,INDEX(prem_analysis!$P$2:$Q$441,ROWS(Data!$P$2:Y215),COLUMNS(Data!$P$3:X216)),IF($Q$1=$P$5,INDEX(prem_analysis!$BH$1:$BS$23,ROWS(Data!$Q$3:Y216),COLUMNS(Data!$Q$3:Y216)),IF($Q$1=$P$6,INDEX(prem_analysis!$BU$1:$CF$67,ROWS(prem_analysis!$N$2:V215),COLUMNS(prem_analysis!$N$2:V215)),IF($Q$1=$P$4,INDEX(Table24[[#All],[Year]:[Details]],ROWS(prem_analysis!$M$420:U633),COLUMNS(Data!$Q$3:Y216)))))),"")</f>
        <v/>
      </c>
      <c r="AA215" s="1" t="str">
        <f>IFERROR(IF($Q$1=$P$3,INDEX(prem_analysis!$P$2:$Q$441,ROWS(Data!$P$2:Z215),COLUMNS(Data!$P$3:Y216)),IF($Q$1=$P$5,INDEX(prem_analysis!$BH$1:$BS$23,ROWS(Data!$Q$3:Z216),COLUMNS(Data!$Q$3:Z216)),IF($Q$1=$P$6,INDEX(prem_analysis!$BU$1:$CF$67,ROWS(prem_analysis!$N$2:W215),COLUMNS(prem_analysis!$N$2:W215)),IF($Q$1=$P$4,INDEX(Table24[[#All],[Year]:[Details]],ROWS(prem_analysis!$M$420:V633),COLUMNS(Data!$Q$3:Z216)))))),"")</f>
        <v/>
      </c>
      <c r="AB215" s="1" t="str">
        <f>IFERROR(IF($Q$1=$P$3,INDEX(prem_analysis!$P$2:$Q$441,ROWS(Data!$P$2:AA215),COLUMNS(Data!$P$3:Z216)),IF($Q$1=$P$5,INDEX(prem_analysis!$BH$1:$BS$23,ROWS(Data!$Q$3:AA216),COLUMNS(Data!$Q$3:AA216)),IF($Q$1=$P$6,INDEX(prem_analysis!$BU$1:$CF$67,ROWS(prem_analysis!$N$2:X215),COLUMNS(prem_analysis!$N$2:X215)),IF($Q$1=$P$4,INDEX(Table24[[#All],[Year]:[Details]],ROWS(prem_analysis!$M$420:W633),COLUMNS(Data!$Q$3:AA216)))))),"")</f>
        <v/>
      </c>
      <c r="AC215" s="1" t="str">
        <f>IFERROR(IF($Q$1=$P$3,INDEX(prem_analysis!$P$2:$Q$441,ROWS(Data!$P$2:AB215),COLUMNS(Data!$P$3:AA216)),IF($Q$1=$P$5,INDEX(prem_analysis!$BH$1:$BS$23,ROWS(Data!$Q$3:AB216),COLUMNS(Data!$Q$3:AB216)),IF($Q$1=$P$6,INDEX(prem_analysis!$BU$1:$CF$67,ROWS(prem_analysis!$N$2:Y215),COLUMNS(prem_analysis!$N$2:Y215)),IF($Q$1=$P$4,INDEX(Table24[[#All],[Year]:[Details]],ROWS(prem_analysis!$M$420:X633),COLUMNS(Data!$Q$3:AB216)))))),"")</f>
        <v/>
      </c>
    </row>
    <row r="216" spans="1:29" x14ac:dyDescent="0.2">
      <c r="A216" s="3">
        <v>2010</v>
      </c>
      <c r="B216" s="3">
        <v>15</v>
      </c>
      <c r="C216" s="4" t="s">
        <v>31</v>
      </c>
      <c r="D216" s="3">
        <v>38</v>
      </c>
      <c r="E216" s="3">
        <v>11</v>
      </c>
      <c r="F216" s="3">
        <v>10</v>
      </c>
      <c r="G216" s="3">
        <v>17</v>
      </c>
      <c r="H216" s="3">
        <v>46</v>
      </c>
      <c r="I216" s="3">
        <v>59</v>
      </c>
      <c r="J216" s="3">
        <v>-13</v>
      </c>
      <c r="K216" s="3">
        <v>43</v>
      </c>
      <c r="L216" s="5">
        <f>IF(Table24[[#This Row],['#]]=1,"Champion", IF(Table24[[#This Row],['#]]&gt;=18,"Relegated",Table24[[#This Row],['#]]))</f>
        <v>15</v>
      </c>
      <c r="M216" s="5" t="str">
        <f>IF(Table24[[#This Row],[Details]]=2,K215-Table24[[#This Row],[Pts]],IF(Table24[[#This Row],[Details]]=17,Table24[[#This Row],[Pts]]-K217,""))</f>
        <v/>
      </c>
      <c r="R216" s="1" t="str">
        <f>IFERROR(IF($Q$1=$P$3,INDEX(prem_analysis!$P$2:$Q$441,ROWS(Data!$P$2:Q216),COLUMNS(Data!$P$3:P217)),IF($Q$1=$P$5,INDEX(prem_analysis!$BH$1:$BS$23,ROWS(Data!$Q$3:Q217),COLUMNS(Data!$Q$3:Q217)),IF($Q$1=$P$6,INDEX(prem_analysis!$BU$1:$CF$67,ROWS(prem_analysis!$N$2:N216),COLUMNS(prem_analysis!$N$2:N216)),IF($Q$1=$P$4,INDEX(Table24[[#All],[Year]:[Details]],ROWS(prem_analysis!$M$420:M634),COLUMNS(Data!$Q$3:Q217)))))),"")</f>
        <v/>
      </c>
      <c r="S216" s="1" t="str">
        <f>IFERROR(IF($Q$1=$P$3,INDEX(prem_analysis!$P$2:$Q$441,ROWS(Data!$P$2:R216),COLUMNS(Data!$P$3:Q217)),IF($Q$1=$P$5,INDEX(prem_analysis!$BH$1:$BS$23,ROWS(Data!$Q$3:R217),COLUMNS(Data!$Q$3:R217)),IF($Q$1=$P$6,INDEX(prem_analysis!$BU$1:$CF$67,ROWS(prem_analysis!$N$2:O216),COLUMNS(prem_analysis!$N$2:O216)),IF($Q$1=$P$4,INDEX(Table24[[#All],[Year]:[Details]],ROWS(prem_analysis!$M$420:N634),COLUMNS(Data!$Q$3:R217)))))),"")</f>
        <v/>
      </c>
      <c r="T216" s="1" t="str">
        <f>IFERROR(IF($Q$1=$P$3,INDEX(prem_analysis!$P$2:$Q$441,ROWS(Data!$P$2:S216),COLUMNS(Data!$P$3:R217)),IF($Q$1=$P$5,INDEX(prem_analysis!$BH$1:$BS$23,ROWS(Data!$Q$3:S217),COLUMNS(Data!$Q$3:S217)),IF($Q$1=$P$6,INDEX(prem_analysis!$BU$1:$CF$67,ROWS(prem_analysis!$N$2:P216),COLUMNS(prem_analysis!$N$2:P216)),IF($Q$1=$P$4,INDEX(Table24[[#All],[Year]:[Details]],ROWS(prem_analysis!$M$420:O634),COLUMNS(Data!$Q$3:S217)))))),"")</f>
        <v/>
      </c>
      <c r="U216" s="1" t="str">
        <f>IFERROR(IF($Q$1=$P$3,INDEX(prem_analysis!$P$2:$Q$441,ROWS(Data!$P$2:T216),COLUMNS(Data!$P$3:S217)),IF($Q$1=$P$5,INDEX(prem_analysis!$BH$1:$BS$23,ROWS(Data!$Q$3:T217),COLUMNS(Data!$Q$3:T217)),IF($Q$1=$P$6,INDEX(prem_analysis!$BU$1:$CF$67,ROWS(prem_analysis!$N$2:Q216),COLUMNS(prem_analysis!$N$2:Q216)),IF($Q$1=$P$4,INDEX(Table24[[#All],[Year]:[Details]],ROWS(prem_analysis!$M$420:P634),COLUMNS(Data!$Q$3:T217)))))),"")</f>
        <v/>
      </c>
      <c r="V216" s="1" t="str">
        <f>IFERROR(IF($Q$1=$P$3,INDEX(prem_analysis!$P$2:$Q$441,ROWS(Data!$P$2:U216),COLUMNS(Data!$P$3:T217)),IF($Q$1=$P$5,INDEX(prem_analysis!$BH$1:$BS$23,ROWS(Data!$Q$3:U217),COLUMNS(Data!$Q$3:U217)),IF($Q$1=$P$6,INDEX(prem_analysis!$BU$1:$CF$67,ROWS(prem_analysis!$N$2:R216),COLUMNS(prem_analysis!$N$2:R216)),IF($Q$1=$P$4,INDEX(Table24[[#All],[Year]:[Details]],ROWS(prem_analysis!$M$420:Q634),COLUMNS(Data!$Q$3:U217)))))),"")</f>
        <v/>
      </c>
      <c r="W216" s="1" t="str">
        <f>IFERROR(IF($Q$1=$P$3,INDEX(prem_analysis!$P$2:$Q$441,ROWS(Data!$P$2:V216),COLUMNS(Data!$P$3:U217)),IF($Q$1=$P$5,INDEX(prem_analysis!$BH$1:$BS$23,ROWS(Data!$Q$3:V217),COLUMNS(Data!$Q$3:V217)),IF($Q$1=$P$6,INDEX(prem_analysis!$BU$1:$CF$67,ROWS(prem_analysis!$N$2:S216),COLUMNS(prem_analysis!$N$2:S216)),IF($Q$1=$P$4,INDEX(Table24[[#All],[Year]:[Details]],ROWS(prem_analysis!$M$420:R634),COLUMNS(Data!$Q$3:V217)))))),"")</f>
        <v/>
      </c>
      <c r="X216" s="1" t="str">
        <f>IFERROR(IF($Q$1=$P$3,INDEX(prem_analysis!$P$2:$Q$441,ROWS(Data!$P$2:W216),COLUMNS(Data!$P$3:V217)),IF($Q$1=$P$5,INDEX(prem_analysis!$BH$1:$BS$23,ROWS(Data!$Q$3:W217),COLUMNS(Data!$Q$3:W217)),IF($Q$1=$P$6,INDEX(prem_analysis!$BU$1:$CF$67,ROWS(prem_analysis!$N$2:T216),COLUMNS(prem_analysis!$N$2:T216)),IF($Q$1=$P$4,INDEX(Table24[[#All],[Year]:[Details]],ROWS(prem_analysis!$M$420:S634),COLUMNS(Data!$Q$3:W217)))))),"")</f>
        <v/>
      </c>
      <c r="Y216" s="1" t="str">
        <f>IFERROR(IF($Q$1=$P$3,INDEX(prem_analysis!$P$2:$Q$441,ROWS(Data!$P$2:X216),COLUMNS(Data!$P$3:W217)),IF($Q$1=$P$5,INDEX(prem_analysis!$BH$1:$BS$23,ROWS(Data!$Q$3:X217),COLUMNS(Data!$Q$3:X217)),IF($Q$1=$P$6,INDEX(prem_analysis!$BU$1:$CF$67,ROWS(prem_analysis!$N$2:U216),COLUMNS(prem_analysis!$N$2:U216)),IF($Q$1=$P$4,INDEX(Table24[[#All],[Year]:[Details]],ROWS(prem_analysis!$M$420:T634),COLUMNS(Data!$Q$3:X217)))))),"")</f>
        <v/>
      </c>
      <c r="Z216" s="1" t="str">
        <f>IFERROR(IF($Q$1=$P$3,INDEX(prem_analysis!$P$2:$Q$441,ROWS(Data!$P$2:Y216),COLUMNS(Data!$P$3:X217)),IF($Q$1=$P$5,INDEX(prem_analysis!$BH$1:$BS$23,ROWS(Data!$Q$3:Y217),COLUMNS(Data!$Q$3:Y217)),IF($Q$1=$P$6,INDEX(prem_analysis!$BU$1:$CF$67,ROWS(prem_analysis!$N$2:V216),COLUMNS(prem_analysis!$N$2:V216)),IF($Q$1=$P$4,INDEX(Table24[[#All],[Year]:[Details]],ROWS(prem_analysis!$M$420:U634),COLUMNS(Data!$Q$3:Y217)))))),"")</f>
        <v/>
      </c>
      <c r="AA216" s="1" t="str">
        <f>IFERROR(IF($Q$1=$P$3,INDEX(prem_analysis!$P$2:$Q$441,ROWS(Data!$P$2:Z216),COLUMNS(Data!$P$3:Y217)),IF($Q$1=$P$5,INDEX(prem_analysis!$BH$1:$BS$23,ROWS(Data!$Q$3:Z217),COLUMNS(Data!$Q$3:Z217)),IF($Q$1=$P$6,INDEX(prem_analysis!$BU$1:$CF$67,ROWS(prem_analysis!$N$2:W216),COLUMNS(prem_analysis!$N$2:W216)),IF($Q$1=$P$4,INDEX(Table24[[#All],[Year]:[Details]],ROWS(prem_analysis!$M$420:V634),COLUMNS(Data!$Q$3:Z217)))))),"")</f>
        <v/>
      </c>
      <c r="AB216" s="1" t="str">
        <f>IFERROR(IF($Q$1=$P$3,INDEX(prem_analysis!$P$2:$Q$441,ROWS(Data!$P$2:AA216),COLUMNS(Data!$P$3:Z217)),IF($Q$1=$P$5,INDEX(prem_analysis!$BH$1:$BS$23,ROWS(Data!$Q$3:AA217),COLUMNS(Data!$Q$3:AA217)),IF($Q$1=$P$6,INDEX(prem_analysis!$BU$1:$CF$67,ROWS(prem_analysis!$N$2:X216),COLUMNS(prem_analysis!$N$2:X216)),IF($Q$1=$P$4,INDEX(Table24[[#All],[Year]:[Details]],ROWS(prem_analysis!$M$420:W634),COLUMNS(Data!$Q$3:AA217)))))),"")</f>
        <v/>
      </c>
      <c r="AC216" s="1" t="str">
        <f>IFERROR(IF($Q$1=$P$3,INDEX(prem_analysis!$P$2:$Q$441,ROWS(Data!$P$2:AB216),COLUMNS(Data!$P$3:AA217)),IF($Q$1=$P$5,INDEX(prem_analysis!$BH$1:$BS$23,ROWS(Data!$Q$3:AB217),COLUMNS(Data!$Q$3:AB217)),IF($Q$1=$P$6,INDEX(prem_analysis!$BU$1:$CF$67,ROWS(prem_analysis!$N$2:Y216),COLUMNS(prem_analysis!$N$2:Y216)),IF($Q$1=$P$4,INDEX(Table24[[#All],[Year]:[Details]],ROWS(prem_analysis!$M$420:X634),COLUMNS(Data!$Q$3:AB217)))))),"")</f>
        <v/>
      </c>
    </row>
    <row r="217" spans="1:29" x14ac:dyDescent="0.2">
      <c r="A217" s="5">
        <v>2010</v>
      </c>
      <c r="B217" s="5">
        <v>16</v>
      </c>
      <c r="C217" s="6" t="s">
        <v>40</v>
      </c>
      <c r="D217" s="5">
        <v>38</v>
      </c>
      <c r="E217" s="5">
        <v>9</v>
      </c>
      <c r="F217" s="5">
        <v>15</v>
      </c>
      <c r="G217" s="5">
        <v>14</v>
      </c>
      <c r="H217" s="5">
        <v>40</v>
      </c>
      <c r="I217" s="5">
        <v>61</v>
      </c>
      <c r="J217" s="5">
        <v>-21</v>
      </c>
      <c r="K217" s="5">
        <v>42</v>
      </c>
      <c r="L217" s="5">
        <f>IF(Table24[[#This Row],['#]]=1,"Champion", IF(Table24[[#This Row],['#]]&gt;=18,"Relegated",Table24[[#This Row],['#]]))</f>
        <v>16</v>
      </c>
      <c r="M217" s="5" t="str">
        <f>IF(Table24[[#This Row],[Details]]=2,K216-Table24[[#This Row],[Pts]],IF(Table24[[#This Row],[Details]]=17,Table24[[#This Row],[Pts]]-K218,""))</f>
        <v/>
      </c>
      <c r="R217" s="1" t="str">
        <f>IFERROR(IF($Q$1=$P$3,INDEX(prem_analysis!$P$2:$Q$441,ROWS(Data!$P$2:Q217),COLUMNS(Data!$P$3:P218)),IF($Q$1=$P$5,INDEX(prem_analysis!$BH$1:$BS$23,ROWS(Data!$Q$3:Q218),COLUMNS(Data!$Q$3:Q218)),IF($Q$1=$P$6,INDEX(prem_analysis!$BU$1:$CF$67,ROWS(prem_analysis!$N$2:N217),COLUMNS(prem_analysis!$N$2:N217)),IF($Q$1=$P$4,INDEX(Table24[[#All],[Year]:[Details]],ROWS(prem_analysis!$M$420:M635),COLUMNS(Data!$Q$3:Q218)))))),"")</f>
        <v/>
      </c>
      <c r="S217" s="1" t="str">
        <f>IFERROR(IF($Q$1=$P$3,INDEX(prem_analysis!$P$2:$Q$441,ROWS(Data!$P$2:R217),COLUMNS(Data!$P$3:Q218)),IF($Q$1=$P$5,INDEX(prem_analysis!$BH$1:$BS$23,ROWS(Data!$Q$3:R218),COLUMNS(Data!$Q$3:R218)),IF($Q$1=$P$6,INDEX(prem_analysis!$BU$1:$CF$67,ROWS(prem_analysis!$N$2:O217),COLUMNS(prem_analysis!$N$2:O217)),IF($Q$1=$P$4,INDEX(Table24[[#All],[Year]:[Details]],ROWS(prem_analysis!$M$420:N635),COLUMNS(Data!$Q$3:R218)))))),"")</f>
        <v/>
      </c>
      <c r="T217" s="1" t="str">
        <f>IFERROR(IF($Q$1=$P$3,INDEX(prem_analysis!$P$2:$Q$441,ROWS(Data!$P$2:S217),COLUMNS(Data!$P$3:R218)),IF($Q$1=$P$5,INDEX(prem_analysis!$BH$1:$BS$23,ROWS(Data!$Q$3:S218),COLUMNS(Data!$Q$3:S218)),IF($Q$1=$P$6,INDEX(prem_analysis!$BU$1:$CF$67,ROWS(prem_analysis!$N$2:P217),COLUMNS(prem_analysis!$N$2:P217)),IF($Q$1=$P$4,INDEX(Table24[[#All],[Year]:[Details]],ROWS(prem_analysis!$M$420:O635),COLUMNS(Data!$Q$3:S218)))))),"")</f>
        <v/>
      </c>
      <c r="U217" s="1" t="str">
        <f>IFERROR(IF($Q$1=$P$3,INDEX(prem_analysis!$P$2:$Q$441,ROWS(Data!$P$2:T217),COLUMNS(Data!$P$3:S218)),IF($Q$1=$P$5,INDEX(prem_analysis!$BH$1:$BS$23,ROWS(Data!$Q$3:T218),COLUMNS(Data!$Q$3:T218)),IF($Q$1=$P$6,INDEX(prem_analysis!$BU$1:$CF$67,ROWS(prem_analysis!$N$2:Q217),COLUMNS(prem_analysis!$N$2:Q217)),IF($Q$1=$P$4,INDEX(Table24[[#All],[Year]:[Details]],ROWS(prem_analysis!$M$420:P635),COLUMNS(Data!$Q$3:T218)))))),"")</f>
        <v/>
      </c>
      <c r="V217" s="1" t="str">
        <f>IFERROR(IF($Q$1=$P$3,INDEX(prem_analysis!$P$2:$Q$441,ROWS(Data!$P$2:U217),COLUMNS(Data!$P$3:T218)),IF($Q$1=$P$5,INDEX(prem_analysis!$BH$1:$BS$23,ROWS(Data!$Q$3:U218),COLUMNS(Data!$Q$3:U218)),IF($Q$1=$P$6,INDEX(prem_analysis!$BU$1:$CF$67,ROWS(prem_analysis!$N$2:R217),COLUMNS(prem_analysis!$N$2:R217)),IF($Q$1=$P$4,INDEX(Table24[[#All],[Year]:[Details]],ROWS(prem_analysis!$M$420:Q635),COLUMNS(Data!$Q$3:U218)))))),"")</f>
        <v/>
      </c>
      <c r="W217" s="1" t="str">
        <f>IFERROR(IF($Q$1=$P$3,INDEX(prem_analysis!$P$2:$Q$441,ROWS(Data!$P$2:V217),COLUMNS(Data!$P$3:U218)),IF($Q$1=$P$5,INDEX(prem_analysis!$BH$1:$BS$23,ROWS(Data!$Q$3:V218),COLUMNS(Data!$Q$3:V218)),IF($Q$1=$P$6,INDEX(prem_analysis!$BU$1:$CF$67,ROWS(prem_analysis!$N$2:S217),COLUMNS(prem_analysis!$N$2:S217)),IF($Q$1=$P$4,INDEX(Table24[[#All],[Year]:[Details]],ROWS(prem_analysis!$M$420:R635),COLUMNS(Data!$Q$3:V218)))))),"")</f>
        <v/>
      </c>
      <c r="X217" s="1" t="str">
        <f>IFERROR(IF($Q$1=$P$3,INDEX(prem_analysis!$P$2:$Q$441,ROWS(Data!$P$2:W217),COLUMNS(Data!$P$3:V218)),IF($Q$1=$P$5,INDEX(prem_analysis!$BH$1:$BS$23,ROWS(Data!$Q$3:W218),COLUMNS(Data!$Q$3:W218)),IF($Q$1=$P$6,INDEX(prem_analysis!$BU$1:$CF$67,ROWS(prem_analysis!$N$2:T217),COLUMNS(prem_analysis!$N$2:T217)),IF($Q$1=$P$4,INDEX(Table24[[#All],[Year]:[Details]],ROWS(prem_analysis!$M$420:S635),COLUMNS(Data!$Q$3:W218)))))),"")</f>
        <v/>
      </c>
      <c r="Y217" s="1" t="str">
        <f>IFERROR(IF($Q$1=$P$3,INDEX(prem_analysis!$P$2:$Q$441,ROWS(Data!$P$2:X217),COLUMNS(Data!$P$3:W218)),IF($Q$1=$P$5,INDEX(prem_analysis!$BH$1:$BS$23,ROWS(Data!$Q$3:X218),COLUMNS(Data!$Q$3:X218)),IF($Q$1=$P$6,INDEX(prem_analysis!$BU$1:$CF$67,ROWS(prem_analysis!$N$2:U217),COLUMNS(prem_analysis!$N$2:U217)),IF($Q$1=$P$4,INDEX(Table24[[#All],[Year]:[Details]],ROWS(prem_analysis!$M$420:T635),COLUMNS(Data!$Q$3:X218)))))),"")</f>
        <v/>
      </c>
      <c r="Z217" s="1" t="str">
        <f>IFERROR(IF($Q$1=$P$3,INDEX(prem_analysis!$P$2:$Q$441,ROWS(Data!$P$2:Y217),COLUMNS(Data!$P$3:X218)),IF($Q$1=$P$5,INDEX(prem_analysis!$BH$1:$BS$23,ROWS(Data!$Q$3:Y218),COLUMNS(Data!$Q$3:Y218)),IF($Q$1=$P$6,INDEX(prem_analysis!$BU$1:$CF$67,ROWS(prem_analysis!$N$2:V217),COLUMNS(prem_analysis!$N$2:V217)),IF($Q$1=$P$4,INDEX(Table24[[#All],[Year]:[Details]],ROWS(prem_analysis!$M$420:U635),COLUMNS(Data!$Q$3:Y218)))))),"")</f>
        <v/>
      </c>
      <c r="AA217" s="1" t="str">
        <f>IFERROR(IF($Q$1=$P$3,INDEX(prem_analysis!$P$2:$Q$441,ROWS(Data!$P$2:Z217),COLUMNS(Data!$P$3:Y218)),IF($Q$1=$P$5,INDEX(prem_analysis!$BH$1:$BS$23,ROWS(Data!$Q$3:Z218),COLUMNS(Data!$Q$3:Z218)),IF($Q$1=$P$6,INDEX(prem_analysis!$BU$1:$CF$67,ROWS(prem_analysis!$N$2:W217),COLUMNS(prem_analysis!$N$2:W217)),IF($Q$1=$P$4,INDEX(Table24[[#All],[Year]:[Details]],ROWS(prem_analysis!$M$420:V635),COLUMNS(Data!$Q$3:Z218)))))),"")</f>
        <v/>
      </c>
      <c r="AB217" s="1" t="str">
        <f>IFERROR(IF($Q$1=$P$3,INDEX(prem_analysis!$P$2:$Q$441,ROWS(Data!$P$2:AA217),COLUMNS(Data!$P$3:Z218)),IF($Q$1=$P$5,INDEX(prem_analysis!$BH$1:$BS$23,ROWS(Data!$Q$3:AA218),COLUMNS(Data!$Q$3:AA218)),IF($Q$1=$P$6,INDEX(prem_analysis!$BU$1:$CF$67,ROWS(prem_analysis!$N$2:X217),COLUMNS(prem_analysis!$N$2:X217)),IF($Q$1=$P$4,INDEX(Table24[[#All],[Year]:[Details]],ROWS(prem_analysis!$M$420:W635),COLUMNS(Data!$Q$3:AA218)))))),"")</f>
        <v/>
      </c>
      <c r="AC217" s="1" t="str">
        <f>IFERROR(IF($Q$1=$P$3,INDEX(prem_analysis!$P$2:$Q$441,ROWS(Data!$P$2:AB217),COLUMNS(Data!$P$3:AA218)),IF($Q$1=$P$5,INDEX(prem_analysis!$BH$1:$BS$23,ROWS(Data!$Q$3:AB218),COLUMNS(Data!$Q$3:AB218)),IF($Q$1=$P$6,INDEX(prem_analysis!$BU$1:$CF$67,ROWS(prem_analysis!$N$2:Y217),COLUMNS(prem_analysis!$N$2:Y217)),IF($Q$1=$P$4,INDEX(Table24[[#All],[Year]:[Details]],ROWS(prem_analysis!$M$420:X635),COLUMNS(Data!$Q$3:AB218)))))),"")</f>
        <v/>
      </c>
    </row>
    <row r="218" spans="1:29" x14ac:dyDescent="0.2">
      <c r="A218" s="3">
        <v>2010</v>
      </c>
      <c r="B218" s="3">
        <v>17</v>
      </c>
      <c r="C218" s="4" t="s">
        <v>37</v>
      </c>
      <c r="D218" s="3">
        <v>38</v>
      </c>
      <c r="E218" s="3">
        <v>11</v>
      </c>
      <c r="F218" s="3">
        <v>7</v>
      </c>
      <c r="G218" s="3">
        <v>20</v>
      </c>
      <c r="H218" s="3">
        <v>46</v>
      </c>
      <c r="I218" s="3">
        <v>66</v>
      </c>
      <c r="J218" s="3">
        <v>-20</v>
      </c>
      <c r="K218" s="3">
        <v>40</v>
      </c>
      <c r="L218" s="5">
        <f>IF(Table24[[#This Row],['#]]=1,"Champion", IF(Table24[[#This Row],['#]]&gt;=18,"Relegated",Table24[[#This Row],['#]]))</f>
        <v>17</v>
      </c>
      <c r="M218" s="5">
        <f>IF(Table24[[#This Row],[Details]]=2,K217-Table24[[#This Row],[Pts]],IF(Table24[[#This Row],[Details]]=17,Table24[[#This Row],[Pts]]-K219,""))</f>
        <v>1</v>
      </c>
      <c r="R218" s="1" t="str">
        <f>IFERROR(IF($Q$1=$P$3,INDEX(prem_analysis!$P$2:$Q$441,ROWS(Data!$P$2:Q218),COLUMNS(Data!$P$3:P219)),IF($Q$1=$P$5,INDEX(prem_analysis!$BH$1:$BS$23,ROWS(Data!$Q$3:Q219),COLUMNS(Data!$Q$3:Q219)),IF($Q$1=$P$6,INDEX(prem_analysis!$BU$1:$CF$67,ROWS(prem_analysis!$N$2:N218),COLUMNS(prem_analysis!$N$2:N218)),IF($Q$1=$P$4,INDEX(Table24[[#All],[Year]:[Details]],ROWS(prem_analysis!$M$420:M636),COLUMNS(Data!$Q$3:Q219)))))),"")</f>
        <v/>
      </c>
      <c r="S218" s="1" t="str">
        <f>IFERROR(IF($Q$1=$P$3,INDEX(prem_analysis!$P$2:$Q$441,ROWS(Data!$P$2:R218),COLUMNS(Data!$P$3:Q219)),IF($Q$1=$P$5,INDEX(prem_analysis!$BH$1:$BS$23,ROWS(Data!$Q$3:R219),COLUMNS(Data!$Q$3:R219)),IF($Q$1=$P$6,INDEX(prem_analysis!$BU$1:$CF$67,ROWS(prem_analysis!$N$2:O218),COLUMNS(prem_analysis!$N$2:O218)),IF($Q$1=$P$4,INDEX(Table24[[#All],[Year]:[Details]],ROWS(prem_analysis!$M$420:N636),COLUMNS(Data!$Q$3:R219)))))),"")</f>
        <v/>
      </c>
      <c r="T218" s="1" t="str">
        <f>IFERROR(IF($Q$1=$P$3,INDEX(prem_analysis!$P$2:$Q$441,ROWS(Data!$P$2:S218),COLUMNS(Data!$P$3:R219)),IF($Q$1=$P$5,INDEX(prem_analysis!$BH$1:$BS$23,ROWS(Data!$Q$3:S219),COLUMNS(Data!$Q$3:S219)),IF($Q$1=$P$6,INDEX(prem_analysis!$BU$1:$CF$67,ROWS(prem_analysis!$N$2:P218),COLUMNS(prem_analysis!$N$2:P218)),IF($Q$1=$P$4,INDEX(Table24[[#All],[Year]:[Details]],ROWS(prem_analysis!$M$420:O636),COLUMNS(Data!$Q$3:S219)))))),"")</f>
        <v/>
      </c>
      <c r="U218" s="1" t="str">
        <f>IFERROR(IF($Q$1=$P$3,INDEX(prem_analysis!$P$2:$Q$441,ROWS(Data!$P$2:T218),COLUMNS(Data!$P$3:S219)),IF($Q$1=$P$5,INDEX(prem_analysis!$BH$1:$BS$23,ROWS(Data!$Q$3:T219),COLUMNS(Data!$Q$3:T219)),IF($Q$1=$P$6,INDEX(prem_analysis!$BU$1:$CF$67,ROWS(prem_analysis!$N$2:Q218),COLUMNS(prem_analysis!$N$2:Q218)),IF($Q$1=$P$4,INDEX(Table24[[#All],[Year]:[Details]],ROWS(prem_analysis!$M$420:P636),COLUMNS(Data!$Q$3:T219)))))),"")</f>
        <v/>
      </c>
      <c r="V218" s="1" t="str">
        <f>IFERROR(IF($Q$1=$P$3,INDEX(prem_analysis!$P$2:$Q$441,ROWS(Data!$P$2:U218),COLUMNS(Data!$P$3:T219)),IF($Q$1=$P$5,INDEX(prem_analysis!$BH$1:$BS$23,ROWS(Data!$Q$3:U219),COLUMNS(Data!$Q$3:U219)),IF($Q$1=$P$6,INDEX(prem_analysis!$BU$1:$CF$67,ROWS(prem_analysis!$N$2:R218),COLUMNS(prem_analysis!$N$2:R218)),IF($Q$1=$P$4,INDEX(Table24[[#All],[Year]:[Details]],ROWS(prem_analysis!$M$420:Q636),COLUMNS(Data!$Q$3:U219)))))),"")</f>
        <v/>
      </c>
      <c r="W218" s="1" t="str">
        <f>IFERROR(IF($Q$1=$P$3,INDEX(prem_analysis!$P$2:$Q$441,ROWS(Data!$P$2:V218),COLUMNS(Data!$P$3:U219)),IF($Q$1=$P$5,INDEX(prem_analysis!$BH$1:$BS$23,ROWS(Data!$Q$3:V219),COLUMNS(Data!$Q$3:V219)),IF($Q$1=$P$6,INDEX(prem_analysis!$BU$1:$CF$67,ROWS(prem_analysis!$N$2:S218),COLUMNS(prem_analysis!$N$2:S218)),IF($Q$1=$P$4,INDEX(Table24[[#All],[Year]:[Details]],ROWS(prem_analysis!$M$420:R636),COLUMNS(Data!$Q$3:V219)))))),"")</f>
        <v/>
      </c>
      <c r="X218" s="1" t="str">
        <f>IFERROR(IF($Q$1=$P$3,INDEX(prem_analysis!$P$2:$Q$441,ROWS(Data!$P$2:W218),COLUMNS(Data!$P$3:V219)),IF($Q$1=$P$5,INDEX(prem_analysis!$BH$1:$BS$23,ROWS(Data!$Q$3:W219),COLUMNS(Data!$Q$3:W219)),IF($Q$1=$P$6,INDEX(prem_analysis!$BU$1:$CF$67,ROWS(prem_analysis!$N$2:T218),COLUMNS(prem_analysis!$N$2:T218)),IF($Q$1=$P$4,INDEX(Table24[[#All],[Year]:[Details]],ROWS(prem_analysis!$M$420:S636),COLUMNS(Data!$Q$3:W219)))))),"")</f>
        <v/>
      </c>
      <c r="Y218" s="1" t="str">
        <f>IFERROR(IF($Q$1=$P$3,INDEX(prem_analysis!$P$2:$Q$441,ROWS(Data!$P$2:X218),COLUMNS(Data!$P$3:W219)),IF($Q$1=$P$5,INDEX(prem_analysis!$BH$1:$BS$23,ROWS(Data!$Q$3:X219),COLUMNS(Data!$Q$3:X219)),IF($Q$1=$P$6,INDEX(prem_analysis!$BU$1:$CF$67,ROWS(prem_analysis!$N$2:U218),COLUMNS(prem_analysis!$N$2:U218)),IF($Q$1=$P$4,INDEX(Table24[[#All],[Year]:[Details]],ROWS(prem_analysis!$M$420:T636),COLUMNS(Data!$Q$3:X219)))))),"")</f>
        <v/>
      </c>
      <c r="Z218" s="1" t="str">
        <f>IFERROR(IF($Q$1=$P$3,INDEX(prem_analysis!$P$2:$Q$441,ROWS(Data!$P$2:Y218),COLUMNS(Data!$P$3:X219)),IF($Q$1=$P$5,INDEX(prem_analysis!$BH$1:$BS$23,ROWS(Data!$Q$3:Y219),COLUMNS(Data!$Q$3:Y219)),IF($Q$1=$P$6,INDEX(prem_analysis!$BU$1:$CF$67,ROWS(prem_analysis!$N$2:V218),COLUMNS(prem_analysis!$N$2:V218)),IF($Q$1=$P$4,INDEX(Table24[[#All],[Year]:[Details]],ROWS(prem_analysis!$M$420:U636),COLUMNS(Data!$Q$3:Y219)))))),"")</f>
        <v/>
      </c>
      <c r="AA218" s="1" t="str">
        <f>IFERROR(IF($Q$1=$P$3,INDEX(prem_analysis!$P$2:$Q$441,ROWS(Data!$P$2:Z218),COLUMNS(Data!$P$3:Y219)),IF($Q$1=$P$5,INDEX(prem_analysis!$BH$1:$BS$23,ROWS(Data!$Q$3:Z219),COLUMNS(Data!$Q$3:Z219)),IF($Q$1=$P$6,INDEX(prem_analysis!$BU$1:$CF$67,ROWS(prem_analysis!$N$2:W218),COLUMNS(prem_analysis!$N$2:W218)),IF($Q$1=$P$4,INDEX(Table24[[#All],[Year]:[Details]],ROWS(prem_analysis!$M$420:V636),COLUMNS(Data!$Q$3:Z219)))))),"")</f>
        <v/>
      </c>
      <c r="AB218" s="1" t="str">
        <f>IFERROR(IF($Q$1=$P$3,INDEX(prem_analysis!$P$2:$Q$441,ROWS(Data!$P$2:AA218),COLUMNS(Data!$P$3:Z219)),IF($Q$1=$P$5,INDEX(prem_analysis!$BH$1:$BS$23,ROWS(Data!$Q$3:AA219),COLUMNS(Data!$Q$3:AA219)),IF($Q$1=$P$6,INDEX(prem_analysis!$BU$1:$CF$67,ROWS(prem_analysis!$N$2:X218),COLUMNS(prem_analysis!$N$2:X218)),IF($Q$1=$P$4,INDEX(Table24[[#All],[Year]:[Details]],ROWS(prem_analysis!$M$420:W636),COLUMNS(Data!$Q$3:AA219)))))),"")</f>
        <v/>
      </c>
      <c r="AC218" s="1" t="str">
        <f>IFERROR(IF($Q$1=$P$3,INDEX(prem_analysis!$P$2:$Q$441,ROWS(Data!$P$2:AB218),COLUMNS(Data!$P$3:AA219)),IF($Q$1=$P$5,INDEX(prem_analysis!$BH$1:$BS$23,ROWS(Data!$Q$3:AB219),COLUMNS(Data!$Q$3:AB219)),IF($Q$1=$P$6,INDEX(prem_analysis!$BU$1:$CF$67,ROWS(prem_analysis!$N$2:Y218),COLUMNS(prem_analysis!$N$2:Y218)),IF($Q$1=$P$4,INDEX(Table24[[#All],[Year]:[Details]],ROWS(prem_analysis!$M$420:X636),COLUMNS(Data!$Q$3:AB219)))))),"")</f>
        <v/>
      </c>
    </row>
    <row r="219" spans="1:29" x14ac:dyDescent="0.2">
      <c r="A219" s="5">
        <v>2010</v>
      </c>
      <c r="B219" s="5">
        <v>18</v>
      </c>
      <c r="C219" s="6" t="s">
        <v>34</v>
      </c>
      <c r="D219" s="5">
        <v>38</v>
      </c>
      <c r="E219" s="5">
        <v>8</v>
      </c>
      <c r="F219" s="5">
        <v>15</v>
      </c>
      <c r="G219" s="5">
        <v>15</v>
      </c>
      <c r="H219" s="5">
        <v>37</v>
      </c>
      <c r="I219" s="5">
        <v>58</v>
      </c>
      <c r="J219" s="5">
        <v>-21</v>
      </c>
      <c r="K219" s="5">
        <v>39</v>
      </c>
      <c r="L219" s="5" t="str">
        <f>IF(Table24[[#This Row],['#]]=1,"Champion", IF(Table24[[#This Row],['#]]&gt;=18,"Relegated",Table24[[#This Row],['#]]))</f>
        <v>Relegated</v>
      </c>
      <c r="M219" s="5" t="str">
        <f>IF(Table24[[#This Row],[Details]]=2,K218-Table24[[#This Row],[Pts]],IF(Table24[[#This Row],[Details]]=17,Table24[[#This Row],[Pts]]-K220,""))</f>
        <v/>
      </c>
      <c r="R219" s="1" t="str">
        <f>IFERROR(IF($Q$1=$P$3,INDEX(prem_analysis!$P$2:$Q$441,ROWS(Data!$P$2:Q219),COLUMNS(Data!$P$3:P220)),IF($Q$1=$P$5,INDEX(prem_analysis!$BH$1:$BS$23,ROWS(Data!$Q$3:Q220),COLUMNS(Data!$Q$3:Q220)),IF($Q$1=$P$6,INDEX(prem_analysis!$BU$1:$CF$67,ROWS(prem_analysis!$N$2:N219),COLUMNS(prem_analysis!$N$2:N219)),IF($Q$1=$P$4,INDEX(Table24[[#All],[Year]:[Details]],ROWS(prem_analysis!$M$420:M637),COLUMNS(Data!$Q$3:Q220)))))),"")</f>
        <v/>
      </c>
      <c r="S219" s="1" t="str">
        <f>IFERROR(IF($Q$1=$P$3,INDEX(prem_analysis!$P$2:$Q$441,ROWS(Data!$P$2:R219),COLUMNS(Data!$P$3:Q220)),IF($Q$1=$P$5,INDEX(prem_analysis!$BH$1:$BS$23,ROWS(Data!$Q$3:R220),COLUMNS(Data!$Q$3:R220)),IF($Q$1=$P$6,INDEX(prem_analysis!$BU$1:$CF$67,ROWS(prem_analysis!$N$2:O219),COLUMNS(prem_analysis!$N$2:O219)),IF($Q$1=$P$4,INDEX(Table24[[#All],[Year]:[Details]],ROWS(prem_analysis!$M$420:N637),COLUMNS(Data!$Q$3:R220)))))),"")</f>
        <v/>
      </c>
      <c r="T219" s="1" t="str">
        <f>IFERROR(IF($Q$1=$P$3,INDEX(prem_analysis!$P$2:$Q$441,ROWS(Data!$P$2:S219),COLUMNS(Data!$P$3:R220)),IF($Q$1=$P$5,INDEX(prem_analysis!$BH$1:$BS$23,ROWS(Data!$Q$3:S220),COLUMNS(Data!$Q$3:S220)),IF($Q$1=$P$6,INDEX(prem_analysis!$BU$1:$CF$67,ROWS(prem_analysis!$N$2:P219),COLUMNS(prem_analysis!$N$2:P219)),IF($Q$1=$P$4,INDEX(Table24[[#All],[Year]:[Details]],ROWS(prem_analysis!$M$420:O637),COLUMNS(Data!$Q$3:S220)))))),"")</f>
        <v/>
      </c>
      <c r="U219" s="1" t="str">
        <f>IFERROR(IF($Q$1=$P$3,INDEX(prem_analysis!$P$2:$Q$441,ROWS(Data!$P$2:T219),COLUMNS(Data!$P$3:S220)),IF($Q$1=$P$5,INDEX(prem_analysis!$BH$1:$BS$23,ROWS(Data!$Q$3:T220),COLUMNS(Data!$Q$3:T220)),IF($Q$1=$P$6,INDEX(prem_analysis!$BU$1:$CF$67,ROWS(prem_analysis!$N$2:Q219),COLUMNS(prem_analysis!$N$2:Q219)),IF($Q$1=$P$4,INDEX(Table24[[#All],[Year]:[Details]],ROWS(prem_analysis!$M$420:P637),COLUMNS(Data!$Q$3:T220)))))),"")</f>
        <v/>
      </c>
      <c r="V219" s="1" t="str">
        <f>IFERROR(IF($Q$1=$P$3,INDEX(prem_analysis!$P$2:$Q$441,ROWS(Data!$P$2:U219),COLUMNS(Data!$P$3:T220)),IF($Q$1=$P$5,INDEX(prem_analysis!$BH$1:$BS$23,ROWS(Data!$Q$3:U220),COLUMNS(Data!$Q$3:U220)),IF($Q$1=$P$6,INDEX(prem_analysis!$BU$1:$CF$67,ROWS(prem_analysis!$N$2:R219),COLUMNS(prem_analysis!$N$2:R219)),IF($Q$1=$P$4,INDEX(Table24[[#All],[Year]:[Details]],ROWS(prem_analysis!$M$420:Q637),COLUMNS(Data!$Q$3:U220)))))),"")</f>
        <v/>
      </c>
      <c r="W219" s="1" t="str">
        <f>IFERROR(IF($Q$1=$P$3,INDEX(prem_analysis!$P$2:$Q$441,ROWS(Data!$P$2:V219),COLUMNS(Data!$P$3:U220)),IF($Q$1=$P$5,INDEX(prem_analysis!$BH$1:$BS$23,ROWS(Data!$Q$3:V220),COLUMNS(Data!$Q$3:V220)),IF($Q$1=$P$6,INDEX(prem_analysis!$BU$1:$CF$67,ROWS(prem_analysis!$N$2:S219),COLUMNS(prem_analysis!$N$2:S219)),IF($Q$1=$P$4,INDEX(Table24[[#All],[Year]:[Details]],ROWS(prem_analysis!$M$420:R637),COLUMNS(Data!$Q$3:V220)))))),"")</f>
        <v/>
      </c>
      <c r="X219" s="1" t="str">
        <f>IFERROR(IF($Q$1=$P$3,INDEX(prem_analysis!$P$2:$Q$441,ROWS(Data!$P$2:W219),COLUMNS(Data!$P$3:V220)),IF($Q$1=$P$5,INDEX(prem_analysis!$BH$1:$BS$23,ROWS(Data!$Q$3:W220),COLUMNS(Data!$Q$3:W220)),IF($Q$1=$P$6,INDEX(prem_analysis!$BU$1:$CF$67,ROWS(prem_analysis!$N$2:T219),COLUMNS(prem_analysis!$N$2:T219)),IF($Q$1=$P$4,INDEX(Table24[[#All],[Year]:[Details]],ROWS(prem_analysis!$M$420:S637),COLUMNS(Data!$Q$3:W220)))))),"")</f>
        <v/>
      </c>
      <c r="Y219" s="1" t="str">
        <f>IFERROR(IF($Q$1=$P$3,INDEX(prem_analysis!$P$2:$Q$441,ROWS(Data!$P$2:X219),COLUMNS(Data!$P$3:W220)),IF($Q$1=$P$5,INDEX(prem_analysis!$BH$1:$BS$23,ROWS(Data!$Q$3:X220),COLUMNS(Data!$Q$3:X220)),IF($Q$1=$P$6,INDEX(prem_analysis!$BU$1:$CF$67,ROWS(prem_analysis!$N$2:U219),COLUMNS(prem_analysis!$N$2:U219)),IF($Q$1=$P$4,INDEX(Table24[[#All],[Year]:[Details]],ROWS(prem_analysis!$M$420:T637),COLUMNS(Data!$Q$3:X220)))))),"")</f>
        <v/>
      </c>
      <c r="Z219" s="1" t="str">
        <f>IFERROR(IF($Q$1=$P$3,INDEX(prem_analysis!$P$2:$Q$441,ROWS(Data!$P$2:Y219),COLUMNS(Data!$P$3:X220)),IF($Q$1=$P$5,INDEX(prem_analysis!$BH$1:$BS$23,ROWS(Data!$Q$3:Y220),COLUMNS(Data!$Q$3:Y220)),IF($Q$1=$P$6,INDEX(prem_analysis!$BU$1:$CF$67,ROWS(prem_analysis!$N$2:V219),COLUMNS(prem_analysis!$N$2:V219)),IF($Q$1=$P$4,INDEX(Table24[[#All],[Year]:[Details]],ROWS(prem_analysis!$M$420:U637),COLUMNS(Data!$Q$3:Y220)))))),"")</f>
        <v/>
      </c>
      <c r="AA219" s="1" t="str">
        <f>IFERROR(IF($Q$1=$P$3,INDEX(prem_analysis!$P$2:$Q$441,ROWS(Data!$P$2:Z219),COLUMNS(Data!$P$3:Y220)),IF($Q$1=$P$5,INDEX(prem_analysis!$BH$1:$BS$23,ROWS(Data!$Q$3:Z220),COLUMNS(Data!$Q$3:Z220)),IF($Q$1=$P$6,INDEX(prem_analysis!$BU$1:$CF$67,ROWS(prem_analysis!$N$2:W219),COLUMNS(prem_analysis!$N$2:W219)),IF($Q$1=$P$4,INDEX(Table24[[#All],[Year]:[Details]],ROWS(prem_analysis!$M$420:V637),COLUMNS(Data!$Q$3:Z220)))))),"")</f>
        <v/>
      </c>
      <c r="AB219" s="1" t="str">
        <f>IFERROR(IF($Q$1=$P$3,INDEX(prem_analysis!$P$2:$Q$441,ROWS(Data!$P$2:AA219),COLUMNS(Data!$P$3:Z220)),IF($Q$1=$P$5,INDEX(prem_analysis!$BH$1:$BS$23,ROWS(Data!$Q$3:AA220),COLUMNS(Data!$Q$3:AA220)),IF($Q$1=$P$6,INDEX(prem_analysis!$BU$1:$CF$67,ROWS(prem_analysis!$N$2:X219),COLUMNS(prem_analysis!$N$2:X219)),IF($Q$1=$P$4,INDEX(Table24[[#All],[Year]:[Details]],ROWS(prem_analysis!$M$420:W637),COLUMNS(Data!$Q$3:AA220)))))),"")</f>
        <v/>
      </c>
      <c r="AC219" s="1" t="str">
        <f>IFERROR(IF($Q$1=$P$3,INDEX(prem_analysis!$P$2:$Q$441,ROWS(Data!$P$2:AB219),COLUMNS(Data!$P$3:AA220)),IF($Q$1=$P$5,INDEX(prem_analysis!$BH$1:$BS$23,ROWS(Data!$Q$3:AB220),COLUMNS(Data!$Q$3:AB220)),IF($Q$1=$P$6,INDEX(prem_analysis!$BU$1:$CF$67,ROWS(prem_analysis!$N$2:Y219),COLUMNS(prem_analysis!$N$2:Y219)),IF($Q$1=$P$4,INDEX(Table24[[#All],[Year]:[Details]],ROWS(prem_analysis!$M$420:X637),COLUMNS(Data!$Q$3:AB220)))))),"")</f>
        <v/>
      </c>
    </row>
    <row r="220" spans="1:29" x14ac:dyDescent="0.2">
      <c r="A220" s="3">
        <v>2010</v>
      </c>
      <c r="B220" s="3">
        <v>19</v>
      </c>
      <c r="C220" s="4" t="s">
        <v>47</v>
      </c>
      <c r="D220" s="3">
        <v>38</v>
      </c>
      <c r="E220" s="3">
        <v>10</v>
      </c>
      <c r="F220" s="3">
        <v>9</v>
      </c>
      <c r="G220" s="3">
        <v>19</v>
      </c>
      <c r="H220" s="3">
        <v>55</v>
      </c>
      <c r="I220" s="3">
        <v>78</v>
      </c>
      <c r="J220" s="3">
        <v>-23</v>
      </c>
      <c r="K220" s="3">
        <v>39</v>
      </c>
      <c r="L220" s="5" t="str">
        <f>IF(Table24[[#This Row],['#]]=1,"Champion", IF(Table24[[#This Row],['#]]&gt;=18,"Relegated",Table24[[#This Row],['#]]))</f>
        <v>Relegated</v>
      </c>
      <c r="M220" s="5" t="str">
        <f>IF(Table24[[#This Row],[Details]]=2,K219-Table24[[#This Row],[Pts]],IF(Table24[[#This Row],[Details]]=17,Table24[[#This Row],[Pts]]-K221,""))</f>
        <v/>
      </c>
      <c r="R220" s="1" t="str">
        <f>IFERROR(IF($Q$1=$P$3,INDEX(prem_analysis!$P$2:$Q$441,ROWS(Data!$P$2:Q220),COLUMNS(Data!$P$3:P221)),IF($Q$1=$P$5,INDEX(prem_analysis!$BH$1:$BS$23,ROWS(Data!$Q$3:Q221),COLUMNS(Data!$Q$3:Q221)),IF($Q$1=$P$6,INDEX(prem_analysis!$BU$1:$CF$67,ROWS(prem_analysis!$N$2:N220),COLUMNS(prem_analysis!$N$2:N220)),IF($Q$1=$P$4,INDEX(Table24[[#All],[Year]:[Details]],ROWS(prem_analysis!$M$420:M638),COLUMNS(Data!$Q$3:Q221)))))),"")</f>
        <v/>
      </c>
      <c r="S220" s="1" t="str">
        <f>IFERROR(IF($Q$1=$P$3,INDEX(prem_analysis!$P$2:$Q$441,ROWS(Data!$P$2:R220),COLUMNS(Data!$P$3:Q221)),IF($Q$1=$P$5,INDEX(prem_analysis!$BH$1:$BS$23,ROWS(Data!$Q$3:R221),COLUMNS(Data!$Q$3:R221)),IF($Q$1=$P$6,INDEX(prem_analysis!$BU$1:$CF$67,ROWS(prem_analysis!$N$2:O220),COLUMNS(prem_analysis!$N$2:O220)),IF($Q$1=$P$4,INDEX(Table24[[#All],[Year]:[Details]],ROWS(prem_analysis!$M$420:N638),COLUMNS(Data!$Q$3:R221)))))),"")</f>
        <v/>
      </c>
      <c r="T220" s="1" t="str">
        <f>IFERROR(IF($Q$1=$P$3,INDEX(prem_analysis!$P$2:$Q$441,ROWS(Data!$P$2:S220),COLUMNS(Data!$P$3:R221)),IF($Q$1=$P$5,INDEX(prem_analysis!$BH$1:$BS$23,ROWS(Data!$Q$3:S221),COLUMNS(Data!$Q$3:S221)),IF($Q$1=$P$6,INDEX(prem_analysis!$BU$1:$CF$67,ROWS(prem_analysis!$N$2:P220),COLUMNS(prem_analysis!$N$2:P220)),IF($Q$1=$P$4,INDEX(Table24[[#All],[Year]:[Details]],ROWS(prem_analysis!$M$420:O638),COLUMNS(Data!$Q$3:S221)))))),"")</f>
        <v/>
      </c>
      <c r="U220" s="1" t="str">
        <f>IFERROR(IF($Q$1=$P$3,INDEX(prem_analysis!$P$2:$Q$441,ROWS(Data!$P$2:T220),COLUMNS(Data!$P$3:S221)),IF($Q$1=$P$5,INDEX(prem_analysis!$BH$1:$BS$23,ROWS(Data!$Q$3:T221),COLUMNS(Data!$Q$3:T221)),IF($Q$1=$P$6,INDEX(prem_analysis!$BU$1:$CF$67,ROWS(prem_analysis!$N$2:Q220),COLUMNS(prem_analysis!$N$2:Q220)),IF($Q$1=$P$4,INDEX(Table24[[#All],[Year]:[Details]],ROWS(prem_analysis!$M$420:P638),COLUMNS(Data!$Q$3:T221)))))),"")</f>
        <v/>
      </c>
      <c r="V220" s="1" t="str">
        <f>IFERROR(IF($Q$1=$P$3,INDEX(prem_analysis!$P$2:$Q$441,ROWS(Data!$P$2:U220),COLUMNS(Data!$P$3:T221)),IF($Q$1=$P$5,INDEX(prem_analysis!$BH$1:$BS$23,ROWS(Data!$Q$3:U221),COLUMNS(Data!$Q$3:U221)),IF($Q$1=$P$6,INDEX(prem_analysis!$BU$1:$CF$67,ROWS(prem_analysis!$N$2:R220),COLUMNS(prem_analysis!$N$2:R220)),IF($Q$1=$P$4,INDEX(Table24[[#All],[Year]:[Details]],ROWS(prem_analysis!$M$420:Q638),COLUMNS(Data!$Q$3:U221)))))),"")</f>
        <v/>
      </c>
      <c r="W220" s="1" t="str">
        <f>IFERROR(IF($Q$1=$P$3,INDEX(prem_analysis!$P$2:$Q$441,ROWS(Data!$P$2:V220),COLUMNS(Data!$P$3:U221)),IF($Q$1=$P$5,INDEX(prem_analysis!$BH$1:$BS$23,ROWS(Data!$Q$3:V221),COLUMNS(Data!$Q$3:V221)),IF($Q$1=$P$6,INDEX(prem_analysis!$BU$1:$CF$67,ROWS(prem_analysis!$N$2:S220),COLUMNS(prem_analysis!$N$2:S220)),IF($Q$1=$P$4,INDEX(Table24[[#All],[Year]:[Details]],ROWS(prem_analysis!$M$420:R638),COLUMNS(Data!$Q$3:V221)))))),"")</f>
        <v/>
      </c>
      <c r="X220" s="1" t="str">
        <f>IFERROR(IF($Q$1=$P$3,INDEX(prem_analysis!$P$2:$Q$441,ROWS(Data!$P$2:W220),COLUMNS(Data!$P$3:V221)),IF($Q$1=$P$5,INDEX(prem_analysis!$BH$1:$BS$23,ROWS(Data!$Q$3:W221),COLUMNS(Data!$Q$3:W221)),IF($Q$1=$P$6,INDEX(prem_analysis!$BU$1:$CF$67,ROWS(prem_analysis!$N$2:T220),COLUMNS(prem_analysis!$N$2:T220)),IF($Q$1=$P$4,INDEX(Table24[[#All],[Year]:[Details]],ROWS(prem_analysis!$M$420:S638),COLUMNS(Data!$Q$3:W221)))))),"")</f>
        <v/>
      </c>
      <c r="Y220" s="1" t="str">
        <f>IFERROR(IF($Q$1=$P$3,INDEX(prem_analysis!$P$2:$Q$441,ROWS(Data!$P$2:X220),COLUMNS(Data!$P$3:W221)),IF($Q$1=$P$5,INDEX(prem_analysis!$BH$1:$BS$23,ROWS(Data!$Q$3:X221),COLUMNS(Data!$Q$3:X221)),IF($Q$1=$P$6,INDEX(prem_analysis!$BU$1:$CF$67,ROWS(prem_analysis!$N$2:U220),COLUMNS(prem_analysis!$N$2:U220)),IF($Q$1=$P$4,INDEX(Table24[[#All],[Year]:[Details]],ROWS(prem_analysis!$M$420:T638),COLUMNS(Data!$Q$3:X221)))))),"")</f>
        <v/>
      </c>
      <c r="Z220" s="1" t="str">
        <f>IFERROR(IF($Q$1=$P$3,INDEX(prem_analysis!$P$2:$Q$441,ROWS(Data!$P$2:Y220),COLUMNS(Data!$P$3:X221)),IF($Q$1=$P$5,INDEX(prem_analysis!$BH$1:$BS$23,ROWS(Data!$Q$3:Y221),COLUMNS(Data!$Q$3:Y221)),IF($Q$1=$P$6,INDEX(prem_analysis!$BU$1:$CF$67,ROWS(prem_analysis!$N$2:V220),COLUMNS(prem_analysis!$N$2:V220)),IF($Q$1=$P$4,INDEX(Table24[[#All],[Year]:[Details]],ROWS(prem_analysis!$M$420:U638),COLUMNS(Data!$Q$3:Y221)))))),"")</f>
        <v/>
      </c>
      <c r="AA220" s="1" t="str">
        <f>IFERROR(IF($Q$1=$P$3,INDEX(prem_analysis!$P$2:$Q$441,ROWS(Data!$P$2:Z220),COLUMNS(Data!$P$3:Y221)),IF($Q$1=$P$5,INDEX(prem_analysis!$BH$1:$BS$23,ROWS(Data!$Q$3:Z221),COLUMNS(Data!$Q$3:Z221)),IF($Q$1=$P$6,INDEX(prem_analysis!$BU$1:$CF$67,ROWS(prem_analysis!$N$2:W220),COLUMNS(prem_analysis!$N$2:W220)),IF($Q$1=$P$4,INDEX(Table24[[#All],[Year]:[Details]],ROWS(prem_analysis!$M$420:V638),COLUMNS(Data!$Q$3:Z221)))))),"")</f>
        <v/>
      </c>
      <c r="AB220" s="1" t="str">
        <f>IFERROR(IF($Q$1=$P$3,INDEX(prem_analysis!$P$2:$Q$441,ROWS(Data!$P$2:AA220),COLUMNS(Data!$P$3:Z221)),IF($Q$1=$P$5,INDEX(prem_analysis!$BH$1:$BS$23,ROWS(Data!$Q$3:AA221),COLUMNS(Data!$Q$3:AA221)),IF($Q$1=$P$6,INDEX(prem_analysis!$BU$1:$CF$67,ROWS(prem_analysis!$N$2:X220),COLUMNS(prem_analysis!$N$2:X220)),IF($Q$1=$P$4,INDEX(Table24[[#All],[Year]:[Details]],ROWS(prem_analysis!$M$420:W638),COLUMNS(Data!$Q$3:AA221)))))),"")</f>
        <v/>
      </c>
      <c r="AC220" s="1" t="str">
        <f>IFERROR(IF($Q$1=$P$3,INDEX(prem_analysis!$P$2:$Q$441,ROWS(Data!$P$2:AB220),COLUMNS(Data!$P$3:AA221)),IF($Q$1=$P$5,INDEX(prem_analysis!$BH$1:$BS$23,ROWS(Data!$Q$3:AB221),COLUMNS(Data!$Q$3:AB221)),IF($Q$1=$P$6,INDEX(prem_analysis!$BU$1:$CF$67,ROWS(prem_analysis!$N$2:Y220),COLUMNS(prem_analysis!$N$2:Y220)),IF($Q$1=$P$4,INDEX(Table24[[#All],[Year]:[Details]],ROWS(prem_analysis!$M$420:X638),COLUMNS(Data!$Q$3:AB221)))))),"")</f>
        <v/>
      </c>
    </row>
    <row r="221" spans="1:29" x14ac:dyDescent="0.2">
      <c r="A221" s="5">
        <v>2010</v>
      </c>
      <c r="B221" s="5">
        <v>20</v>
      </c>
      <c r="C221" s="6" t="s">
        <v>25</v>
      </c>
      <c r="D221" s="5">
        <v>38</v>
      </c>
      <c r="E221" s="5">
        <v>7</v>
      </c>
      <c r="F221" s="5">
        <v>12</v>
      </c>
      <c r="G221" s="5">
        <v>19</v>
      </c>
      <c r="H221" s="5">
        <v>43</v>
      </c>
      <c r="I221" s="5">
        <v>70</v>
      </c>
      <c r="J221" s="5">
        <v>-27</v>
      </c>
      <c r="K221" s="5">
        <v>33</v>
      </c>
      <c r="L221" s="5" t="str">
        <f>IF(Table24[[#This Row],['#]]=1,"Champion", IF(Table24[[#This Row],['#]]&gt;=18,"Relegated",Table24[[#This Row],['#]]))</f>
        <v>Relegated</v>
      </c>
      <c r="M221" s="5" t="str">
        <f>IF(Table24[[#This Row],[Details]]=2,K220-Table24[[#This Row],[Pts]],IF(Table24[[#This Row],[Details]]=17,Table24[[#This Row],[Pts]]-K222,""))</f>
        <v/>
      </c>
      <c r="R221" s="1" t="str">
        <f>IFERROR(IF($Q$1=$P$3,INDEX(prem_analysis!$P$2:$Q$441,ROWS(Data!$P$2:Q221),COLUMNS(Data!$P$3:P222)),IF($Q$1=$P$5,INDEX(prem_analysis!$BH$1:$BS$23,ROWS(Data!$Q$3:Q222),COLUMNS(Data!$Q$3:Q222)),IF($Q$1=$P$6,INDEX(prem_analysis!$BU$1:$CF$67,ROWS(prem_analysis!$N$2:N221),COLUMNS(prem_analysis!$N$2:N221)),IF($Q$1=$P$4,INDEX(Table24[[#All],[Year]:[Details]],ROWS(prem_analysis!$M$420:M639),COLUMNS(Data!$Q$3:Q222)))))),"")</f>
        <v/>
      </c>
      <c r="S221" s="1" t="str">
        <f>IFERROR(IF($Q$1=$P$3,INDEX(prem_analysis!$P$2:$Q$441,ROWS(Data!$P$2:R221),COLUMNS(Data!$P$3:Q222)),IF($Q$1=$P$5,INDEX(prem_analysis!$BH$1:$BS$23,ROWS(Data!$Q$3:R222),COLUMNS(Data!$Q$3:R222)),IF($Q$1=$P$6,INDEX(prem_analysis!$BU$1:$CF$67,ROWS(prem_analysis!$N$2:O221),COLUMNS(prem_analysis!$N$2:O221)),IF($Q$1=$P$4,INDEX(Table24[[#All],[Year]:[Details]],ROWS(prem_analysis!$M$420:N639),COLUMNS(Data!$Q$3:R222)))))),"")</f>
        <v/>
      </c>
      <c r="T221" s="1" t="str">
        <f>IFERROR(IF($Q$1=$P$3,INDEX(prem_analysis!$P$2:$Q$441,ROWS(Data!$P$2:S221),COLUMNS(Data!$P$3:R222)),IF($Q$1=$P$5,INDEX(prem_analysis!$BH$1:$BS$23,ROWS(Data!$Q$3:S222),COLUMNS(Data!$Q$3:S222)),IF($Q$1=$P$6,INDEX(prem_analysis!$BU$1:$CF$67,ROWS(prem_analysis!$N$2:P221),COLUMNS(prem_analysis!$N$2:P221)),IF($Q$1=$P$4,INDEX(Table24[[#All],[Year]:[Details]],ROWS(prem_analysis!$M$420:O639),COLUMNS(Data!$Q$3:S222)))))),"")</f>
        <v/>
      </c>
      <c r="U221" s="1" t="str">
        <f>IFERROR(IF($Q$1=$P$3,INDEX(prem_analysis!$P$2:$Q$441,ROWS(Data!$P$2:T221),COLUMNS(Data!$P$3:S222)),IF($Q$1=$P$5,INDEX(prem_analysis!$BH$1:$BS$23,ROWS(Data!$Q$3:T222),COLUMNS(Data!$Q$3:T222)),IF($Q$1=$P$6,INDEX(prem_analysis!$BU$1:$CF$67,ROWS(prem_analysis!$N$2:Q221),COLUMNS(prem_analysis!$N$2:Q221)),IF($Q$1=$P$4,INDEX(Table24[[#All],[Year]:[Details]],ROWS(prem_analysis!$M$420:P639),COLUMNS(Data!$Q$3:T222)))))),"")</f>
        <v/>
      </c>
      <c r="V221" s="1" t="str">
        <f>IFERROR(IF($Q$1=$P$3,INDEX(prem_analysis!$P$2:$Q$441,ROWS(Data!$P$2:U221),COLUMNS(Data!$P$3:T222)),IF($Q$1=$P$5,INDEX(prem_analysis!$BH$1:$BS$23,ROWS(Data!$Q$3:U222),COLUMNS(Data!$Q$3:U222)),IF($Q$1=$P$6,INDEX(prem_analysis!$BU$1:$CF$67,ROWS(prem_analysis!$N$2:R221),COLUMNS(prem_analysis!$N$2:R221)),IF($Q$1=$P$4,INDEX(Table24[[#All],[Year]:[Details]],ROWS(prem_analysis!$M$420:Q639),COLUMNS(Data!$Q$3:U222)))))),"")</f>
        <v/>
      </c>
      <c r="W221" s="1" t="str">
        <f>IFERROR(IF($Q$1=$P$3,INDEX(prem_analysis!$P$2:$Q$441,ROWS(Data!$P$2:V221),COLUMNS(Data!$P$3:U222)),IF($Q$1=$P$5,INDEX(prem_analysis!$BH$1:$BS$23,ROWS(Data!$Q$3:V222),COLUMNS(Data!$Q$3:V222)),IF($Q$1=$P$6,INDEX(prem_analysis!$BU$1:$CF$67,ROWS(prem_analysis!$N$2:S221),COLUMNS(prem_analysis!$N$2:S221)),IF($Q$1=$P$4,INDEX(Table24[[#All],[Year]:[Details]],ROWS(prem_analysis!$M$420:R639),COLUMNS(Data!$Q$3:V222)))))),"")</f>
        <v/>
      </c>
      <c r="X221" s="1" t="str">
        <f>IFERROR(IF($Q$1=$P$3,INDEX(prem_analysis!$P$2:$Q$441,ROWS(Data!$P$2:W221),COLUMNS(Data!$P$3:V222)),IF($Q$1=$P$5,INDEX(prem_analysis!$BH$1:$BS$23,ROWS(Data!$Q$3:W222),COLUMNS(Data!$Q$3:W222)),IF($Q$1=$P$6,INDEX(prem_analysis!$BU$1:$CF$67,ROWS(prem_analysis!$N$2:T221),COLUMNS(prem_analysis!$N$2:T221)),IF($Q$1=$P$4,INDEX(Table24[[#All],[Year]:[Details]],ROWS(prem_analysis!$M$420:S639),COLUMNS(Data!$Q$3:W222)))))),"")</f>
        <v/>
      </c>
      <c r="Y221" s="1" t="str">
        <f>IFERROR(IF($Q$1=$P$3,INDEX(prem_analysis!$P$2:$Q$441,ROWS(Data!$P$2:X221),COLUMNS(Data!$P$3:W222)),IF($Q$1=$P$5,INDEX(prem_analysis!$BH$1:$BS$23,ROWS(Data!$Q$3:X222),COLUMNS(Data!$Q$3:X222)),IF($Q$1=$P$6,INDEX(prem_analysis!$BU$1:$CF$67,ROWS(prem_analysis!$N$2:U221),COLUMNS(prem_analysis!$N$2:U221)),IF($Q$1=$P$4,INDEX(Table24[[#All],[Year]:[Details]],ROWS(prem_analysis!$M$420:T639),COLUMNS(Data!$Q$3:X222)))))),"")</f>
        <v/>
      </c>
      <c r="Z221" s="1" t="str">
        <f>IFERROR(IF($Q$1=$P$3,INDEX(prem_analysis!$P$2:$Q$441,ROWS(Data!$P$2:Y221),COLUMNS(Data!$P$3:X222)),IF($Q$1=$P$5,INDEX(prem_analysis!$BH$1:$BS$23,ROWS(Data!$Q$3:Y222),COLUMNS(Data!$Q$3:Y222)),IF($Q$1=$P$6,INDEX(prem_analysis!$BU$1:$CF$67,ROWS(prem_analysis!$N$2:V221),COLUMNS(prem_analysis!$N$2:V221)),IF($Q$1=$P$4,INDEX(Table24[[#All],[Year]:[Details]],ROWS(prem_analysis!$M$420:U639),COLUMNS(Data!$Q$3:Y222)))))),"")</f>
        <v/>
      </c>
      <c r="AA221" s="1" t="str">
        <f>IFERROR(IF($Q$1=$P$3,INDEX(prem_analysis!$P$2:$Q$441,ROWS(Data!$P$2:Z221),COLUMNS(Data!$P$3:Y222)),IF($Q$1=$P$5,INDEX(prem_analysis!$BH$1:$BS$23,ROWS(Data!$Q$3:Z222),COLUMNS(Data!$Q$3:Z222)),IF($Q$1=$P$6,INDEX(prem_analysis!$BU$1:$CF$67,ROWS(prem_analysis!$N$2:W221),COLUMNS(prem_analysis!$N$2:W221)),IF($Q$1=$P$4,INDEX(Table24[[#All],[Year]:[Details]],ROWS(prem_analysis!$M$420:V639),COLUMNS(Data!$Q$3:Z222)))))),"")</f>
        <v/>
      </c>
      <c r="AB221" s="1" t="str">
        <f>IFERROR(IF($Q$1=$P$3,INDEX(prem_analysis!$P$2:$Q$441,ROWS(Data!$P$2:AA221),COLUMNS(Data!$P$3:Z222)),IF($Q$1=$P$5,INDEX(prem_analysis!$BH$1:$BS$23,ROWS(Data!$Q$3:AA222),COLUMNS(Data!$Q$3:AA222)),IF($Q$1=$P$6,INDEX(prem_analysis!$BU$1:$CF$67,ROWS(prem_analysis!$N$2:X221),COLUMNS(prem_analysis!$N$2:X221)),IF($Q$1=$P$4,INDEX(Table24[[#All],[Year]:[Details]],ROWS(prem_analysis!$M$420:W639),COLUMNS(Data!$Q$3:AA222)))))),"")</f>
        <v/>
      </c>
      <c r="AC221" s="1" t="str">
        <f>IFERROR(IF($Q$1=$P$3,INDEX(prem_analysis!$P$2:$Q$441,ROWS(Data!$P$2:AB221),COLUMNS(Data!$P$3:AA222)),IF($Q$1=$P$5,INDEX(prem_analysis!$BH$1:$BS$23,ROWS(Data!$Q$3:AB222),COLUMNS(Data!$Q$3:AB222)),IF($Q$1=$P$6,INDEX(prem_analysis!$BU$1:$CF$67,ROWS(prem_analysis!$N$2:Y221),COLUMNS(prem_analysis!$N$2:Y221)),IF($Q$1=$P$4,INDEX(Table24[[#All],[Year]:[Details]],ROWS(prem_analysis!$M$420:X639),COLUMNS(Data!$Q$3:AB222)))))),"")</f>
        <v/>
      </c>
    </row>
    <row r="222" spans="1:29" x14ac:dyDescent="0.2">
      <c r="A222" s="3">
        <v>2011</v>
      </c>
      <c r="B222" s="3">
        <v>1</v>
      </c>
      <c r="C222" s="4" t="s">
        <v>28</v>
      </c>
      <c r="D222" s="3">
        <v>38</v>
      </c>
      <c r="E222" s="3">
        <v>28</v>
      </c>
      <c r="F222" s="3">
        <v>5</v>
      </c>
      <c r="G222" s="3">
        <v>5</v>
      </c>
      <c r="H222" s="3">
        <v>93</v>
      </c>
      <c r="I222" s="3">
        <v>29</v>
      </c>
      <c r="J222" s="3">
        <v>64</v>
      </c>
      <c r="K222" s="3">
        <v>89</v>
      </c>
      <c r="L222" s="5" t="str">
        <f>IF(Table24[[#This Row],['#]]=1,"Champion", IF(Table24[[#This Row],['#]]&gt;=18,"Relegated",Table24[[#This Row],['#]]))</f>
        <v>Champion</v>
      </c>
      <c r="M222" s="5" t="str">
        <f>IF(Table24[[#This Row],[Details]]=2,K221-Table24[[#This Row],[Pts]],IF(Table24[[#This Row],[Details]]=17,Table24[[#This Row],[Pts]]-K223,""))</f>
        <v/>
      </c>
      <c r="R222" s="1" t="str">
        <f>IFERROR(IF($Q$1=$P$3,INDEX(prem_analysis!$P$2:$Q$441,ROWS(Data!$P$2:Q222),COLUMNS(Data!$P$3:P223)),IF($Q$1=$P$5,INDEX(prem_analysis!$BH$1:$BS$23,ROWS(Data!$Q$3:Q223),COLUMNS(Data!$Q$3:Q223)),IF($Q$1=$P$6,INDEX(prem_analysis!$BU$1:$CF$67,ROWS(prem_analysis!$N$2:N222),COLUMNS(prem_analysis!$N$2:N222)),IF($Q$1=$P$4,INDEX(Table24[[#All],[Year]:[Details]],ROWS(prem_analysis!$M$420:M640),COLUMNS(Data!$Q$3:Q223)))))),"")</f>
        <v/>
      </c>
      <c r="S222" s="1" t="str">
        <f>IFERROR(IF($Q$1=$P$3,INDEX(prem_analysis!$P$2:$Q$441,ROWS(Data!$P$2:R222),COLUMNS(Data!$P$3:Q223)),IF($Q$1=$P$5,INDEX(prem_analysis!$BH$1:$BS$23,ROWS(Data!$Q$3:R223),COLUMNS(Data!$Q$3:R223)),IF($Q$1=$P$6,INDEX(prem_analysis!$BU$1:$CF$67,ROWS(prem_analysis!$N$2:O222),COLUMNS(prem_analysis!$N$2:O222)),IF($Q$1=$P$4,INDEX(Table24[[#All],[Year]:[Details]],ROWS(prem_analysis!$M$420:N640),COLUMNS(Data!$Q$3:R223)))))),"")</f>
        <v/>
      </c>
      <c r="T222" s="1" t="str">
        <f>IFERROR(IF($Q$1=$P$3,INDEX(prem_analysis!$P$2:$Q$441,ROWS(Data!$P$2:S222),COLUMNS(Data!$P$3:R223)),IF($Q$1=$P$5,INDEX(prem_analysis!$BH$1:$BS$23,ROWS(Data!$Q$3:S223),COLUMNS(Data!$Q$3:S223)),IF($Q$1=$P$6,INDEX(prem_analysis!$BU$1:$CF$67,ROWS(prem_analysis!$N$2:P222),COLUMNS(prem_analysis!$N$2:P222)),IF($Q$1=$P$4,INDEX(Table24[[#All],[Year]:[Details]],ROWS(prem_analysis!$M$420:O640),COLUMNS(Data!$Q$3:S223)))))),"")</f>
        <v/>
      </c>
      <c r="U222" s="1" t="str">
        <f>IFERROR(IF($Q$1=$P$3,INDEX(prem_analysis!$P$2:$Q$441,ROWS(Data!$P$2:T222),COLUMNS(Data!$P$3:S223)),IF($Q$1=$P$5,INDEX(prem_analysis!$BH$1:$BS$23,ROWS(Data!$Q$3:T223),COLUMNS(Data!$Q$3:T223)),IF($Q$1=$P$6,INDEX(prem_analysis!$BU$1:$CF$67,ROWS(prem_analysis!$N$2:Q222),COLUMNS(prem_analysis!$N$2:Q222)),IF($Q$1=$P$4,INDEX(Table24[[#All],[Year]:[Details]],ROWS(prem_analysis!$M$420:P640),COLUMNS(Data!$Q$3:T223)))))),"")</f>
        <v/>
      </c>
      <c r="V222" s="1" t="str">
        <f>IFERROR(IF($Q$1=$P$3,INDEX(prem_analysis!$P$2:$Q$441,ROWS(Data!$P$2:U222),COLUMNS(Data!$P$3:T223)),IF($Q$1=$P$5,INDEX(prem_analysis!$BH$1:$BS$23,ROWS(Data!$Q$3:U223),COLUMNS(Data!$Q$3:U223)),IF($Q$1=$P$6,INDEX(prem_analysis!$BU$1:$CF$67,ROWS(prem_analysis!$N$2:R222),COLUMNS(prem_analysis!$N$2:R222)),IF($Q$1=$P$4,INDEX(Table24[[#All],[Year]:[Details]],ROWS(prem_analysis!$M$420:Q640),COLUMNS(Data!$Q$3:U223)))))),"")</f>
        <v/>
      </c>
      <c r="W222" s="1" t="str">
        <f>IFERROR(IF($Q$1=$P$3,INDEX(prem_analysis!$P$2:$Q$441,ROWS(Data!$P$2:V222),COLUMNS(Data!$P$3:U223)),IF($Q$1=$P$5,INDEX(prem_analysis!$BH$1:$BS$23,ROWS(Data!$Q$3:V223),COLUMNS(Data!$Q$3:V223)),IF($Q$1=$P$6,INDEX(prem_analysis!$BU$1:$CF$67,ROWS(prem_analysis!$N$2:S222),COLUMNS(prem_analysis!$N$2:S222)),IF($Q$1=$P$4,INDEX(Table24[[#All],[Year]:[Details]],ROWS(prem_analysis!$M$420:R640),COLUMNS(Data!$Q$3:V223)))))),"")</f>
        <v/>
      </c>
      <c r="X222" s="1" t="str">
        <f>IFERROR(IF($Q$1=$P$3,INDEX(prem_analysis!$P$2:$Q$441,ROWS(Data!$P$2:W222),COLUMNS(Data!$P$3:V223)),IF($Q$1=$P$5,INDEX(prem_analysis!$BH$1:$BS$23,ROWS(Data!$Q$3:W223),COLUMNS(Data!$Q$3:W223)),IF($Q$1=$P$6,INDEX(prem_analysis!$BU$1:$CF$67,ROWS(prem_analysis!$N$2:T222),COLUMNS(prem_analysis!$N$2:T222)),IF($Q$1=$P$4,INDEX(Table24[[#All],[Year]:[Details]],ROWS(prem_analysis!$M$420:S640),COLUMNS(Data!$Q$3:W223)))))),"")</f>
        <v/>
      </c>
      <c r="Y222" s="1" t="str">
        <f>IFERROR(IF($Q$1=$P$3,INDEX(prem_analysis!$P$2:$Q$441,ROWS(Data!$P$2:X222),COLUMNS(Data!$P$3:W223)),IF($Q$1=$P$5,INDEX(prem_analysis!$BH$1:$BS$23,ROWS(Data!$Q$3:X223),COLUMNS(Data!$Q$3:X223)),IF($Q$1=$P$6,INDEX(prem_analysis!$BU$1:$CF$67,ROWS(prem_analysis!$N$2:U222),COLUMNS(prem_analysis!$N$2:U222)),IF($Q$1=$P$4,INDEX(Table24[[#All],[Year]:[Details]],ROWS(prem_analysis!$M$420:T640),COLUMNS(Data!$Q$3:X223)))))),"")</f>
        <v/>
      </c>
      <c r="Z222" s="1" t="str">
        <f>IFERROR(IF($Q$1=$P$3,INDEX(prem_analysis!$P$2:$Q$441,ROWS(Data!$P$2:Y222),COLUMNS(Data!$P$3:X223)),IF($Q$1=$P$5,INDEX(prem_analysis!$BH$1:$BS$23,ROWS(Data!$Q$3:Y223),COLUMNS(Data!$Q$3:Y223)),IF($Q$1=$P$6,INDEX(prem_analysis!$BU$1:$CF$67,ROWS(prem_analysis!$N$2:V222),COLUMNS(prem_analysis!$N$2:V222)),IF($Q$1=$P$4,INDEX(Table24[[#All],[Year]:[Details]],ROWS(prem_analysis!$M$420:U640),COLUMNS(Data!$Q$3:Y223)))))),"")</f>
        <v/>
      </c>
      <c r="AA222" s="1" t="str">
        <f>IFERROR(IF($Q$1=$P$3,INDEX(prem_analysis!$P$2:$Q$441,ROWS(Data!$P$2:Z222),COLUMNS(Data!$P$3:Y223)),IF($Q$1=$P$5,INDEX(prem_analysis!$BH$1:$BS$23,ROWS(Data!$Q$3:Z223),COLUMNS(Data!$Q$3:Z223)),IF($Q$1=$P$6,INDEX(prem_analysis!$BU$1:$CF$67,ROWS(prem_analysis!$N$2:W222),COLUMNS(prem_analysis!$N$2:W222)),IF($Q$1=$P$4,INDEX(Table24[[#All],[Year]:[Details]],ROWS(prem_analysis!$M$420:V640),COLUMNS(Data!$Q$3:Z223)))))),"")</f>
        <v/>
      </c>
      <c r="AB222" s="1" t="str">
        <f>IFERROR(IF($Q$1=$P$3,INDEX(prem_analysis!$P$2:$Q$441,ROWS(Data!$P$2:AA222),COLUMNS(Data!$P$3:Z223)),IF($Q$1=$P$5,INDEX(prem_analysis!$BH$1:$BS$23,ROWS(Data!$Q$3:AA223),COLUMNS(Data!$Q$3:AA223)),IF($Q$1=$P$6,INDEX(prem_analysis!$BU$1:$CF$67,ROWS(prem_analysis!$N$2:X222),COLUMNS(prem_analysis!$N$2:X222)),IF($Q$1=$P$4,INDEX(Table24[[#All],[Year]:[Details]],ROWS(prem_analysis!$M$420:W640),COLUMNS(Data!$Q$3:AA223)))))),"")</f>
        <v/>
      </c>
      <c r="AC222" s="1" t="str">
        <f>IFERROR(IF($Q$1=$P$3,INDEX(prem_analysis!$P$2:$Q$441,ROWS(Data!$P$2:AB222),COLUMNS(Data!$P$3:AA223)),IF($Q$1=$P$5,INDEX(prem_analysis!$BH$1:$BS$23,ROWS(Data!$Q$3:AB223),COLUMNS(Data!$Q$3:AB223)),IF($Q$1=$P$6,INDEX(prem_analysis!$BU$1:$CF$67,ROWS(prem_analysis!$N$2:Y222),COLUMNS(prem_analysis!$N$2:Y222)),IF($Q$1=$P$4,INDEX(Table24[[#All],[Year]:[Details]],ROWS(prem_analysis!$M$420:X640),COLUMNS(Data!$Q$3:AB223)))))),"")</f>
        <v/>
      </c>
    </row>
    <row r="223" spans="1:29" x14ac:dyDescent="0.2">
      <c r="A223" s="5">
        <v>2011</v>
      </c>
      <c r="B223" s="5">
        <v>2</v>
      </c>
      <c r="C223" s="6" t="s">
        <v>11</v>
      </c>
      <c r="D223" s="5">
        <v>38</v>
      </c>
      <c r="E223" s="5">
        <v>28</v>
      </c>
      <c r="F223" s="5">
        <v>5</v>
      </c>
      <c r="G223" s="5">
        <v>5</v>
      </c>
      <c r="H223" s="5">
        <v>89</v>
      </c>
      <c r="I223" s="5">
        <v>33</v>
      </c>
      <c r="J223" s="5">
        <v>56</v>
      </c>
      <c r="K223" s="5">
        <v>89</v>
      </c>
      <c r="L223" s="5">
        <f>IF(Table24[[#This Row],['#]]=1,"Champion", IF(Table24[[#This Row],['#]]&gt;=18,"Relegated",Table24[[#This Row],['#]]))</f>
        <v>2</v>
      </c>
      <c r="M223" s="5">
        <f>IF(Table24[[#This Row],[Details]]=2,K222-Table24[[#This Row],[Pts]],IF(Table24[[#This Row],[Details]]=17,Table24[[#This Row],[Pts]]-K224,""))</f>
        <v>0</v>
      </c>
      <c r="R223" s="1" t="str">
        <f>IFERROR(IF($Q$1=$P$3,INDEX(prem_analysis!$P$2:$Q$441,ROWS(Data!$P$2:Q223),COLUMNS(Data!$P$3:P224)),IF($Q$1=$P$5,INDEX(prem_analysis!$BH$1:$BS$23,ROWS(Data!$Q$3:Q224),COLUMNS(Data!$Q$3:Q224)),IF($Q$1=$P$6,INDEX(prem_analysis!$BU$1:$CF$67,ROWS(prem_analysis!$N$2:N223),COLUMNS(prem_analysis!$N$2:N223)),IF($Q$1=$P$4,INDEX(Table24[[#All],[Year]:[Details]],ROWS(prem_analysis!$M$420:M641),COLUMNS(Data!$Q$3:Q224)))))),"")</f>
        <v/>
      </c>
      <c r="S223" s="1" t="str">
        <f>IFERROR(IF($Q$1=$P$3,INDEX(prem_analysis!$P$2:$Q$441,ROWS(Data!$P$2:R223),COLUMNS(Data!$P$3:Q224)),IF($Q$1=$P$5,INDEX(prem_analysis!$BH$1:$BS$23,ROWS(Data!$Q$3:R224),COLUMNS(Data!$Q$3:R224)),IF($Q$1=$P$6,INDEX(prem_analysis!$BU$1:$CF$67,ROWS(prem_analysis!$N$2:O223),COLUMNS(prem_analysis!$N$2:O223)),IF($Q$1=$P$4,INDEX(Table24[[#All],[Year]:[Details]],ROWS(prem_analysis!$M$420:N641),COLUMNS(Data!$Q$3:R224)))))),"")</f>
        <v/>
      </c>
      <c r="T223" s="1" t="str">
        <f>IFERROR(IF($Q$1=$P$3,INDEX(prem_analysis!$P$2:$Q$441,ROWS(Data!$P$2:S223),COLUMNS(Data!$P$3:R224)),IF($Q$1=$P$5,INDEX(prem_analysis!$BH$1:$BS$23,ROWS(Data!$Q$3:S224),COLUMNS(Data!$Q$3:S224)),IF($Q$1=$P$6,INDEX(prem_analysis!$BU$1:$CF$67,ROWS(prem_analysis!$N$2:P223),COLUMNS(prem_analysis!$N$2:P223)),IF($Q$1=$P$4,INDEX(Table24[[#All],[Year]:[Details]],ROWS(prem_analysis!$M$420:O641),COLUMNS(Data!$Q$3:S224)))))),"")</f>
        <v/>
      </c>
      <c r="U223" s="1" t="str">
        <f>IFERROR(IF($Q$1=$P$3,INDEX(prem_analysis!$P$2:$Q$441,ROWS(Data!$P$2:T223),COLUMNS(Data!$P$3:S224)),IF($Q$1=$P$5,INDEX(prem_analysis!$BH$1:$BS$23,ROWS(Data!$Q$3:T224),COLUMNS(Data!$Q$3:T224)),IF($Q$1=$P$6,INDEX(prem_analysis!$BU$1:$CF$67,ROWS(prem_analysis!$N$2:Q223),COLUMNS(prem_analysis!$N$2:Q223)),IF($Q$1=$P$4,INDEX(Table24[[#All],[Year]:[Details]],ROWS(prem_analysis!$M$420:P641),COLUMNS(Data!$Q$3:T224)))))),"")</f>
        <v/>
      </c>
      <c r="V223" s="1" t="str">
        <f>IFERROR(IF($Q$1=$P$3,INDEX(prem_analysis!$P$2:$Q$441,ROWS(Data!$P$2:U223),COLUMNS(Data!$P$3:T224)),IF($Q$1=$P$5,INDEX(prem_analysis!$BH$1:$BS$23,ROWS(Data!$Q$3:U224),COLUMNS(Data!$Q$3:U224)),IF($Q$1=$P$6,INDEX(prem_analysis!$BU$1:$CF$67,ROWS(prem_analysis!$N$2:R223),COLUMNS(prem_analysis!$N$2:R223)),IF($Q$1=$P$4,INDEX(Table24[[#All],[Year]:[Details]],ROWS(prem_analysis!$M$420:Q641),COLUMNS(Data!$Q$3:U224)))))),"")</f>
        <v/>
      </c>
      <c r="W223" s="1" t="str">
        <f>IFERROR(IF($Q$1=$P$3,INDEX(prem_analysis!$P$2:$Q$441,ROWS(Data!$P$2:V223),COLUMNS(Data!$P$3:U224)),IF($Q$1=$P$5,INDEX(prem_analysis!$BH$1:$BS$23,ROWS(Data!$Q$3:V224),COLUMNS(Data!$Q$3:V224)),IF($Q$1=$P$6,INDEX(prem_analysis!$BU$1:$CF$67,ROWS(prem_analysis!$N$2:S223),COLUMNS(prem_analysis!$N$2:S223)),IF($Q$1=$P$4,INDEX(Table24[[#All],[Year]:[Details]],ROWS(prem_analysis!$M$420:R641),COLUMNS(Data!$Q$3:V224)))))),"")</f>
        <v/>
      </c>
      <c r="X223" s="1" t="str">
        <f>IFERROR(IF($Q$1=$P$3,INDEX(prem_analysis!$P$2:$Q$441,ROWS(Data!$P$2:W223),COLUMNS(Data!$P$3:V224)),IF($Q$1=$P$5,INDEX(prem_analysis!$BH$1:$BS$23,ROWS(Data!$Q$3:W224),COLUMNS(Data!$Q$3:W224)),IF($Q$1=$P$6,INDEX(prem_analysis!$BU$1:$CF$67,ROWS(prem_analysis!$N$2:T223),COLUMNS(prem_analysis!$N$2:T223)),IF($Q$1=$P$4,INDEX(Table24[[#All],[Year]:[Details]],ROWS(prem_analysis!$M$420:S641),COLUMNS(Data!$Q$3:W224)))))),"")</f>
        <v/>
      </c>
      <c r="Y223" s="1" t="str">
        <f>IFERROR(IF($Q$1=$P$3,INDEX(prem_analysis!$P$2:$Q$441,ROWS(Data!$P$2:X223),COLUMNS(Data!$P$3:W224)),IF($Q$1=$P$5,INDEX(prem_analysis!$BH$1:$BS$23,ROWS(Data!$Q$3:X224),COLUMNS(Data!$Q$3:X224)),IF($Q$1=$P$6,INDEX(prem_analysis!$BU$1:$CF$67,ROWS(prem_analysis!$N$2:U223),COLUMNS(prem_analysis!$N$2:U223)),IF($Q$1=$P$4,INDEX(Table24[[#All],[Year]:[Details]],ROWS(prem_analysis!$M$420:T641),COLUMNS(Data!$Q$3:X224)))))),"")</f>
        <v/>
      </c>
      <c r="Z223" s="1" t="str">
        <f>IFERROR(IF($Q$1=$P$3,INDEX(prem_analysis!$P$2:$Q$441,ROWS(Data!$P$2:Y223),COLUMNS(Data!$P$3:X224)),IF($Q$1=$P$5,INDEX(prem_analysis!$BH$1:$BS$23,ROWS(Data!$Q$3:Y224),COLUMNS(Data!$Q$3:Y224)),IF($Q$1=$P$6,INDEX(prem_analysis!$BU$1:$CF$67,ROWS(prem_analysis!$N$2:V223),COLUMNS(prem_analysis!$N$2:V223)),IF($Q$1=$P$4,INDEX(Table24[[#All],[Year]:[Details]],ROWS(prem_analysis!$M$420:U641),COLUMNS(Data!$Q$3:Y224)))))),"")</f>
        <v/>
      </c>
      <c r="AA223" s="1" t="str">
        <f>IFERROR(IF($Q$1=$P$3,INDEX(prem_analysis!$P$2:$Q$441,ROWS(Data!$P$2:Z223),COLUMNS(Data!$P$3:Y224)),IF($Q$1=$P$5,INDEX(prem_analysis!$BH$1:$BS$23,ROWS(Data!$Q$3:Z224),COLUMNS(Data!$Q$3:Z224)),IF($Q$1=$P$6,INDEX(prem_analysis!$BU$1:$CF$67,ROWS(prem_analysis!$N$2:W223),COLUMNS(prem_analysis!$N$2:W223)),IF($Q$1=$P$4,INDEX(Table24[[#All],[Year]:[Details]],ROWS(prem_analysis!$M$420:V641),COLUMNS(Data!$Q$3:Z224)))))),"")</f>
        <v/>
      </c>
      <c r="AB223" s="1" t="str">
        <f>IFERROR(IF($Q$1=$P$3,INDEX(prem_analysis!$P$2:$Q$441,ROWS(Data!$P$2:AA223),COLUMNS(Data!$P$3:Z224)),IF($Q$1=$P$5,INDEX(prem_analysis!$BH$1:$BS$23,ROWS(Data!$Q$3:AA224),COLUMNS(Data!$Q$3:AA224)),IF($Q$1=$P$6,INDEX(prem_analysis!$BU$1:$CF$67,ROWS(prem_analysis!$N$2:X223),COLUMNS(prem_analysis!$N$2:X223)),IF($Q$1=$P$4,INDEX(Table24[[#All],[Year]:[Details]],ROWS(prem_analysis!$M$420:W641),COLUMNS(Data!$Q$3:AA224)))))),"")</f>
        <v/>
      </c>
      <c r="AC223" s="1" t="str">
        <f>IFERROR(IF($Q$1=$P$3,INDEX(prem_analysis!$P$2:$Q$441,ROWS(Data!$P$2:AB223),COLUMNS(Data!$P$3:AA224)),IF($Q$1=$P$5,INDEX(prem_analysis!$BH$1:$BS$23,ROWS(Data!$Q$3:AB224),COLUMNS(Data!$Q$3:AB224)),IF($Q$1=$P$6,INDEX(prem_analysis!$BU$1:$CF$67,ROWS(prem_analysis!$N$2:Y223),COLUMNS(prem_analysis!$N$2:Y223)),IF($Q$1=$P$4,INDEX(Table24[[#All],[Year]:[Details]],ROWS(prem_analysis!$M$420:X641),COLUMNS(Data!$Q$3:AB224)))))),"")</f>
        <v/>
      </c>
    </row>
    <row r="224" spans="1:29" x14ac:dyDescent="0.2">
      <c r="A224" s="3">
        <v>2011</v>
      </c>
      <c r="B224" s="3">
        <v>3</v>
      </c>
      <c r="C224" s="6" t="s">
        <v>12</v>
      </c>
      <c r="D224" s="3">
        <v>38</v>
      </c>
      <c r="E224" s="3">
        <v>21</v>
      </c>
      <c r="F224" s="3">
        <v>7</v>
      </c>
      <c r="G224" s="3">
        <v>10</v>
      </c>
      <c r="H224" s="3">
        <v>74</v>
      </c>
      <c r="I224" s="3">
        <v>49</v>
      </c>
      <c r="J224" s="3">
        <v>25</v>
      </c>
      <c r="K224" s="3">
        <v>70</v>
      </c>
      <c r="L224" s="5">
        <f>IF(Table24[[#This Row],['#]]=1,"Champion", IF(Table24[[#This Row],['#]]&gt;=18,"Relegated",Table24[[#This Row],['#]]))</f>
        <v>3</v>
      </c>
      <c r="M224" s="5" t="str">
        <f>IF(Table24[[#This Row],[Details]]=2,K223-Table24[[#This Row],[Pts]],IF(Table24[[#This Row],[Details]]=17,Table24[[#This Row],[Pts]]-K225,""))</f>
        <v/>
      </c>
      <c r="R224" s="1" t="str">
        <f>IFERROR(IF($Q$1=$P$3,INDEX(prem_analysis!$P$2:$Q$441,ROWS(Data!$P$2:Q224),COLUMNS(Data!$P$3:P225)),IF($Q$1=$P$5,INDEX(prem_analysis!$BH$1:$BS$23,ROWS(Data!$Q$3:Q225),COLUMNS(Data!$Q$3:Q225)),IF($Q$1=$P$6,INDEX(prem_analysis!$BU$1:$CF$67,ROWS(prem_analysis!$N$2:N224),COLUMNS(prem_analysis!$N$2:N224)),IF($Q$1=$P$4,INDEX(Table24[[#All],[Year]:[Details]],ROWS(prem_analysis!$M$420:M642),COLUMNS(Data!$Q$3:Q225)))))),"")</f>
        <v/>
      </c>
      <c r="S224" s="1" t="str">
        <f>IFERROR(IF($Q$1=$P$3,INDEX(prem_analysis!$P$2:$Q$441,ROWS(Data!$P$2:R224),COLUMNS(Data!$P$3:Q225)),IF($Q$1=$P$5,INDEX(prem_analysis!$BH$1:$BS$23,ROWS(Data!$Q$3:R225),COLUMNS(Data!$Q$3:R225)),IF($Q$1=$P$6,INDEX(prem_analysis!$BU$1:$CF$67,ROWS(prem_analysis!$N$2:O224),COLUMNS(prem_analysis!$N$2:O224)),IF($Q$1=$P$4,INDEX(Table24[[#All],[Year]:[Details]],ROWS(prem_analysis!$M$420:N642),COLUMNS(Data!$Q$3:R225)))))),"")</f>
        <v/>
      </c>
      <c r="T224" s="1" t="str">
        <f>IFERROR(IF($Q$1=$P$3,INDEX(prem_analysis!$P$2:$Q$441,ROWS(Data!$P$2:S224),COLUMNS(Data!$P$3:R225)),IF($Q$1=$P$5,INDEX(prem_analysis!$BH$1:$BS$23,ROWS(Data!$Q$3:S225),COLUMNS(Data!$Q$3:S225)),IF($Q$1=$P$6,INDEX(prem_analysis!$BU$1:$CF$67,ROWS(prem_analysis!$N$2:P224),COLUMNS(prem_analysis!$N$2:P224)),IF($Q$1=$P$4,INDEX(Table24[[#All],[Year]:[Details]],ROWS(prem_analysis!$M$420:O642),COLUMNS(Data!$Q$3:S225)))))),"")</f>
        <v/>
      </c>
      <c r="U224" s="1" t="str">
        <f>IFERROR(IF($Q$1=$P$3,INDEX(prem_analysis!$P$2:$Q$441,ROWS(Data!$P$2:T224),COLUMNS(Data!$P$3:S225)),IF($Q$1=$P$5,INDEX(prem_analysis!$BH$1:$BS$23,ROWS(Data!$Q$3:T225),COLUMNS(Data!$Q$3:T225)),IF($Q$1=$P$6,INDEX(prem_analysis!$BU$1:$CF$67,ROWS(prem_analysis!$N$2:Q224),COLUMNS(prem_analysis!$N$2:Q224)),IF($Q$1=$P$4,INDEX(Table24[[#All],[Year]:[Details]],ROWS(prem_analysis!$M$420:P642),COLUMNS(Data!$Q$3:T225)))))),"")</f>
        <v/>
      </c>
      <c r="V224" s="1" t="str">
        <f>IFERROR(IF($Q$1=$P$3,INDEX(prem_analysis!$P$2:$Q$441,ROWS(Data!$P$2:U224),COLUMNS(Data!$P$3:T225)),IF($Q$1=$P$5,INDEX(prem_analysis!$BH$1:$BS$23,ROWS(Data!$Q$3:U225),COLUMNS(Data!$Q$3:U225)),IF($Q$1=$P$6,INDEX(prem_analysis!$BU$1:$CF$67,ROWS(prem_analysis!$N$2:R224),COLUMNS(prem_analysis!$N$2:R224)),IF($Q$1=$P$4,INDEX(Table24[[#All],[Year]:[Details]],ROWS(prem_analysis!$M$420:Q642),COLUMNS(Data!$Q$3:U225)))))),"")</f>
        <v/>
      </c>
      <c r="W224" s="1" t="str">
        <f>IFERROR(IF($Q$1=$P$3,INDEX(prem_analysis!$P$2:$Q$441,ROWS(Data!$P$2:V224),COLUMNS(Data!$P$3:U225)),IF($Q$1=$P$5,INDEX(prem_analysis!$BH$1:$BS$23,ROWS(Data!$Q$3:V225),COLUMNS(Data!$Q$3:V225)),IF($Q$1=$P$6,INDEX(prem_analysis!$BU$1:$CF$67,ROWS(prem_analysis!$N$2:S224),COLUMNS(prem_analysis!$N$2:S224)),IF($Q$1=$P$4,INDEX(Table24[[#All],[Year]:[Details]],ROWS(prem_analysis!$M$420:R642),COLUMNS(Data!$Q$3:V225)))))),"")</f>
        <v/>
      </c>
      <c r="X224" s="1" t="str">
        <f>IFERROR(IF($Q$1=$P$3,INDEX(prem_analysis!$P$2:$Q$441,ROWS(Data!$P$2:W224),COLUMNS(Data!$P$3:V225)),IF($Q$1=$P$5,INDEX(prem_analysis!$BH$1:$BS$23,ROWS(Data!$Q$3:W225),COLUMNS(Data!$Q$3:W225)),IF($Q$1=$P$6,INDEX(prem_analysis!$BU$1:$CF$67,ROWS(prem_analysis!$N$2:T224),COLUMNS(prem_analysis!$N$2:T224)),IF($Q$1=$P$4,INDEX(Table24[[#All],[Year]:[Details]],ROWS(prem_analysis!$M$420:S642),COLUMNS(Data!$Q$3:W225)))))),"")</f>
        <v/>
      </c>
      <c r="Y224" s="1" t="str">
        <f>IFERROR(IF($Q$1=$P$3,INDEX(prem_analysis!$P$2:$Q$441,ROWS(Data!$P$2:X224),COLUMNS(Data!$P$3:W225)),IF($Q$1=$P$5,INDEX(prem_analysis!$BH$1:$BS$23,ROWS(Data!$Q$3:X225),COLUMNS(Data!$Q$3:X225)),IF($Q$1=$P$6,INDEX(prem_analysis!$BU$1:$CF$67,ROWS(prem_analysis!$N$2:U224),COLUMNS(prem_analysis!$N$2:U224)),IF($Q$1=$P$4,INDEX(Table24[[#All],[Year]:[Details]],ROWS(prem_analysis!$M$420:T642),COLUMNS(Data!$Q$3:X225)))))),"")</f>
        <v/>
      </c>
      <c r="Z224" s="1" t="str">
        <f>IFERROR(IF($Q$1=$P$3,INDEX(prem_analysis!$P$2:$Q$441,ROWS(Data!$P$2:Y224),COLUMNS(Data!$P$3:X225)),IF($Q$1=$P$5,INDEX(prem_analysis!$BH$1:$BS$23,ROWS(Data!$Q$3:Y225),COLUMNS(Data!$Q$3:Y225)),IF($Q$1=$P$6,INDEX(prem_analysis!$BU$1:$CF$67,ROWS(prem_analysis!$N$2:V224),COLUMNS(prem_analysis!$N$2:V224)),IF($Q$1=$P$4,INDEX(Table24[[#All],[Year]:[Details]],ROWS(prem_analysis!$M$420:U642),COLUMNS(Data!$Q$3:Y225)))))),"")</f>
        <v/>
      </c>
      <c r="AA224" s="1" t="str">
        <f>IFERROR(IF($Q$1=$P$3,INDEX(prem_analysis!$P$2:$Q$441,ROWS(Data!$P$2:Z224),COLUMNS(Data!$P$3:Y225)),IF($Q$1=$P$5,INDEX(prem_analysis!$BH$1:$BS$23,ROWS(Data!$Q$3:Z225),COLUMNS(Data!$Q$3:Z225)),IF($Q$1=$P$6,INDEX(prem_analysis!$BU$1:$CF$67,ROWS(prem_analysis!$N$2:W224),COLUMNS(prem_analysis!$N$2:W224)),IF($Q$1=$P$4,INDEX(Table24[[#All],[Year]:[Details]],ROWS(prem_analysis!$M$420:V642),COLUMNS(Data!$Q$3:Z225)))))),"")</f>
        <v/>
      </c>
      <c r="AB224" s="1" t="str">
        <f>IFERROR(IF($Q$1=$P$3,INDEX(prem_analysis!$P$2:$Q$441,ROWS(Data!$P$2:AA224),COLUMNS(Data!$P$3:Z225)),IF($Q$1=$P$5,INDEX(prem_analysis!$BH$1:$BS$23,ROWS(Data!$Q$3:AA225),COLUMNS(Data!$Q$3:AA225)),IF($Q$1=$P$6,INDEX(prem_analysis!$BU$1:$CF$67,ROWS(prem_analysis!$N$2:X224),COLUMNS(prem_analysis!$N$2:X224)),IF($Q$1=$P$4,INDEX(Table24[[#All],[Year]:[Details]],ROWS(prem_analysis!$M$420:W642),COLUMNS(Data!$Q$3:AA225)))))),"")</f>
        <v/>
      </c>
      <c r="AC224" s="1" t="str">
        <f>IFERROR(IF($Q$1=$P$3,INDEX(prem_analysis!$P$2:$Q$441,ROWS(Data!$P$2:AB224),COLUMNS(Data!$P$3:AA225)),IF($Q$1=$P$5,INDEX(prem_analysis!$BH$1:$BS$23,ROWS(Data!$Q$3:AB225),COLUMNS(Data!$Q$3:AB225)),IF($Q$1=$P$6,INDEX(prem_analysis!$BU$1:$CF$67,ROWS(prem_analysis!$N$2:Y224),COLUMNS(prem_analysis!$N$2:Y224)),IF($Q$1=$P$4,INDEX(Table24[[#All],[Year]:[Details]],ROWS(prem_analysis!$M$420:X642),COLUMNS(Data!$Q$3:AB225)))))),"")</f>
        <v/>
      </c>
    </row>
    <row r="225" spans="1:29" x14ac:dyDescent="0.2">
      <c r="A225" s="5">
        <v>2011</v>
      </c>
      <c r="B225" s="5">
        <v>4</v>
      </c>
      <c r="C225" s="6" t="s">
        <v>22</v>
      </c>
      <c r="D225" s="5">
        <v>38</v>
      </c>
      <c r="E225" s="5">
        <v>20</v>
      </c>
      <c r="F225" s="5">
        <v>9</v>
      </c>
      <c r="G225" s="5">
        <v>9</v>
      </c>
      <c r="H225" s="5">
        <v>66</v>
      </c>
      <c r="I225" s="5">
        <v>41</v>
      </c>
      <c r="J225" s="5">
        <v>25</v>
      </c>
      <c r="K225" s="5">
        <v>69</v>
      </c>
      <c r="L225" s="5">
        <f>IF(Table24[[#This Row],['#]]=1,"Champion", IF(Table24[[#This Row],['#]]&gt;=18,"Relegated",Table24[[#This Row],['#]]))</f>
        <v>4</v>
      </c>
      <c r="M225" s="5" t="str">
        <f>IF(Table24[[#This Row],[Details]]=2,K224-Table24[[#This Row],[Pts]],IF(Table24[[#This Row],[Details]]=17,Table24[[#This Row],[Pts]]-K226,""))</f>
        <v/>
      </c>
      <c r="R225" s="1" t="str">
        <f>IFERROR(IF($Q$1=$P$3,INDEX(prem_analysis!$P$2:$Q$441,ROWS(Data!$P$2:Q225),COLUMNS(Data!$P$3:P226)),IF($Q$1=$P$5,INDEX(prem_analysis!$BH$1:$BS$23,ROWS(Data!$Q$3:Q226),COLUMNS(Data!$Q$3:Q226)),IF($Q$1=$P$6,INDEX(prem_analysis!$BU$1:$CF$67,ROWS(prem_analysis!$N$2:N225),COLUMNS(prem_analysis!$N$2:N225)),IF($Q$1=$P$4,INDEX(Table24[[#All],[Year]:[Details]],ROWS(prem_analysis!$M$420:M643),COLUMNS(Data!$Q$3:Q226)))))),"")</f>
        <v/>
      </c>
      <c r="S225" s="1" t="str">
        <f>IFERROR(IF($Q$1=$P$3,INDEX(prem_analysis!$P$2:$Q$441,ROWS(Data!$P$2:R225),COLUMNS(Data!$P$3:Q226)),IF($Q$1=$P$5,INDEX(prem_analysis!$BH$1:$BS$23,ROWS(Data!$Q$3:R226),COLUMNS(Data!$Q$3:R226)),IF($Q$1=$P$6,INDEX(prem_analysis!$BU$1:$CF$67,ROWS(prem_analysis!$N$2:O225),COLUMNS(prem_analysis!$N$2:O225)),IF($Q$1=$P$4,INDEX(Table24[[#All],[Year]:[Details]],ROWS(prem_analysis!$M$420:N643),COLUMNS(Data!$Q$3:R226)))))),"")</f>
        <v/>
      </c>
      <c r="T225" s="1" t="str">
        <f>IFERROR(IF($Q$1=$P$3,INDEX(prem_analysis!$P$2:$Q$441,ROWS(Data!$P$2:S225),COLUMNS(Data!$P$3:R226)),IF($Q$1=$P$5,INDEX(prem_analysis!$BH$1:$BS$23,ROWS(Data!$Q$3:S226),COLUMNS(Data!$Q$3:S226)),IF($Q$1=$P$6,INDEX(prem_analysis!$BU$1:$CF$67,ROWS(prem_analysis!$N$2:P225),COLUMNS(prem_analysis!$N$2:P225)),IF($Q$1=$P$4,INDEX(Table24[[#All],[Year]:[Details]],ROWS(prem_analysis!$M$420:O643),COLUMNS(Data!$Q$3:S226)))))),"")</f>
        <v/>
      </c>
      <c r="U225" s="1" t="str">
        <f>IFERROR(IF($Q$1=$P$3,INDEX(prem_analysis!$P$2:$Q$441,ROWS(Data!$P$2:T225),COLUMNS(Data!$P$3:S226)),IF($Q$1=$P$5,INDEX(prem_analysis!$BH$1:$BS$23,ROWS(Data!$Q$3:T226),COLUMNS(Data!$Q$3:T226)),IF($Q$1=$P$6,INDEX(prem_analysis!$BU$1:$CF$67,ROWS(prem_analysis!$N$2:Q225),COLUMNS(prem_analysis!$N$2:Q225)),IF($Q$1=$P$4,INDEX(Table24[[#All],[Year]:[Details]],ROWS(prem_analysis!$M$420:P643),COLUMNS(Data!$Q$3:T226)))))),"")</f>
        <v/>
      </c>
      <c r="V225" s="1" t="str">
        <f>IFERROR(IF($Q$1=$P$3,INDEX(prem_analysis!$P$2:$Q$441,ROWS(Data!$P$2:U225),COLUMNS(Data!$P$3:T226)),IF($Q$1=$P$5,INDEX(prem_analysis!$BH$1:$BS$23,ROWS(Data!$Q$3:U226),COLUMNS(Data!$Q$3:U226)),IF($Q$1=$P$6,INDEX(prem_analysis!$BU$1:$CF$67,ROWS(prem_analysis!$N$2:R225),COLUMNS(prem_analysis!$N$2:R225)),IF($Q$1=$P$4,INDEX(Table24[[#All],[Year]:[Details]],ROWS(prem_analysis!$M$420:Q643),COLUMNS(Data!$Q$3:U226)))))),"")</f>
        <v/>
      </c>
      <c r="W225" s="1" t="str">
        <f>IFERROR(IF($Q$1=$P$3,INDEX(prem_analysis!$P$2:$Q$441,ROWS(Data!$P$2:V225),COLUMNS(Data!$P$3:U226)),IF($Q$1=$P$5,INDEX(prem_analysis!$BH$1:$BS$23,ROWS(Data!$Q$3:V226),COLUMNS(Data!$Q$3:V226)),IF($Q$1=$P$6,INDEX(prem_analysis!$BU$1:$CF$67,ROWS(prem_analysis!$N$2:S225),COLUMNS(prem_analysis!$N$2:S225)),IF($Q$1=$P$4,INDEX(Table24[[#All],[Year]:[Details]],ROWS(prem_analysis!$M$420:R643),COLUMNS(Data!$Q$3:V226)))))),"")</f>
        <v/>
      </c>
      <c r="X225" s="1" t="str">
        <f>IFERROR(IF($Q$1=$P$3,INDEX(prem_analysis!$P$2:$Q$441,ROWS(Data!$P$2:W225),COLUMNS(Data!$P$3:V226)),IF($Q$1=$P$5,INDEX(prem_analysis!$BH$1:$BS$23,ROWS(Data!$Q$3:W226),COLUMNS(Data!$Q$3:W226)),IF($Q$1=$P$6,INDEX(prem_analysis!$BU$1:$CF$67,ROWS(prem_analysis!$N$2:T225),COLUMNS(prem_analysis!$N$2:T225)),IF($Q$1=$P$4,INDEX(Table24[[#All],[Year]:[Details]],ROWS(prem_analysis!$M$420:S643),COLUMNS(Data!$Q$3:W226)))))),"")</f>
        <v/>
      </c>
      <c r="Y225" s="1" t="str">
        <f>IFERROR(IF($Q$1=$P$3,INDEX(prem_analysis!$P$2:$Q$441,ROWS(Data!$P$2:X225),COLUMNS(Data!$P$3:W226)),IF($Q$1=$P$5,INDEX(prem_analysis!$BH$1:$BS$23,ROWS(Data!$Q$3:X226),COLUMNS(Data!$Q$3:X226)),IF($Q$1=$P$6,INDEX(prem_analysis!$BU$1:$CF$67,ROWS(prem_analysis!$N$2:U225),COLUMNS(prem_analysis!$N$2:U225)),IF($Q$1=$P$4,INDEX(Table24[[#All],[Year]:[Details]],ROWS(prem_analysis!$M$420:T643),COLUMNS(Data!$Q$3:X226)))))),"")</f>
        <v/>
      </c>
      <c r="Z225" s="1" t="str">
        <f>IFERROR(IF($Q$1=$P$3,INDEX(prem_analysis!$P$2:$Q$441,ROWS(Data!$P$2:Y225),COLUMNS(Data!$P$3:X226)),IF($Q$1=$P$5,INDEX(prem_analysis!$BH$1:$BS$23,ROWS(Data!$Q$3:Y226),COLUMNS(Data!$Q$3:Y226)),IF($Q$1=$P$6,INDEX(prem_analysis!$BU$1:$CF$67,ROWS(prem_analysis!$N$2:V225),COLUMNS(prem_analysis!$N$2:V225)),IF($Q$1=$P$4,INDEX(Table24[[#All],[Year]:[Details]],ROWS(prem_analysis!$M$420:U643),COLUMNS(Data!$Q$3:Y226)))))),"")</f>
        <v/>
      </c>
      <c r="AA225" s="1" t="str">
        <f>IFERROR(IF($Q$1=$P$3,INDEX(prem_analysis!$P$2:$Q$441,ROWS(Data!$P$2:Z225),COLUMNS(Data!$P$3:Y226)),IF($Q$1=$P$5,INDEX(prem_analysis!$BH$1:$BS$23,ROWS(Data!$Q$3:Z226),COLUMNS(Data!$Q$3:Z226)),IF($Q$1=$P$6,INDEX(prem_analysis!$BU$1:$CF$67,ROWS(prem_analysis!$N$2:W225),COLUMNS(prem_analysis!$N$2:W225)),IF($Q$1=$P$4,INDEX(Table24[[#All],[Year]:[Details]],ROWS(prem_analysis!$M$420:V643),COLUMNS(Data!$Q$3:Z226)))))),"")</f>
        <v/>
      </c>
      <c r="AB225" s="1" t="str">
        <f>IFERROR(IF($Q$1=$P$3,INDEX(prem_analysis!$P$2:$Q$441,ROWS(Data!$P$2:AA225),COLUMNS(Data!$P$3:Z226)),IF($Q$1=$P$5,INDEX(prem_analysis!$BH$1:$BS$23,ROWS(Data!$Q$3:AA226),COLUMNS(Data!$Q$3:AA226)),IF($Q$1=$P$6,INDEX(prem_analysis!$BU$1:$CF$67,ROWS(prem_analysis!$N$2:X225),COLUMNS(prem_analysis!$N$2:X225)),IF($Q$1=$P$4,INDEX(Table24[[#All],[Year]:[Details]],ROWS(prem_analysis!$M$420:W643),COLUMNS(Data!$Q$3:AA226)))))),"")</f>
        <v/>
      </c>
      <c r="AC225" s="1" t="str">
        <f>IFERROR(IF($Q$1=$P$3,INDEX(prem_analysis!$P$2:$Q$441,ROWS(Data!$P$2:AB225),COLUMNS(Data!$P$3:AA226)),IF($Q$1=$P$5,INDEX(prem_analysis!$BH$1:$BS$23,ROWS(Data!$Q$3:AB226),COLUMNS(Data!$Q$3:AB226)),IF($Q$1=$P$6,INDEX(prem_analysis!$BU$1:$CF$67,ROWS(prem_analysis!$N$2:Y225),COLUMNS(prem_analysis!$N$2:Y225)),IF($Q$1=$P$4,INDEX(Table24[[#All],[Year]:[Details]],ROWS(prem_analysis!$M$420:X643),COLUMNS(Data!$Q$3:AB226)))))),"")</f>
        <v/>
      </c>
    </row>
    <row r="226" spans="1:29" x14ac:dyDescent="0.2">
      <c r="A226" s="3">
        <v>2011</v>
      </c>
      <c r="B226" s="3">
        <v>5</v>
      </c>
      <c r="C226" s="4" t="s">
        <v>21</v>
      </c>
      <c r="D226" s="3">
        <v>38</v>
      </c>
      <c r="E226" s="3">
        <v>19</v>
      </c>
      <c r="F226" s="3">
        <v>8</v>
      </c>
      <c r="G226" s="3">
        <v>11</v>
      </c>
      <c r="H226" s="3">
        <v>56</v>
      </c>
      <c r="I226" s="3">
        <v>51</v>
      </c>
      <c r="J226" s="3">
        <v>5</v>
      </c>
      <c r="K226" s="3">
        <v>65</v>
      </c>
      <c r="L226" s="5">
        <f>IF(Table24[[#This Row],['#]]=1,"Champion", IF(Table24[[#This Row],['#]]&gt;=18,"Relegated",Table24[[#This Row],['#]]))</f>
        <v>5</v>
      </c>
      <c r="M226" s="5" t="str">
        <f>IF(Table24[[#This Row],[Details]]=2,K225-Table24[[#This Row],[Pts]],IF(Table24[[#This Row],[Details]]=17,Table24[[#This Row],[Pts]]-K227,""))</f>
        <v/>
      </c>
      <c r="R226" s="1" t="str">
        <f>IFERROR(IF($Q$1=$P$3,INDEX(prem_analysis!$P$2:$Q$441,ROWS(Data!$P$2:Q226),COLUMNS(Data!$P$3:P227)),IF($Q$1=$P$5,INDEX(prem_analysis!$BH$1:$BS$23,ROWS(Data!$Q$3:Q227),COLUMNS(Data!$Q$3:Q227)),IF($Q$1=$P$6,INDEX(prem_analysis!$BU$1:$CF$67,ROWS(prem_analysis!$N$2:N226),COLUMNS(prem_analysis!$N$2:N226)),IF($Q$1=$P$4,INDEX(Table24[[#All],[Year]:[Details]],ROWS(prem_analysis!$M$420:M644),COLUMNS(Data!$Q$3:Q227)))))),"")</f>
        <v/>
      </c>
      <c r="S226" s="1" t="str">
        <f>IFERROR(IF($Q$1=$P$3,INDEX(prem_analysis!$P$2:$Q$441,ROWS(Data!$P$2:R226),COLUMNS(Data!$P$3:Q227)),IF($Q$1=$P$5,INDEX(prem_analysis!$BH$1:$BS$23,ROWS(Data!$Q$3:R227),COLUMNS(Data!$Q$3:R227)),IF($Q$1=$P$6,INDEX(prem_analysis!$BU$1:$CF$67,ROWS(prem_analysis!$N$2:O226),COLUMNS(prem_analysis!$N$2:O226)),IF($Q$1=$P$4,INDEX(Table24[[#All],[Year]:[Details]],ROWS(prem_analysis!$M$420:N644),COLUMNS(Data!$Q$3:R227)))))),"")</f>
        <v/>
      </c>
      <c r="T226" s="1" t="str">
        <f>IFERROR(IF($Q$1=$P$3,INDEX(prem_analysis!$P$2:$Q$441,ROWS(Data!$P$2:S226),COLUMNS(Data!$P$3:R227)),IF($Q$1=$P$5,INDEX(prem_analysis!$BH$1:$BS$23,ROWS(Data!$Q$3:S227),COLUMNS(Data!$Q$3:S227)),IF($Q$1=$P$6,INDEX(prem_analysis!$BU$1:$CF$67,ROWS(prem_analysis!$N$2:P226),COLUMNS(prem_analysis!$N$2:P226)),IF($Q$1=$P$4,INDEX(Table24[[#All],[Year]:[Details]],ROWS(prem_analysis!$M$420:O644),COLUMNS(Data!$Q$3:S227)))))),"")</f>
        <v/>
      </c>
      <c r="U226" s="1" t="str">
        <f>IFERROR(IF($Q$1=$P$3,INDEX(prem_analysis!$P$2:$Q$441,ROWS(Data!$P$2:T226),COLUMNS(Data!$P$3:S227)),IF($Q$1=$P$5,INDEX(prem_analysis!$BH$1:$BS$23,ROWS(Data!$Q$3:T227),COLUMNS(Data!$Q$3:T227)),IF($Q$1=$P$6,INDEX(prem_analysis!$BU$1:$CF$67,ROWS(prem_analysis!$N$2:Q226),COLUMNS(prem_analysis!$N$2:Q226)),IF($Q$1=$P$4,INDEX(Table24[[#All],[Year]:[Details]],ROWS(prem_analysis!$M$420:P644),COLUMNS(Data!$Q$3:T227)))))),"")</f>
        <v/>
      </c>
      <c r="V226" s="1" t="str">
        <f>IFERROR(IF($Q$1=$P$3,INDEX(prem_analysis!$P$2:$Q$441,ROWS(Data!$P$2:U226),COLUMNS(Data!$P$3:T227)),IF($Q$1=$P$5,INDEX(prem_analysis!$BH$1:$BS$23,ROWS(Data!$Q$3:U227),COLUMNS(Data!$Q$3:U227)),IF($Q$1=$P$6,INDEX(prem_analysis!$BU$1:$CF$67,ROWS(prem_analysis!$N$2:R226),COLUMNS(prem_analysis!$N$2:R226)),IF($Q$1=$P$4,INDEX(Table24[[#All],[Year]:[Details]],ROWS(prem_analysis!$M$420:Q644),COLUMNS(Data!$Q$3:U227)))))),"")</f>
        <v/>
      </c>
      <c r="W226" s="1" t="str">
        <f>IFERROR(IF($Q$1=$P$3,INDEX(prem_analysis!$P$2:$Q$441,ROWS(Data!$P$2:V226),COLUMNS(Data!$P$3:U227)),IF($Q$1=$P$5,INDEX(prem_analysis!$BH$1:$BS$23,ROWS(Data!$Q$3:V227),COLUMNS(Data!$Q$3:V227)),IF($Q$1=$P$6,INDEX(prem_analysis!$BU$1:$CF$67,ROWS(prem_analysis!$N$2:S226),COLUMNS(prem_analysis!$N$2:S226)),IF($Q$1=$P$4,INDEX(Table24[[#All],[Year]:[Details]],ROWS(prem_analysis!$M$420:R644),COLUMNS(Data!$Q$3:V227)))))),"")</f>
        <v/>
      </c>
      <c r="X226" s="1" t="str">
        <f>IFERROR(IF($Q$1=$P$3,INDEX(prem_analysis!$P$2:$Q$441,ROWS(Data!$P$2:W226),COLUMNS(Data!$P$3:V227)),IF($Q$1=$P$5,INDEX(prem_analysis!$BH$1:$BS$23,ROWS(Data!$Q$3:W227),COLUMNS(Data!$Q$3:W227)),IF($Q$1=$P$6,INDEX(prem_analysis!$BU$1:$CF$67,ROWS(prem_analysis!$N$2:T226),COLUMNS(prem_analysis!$N$2:T226)),IF($Q$1=$P$4,INDEX(Table24[[#All],[Year]:[Details]],ROWS(prem_analysis!$M$420:S644),COLUMNS(Data!$Q$3:W227)))))),"")</f>
        <v/>
      </c>
      <c r="Y226" s="1" t="str">
        <f>IFERROR(IF($Q$1=$P$3,INDEX(prem_analysis!$P$2:$Q$441,ROWS(Data!$P$2:X226),COLUMNS(Data!$P$3:W227)),IF($Q$1=$P$5,INDEX(prem_analysis!$BH$1:$BS$23,ROWS(Data!$Q$3:X227),COLUMNS(Data!$Q$3:X227)),IF($Q$1=$P$6,INDEX(prem_analysis!$BU$1:$CF$67,ROWS(prem_analysis!$N$2:U226),COLUMNS(prem_analysis!$N$2:U226)),IF($Q$1=$P$4,INDEX(Table24[[#All],[Year]:[Details]],ROWS(prem_analysis!$M$420:T644),COLUMNS(Data!$Q$3:X227)))))),"")</f>
        <v/>
      </c>
      <c r="Z226" s="1" t="str">
        <f>IFERROR(IF($Q$1=$P$3,INDEX(prem_analysis!$P$2:$Q$441,ROWS(Data!$P$2:Y226),COLUMNS(Data!$P$3:X227)),IF($Q$1=$P$5,INDEX(prem_analysis!$BH$1:$BS$23,ROWS(Data!$Q$3:Y227),COLUMNS(Data!$Q$3:Y227)),IF($Q$1=$P$6,INDEX(prem_analysis!$BU$1:$CF$67,ROWS(prem_analysis!$N$2:V226),COLUMNS(prem_analysis!$N$2:V226)),IF($Q$1=$P$4,INDEX(Table24[[#All],[Year]:[Details]],ROWS(prem_analysis!$M$420:U644),COLUMNS(Data!$Q$3:Y227)))))),"")</f>
        <v/>
      </c>
      <c r="AA226" s="1" t="str">
        <f>IFERROR(IF($Q$1=$P$3,INDEX(prem_analysis!$P$2:$Q$441,ROWS(Data!$P$2:Z226),COLUMNS(Data!$P$3:Y227)),IF($Q$1=$P$5,INDEX(prem_analysis!$BH$1:$BS$23,ROWS(Data!$Q$3:Z227),COLUMNS(Data!$Q$3:Z227)),IF($Q$1=$P$6,INDEX(prem_analysis!$BU$1:$CF$67,ROWS(prem_analysis!$N$2:W226),COLUMNS(prem_analysis!$N$2:W226)),IF($Q$1=$P$4,INDEX(Table24[[#All],[Year]:[Details]],ROWS(prem_analysis!$M$420:V644),COLUMNS(Data!$Q$3:Z227)))))),"")</f>
        <v/>
      </c>
      <c r="AB226" s="1" t="str">
        <f>IFERROR(IF($Q$1=$P$3,INDEX(prem_analysis!$P$2:$Q$441,ROWS(Data!$P$2:AA226),COLUMNS(Data!$P$3:Z227)),IF($Q$1=$P$5,INDEX(prem_analysis!$BH$1:$BS$23,ROWS(Data!$Q$3:AA227),COLUMNS(Data!$Q$3:AA227)),IF($Q$1=$P$6,INDEX(prem_analysis!$BU$1:$CF$67,ROWS(prem_analysis!$N$2:X226),COLUMNS(prem_analysis!$N$2:X226)),IF($Q$1=$P$4,INDEX(Table24[[#All],[Year]:[Details]],ROWS(prem_analysis!$M$420:W644),COLUMNS(Data!$Q$3:AA227)))))),"")</f>
        <v/>
      </c>
      <c r="AC226" s="1" t="str">
        <f>IFERROR(IF($Q$1=$P$3,INDEX(prem_analysis!$P$2:$Q$441,ROWS(Data!$P$2:AB226),COLUMNS(Data!$P$3:AA227)),IF($Q$1=$P$5,INDEX(prem_analysis!$BH$1:$BS$23,ROWS(Data!$Q$3:AB227),COLUMNS(Data!$Q$3:AB227)),IF($Q$1=$P$6,INDEX(prem_analysis!$BU$1:$CF$67,ROWS(prem_analysis!$N$2:Y226),COLUMNS(prem_analysis!$N$2:Y226)),IF($Q$1=$P$4,INDEX(Table24[[#All],[Year]:[Details]],ROWS(prem_analysis!$M$420:X644),COLUMNS(Data!$Q$3:AB227)))))),"")</f>
        <v/>
      </c>
    </row>
    <row r="227" spans="1:29" x14ac:dyDescent="0.2">
      <c r="A227" s="5">
        <v>2011</v>
      </c>
      <c r="B227" s="5">
        <v>6</v>
      </c>
      <c r="C227" s="6" t="s">
        <v>16</v>
      </c>
      <c r="D227" s="5">
        <v>38</v>
      </c>
      <c r="E227" s="5">
        <v>18</v>
      </c>
      <c r="F227" s="5">
        <v>10</v>
      </c>
      <c r="G227" s="5">
        <v>10</v>
      </c>
      <c r="H227" s="5">
        <v>65</v>
      </c>
      <c r="I227" s="5">
        <v>46</v>
      </c>
      <c r="J227" s="5">
        <v>19</v>
      </c>
      <c r="K227" s="5">
        <v>64</v>
      </c>
      <c r="L227" s="5">
        <f>IF(Table24[[#This Row],['#]]=1,"Champion", IF(Table24[[#This Row],['#]]&gt;=18,"Relegated",Table24[[#This Row],['#]]))</f>
        <v>6</v>
      </c>
      <c r="M227" s="5" t="str">
        <f>IF(Table24[[#This Row],[Details]]=2,K226-Table24[[#This Row],[Pts]],IF(Table24[[#This Row],[Details]]=17,Table24[[#This Row],[Pts]]-K228,""))</f>
        <v/>
      </c>
      <c r="R227" s="1" t="str">
        <f>IFERROR(IF($Q$1=$P$3,INDEX(prem_analysis!$P$2:$Q$441,ROWS(Data!$P$2:Q227),COLUMNS(Data!$P$3:P228)),IF($Q$1=$P$5,INDEX(prem_analysis!$BH$1:$BS$23,ROWS(Data!$Q$3:Q228),COLUMNS(Data!$Q$3:Q228)),IF($Q$1=$P$6,INDEX(prem_analysis!$BU$1:$CF$67,ROWS(prem_analysis!$N$2:N227),COLUMNS(prem_analysis!$N$2:N227)),IF($Q$1=$P$4,INDEX(Table24[[#All],[Year]:[Details]],ROWS(prem_analysis!$M$420:M645),COLUMNS(Data!$Q$3:Q228)))))),"")</f>
        <v/>
      </c>
      <c r="S227" s="1" t="str">
        <f>IFERROR(IF($Q$1=$P$3,INDEX(prem_analysis!$P$2:$Q$441,ROWS(Data!$P$2:R227),COLUMNS(Data!$P$3:Q228)),IF($Q$1=$P$5,INDEX(prem_analysis!$BH$1:$BS$23,ROWS(Data!$Q$3:R228),COLUMNS(Data!$Q$3:R228)),IF($Q$1=$P$6,INDEX(prem_analysis!$BU$1:$CF$67,ROWS(prem_analysis!$N$2:O227),COLUMNS(prem_analysis!$N$2:O227)),IF($Q$1=$P$4,INDEX(Table24[[#All],[Year]:[Details]],ROWS(prem_analysis!$M$420:N645),COLUMNS(Data!$Q$3:R228)))))),"")</f>
        <v/>
      </c>
      <c r="T227" s="1" t="str">
        <f>IFERROR(IF($Q$1=$P$3,INDEX(prem_analysis!$P$2:$Q$441,ROWS(Data!$P$2:S227),COLUMNS(Data!$P$3:R228)),IF($Q$1=$P$5,INDEX(prem_analysis!$BH$1:$BS$23,ROWS(Data!$Q$3:S228),COLUMNS(Data!$Q$3:S228)),IF($Q$1=$P$6,INDEX(prem_analysis!$BU$1:$CF$67,ROWS(prem_analysis!$N$2:P227),COLUMNS(prem_analysis!$N$2:P227)),IF($Q$1=$P$4,INDEX(Table24[[#All],[Year]:[Details]],ROWS(prem_analysis!$M$420:O645),COLUMNS(Data!$Q$3:S228)))))),"")</f>
        <v/>
      </c>
      <c r="U227" s="1" t="str">
        <f>IFERROR(IF($Q$1=$P$3,INDEX(prem_analysis!$P$2:$Q$441,ROWS(Data!$P$2:T227),COLUMNS(Data!$P$3:S228)),IF($Q$1=$P$5,INDEX(prem_analysis!$BH$1:$BS$23,ROWS(Data!$Q$3:T228),COLUMNS(Data!$Q$3:T228)),IF($Q$1=$P$6,INDEX(prem_analysis!$BU$1:$CF$67,ROWS(prem_analysis!$N$2:Q227),COLUMNS(prem_analysis!$N$2:Q227)),IF($Q$1=$P$4,INDEX(Table24[[#All],[Year]:[Details]],ROWS(prem_analysis!$M$420:P645),COLUMNS(Data!$Q$3:T228)))))),"")</f>
        <v/>
      </c>
      <c r="V227" s="1" t="str">
        <f>IFERROR(IF($Q$1=$P$3,INDEX(prem_analysis!$P$2:$Q$441,ROWS(Data!$P$2:U227),COLUMNS(Data!$P$3:T228)),IF($Q$1=$P$5,INDEX(prem_analysis!$BH$1:$BS$23,ROWS(Data!$Q$3:U228),COLUMNS(Data!$Q$3:U228)),IF($Q$1=$P$6,INDEX(prem_analysis!$BU$1:$CF$67,ROWS(prem_analysis!$N$2:R227),COLUMNS(prem_analysis!$N$2:R227)),IF($Q$1=$P$4,INDEX(Table24[[#All],[Year]:[Details]],ROWS(prem_analysis!$M$420:Q645),COLUMNS(Data!$Q$3:U228)))))),"")</f>
        <v/>
      </c>
      <c r="W227" s="1" t="str">
        <f>IFERROR(IF($Q$1=$P$3,INDEX(prem_analysis!$P$2:$Q$441,ROWS(Data!$P$2:V227),COLUMNS(Data!$P$3:U228)),IF($Q$1=$P$5,INDEX(prem_analysis!$BH$1:$BS$23,ROWS(Data!$Q$3:V228),COLUMNS(Data!$Q$3:V228)),IF($Q$1=$P$6,INDEX(prem_analysis!$BU$1:$CF$67,ROWS(prem_analysis!$N$2:S227),COLUMNS(prem_analysis!$N$2:S227)),IF($Q$1=$P$4,INDEX(Table24[[#All],[Year]:[Details]],ROWS(prem_analysis!$M$420:R645),COLUMNS(Data!$Q$3:V228)))))),"")</f>
        <v/>
      </c>
      <c r="X227" s="1" t="str">
        <f>IFERROR(IF($Q$1=$P$3,INDEX(prem_analysis!$P$2:$Q$441,ROWS(Data!$P$2:W227),COLUMNS(Data!$P$3:V228)),IF($Q$1=$P$5,INDEX(prem_analysis!$BH$1:$BS$23,ROWS(Data!$Q$3:W228),COLUMNS(Data!$Q$3:W228)),IF($Q$1=$P$6,INDEX(prem_analysis!$BU$1:$CF$67,ROWS(prem_analysis!$N$2:T227),COLUMNS(prem_analysis!$N$2:T227)),IF($Q$1=$P$4,INDEX(Table24[[#All],[Year]:[Details]],ROWS(prem_analysis!$M$420:S645),COLUMNS(Data!$Q$3:W228)))))),"")</f>
        <v/>
      </c>
      <c r="Y227" s="1" t="str">
        <f>IFERROR(IF($Q$1=$P$3,INDEX(prem_analysis!$P$2:$Q$441,ROWS(Data!$P$2:X227),COLUMNS(Data!$P$3:W228)),IF($Q$1=$P$5,INDEX(prem_analysis!$BH$1:$BS$23,ROWS(Data!$Q$3:X228),COLUMNS(Data!$Q$3:X228)),IF($Q$1=$P$6,INDEX(prem_analysis!$BU$1:$CF$67,ROWS(prem_analysis!$N$2:U227),COLUMNS(prem_analysis!$N$2:U227)),IF($Q$1=$P$4,INDEX(Table24[[#All],[Year]:[Details]],ROWS(prem_analysis!$M$420:T645),COLUMNS(Data!$Q$3:X228)))))),"")</f>
        <v/>
      </c>
      <c r="Z227" s="1" t="str">
        <f>IFERROR(IF($Q$1=$P$3,INDEX(prem_analysis!$P$2:$Q$441,ROWS(Data!$P$2:Y227),COLUMNS(Data!$P$3:X228)),IF($Q$1=$P$5,INDEX(prem_analysis!$BH$1:$BS$23,ROWS(Data!$Q$3:Y228),COLUMNS(Data!$Q$3:Y228)),IF($Q$1=$P$6,INDEX(prem_analysis!$BU$1:$CF$67,ROWS(prem_analysis!$N$2:V227),COLUMNS(prem_analysis!$N$2:V227)),IF($Q$1=$P$4,INDEX(Table24[[#All],[Year]:[Details]],ROWS(prem_analysis!$M$420:U645),COLUMNS(Data!$Q$3:Y228)))))),"")</f>
        <v/>
      </c>
      <c r="AA227" s="1" t="str">
        <f>IFERROR(IF($Q$1=$P$3,INDEX(prem_analysis!$P$2:$Q$441,ROWS(Data!$P$2:Z227),COLUMNS(Data!$P$3:Y228)),IF($Q$1=$P$5,INDEX(prem_analysis!$BH$1:$BS$23,ROWS(Data!$Q$3:Z228),COLUMNS(Data!$Q$3:Z228)),IF($Q$1=$P$6,INDEX(prem_analysis!$BU$1:$CF$67,ROWS(prem_analysis!$N$2:W227),COLUMNS(prem_analysis!$N$2:W227)),IF($Q$1=$P$4,INDEX(Table24[[#All],[Year]:[Details]],ROWS(prem_analysis!$M$420:V645),COLUMNS(Data!$Q$3:Z228)))))),"")</f>
        <v/>
      </c>
      <c r="AB227" s="1" t="str">
        <f>IFERROR(IF($Q$1=$P$3,INDEX(prem_analysis!$P$2:$Q$441,ROWS(Data!$P$2:AA227),COLUMNS(Data!$P$3:Z228)),IF($Q$1=$P$5,INDEX(prem_analysis!$BH$1:$BS$23,ROWS(Data!$Q$3:AA228),COLUMNS(Data!$Q$3:AA228)),IF($Q$1=$P$6,INDEX(prem_analysis!$BU$1:$CF$67,ROWS(prem_analysis!$N$2:X227),COLUMNS(prem_analysis!$N$2:X227)),IF($Q$1=$P$4,INDEX(Table24[[#All],[Year]:[Details]],ROWS(prem_analysis!$M$420:W645),COLUMNS(Data!$Q$3:AA228)))))),"")</f>
        <v/>
      </c>
      <c r="AC227" s="1" t="str">
        <f>IFERROR(IF($Q$1=$P$3,INDEX(prem_analysis!$P$2:$Q$441,ROWS(Data!$P$2:AB227),COLUMNS(Data!$P$3:AA228)),IF($Q$1=$P$5,INDEX(prem_analysis!$BH$1:$BS$23,ROWS(Data!$Q$3:AB228),COLUMNS(Data!$Q$3:AB228)),IF($Q$1=$P$6,INDEX(prem_analysis!$BU$1:$CF$67,ROWS(prem_analysis!$N$2:Y227),COLUMNS(prem_analysis!$N$2:Y227)),IF($Q$1=$P$4,INDEX(Table24[[#All],[Year]:[Details]],ROWS(prem_analysis!$M$420:X645),COLUMNS(Data!$Q$3:AB228)))))),"")</f>
        <v/>
      </c>
    </row>
    <row r="228" spans="1:29" x14ac:dyDescent="0.2">
      <c r="A228" s="3">
        <v>2011</v>
      </c>
      <c r="B228" s="3">
        <v>7</v>
      </c>
      <c r="C228" s="4" t="s">
        <v>26</v>
      </c>
      <c r="D228" s="3">
        <v>38</v>
      </c>
      <c r="E228" s="3">
        <v>15</v>
      </c>
      <c r="F228" s="3">
        <v>11</v>
      </c>
      <c r="G228" s="3">
        <v>12</v>
      </c>
      <c r="H228" s="3">
        <v>50</v>
      </c>
      <c r="I228" s="3">
        <v>40</v>
      </c>
      <c r="J228" s="3">
        <v>10</v>
      </c>
      <c r="K228" s="3">
        <v>56</v>
      </c>
      <c r="L228" s="5">
        <f>IF(Table24[[#This Row],['#]]=1,"Champion", IF(Table24[[#This Row],['#]]&gt;=18,"Relegated",Table24[[#This Row],['#]]))</f>
        <v>7</v>
      </c>
      <c r="M228" s="5" t="str">
        <f>IF(Table24[[#This Row],[Details]]=2,K227-Table24[[#This Row],[Pts]],IF(Table24[[#This Row],[Details]]=17,Table24[[#This Row],[Pts]]-K229,""))</f>
        <v/>
      </c>
      <c r="R228" s="1" t="str">
        <f>IFERROR(IF($Q$1=$P$3,INDEX(prem_analysis!$P$2:$Q$441,ROWS(Data!$P$2:Q228),COLUMNS(Data!$P$3:P229)),IF($Q$1=$P$5,INDEX(prem_analysis!$BH$1:$BS$23,ROWS(Data!$Q$3:Q229),COLUMNS(Data!$Q$3:Q229)),IF($Q$1=$P$6,INDEX(prem_analysis!$BU$1:$CF$67,ROWS(prem_analysis!$N$2:N228),COLUMNS(prem_analysis!$N$2:N228)),IF($Q$1=$P$4,INDEX(Table24[[#All],[Year]:[Details]],ROWS(prem_analysis!$M$420:M646),COLUMNS(Data!$Q$3:Q229)))))),"")</f>
        <v/>
      </c>
      <c r="S228" s="1" t="str">
        <f>IFERROR(IF($Q$1=$P$3,INDEX(prem_analysis!$P$2:$Q$441,ROWS(Data!$P$2:R228),COLUMNS(Data!$P$3:Q229)),IF($Q$1=$P$5,INDEX(prem_analysis!$BH$1:$BS$23,ROWS(Data!$Q$3:R229),COLUMNS(Data!$Q$3:R229)),IF($Q$1=$P$6,INDEX(prem_analysis!$BU$1:$CF$67,ROWS(prem_analysis!$N$2:O228),COLUMNS(prem_analysis!$N$2:O228)),IF($Q$1=$P$4,INDEX(Table24[[#All],[Year]:[Details]],ROWS(prem_analysis!$M$420:N646),COLUMNS(Data!$Q$3:R229)))))),"")</f>
        <v/>
      </c>
      <c r="T228" s="1" t="str">
        <f>IFERROR(IF($Q$1=$P$3,INDEX(prem_analysis!$P$2:$Q$441,ROWS(Data!$P$2:S228),COLUMNS(Data!$P$3:R229)),IF($Q$1=$P$5,INDEX(prem_analysis!$BH$1:$BS$23,ROWS(Data!$Q$3:S229),COLUMNS(Data!$Q$3:S229)),IF($Q$1=$P$6,INDEX(prem_analysis!$BU$1:$CF$67,ROWS(prem_analysis!$N$2:P228),COLUMNS(prem_analysis!$N$2:P228)),IF($Q$1=$P$4,INDEX(Table24[[#All],[Year]:[Details]],ROWS(prem_analysis!$M$420:O646),COLUMNS(Data!$Q$3:S229)))))),"")</f>
        <v/>
      </c>
      <c r="U228" s="1" t="str">
        <f>IFERROR(IF($Q$1=$P$3,INDEX(prem_analysis!$P$2:$Q$441,ROWS(Data!$P$2:T228),COLUMNS(Data!$P$3:S229)),IF($Q$1=$P$5,INDEX(prem_analysis!$BH$1:$BS$23,ROWS(Data!$Q$3:T229),COLUMNS(Data!$Q$3:T229)),IF($Q$1=$P$6,INDEX(prem_analysis!$BU$1:$CF$67,ROWS(prem_analysis!$N$2:Q228),COLUMNS(prem_analysis!$N$2:Q228)),IF($Q$1=$P$4,INDEX(Table24[[#All],[Year]:[Details]],ROWS(prem_analysis!$M$420:P646),COLUMNS(Data!$Q$3:T229)))))),"")</f>
        <v/>
      </c>
      <c r="V228" s="1" t="str">
        <f>IFERROR(IF($Q$1=$P$3,INDEX(prem_analysis!$P$2:$Q$441,ROWS(Data!$P$2:U228),COLUMNS(Data!$P$3:T229)),IF($Q$1=$P$5,INDEX(prem_analysis!$BH$1:$BS$23,ROWS(Data!$Q$3:U229),COLUMNS(Data!$Q$3:U229)),IF($Q$1=$P$6,INDEX(prem_analysis!$BU$1:$CF$67,ROWS(prem_analysis!$N$2:R228),COLUMNS(prem_analysis!$N$2:R228)),IF($Q$1=$P$4,INDEX(Table24[[#All],[Year]:[Details]],ROWS(prem_analysis!$M$420:Q646),COLUMNS(Data!$Q$3:U229)))))),"")</f>
        <v/>
      </c>
      <c r="W228" s="1" t="str">
        <f>IFERROR(IF($Q$1=$P$3,INDEX(prem_analysis!$P$2:$Q$441,ROWS(Data!$P$2:V228),COLUMNS(Data!$P$3:U229)),IF($Q$1=$P$5,INDEX(prem_analysis!$BH$1:$BS$23,ROWS(Data!$Q$3:V229),COLUMNS(Data!$Q$3:V229)),IF($Q$1=$P$6,INDEX(prem_analysis!$BU$1:$CF$67,ROWS(prem_analysis!$N$2:S228),COLUMNS(prem_analysis!$N$2:S228)),IF($Q$1=$P$4,INDEX(Table24[[#All],[Year]:[Details]],ROWS(prem_analysis!$M$420:R646),COLUMNS(Data!$Q$3:V229)))))),"")</f>
        <v/>
      </c>
      <c r="X228" s="1" t="str">
        <f>IFERROR(IF($Q$1=$P$3,INDEX(prem_analysis!$P$2:$Q$441,ROWS(Data!$P$2:W228),COLUMNS(Data!$P$3:V229)),IF($Q$1=$P$5,INDEX(prem_analysis!$BH$1:$BS$23,ROWS(Data!$Q$3:W229),COLUMNS(Data!$Q$3:W229)),IF($Q$1=$P$6,INDEX(prem_analysis!$BU$1:$CF$67,ROWS(prem_analysis!$N$2:T228),COLUMNS(prem_analysis!$N$2:T228)),IF($Q$1=$P$4,INDEX(Table24[[#All],[Year]:[Details]],ROWS(prem_analysis!$M$420:S646),COLUMNS(Data!$Q$3:W229)))))),"")</f>
        <v/>
      </c>
      <c r="Y228" s="1" t="str">
        <f>IFERROR(IF($Q$1=$P$3,INDEX(prem_analysis!$P$2:$Q$441,ROWS(Data!$P$2:X228),COLUMNS(Data!$P$3:W229)),IF($Q$1=$P$5,INDEX(prem_analysis!$BH$1:$BS$23,ROWS(Data!$Q$3:X229),COLUMNS(Data!$Q$3:X229)),IF($Q$1=$P$6,INDEX(prem_analysis!$BU$1:$CF$67,ROWS(prem_analysis!$N$2:U228),COLUMNS(prem_analysis!$N$2:U228)),IF($Q$1=$P$4,INDEX(Table24[[#All],[Year]:[Details]],ROWS(prem_analysis!$M$420:T646),COLUMNS(Data!$Q$3:X229)))))),"")</f>
        <v/>
      </c>
      <c r="Z228" s="1" t="str">
        <f>IFERROR(IF($Q$1=$P$3,INDEX(prem_analysis!$P$2:$Q$441,ROWS(Data!$P$2:Y228),COLUMNS(Data!$P$3:X229)),IF($Q$1=$P$5,INDEX(prem_analysis!$BH$1:$BS$23,ROWS(Data!$Q$3:Y229),COLUMNS(Data!$Q$3:Y229)),IF($Q$1=$P$6,INDEX(prem_analysis!$BU$1:$CF$67,ROWS(prem_analysis!$N$2:V228),COLUMNS(prem_analysis!$N$2:V228)),IF($Q$1=$P$4,INDEX(Table24[[#All],[Year]:[Details]],ROWS(prem_analysis!$M$420:U646),COLUMNS(Data!$Q$3:Y229)))))),"")</f>
        <v/>
      </c>
      <c r="AA228" s="1" t="str">
        <f>IFERROR(IF($Q$1=$P$3,INDEX(prem_analysis!$P$2:$Q$441,ROWS(Data!$P$2:Z228),COLUMNS(Data!$P$3:Y229)),IF($Q$1=$P$5,INDEX(prem_analysis!$BH$1:$BS$23,ROWS(Data!$Q$3:Z229),COLUMNS(Data!$Q$3:Z229)),IF($Q$1=$P$6,INDEX(prem_analysis!$BU$1:$CF$67,ROWS(prem_analysis!$N$2:W228),COLUMNS(prem_analysis!$N$2:W228)),IF($Q$1=$P$4,INDEX(Table24[[#All],[Year]:[Details]],ROWS(prem_analysis!$M$420:V646),COLUMNS(Data!$Q$3:Z229)))))),"")</f>
        <v/>
      </c>
      <c r="AB228" s="1" t="str">
        <f>IFERROR(IF($Q$1=$P$3,INDEX(prem_analysis!$P$2:$Q$441,ROWS(Data!$P$2:AA228),COLUMNS(Data!$P$3:Z229)),IF($Q$1=$P$5,INDEX(prem_analysis!$BH$1:$BS$23,ROWS(Data!$Q$3:AA229),COLUMNS(Data!$Q$3:AA229)),IF($Q$1=$P$6,INDEX(prem_analysis!$BU$1:$CF$67,ROWS(prem_analysis!$N$2:X228),COLUMNS(prem_analysis!$N$2:X228)),IF($Q$1=$P$4,INDEX(Table24[[#All],[Year]:[Details]],ROWS(prem_analysis!$M$420:W646),COLUMNS(Data!$Q$3:AA229)))))),"")</f>
        <v/>
      </c>
      <c r="AC228" s="1" t="str">
        <f>IFERROR(IF($Q$1=$P$3,INDEX(prem_analysis!$P$2:$Q$441,ROWS(Data!$P$2:AB228),COLUMNS(Data!$P$3:AA229)),IF($Q$1=$P$5,INDEX(prem_analysis!$BH$1:$BS$23,ROWS(Data!$Q$3:AB229),COLUMNS(Data!$Q$3:AB229)),IF($Q$1=$P$6,INDEX(prem_analysis!$BU$1:$CF$67,ROWS(prem_analysis!$N$2:Y228),COLUMNS(prem_analysis!$N$2:Y228)),IF($Q$1=$P$4,INDEX(Table24[[#All],[Year]:[Details]],ROWS(prem_analysis!$M$420:X646),COLUMNS(Data!$Q$3:AB229)))))),"")</f>
        <v/>
      </c>
    </row>
    <row r="229" spans="1:29" x14ac:dyDescent="0.2">
      <c r="A229" s="5">
        <v>2011</v>
      </c>
      <c r="B229" s="5">
        <v>8</v>
      </c>
      <c r="C229" s="4" t="s">
        <v>13</v>
      </c>
      <c r="D229" s="5">
        <v>38</v>
      </c>
      <c r="E229" s="5">
        <v>14</v>
      </c>
      <c r="F229" s="5">
        <v>10</v>
      </c>
      <c r="G229" s="5">
        <v>14</v>
      </c>
      <c r="H229" s="5">
        <v>47</v>
      </c>
      <c r="I229" s="5">
        <v>40</v>
      </c>
      <c r="J229" s="5">
        <v>7</v>
      </c>
      <c r="K229" s="5">
        <v>52</v>
      </c>
      <c r="L229" s="5">
        <f>IF(Table24[[#This Row],['#]]=1,"Champion", IF(Table24[[#This Row],['#]]&gt;=18,"Relegated",Table24[[#This Row],['#]]))</f>
        <v>8</v>
      </c>
      <c r="M229" s="5" t="str">
        <f>IF(Table24[[#This Row],[Details]]=2,K228-Table24[[#This Row],[Pts]],IF(Table24[[#This Row],[Details]]=17,Table24[[#This Row],[Pts]]-K230,""))</f>
        <v/>
      </c>
      <c r="R229" s="1" t="str">
        <f>IFERROR(IF($Q$1=$P$3,INDEX(prem_analysis!$P$2:$Q$441,ROWS(Data!$P$2:Q229),COLUMNS(Data!$P$3:P230)),IF($Q$1=$P$5,INDEX(prem_analysis!$BH$1:$BS$23,ROWS(Data!$Q$3:Q230),COLUMNS(Data!$Q$3:Q230)),IF($Q$1=$P$6,INDEX(prem_analysis!$BU$1:$CF$67,ROWS(prem_analysis!$N$2:N229),COLUMNS(prem_analysis!$N$2:N229)),IF($Q$1=$P$4,INDEX(Table24[[#All],[Year]:[Details]],ROWS(prem_analysis!$M$420:M647),COLUMNS(Data!$Q$3:Q230)))))),"")</f>
        <v/>
      </c>
      <c r="S229" s="1" t="str">
        <f>IFERROR(IF($Q$1=$P$3,INDEX(prem_analysis!$P$2:$Q$441,ROWS(Data!$P$2:R229),COLUMNS(Data!$P$3:Q230)),IF($Q$1=$P$5,INDEX(prem_analysis!$BH$1:$BS$23,ROWS(Data!$Q$3:R230),COLUMNS(Data!$Q$3:R230)),IF($Q$1=$P$6,INDEX(prem_analysis!$BU$1:$CF$67,ROWS(prem_analysis!$N$2:O229),COLUMNS(prem_analysis!$N$2:O229)),IF($Q$1=$P$4,INDEX(Table24[[#All],[Year]:[Details]],ROWS(prem_analysis!$M$420:N647),COLUMNS(Data!$Q$3:R230)))))),"")</f>
        <v/>
      </c>
      <c r="T229" s="1" t="str">
        <f>IFERROR(IF($Q$1=$P$3,INDEX(prem_analysis!$P$2:$Q$441,ROWS(Data!$P$2:S229),COLUMNS(Data!$P$3:R230)),IF($Q$1=$P$5,INDEX(prem_analysis!$BH$1:$BS$23,ROWS(Data!$Q$3:S230),COLUMNS(Data!$Q$3:S230)),IF($Q$1=$P$6,INDEX(prem_analysis!$BU$1:$CF$67,ROWS(prem_analysis!$N$2:P229),COLUMNS(prem_analysis!$N$2:P229)),IF($Q$1=$P$4,INDEX(Table24[[#All],[Year]:[Details]],ROWS(prem_analysis!$M$420:O647),COLUMNS(Data!$Q$3:S230)))))),"")</f>
        <v/>
      </c>
      <c r="U229" s="1" t="str">
        <f>IFERROR(IF($Q$1=$P$3,INDEX(prem_analysis!$P$2:$Q$441,ROWS(Data!$P$2:T229),COLUMNS(Data!$P$3:S230)),IF($Q$1=$P$5,INDEX(prem_analysis!$BH$1:$BS$23,ROWS(Data!$Q$3:T230),COLUMNS(Data!$Q$3:T230)),IF($Q$1=$P$6,INDEX(prem_analysis!$BU$1:$CF$67,ROWS(prem_analysis!$N$2:Q229),COLUMNS(prem_analysis!$N$2:Q229)),IF($Q$1=$P$4,INDEX(Table24[[#All],[Year]:[Details]],ROWS(prem_analysis!$M$420:P647),COLUMNS(Data!$Q$3:T230)))))),"")</f>
        <v/>
      </c>
      <c r="V229" s="1" t="str">
        <f>IFERROR(IF($Q$1=$P$3,INDEX(prem_analysis!$P$2:$Q$441,ROWS(Data!$P$2:U229),COLUMNS(Data!$P$3:T230)),IF($Q$1=$P$5,INDEX(prem_analysis!$BH$1:$BS$23,ROWS(Data!$Q$3:U230),COLUMNS(Data!$Q$3:U230)),IF($Q$1=$P$6,INDEX(prem_analysis!$BU$1:$CF$67,ROWS(prem_analysis!$N$2:R229),COLUMNS(prem_analysis!$N$2:R229)),IF($Q$1=$P$4,INDEX(Table24[[#All],[Year]:[Details]],ROWS(prem_analysis!$M$420:Q647),COLUMNS(Data!$Q$3:U230)))))),"")</f>
        <v/>
      </c>
      <c r="W229" s="1" t="str">
        <f>IFERROR(IF($Q$1=$P$3,INDEX(prem_analysis!$P$2:$Q$441,ROWS(Data!$P$2:V229),COLUMNS(Data!$P$3:U230)),IF($Q$1=$P$5,INDEX(prem_analysis!$BH$1:$BS$23,ROWS(Data!$Q$3:V230),COLUMNS(Data!$Q$3:V230)),IF($Q$1=$P$6,INDEX(prem_analysis!$BU$1:$CF$67,ROWS(prem_analysis!$N$2:S229),COLUMNS(prem_analysis!$N$2:S229)),IF($Q$1=$P$4,INDEX(Table24[[#All],[Year]:[Details]],ROWS(prem_analysis!$M$420:R647),COLUMNS(Data!$Q$3:V230)))))),"")</f>
        <v/>
      </c>
      <c r="X229" s="1" t="str">
        <f>IFERROR(IF($Q$1=$P$3,INDEX(prem_analysis!$P$2:$Q$441,ROWS(Data!$P$2:W229),COLUMNS(Data!$P$3:V230)),IF($Q$1=$P$5,INDEX(prem_analysis!$BH$1:$BS$23,ROWS(Data!$Q$3:W230),COLUMNS(Data!$Q$3:W230)),IF($Q$1=$P$6,INDEX(prem_analysis!$BU$1:$CF$67,ROWS(prem_analysis!$N$2:T229),COLUMNS(prem_analysis!$N$2:T229)),IF($Q$1=$P$4,INDEX(Table24[[#All],[Year]:[Details]],ROWS(prem_analysis!$M$420:S647),COLUMNS(Data!$Q$3:W230)))))),"")</f>
        <v/>
      </c>
      <c r="Y229" s="1" t="str">
        <f>IFERROR(IF($Q$1=$P$3,INDEX(prem_analysis!$P$2:$Q$441,ROWS(Data!$P$2:X229),COLUMNS(Data!$P$3:W230)),IF($Q$1=$P$5,INDEX(prem_analysis!$BH$1:$BS$23,ROWS(Data!$Q$3:X230),COLUMNS(Data!$Q$3:X230)),IF($Q$1=$P$6,INDEX(prem_analysis!$BU$1:$CF$67,ROWS(prem_analysis!$N$2:U229),COLUMNS(prem_analysis!$N$2:U229)),IF($Q$1=$P$4,INDEX(Table24[[#All],[Year]:[Details]],ROWS(prem_analysis!$M$420:T647),COLUMNS(Data!$Q$3:X230)))))),"")</f>
        <v/>
      </c>
      <c r="Z229" s="1" t="str">
        <f>IFERROR(IF($Q$1=$P$3,INDEX(prem_analysis!$P$2:$Q$441,ROWS(Data!$P$2:Y229),COLUMNS(Data!$P$3:X230)),IF($Q$1=$P$5,INDEX(prem_analysis!$BH$1:$BS$23,ROWS(Data!$Q$3:Y230),COLUMNS(Data!$Q$3:Y230)),IF($Q$1=$P$6,INDEX(prem_analysis!$BU$1:$CF$67,ROWS(prem_analysis!$N$2:V229),COLUMNS(prem_analysis!$N$2:V229)),IF($Q$1=$P$4,INDEX(Table24[[#All],[Year]:[Details]],ROWS(prem_analysis!$M$420:U647),COLUMNS(Data!$Q$3:Y230)))))),"")</f>
        <v/>
      </c>
      <c r="AA229" s="1" t="str">
        <f>IFERROR(IF($Q$1=$P$3,INDEX(prem_analysis!$P$2:$Q$441,ROWS(Data!$P$2:Z229),COLUMNS(Data!$P$3:Y230)),IF($Q$1=$P$5,INDEX(prem_analysis!$BH$1:$BS$23,ROWS(Data!$Q$3:Z230),COLUMNS(Data!$Q$3:Z230)),IF($Q$1=$P$6,INDEX(prem_analysis!$BU$1:$CF$67,ROWS(prem_analysis!$N$2:W229),COLUMNS(prem_analysis!$N$2:W229)),IF($Q$1=$P$4,INDEX(Table24[[#All],[Year]:[Details]],ROWS(prem_analysis!$M$420:V647),COLUMNS(Data!$Q$3:Z230)))))),"")</f>
        <v/>
      </c>
      <c r="AB229" s="1" t="str">
        <f>IFERROR(IF($Q$1=$P$3,INDEX(prem_analysis!$P$2:$Q$441,ROWS(Data!$P$2:AA229),COLUMNS(Data!$P$3:Z230)),IF($Q$1=$P$5,INDEX(prem_analysis!$BH$1:$BS$23,ROWS(Data!$Q$3:AA230),COLUMNS(Data!$Q$3:AA230)),IF($Q$1=$P$6,INDEX(prem_analysis!$BU$1:$CF$67,ROWS(prem_analysis!$N$2:X229),COLUMNS(prem_analysis!$N$2:X229)),IF($Q$1=$P$4,INDEX(Table24[[#All],[Year]:[Details]],ROWS(prem_analysis!$M$420:W647),COLUMNS(Data!$Q$3:AA230)))))),"")</f>
        <v/>
      </c>
      <c r="AC229" s="1" t="str">
        <f>IFERROR(IF($Q$1=$P$3,INDEX(prem_analysis!$P$2:$Q$441,ROWS(Data!$P$2:AB229),COLUMNS(Data!$P$3:AA230)),IF($Q$1=$P$5,INDEX(prem_analysis!$BH$1:$BS$23,ROWS(Data!$Q$3:AB230),COLUMNS(Data!$Q$3:AB230)),IF($Q$1=$P$6,INDEX(prem_analysis!$BU$1:$CF$67,ROWS(prem_analysis!$N$2:Y229),COLUMNS(prem_analysis!$N$2:Y229)),IF($Q$1=$P$4,INDEX(Table24[[#All],[Year]:[Details]],ROWS(prem_analysis!$M$420:X647),COLUMNS(Data!$Q$3:AB230)))))),"")</f>
        <v/>
      </c>
    </row>
    <row r="230" spans="1:29" x14ac:dyDescent="0.2">
      <c r="A230" s="3">
        <v>2011</v>
      </c>
      <c r="B230" s="3">
        <v>9</v>
      </c>
      <c r="C230" s="4" t="s">
        <v>32</v>
      </c>
      <c r="D230" s="3">
        <v>38</v>
      </c>
      <c r="E230" s="3">
        <v>14</v>
      </c>
      <c r="F230" s="3">
        <v>10</v>
      </c>
      <c r="G230" s="3">
        <v>14</v>
      </c>
      <c r="H230" s="3">
        <v>48</v>
      </c>
      <c r="I230" s="3">
        <v>51</v>
      </c>
      <c r="J230" s="3">
        <v>-3</v>
      </c>
      <c r="K230" s="3">
        <v>52</v>
      </c>
      <c r="L230" s="5">
        <f>IF(Table24[[#This Row],['#]]=1,"Champion", IF(Table24[[#This Row],['#]]&gt;=18,"Relegated",Table24[[#This Row],['#]]))</f>
        <v>9</v>
      </c>
      <c r="M230" s="5" t="str">
        <f>IF(Table24[[#This Row],[Details]]=2,K229-Table24[[#This Row],[Pts]],IF(Table24[[#This Row],[Details]]=17,Table24[[#This Row],[Pts]]-K231,""))</f>
        <v/>
      </c>
      <c r="R230" s="1" t="str">
        <f>IFERROR(IF($Q$1=$P$3,INDEX(prem_analysis!$P$2:$Q$441,ROWS(Data!$P$2:Q230),COLUMNS(Data!$P$3:P231)),IF($Q$1=$P$5,INDEX(prem_analysis!$BH$1:$BS$23,ROWS(Data!$Q$3:Q231),COLUMNS(Data!$Q$3:Q231)),IF($Q$1=$P$6,INDEX(prem_analysis!$BU$1:$CF$67,ROWS(prem_analysis!$N$2:N230),COLUMNS(prem_analysis!$N$2:N230)),IF($Q$1=$P$4,INDEX(Table24[[#All],[Year]:[Details]],ROWS(prem_analysis!$M$420:M648),COLUMNS(Data!$Q$3:Q231)))))),"")</f>
        <v/>
      </c>
      <c r="S230" s="1" t="str">
        <f>IFERROR(IF($Q$1=$P$3,INDEX(prem_analysis!$P$2:$Q$441,ROWS(Data!$P$2:R230),COLUMNS(Data!$P$3:Q231)),IF($Q$1=$P$5,INDEX(prem_analysis!$BH$1:$BS$23,ROWS(Data!$Q$3:R231),COLUMNS(Data!$Q$3:R231)),IF($Q$1=$P$6,INDEX(prem_analysis!$BU$1:$CF$67,ROWS(prem_analysis!$N$2:O230),COLUMNS(prem_analysis!$N$2:O230)),IF($Q$1=$P$4,INDEX(Table24[[#All],[Year]:[Details]],ROWS(prem_analysis!$M$420:N648),COLUMNS(Data!$Q$3:R231)))))),"")</f>
        <v/>
      </c>
      <c r="T230" s="1" t="str">
        <f>IFERROR(IF($Q$1=$P$3,INDEX(prem_analysis!$P$2:$Q$441,ROWS(Data!$P$2:S230),COLUMNS(Data!$P$3:R231)),IF($Q$1=$P$5,INDEX(prem_analysis!$BH$1:$BS$23,ROWS(Data!$Q$3:S231),COLUMNS(Data!$Q$3:S231)),IF($Q$1=$P$6,INDEX(prem_analysis!$BU$1:$CF$67,ROWS(prem_analysis!$N$2:P230),COLUMNS(prem_analysis!$N$2:P230)),IF($Q$1=$P$4,INDEX(Table24[[#All],[Year]:[Details]],ROWS(prem_analysis!$M$420:O648),COLUMNS(Data!$Q$3:S231)))))),"")</f>
        <v/>
      </c>
      <c r="U230" s="1" t="str">
        <f>IFERROR(IF($Q$1=$P$3,INDEX(prem_analysis!$P$2:$Q$441,ROWS(Data!$P$2:T230),COLUMNS(Data!$P$3:S231)),IF($Q$1=$P$5,INDEX(prem_analysis!$BH$1:$BS$23,ROWS(Data!$Q$3:T231),COLUMNS(Data!$Q$3:T231)),IF($Q$1=$P$6,INDEX(prem_analysis!$BU$1:$CF$67,ROWS(prem_analysis!$N$2:Q230),COLUMNS(prem_analysis!$N$2:Q230)),IF($Q$1=$P$4,INDEX(Table24[[#All],[Year]:[Details]],ROWS(prem_analysis!$M$420:P648),COLUMNS(Data!$Q$3:T231)))))),"")</f>
        <v/>
      </c>
      <c r="V230" s="1" t="str">
        <f>IFERROR(IF($Q$1=$P$3,INDEX(prem_analysis!$P$2:$Q$441,ROWS(Data!$P$2:U230),COLUMNS(Data!$P$3:T231)),IF($Q$1=$P$5,INDEX(prem_analysis!$BH$1:$BS$23,ROWS(Data!$Q$3:U231),COLUMNS(Data!$Q$3:U231)),IF($Q$1=$P$6,INDEX(prem_analysis!$BU$1:$CF$67,ROWS(prem_analysis!$N$2:R230),COLUMNS(prem_analysis!$N$2:R230)),IF($Q$1=$P$4,INDEX(Table24[[#All],[Year]:[Details]],ROWS(prem_analysis!$M$420:Q648),COLUMNS(Data!$Q$3:U231)))))),"")</f>
        <v/>
      </c>
      <c r="W230" s="1" t="str">
        <f>IFERROR(IF($Q$1=$P$3,INDEX(prem_analysis!$P$2:$Q$441,ROWS(Data!$P$2:V230),COLUMNS(Data!$P$3:U231)),IF($Q$1=$P$5,INDEX(prem_analysis!$BH$1:$BS$23,ROWS(Data!$Q$3:V231),COLUMNS(Data!$Q$3:V231)),IF($Q$1=$P$6,INDEX(prem_analysis!$BU$1:$CF$67,ROWS(prem_analysis!$N$2:S230),COLUMNS(prem_analysis!$N$2:S230)),IF($Q$1=$P$4,INDEX(Table24[[#All],[Year]:[Details]],ROWS(prem_analysis!$M$420:R648),COLUMNS(Data!$Q$3:V231)))))),"")</f>
        <v/>
      </c>
      <c r="X230" s="1" t="str">
        <f>IFERROR(IF($Q$1=$P$3,INDEX(prem_analysis!$P$2:$Q$441,ROWS(Data!$P$2:W230),COLUMNS(Data!$P$3:V231)),IF($Q$1=$P$5,INDEX(prem_analysis!$BH$1:$BS$23,ROWS(Data!$Q$3:W231),COLUMNS(Data!$Q$3:W231)),IF($Q$1=$P$6,INDEX(prem_analysis!$BU$1:$CF$67,ROWS(prem_analysis!$N$2:T230),COLUMNS(prem_analysis!$N$2:T230)),IF($Q$1=$P$4,INDEX(Table24[[#All],[Year]:[Details]],ROWS(prem_analysis!$M$420:S648),COLUMNS(Data!$Q$3:W231)))))),"")</f>
        <v/>
      </c>
      <c r="Y230" s="1" t="str">
        <f>IFERROR(IF($Q$1=$P$3,INDEX(prem_analysis!$P$2:$Q$441,ROWS(Data!$P$2:X230),COLUMNS(Data!$P$3:W231)),IF($Q$1=$P$5,INDEX(prem_analysis!$BH$1:$BS$23,ROWS(Data!$Q$3:X231),COLUMNS(Data!$Q$3:X231)),IF($Q$1=$P$6,INDEX(prem_analysis!$BU$1:$CF$67,ROWS(prem_analysis!$N$2:U230),COLUMNS(prem_analysis!$N$2:U230)),IF($Q$1=$P$4,INDEX(Table24[[#All],[Year]:[Details]],ROWS(prem_analysis!$M$420:T648),COLUMNS(Data!$Q$3:X231)))))),"")</f>
        <v/>
      </c>
      <c r="Z230" s="1" t="str">
        <f>IFERROR(IF($Q$1=$P$3,INDEX(prem_analysis!$P$2:$Q$441,ROWS(Data!$P$2:Y230),COLUMNS(Data!$P$3:X231)),IF($Q$1=$P$5,INDEX(prem_analysis!$BH$1:$BS$23,ROWS(Data!$Q$3:Y231),COLUMNS(Data!$Q$3:Y231)),IF($Q$1=$P$6,INDEX(prem_analysis!$BU$1:$CF$67,ROWS(prem_analysis!$N$2:V230),COLUMNS(prem_analysis!$N$2:V230)),IF($Q$1=$P$4,INDEX(Table24[[#All],[Year]:[Details]],ROWS(prem_analysis!$M$420:U648),COLUMNS(Data!$Q$3:Y231)))))),"")</f>
        <v/>
      </c>
      <c r="AA230" s="1" t="str">
        <f>IFERROR(IF($Q$1=$P$3,INDEX(prem_analysis!$P$2:$Q$441,ROWS(Data!$P$2:Z230),COLUMNS(Data!$P$3:Y231)),IF($Q$1=$P$5,INDEX(prem_analysis!$BH$1:$BS$23,ROWS(Data!$Q$3:Z231),COLUMNS(Data!$Q$3:Z231)),IF($Q$1=$P$6,INDEX(prem_analysis!$BU$1:$CF$67,ROWS(prem_analysis!$N$2:W230),COLUMNS(prem_analysis!$N$2:W230)),IF($Q$1=$P$4,INDEX(Table24[[#All],[Year]:[Details]],ROWS(prem_analysis!$M$420:V648),COLUMNS(Data!$Q$3:Z231)))))),"")</f>
        <v/>
      </c>
      <c r="AB230" s="1" t="str">
        <f>IFERROR(IF($Q$1=$P$3,INDEX(prem_analysis!$P$2:$Q$441,ROWS(Data!$P$2:AA230),COLUMNS(Data!$P$3:Z231)),IF($Q$1=$P$5,INDEX(prem_analysis!$BH$1:$BS$23,ROWS(Data!$Q$3:AA231),COLUMNS(Data!$Q$3:AA231)),IF($Q$1=$P$6,INDEX(prem_analysis!$BU$1:$CF$67,ROWS(prem_analysis!$N$2:X230),COLUMNS(prem_analysis!$N$2:X230)),IF($Q$1=$P$4,INDEX(Table24[[#All],[Year]:[Details]],ROWS(prem_analysis!$M$420:W648),COLUMNS(Data!$Q$3:AA231)))))),"")</f>
        <v/>
      </c>
      <c r="AC230" s="1" t="str">
        <f>IFERROR(IF($Q$1=$P$3,INDEX(prem_analysis!$P$2:$Q$441,ROWS(Data!$P$2:AB230),COLUMNS(Data!$P$3:AA231)),IF($Q$1=$P$5,INDEX(prem_analysis!$BH$1:$BS$23,ROWS(Data!$Q$3:AB231),COLUMNS(Data!$Q$3:AB231)),IF($Q$1=$P$6,INDEX(prem_analysis!$BU$1:$CF$67,ROWS(prem_analysis!$N$2:Y230),COLUMNS(prem_analysis!$N$2:Y230)),IF($Q$1=$P$4,INDEX(Table24[[#All],[Year]:[Details]],ROWS(prem_analysis!$M$420:X648),COLUMNS(Data!$Q$3:AB231)))))),"")</f>
        <v/>
      </c>
    </row>
    <row r="231" spans="1:29" x14ac:dyDescent="0.2">
      <c r="A231" s="5">
        <v>2011</v>
      </c>
      <c r="B231" s="5">
        <v>10</v>
      </c>
      <c r="C231" s="6" t="s">
        <v>35</v>
      </c>
      <c r="D231" s="5">
        <v>38</v>
      </c>
      <c r="E231" s="5">
        <v>13</v>
      </c>
      <c r="F231" s="5">
        <v>8</v>
      </c>
      <c r="G231" s="5">
        <v>17</v>
      </c>
      <c r="H231" s="5">
        <v>45</v>
      </c>
      <c r="I231" s="5">
        <v>52</v>
      </c>
      <c r="J231" s="5">
        <v>-7</v>
      </c>
      <c r="K231" s="5">
        <v>47</v>
      </c>
      <c r="L231" s="5">
        <f>IF(Table24[[#This Row],['#]]=1,"Champion", IF(Table24[[#This Row],['#]]&gt;=18,"Relegated",Table24[[#This Row],['#]]))</f>
        <v>10</v>
      </c>
      <c r="M231" s="5" t="str">
        <f>IF(Table24[[#This Row],[Details]]=2,K230-Table24[[#This Row],[Pts]],IF(Table24[[#This Row],[Details]]=17,Table24[[#This Row],[Pts]]-K232,""))</f>
        <v/>
      </c>
      <c r="R231" s="1" t="str">
        <f>IFERROR(IF($Q$1=$P$3,INDEX(prem_analysis!$P$2:$Q$441,ROWS(Data!$P$2:Q231),COLUMNS(Data!$P$3:P232)),IF($Q$1=$P$5,INDEX(prem_analysis!$BH$1:$BS$23,ROWS(Data!$Q$3:Q232),COLUMNS(Data!$Q$3:Q232)),IF($Q$1=$P$6,INDEX(prem_analysis!$BU$1:$CF$67,ROWS(prem_analysis!$N$2:N231),COLUMNS(prem_analysis!$N$2:N231)),IF($Q$1=$P$4,INDEX(Table24[[#All],[Year]:[Details]],ROWS(prem_analysis!$M$420:M649),COLUMNS(Data!$Q$3:Q232)))))),"")</f>
        <v/>
      </c>
      <c r="S231" s="1" t="str">
        <f>IFERROR(IF($Q$1=$P$3,INDEX(prem_analysis!$P$2:$Q$441,ROWS(Data!$P$2:R231),COLUMNS(Data!$P$3:Q232)),IF($Q$1=$P$5,INDEX(prem_analysis!$BH$1:$BS$23,ROWS(Data!$Q$3:R232),COLUMNS(Data!$Q$3:R232)),IF($Q$1=$P$6,INDEX(prem_analysis!$BU$1:$CF$67,ROWS(prem_analysis!$N$2:O231),COLUMNS(prem_analysis!$N$2:O231)),IF($Q$1=$P$4,INDEX(Table24[[#All],[Year]:[Details]],ROWS(prem_analysis!$M$420:N649),COLUMNS(Data!$Q$3:R232)))))),"")</f>
        <v/>
      </c>
      <c r="T231" s="1" t="str">
        <f>IFERROR(IF($Q$1=$P$3,INDEX(prem_analysis!$P$2:$Q$441,ROWS(Data!$P$2:S231),COLUMNS(Data!$P$3:R232)),IF($Q$1=$P$5,INDEX(prem_analysis!$BH$1:$BS$23,ROWS(Data!$Q$3:S232),COLUMNS(Data!$Q$3:S232)),IF($Q$1=$P$6,INDEX(prem_analysis!$BU$1:$CF$67,ROWS(prem_analysis!$N$2:P231),COLUMNS(prem_analysis!$N$2:P231)),IF($Q$1=$P$4,INDEX(Table24[[#All],[Year]:[Details]],ROWS(prem_analysis!$M$420:O649),COLUMNS(Data!$Q$3:S232)))))),"")</f>
        <v/>
      </c>
      <c r="U231" s="1" t="str">
        <f>IFERROR(IF($Q$1=$P$3,INDEX(prem_analysis!$P$2:$Q$441,ROWS(Data!$P$2:T231),COLUMNS(Data!$P$3:S232)),IF($Q$1=$P$5,INDEX(prem_analysis!$BH$1:$BS$23,ROWS(Data!$Q$3:T232),COLUMNS(Data!$Q$3:T232)),IF($Q$1=$P$6,INDEX(prem_analysis!$BU$1:$CF$67,ROWS(prem_analysis!$N$2:Q231),COLUMNS(prem_analysis!$N$2:Q231)),IF($Q$1=$P$4,INDEX(Table24[[#All],[Year]:[Details]],ROWS(prem_analysis!$M$420:P649),COLUMNS(Data!$Q$3:T232)))))),"")</f>
        <v/>
      </c>
      <c r="V231" s="1" t="str">
        <f>IFERROR(IF($Q$1=$P$3,INDEX(prem_analysis!$P$2:$Q$441,ROWS(Data!$P$2:U231),COLUMNS(Data!$P$3:T232)),IF($Q$1=$P$5,INDEX(prem_analysis!$BH$1:$BS$23,ROWS(Data!$Q$3:U232),COLUMNS(Data!$Q$3:U232)),IF($Q$1=$P$6,INDEX(prem_analysis!$BU$1:$CF$67,ROWS(prem_analysis!$N$2:R231),COLUMNS(prem_analysis!$N$2:R231)),IF($Q$1=$P$4,INDEX(Table24[[#All],[Year]:[Details]],ROWS(prem_analysis!$M$420:Q649),COLUMNS(Data!$Q$3:U232)))))),"")</f>
        <v/>
      </c>
      <c r="W231" s="1" t="str">
        <f>IFERROR(IF($Q$1=$P$3,INDEX(prem_analysis!$P$2:$Q$441,ROWS(Data!$P$2:V231),COLUMNS(Data!$P$3:U232)),IF($Q$1=$P$5,INDEX(prem_analysis!$BH$1:$BS$23,ROWS(Data!$Q$3:V232),COLUMNS(Data!$Q$3:V232)),IF($Q$1=$P$6,INDEX(prem_analysis!$BU$1:$CF$67,ROWS(prem_analysis!$N$2:S231),COLUMNS(prem_analysis!$N$2:S231)),IF($Q$1=$P$4,INDEX(Table24[[#All],[Year]:[Details]],ROWS(prem_analysis!$M$420:R649),COLUMNS(Data!$Q$3:V232)))))),"")</f>
        <v/>
      </c>
      <c r="X231" s="1" t="str">
        <f>IFERROR(IF($Q$1=$P$3,INDEX(prem_analysis!$P$2:$Q$441,ROWS(Data!$P$2:W231),COLUMNS(Data!$P$3:V232)),IF($Q$1=$P$5,INDEX(prem_analysis!$BH$1:$BS$23,ROWS(Data!$Q$3:W232),COLUMNS(Data!$Q$3:W232)),IF($Q$1=$P$6,INDEX(prem_analysis!$BU$1:$CF$67,ROWS(prem_analysis!$N$2:T231),COLUMNS(prem_analysis!$N$2:T231)),IF($Q$1=$P$4,INDEX(Table24[[#All],[Year]:[Details]],ROWS(prem_analysis!$M$420:S649),COLUMNS(Data!$Q$3:W232)))))),"")</f>
        <v/>
      </c>
      <c r="Y231" s="1" t="str">
        <f>IFERROR(IF($Q$1=$P$3,INDEX(prem_analysis!$P$2:$Q$441,ROWS(Data!$P$2:X231),COLUMNS(Data!$P$3:W232)),IF($Q$1=$P$5,INDEX(prem_analysis!$BH$1:$BS$23,ROWS(Data!$Q$3:X232),COLUMNS(Data!$Q$3:X232)),IF($Q$1=$P$6,INDEX(prem_analysis!$BU$1:$CF$67,ROWS(prem_analysis!$N$2:U231),COLUMNS(prem_analysis!$N$2:U231)),IF($Q$1=$P$4,INDEX(Table24[[#All],[Year]:[Details]],ROWS(prem_analysis!$M$420:T649),COLUMNS(Data!$Q$3:X232)))))),"")</f>
        <v/>
      </c>
      <c r="Z231" s="1" t="str">
        <f>IFERROR(IF($Q$1=$P$3,INDEX(prem_analysis!$P$2:$Q$441,ROWS(Data!$P$2:Y231),COLUMNS(Data!$P$3:X232)),IF($Q$1=$P$5,INDEX(prem_analysis!$BH$1:$BS$23,ROWS(Data!$Q$3:Y232),COLUMNS(Data!$Q$3:Y232)),IF($Q$1=$P$6,INDEX(prem_analysis!$BU$1:$CF$67,ROWS(prem_analysis!$N$2:V231),COLUMNS(prem_analysis!$N$2:V231)),IF($Q$1=$P$4,INDEX(Table24[[#All],[Year]:[Details]],ROWS(prem_analysis!$M$420:U649),COLUMNS(Data!$Q$3:Y232)))))),"")</f>
        <v/>
      </c>
      <c r="AA231" s="1" t="str">
        <f>IFERROR(IF($Q$1=$P$3,INDEX(prem_analysis!$P$2:$Q$441,ROWS(Data!$P$2:Z231),COLUMNS(Data!$P$3:Y232)),IF($Q$1=$P$5,INDEX(prem_analysis!$BH$1:$BS$23,ROWS(Data!$Q$3:Z232),COLUMNS(Data!$Q$3:Z232)),IF($Q$1=$P$6,INDEX(prem_analysis!$BU$1:$CF$67,ROWS(prem_analysis!$N$2:W231),COLUMNS(prem_analysis!$N$2:W231)),IF($Q$1=$P$4,INDEX(Table24[[#All],[Year]:[Details]],ROWS(prem_analysis!$M$420:V649),COLUMNS(Data!$Q$3:Z232)))))),"")</f>
        <v/>
      </c>
      <c r="AB231" s="1" t="str">
        <f>IFERROR(IF($Q$1=$P$3,INDEX(prem_analysis!$P$2:$Q$441,ROWS(Data!$P$2:AA231),COLUMNS(Data!$P$3:Z232)),IF($Q$1=$P$5,INDEX(prem_analysis!$BH$1:$BS$23,ROWS(Data!$Q$3:AA232),COLUMNS(Data!$Q$3:AA232)),IF($Q$1=$P$6,INDEX(prem_analysis!$BU$1:$CF$67,ROWS(prem_analysis!$N$2:X231),COLUMNS(prem_analysis!$N$2:X231)),IF($Q$1=$P$4,INDEX(Table24[[#All],[Year]:[Details]],ROWS(prem_analysis!$M$420:W649),COLUMNS(Data!$Q$3:AA232)))))),"")</f>
        <v/>
      </c>
      <c r="AC231" s="1" t="str">
        <f>IFERROR(IF($Q$1=$P$3,INDEX(prem_analysis!$P$2:$Q$441,ROWS(Data!$P$2:AB231),COLUMNS(Data!$P$3:AA232)),IF($Q$1=$P$5,INDEX(prem_analysis!$BH$1:$BS$23,ROWS(Data!$Q$3:AB232),COLUMNS(Data!$Q$3:AB232)),IF($Q$1=$P$6,INDEX(prem_analysis!$BU$1:$CF$67,ROWS(prem_analysis!$N$2:Y231),COLUMNS(prem_analysis!$N$2:Y231)),IF($Q$1=$P$4,INDEX(Table24[[#All],[Year]:[Details]],ROWS(prem_analysis!$M$420:X649),COLUMNS(Data!$Q$3:AB232)))))),"")</f>
        <v/>
      </c>
    </row>
    <row r="232" spans="1:29" x14ac:dyDescent="0.2">
      <c r="A232" s="3">
        <v>2011</v>
      </c>
      <c r="B232" s="3">
        <v>11</v>
      </c>
      <c r="C232" s="4" t="s">
        <v>48</v>
      </c>
      <c r="D232" s="3">
        <v>38</v>
      </c>
      <c r="E232" s="3">
        <v>12</v>
      </c>
      <c r="F232" s="3">
        <v>11</v>
      </c>
      <c r="G232" s="3">
        <v>15</v>
      </c>
      <c r="H232" s="3">
        <v>44</v>
      </c>
      <c r="I232" s="3">
        <v>51</v>
      </c>
      <c r="J232" s="3">
        <v>-7</v>
      </c>
      <c r="K232" s="3">
        <v>47</v>
      </c>
      <c r="L232" s="5">
        <f>IF(Table24[[#This Row],['#]]=1,"Champion", IF(Table24[[#This Row],['#]]&gt;=18,"Relegated",Table24[[#This Row],['#]]))</f>
        <v>11</v>
      </c>
      <c r="M232" s="5" t="str">
        <f>IF(Table24[[#This Row],[Details]]=2,K231-Table24[[#This Row],[Pts]],IF(Table24[[#This Row],[Details]]=17,Table24[[#This Row],[Pts]]-K233,""))</f>
        <v/>
      </c>
      <c r="R232" s="1" t="str">
        <f>IFERROR(IF($Q$1=$P$3,INDEX(prem_analysis!$P$2:$Q$441,ROWS(Data!$P$2:Q232),COLUMNS(Data!$P$3:P233)),IF($Q$1=$P$5,INDEX(prem_analysis!$BH$1:$BS$23,ROWS(Data!$Q$3:Q233),COLUMNS(Data!$Q$3:Q233)),IF($Q$1=$P$6,INDEX(prem_analysis!$BU$1:$CF$67,ROWS(prem_analysis!$N$2:N232),COLUMNS(prem_analysis!$N$2:N232)),IF($Q$1=$P$4,INDEX(Table24[[#All],[Year]:[Details]],ROWS(prem_analysis!$M$420:M650),COLUMNS(Data!$Q$3:Q233)))))),"")</f>
        <v/>
      </c>
      <c r="S232" s="1" t="str">
        <f>IFERROR(IF($Q$1=$P$3,INDEX(prem_analysis!$P$2:$Q$441,ROWS(Data!$P$2:R232),COLUMNS(Data!$P$3:Q233)),IF($Q$1=$P$5,INDEX(prem_analysis!$BH$1:$BS$23,ROWS(Data!$Q$3:R233),COLUMNS(Data!$Q$3:R233)),IF($Q$1=$P$6,INDEX(prem_analysis!$BU$1:$CF$67,ROWS(prem_analysis!$N$2:O232),COLUMNS(prem_analysis!$N$2:O232)),IF($Q$1=$P$4,INDEX(Table24[[#All],[Year]:[Details]],ROWS(prem_analysis!$M$420:N650),COLUMNS(Data!$Q$3:R233)))))),"")</f>
        <v/>
      </c>
      <c r="T232" s="1" t="str">
        <f>IFERROR(IF($Q$1=$P$3,INDEX(prem_analysis!$P$2:$Q$441,ROWS(Data!$P$2:S232),COLUMNS(Data!$P$3:R233)),IF($Q$1=$P$5,INDEX(prem_analysis!$BH$1:$BS$23,ROWS(Data!$Q$3:S233),COLUMNS(Data!$Q$3:S233)),IF($Q$1=$P$6,INDEX(prem_analysis!$BU$1:$CF$67,ROWS(prem_analysis!$N$2:P232),COLUMNS(prem_analysis!$N$2:P232)),IF($Q$1=$P$4,INDEX(Table24[[#All],[Year]:[Details]],ROWS(prem_analysis!$M$420:O650),COLUMNS(Data!$Q$3:S233)))))),"")</f>
        <v/>
      </c>
      <c r="U232" s="1" t="str">
        <f>IFERROR(IF($Q$1=$P$3,INDEX(prem_analysis!$P$2:$Q$441,ROWS(Data!$P$2:T232),COLUMNS(Data!$P$3:S233)),IF($Q$1=$P$5,INDEX(prem_analysis!$BH$1:$BS$23,ROWS(Data!$Q$3:T233),COLUMNS(Data!$Q$3:T233)),IF($Q$1=$P$6,INDEX(prem_analysis!$BU$1:$CF$67,ROWS(prem_analysis!$N$2:Q232),COLUMNS(prem_analysis!$N$2:Q232)),IF($Q$1=$P$4,INDEX(Table24[[#All],[Year]:[Details]],ROWS(prem_analysis!$M$420:P650),COLUMNS(Data!$Q$3:T233)))))),"")</f>
        <v/>
      </c>
      <c r="V232" s="1" t="str">
        <f>IFERROR(IF($Q$1=$P$3,INDEX(prem_analysis!$P$2:$Q$441,ROWS(Data!$P$2:U232),COLUMNS(Data!$P$3:T233)),IF($Q$1=$P$5,INDEX(prem_analysis!$BH$1:$BS$23,ROWS(Data!$Q$3:U233),COLUMNS(Data!$Q$3:U233)),IF($Q$1=$P$6,INDEX(prem_analysis!$BU$1:$CF$67,ROWS(prem_analysis!$N$2:R232),COLUMNS(prem_analysis!$N$2:R232)),IF($Q$1=$P$4,INDEX(Table24[[#All],[Year]:[Details]],ROWS(prem_analysis!$M$420:Q650),COLUMNS(Data!$Q$3:U233)))))),"")</f>
        <v/>
      </c>
      <c r="W232" s="1" t="str">
        <f>IFERROR(IF($Q$1=$P$3,INDEX(prem_analysis!$P$2:$Q$441,ROWS(Data!$P$2:V232),COLUMNS(Data!$P$3:U233)),IF($Q$1=$P$5,INDEX(prem_analysis!$BH$1:$BS$23,ROWS(Data!$Q$3:V233),COLUMNS(Data!$Q$3:V233)),IF($Q$1=$P$6,INDEX(prem_analysis!$BU$1:$CF$67,ROWS(prem_analysis!$N$2:S232),COLUMNS(prem_analysis!$N$2:S232)),IF($Q$1=$P$4,INDEX(Table24[[#All],[Year]:[Details]],ROWS(prem_analysis!$M$420:R650),COLUMNS(Data!$Q$3:V233)))))),"")</f>
        <v/>
      </c>
      <c r="X232" s="1" t="str">
        <f>IFERROR(IF($Q$1=$P$3,INDEX(prem_analysis!$P$2:$Q$441,ROWS(Data!$P$2:W232),COLUMNS(Data!$P$3:V233)),IF($Q$1=$P$5,INDEX(prem_analysis!$BH$1:$BS$23,ROWS(Data!$Q$3:W233),COLUMNS(Data!$Q$3:W233)),IF($Q$1=$P$6,INDEX(prem_analysis!$BU$1:$CF$67,ROWS(prem_analysis!$N$2:T232),COLUMNS(prem_analysis!$N$2:T232)),IF($Q$1=$P$4,INDEX(Table24[[#All],[Year]:[Details]],ROWS(prem_analysis!$M$420:S650),COLUMNS(Data!$Q$3:W233)))))),"")</f>
        <v/>
      </c>
      <c r="Y232" s="1" t="str">
        <f>IFERROR(IF($Q$1=$P$3,INDEX(prem_analysis!$P$2:$Q$441,ROWS(Data!$P$2:X232),COLUMNS(Data!$P$3:W233)),IF($Q$1=$P$5,INDEX(prem_analysis!$BH$1:$BS$23,ROWS(Data!$Q$3:X233),COLUMNS(Data!$Q$3:X233)),IF($Q$1=$P$6,INDEX(prem_analysis!$BU$1:$CF$67,ROWS(prem_analysis!$N$2:U232),COLUMNS(prem_analysis!$N$2:U232)),IF($Q$1=$P$4,INDEX(Table24[[#All],[Year]:[Details]],ROWS(prem_analysis!$M$420:T650),COLUMNS(Data!$Q$3:X233)))))),"")</f>
        <v/>
      </c>
      <c r="Z232" s="1" t="str">
        <f>IFERROR(IF($Q$1=$P$3,INDEX(prem_analysis!$P$2:$Q$441,ROWS(Data!$P$2:Y232),COLUMNS(Data!$P$3:X233)),IF($Q$1=$P$5,INDEX(prem_analysis!$BH$1:$BS$23,ROWS(Data!$Q$3:Y233),COLUMNS(Data!$Q$3:Y233)),IF($Q$1=$P$6,INDEX(prem_analysis!$BU$1:$CF$67,ROWS(prem_analysis!$N$2:V232),COLUMNS(prem_analysis!$N$2:V232)),IF($Q$1=$P$4,INDEX(Table24[[#All],[Year]:[Details]],ROWS(prem_analysis!$M$420:U650),COLUMNS(Data!$Q$3:Y233)))))),"")</f>
        <v/>
      </c>
      <c r="AA232" s="1" t="str">
        <f>IFERROR(IF($Q$1=$P$3,INDEX(prem_analysis!$P$2:$Q$441,ROWS(Data!$P$2:Z232),COLUMNS(Data!$P$3:Y233)),IF($Q$1=$P$5,INDEX(prem_analysis!$BH$1:$BS$23,ROWS(Data!$Q$3:Z233),COLUMNS(Data!$Q$3:Z233)),IF($Q$1=$P$6,INDEX(prem_analysis!$BU$1:$CF$67,ROWS(prem_analysis!$N$2:W232),COLUMNS(prem_analysis!$N$2:W232)),IF($Q$1=$P$4,INDEX(Table24[[#All],[Year]:[Details]],ROWS(prem_analysis!$M$420:V650),COLUMNS(Data!$Q$3:Z233)))))),"")</f>
        <v/>
      </c>
      <c r="AB232" s="1" t="str">
        <f>IFERROR(IF($Q$1=$P$3,INDEX(prem_analysis!$P$2:$Q$441,ROWS(Data!$P$2:AA232),COLUMNS(Data!$P$3:Z233)),IF($Q$1=$P$5,INDEX(prem_analysis!$BH$1:$BS$23,ROWS(Data!$Q$3:AA233),COLUMNS(Data!$Q$3:AA233)),IF($Q$1=$P$6,INDEX(prem_analysis!$BU$1:$CF$67,ROWS(prem_analysis!$N$2:X232),COLUMNS(prem_analysis!$N$2:X232)),IF($Q$1=$P$4,INDEX(Table24[[#All],[Year]:[Details]],ROWS(prem_analysis!$M$420:W650),COLUMNS(Data!$Q$3:AA233)))))),"")</f>
        <v/>
      </c>
      <c r="AC232" s="1" t="str">
        <f>IFERROR(IF($Q$1=$P$3,INDEX(prem_analysis!$P$2:$Q$441,ROWS(Data!$P$2:AB232),COLUMNS(Data!$P$3:AA233)),IF($Q$1=$P$5,INDEX(prem_analysis!$BH$1:$BS$23,ROWS(Data!$Q$3:AB233),COLUMNS(Data!$Q$3:AB233)),IF($Q$1=$P$6,INDEX(prem_analysis!$BU$1:$CF$67,ROWS(prem_analysis!$N$2:Y232),COLUMNS(prem_analysis!$N$2:Y232)),IF($Q$1=$P$4,INDEX(Table24[[#All],[Year]:[Details]],ROWS(prem_analysis!$M$420:X650),COLUMNS(Data!$Q$3:AB233)))))),"")</f>
        <v/>
      </c>
    </row>
    <row r="233" spans="1:29" x14ac:dyDescent="0.2">
      <c r="A233" s="5">
        <v>2011</v>
      </c>
      <c r="B233" s="5">
        <v>12</v>
      </c>
      <c r="C233" s="6" t="s">
        <v>39</v>
      </c>
      <c r="D233" s="5">
        <v>38</v>
      </c>
      <c r="E233" s="5">
        <v>12</v>
      </c>
      <c r="F233" s="5">
        <v>11</v>
      </c>
      <c r="G233" s="5">
        <v>15</v>
      </c>
      <c r="H233" s="5">
        <v>52</v>
      </c>
      <c r="I233" s="5">
        <v>66</v>
      </c>
      <c r="J233" s="5">
        <v>-14</v>
      </c>
      <c r="K233" s="5">
        <v>47</v>
      </c>
      <c r="L233" s="5">
        <f>IF(Table24[[#This Row],['#]]=1,"Champion", IF(Table24[[#This Row],['#]]&gt;=18,"Relegated",Table24[[#This Row],['#]]))</f>
        <v>12</v>
      </c>
      <c r="M233" s="5" t="str">
        <f>IF(Table24[[#This Row],[Details]]=2,K232-Table24[[#This Row],[Pts]],IF(Table24[[#This Row],[Details]]=17,Table24[[#This Row],[Pts]]-K234,""))</f>
        <v/>
      </c>
      <c r="R233" s="1" t="str">
        <f>IFERROR(IF($Q$1=$P$3,INDEX(prem_analysis!$P$2:$Q$441,ROWS(Data!$P$2:Q233),COLUMNS(Data!$P$3:P234)),IF($Q$1=$P$5,INDEX(prem_analysis!$BH$1:$BS$23,ROWS(Data!$Q$3:Q234),COLUMNS(Data!$Q$3:Q234)),IF($Q$1=$P$6,INDEX(prem_analysis!$BU$1:$CF$67,ROWS(prem_analysis!$N$2:N233),COLUMNS(prem_analysis!$N$2:N233)),IF($Q$1=$P$4,INDEX(Table24[[#All],[Year]:[Details]],ROWS(prem_analysis!$M$420:M651),COLUMNS(Data!$Q$3:Q234)))))),"")</f>
        <v/>
      </c>
      <c r="S233" s="1" t="str">
        <f>IFERROR(IF($Q$1=$P$3,INDEX(prem_analysis!$P$2:$Q$441,ROWS(Data!$P$2:R233),COLUMNS(Data!$P$3:Q234)),IF($Q$1=$P$5,INDEX(prem_analysis!$BH$1:$BS$23,ROWS(Data!$Q$3:R234),COLUMNS(Data!$Q$3:R234)),IF($Q$1=$P$6,INDEX(prem_analysis!$BU$1:$CF$67,ROWS(prem_analysis!$N$2:O233),COLUMNS(prem_analysis!$N$2:O233)),IF($Q$1=$P$4,INDEX(Table24[[#All],[Year]:[Details]],ROWS(prem_analysis!$M$420:N651),COLUMNS(Data!$Q$3:R234)))))),"")</f>
        <v/>
      </c>
      <c r="T233" s="1" t="str">
        <f>IFERROR(IF($Q$1=$P$3,INDEX(prem_analysis!$P$2:$Q$441,ROWS(Data!$P$2:S233),COLUMNS(Data!$P$3:R234)),IF($Q$1=$P$5,INDEX(prem_analysis!$BH$1:$BS$23,ROWS(Data!$Q$3:S234),COLUMNS(Data!$Q$3:S234)),IF($Q$1=$P$6,INDEX(prem_analysis!$BU$1:$CF$67,ROWS(prem_analysis!$N$2:P233),COLUMNS(prem_analysis!$N$2:P233)),IF($Q$1=$P$4,INDEX(Table24[[#All],[Year]:[Details]],ROWS(prem_analysis!$M$420:O651),COLUMNS(Data!$Q$3:S234)))))),"")</f>
        <v/>
      </c>
      <c r="U233" s="1" t="str">
        <f>IFERROR(IF($Q$1=$P$3,INDEX(prem_analysis!$P$2:$Q$441,ROWS(Data!$P$2:T233),COLUMNS(Data!$P$3:S234)),IF($Q$1=$P$5,INDEX(prem_analysis!$BH$1:$BS$23,ROWS(Data!$Q$3:T234),COLUMNS(Data!$Q$3:T234)),IF($Q$1=$P$6,INDEX(prem_analysis!$BU$1:$CF$67,ROWS(prem_analysis!$N$2:Q233),COLUMNS(prem_analysis!$N$2:Q233)),IF($Q$1=$P$4,INDEX(Table24[[#All],[Year]:[Details]],ROWS(prem_analysis!$M$420:P651),COLUMNS(Data!$Q$3:T234)))))),"")</f>
        <v/>
      </c>
      <c r="V233" s="1" t="str">
        <f>IFERROR(IF($Q$1=$P$3,INDEX(prem_analysis!$P$2:$Q$441,ROWS(Data!$P$2:U233),COLUMNS(Data!$P$3:T234)),IF($Q$1=$P$5,INDEX(prem_analysis!$BH$1:$BS$23,ROWS(Data!$Q$3:U234),COLUMNS(Data!$Q$3:U234)),IF($Q$1=$P$6,INDEX(prem_analysis!$BU$1:$CF$67,ROWS(prem_analysis!$N$2:R233),COLUMNS(prem_analysis!$N$2:R233)),IF($Q$1=$P$4,INDEX(Table24[[#All],[Year]:[Details]],ROWS(prem_analysis!$M$420:Q651),COLUMNS(Data!$Q$3:U234)))))),"")</f>
        <v/>
      </c>
      <c r="W233" s="1" t="str">
        <f>IFERROR(IF($Q$1=$P$3,INDEX(prem_analysis!$P$2:$Q$441,ROWS(Data!$P$2:V233),COLUMNS(Data!$P$3:U234)),IF($Q$1=$P$5,INDEX(prem_analysis!$BH$1:$BS$23,ROWS(Data!$Q$3:V234),COLUMNS(Data!$Q$3:V234)),IF($Q$1=$P$6,INDEX(prem_analysis!$BU$1:$CF$67,ROWS(prem_analysis!$N$2:S233),COLUMNS(prem_analysis!$N$2:S233)),IF($Q$1=$P$4,INDEX(Table24[[#All],[Year]:[Details]],ROWS(prem_analysis!$M$420:R651),COLUMNS(Data!$Q$3:V234)))))),"")</f>
        <v/>
      </c>
      <c r="X233" s="1" t="str">
        <f>IFERROR(IF($Q$1=$P$3,INDEX(prem_analysis!$P$2:$Q$441,ROWS(Data!$P$2:W233),COLUMNS(Data!$P$3:V234)),IF($Q$1=$P$5,INDEX(prem_analysis!$BH$1:$BS$23,ROWS(Data!$Q$3:W234),COLUMNS(Data!$Q$3:W234)),IF($Q$1=$P$6,INDEX(prem_analysis!$BU$1:$CF$67,ROWS(prem_analysis!$N$2:T233),COLUMNS(prem_analysis!$N$2:T233)),IF($Q$1=$P$4,INDEX(Table24[[#All],[Year]:[Details]],ROWS(prem_analysis!$M$420:S651),COLUMNS(Data!$Q$3:W234)))))),"")</f>
        <v/>
      </c>
      <c r="Y233" s="1" t="str">
        <f>IFERROR(IF($Q$1=$P$3,INDEX(prem_analysis!$P$2:$Q$441,ROWS(Data!$P$2:X233),COLUMNS(Data!$P$3:W234)),IF($Q$1=$P$5,INDEX(prem_analysis!$BH$1:$BS$23,ROWS(Data!$Q$3:X234),COLUMNS(Data!$Q$3:X234)),IF($Q$1=$P$6,INDEX(prem_analysis!$BU$1:$CF$67,ROWS(prem_analysis!$N$2:U233),COLUMNS(prem_analysis!$N$2:U233)),IF($Q$1=$P$4,INDEX(Table24[[#All],[Year]:[Details]],ROWS(prem_analysis!$M$420:T651),COLUMNS(Data!$Q$3:X234)))))),"")</f>
        <v/>
      </c>
      <c r="Z233" s="1" t="str">
        <f>IFERROR(IF($Q$1=$P$3,INDEX(prem_analysis!$P$2:$Q$441,ROWS(Data!$P$2:Y233),COLUMNS(Data!$P$3:X234)),IF($Q$1=$P$5,INDEX(prem_analysis!$BH$1:$BS$23,ROWS(Data!$Q$3:Y234),COLUMNS(Data!$Q$3:Y234)),IF($Q$1=$P$6,INDEX(prem_analysis!$BU$1:$CF$67,ROWS(prem_analysis!$N$2:V233),COLUMNS(prem_analysis!$N$2:V233)),IF($Q$1=$P$4,INDEX(Table24[[#All],[Year]:[Details]],ROWS(prem_analysis!$M$420:U651),COLUMNS(Data!$Q$3:Y234)))))),"")</f>
        <v/>
      </c>
      <c r="AA233" s="1" t="str">
        <f>IFERROR(IF($Q$1=$P$3,INDEX(prem_analysis!$P$2:$Q$441,ROWS(Data!$P$2:Z233),COLUMNS(Data!$P$3:Y234)),IF($Q$1=$P$5,INDEX(prem_analysis!$BH$1:$BS$23,ROWS(Data!$Q$3:Z234),COLUMNS(Data!$Q$3:Z234)),IF($Q$1=$P$6,INDEX(prem_analysis!$BU$1:$CF$67,ROWS(prem_analysis!$N$2:W233),COLUMNS(prem_analysis!$N$2:W233)),IF($Q$1=$P$4,INDEX(Table24[[#All],[Year]:[Details]],ROWS(prem_analysis!$M$420:V651),COLUMNS(Data!$Q$3:Z234)))))),"")</f>
        <v/>
      </c>
      <c r="AB233" s="1" t="str">
        <f>IFERROR(IF($Q$1=$P$3,INDEX(prem_analysis!$P$2:$Q$441,ROWS(Data!$P$2:AA233),COLUMNS(Data!$P$3:Z234)),IF($Q$1=$P$5,INDEX(prem_analysis!$BH$1:$BS$23,ROWS(Data!$Q$3:AA234),COLUMNS(Data!$Q$3:AA234)),IF($Q$1=$P$6,INDEX(prem_analysis!$BU$1:$CF$67,ROWS(prem_analysis!$N$2:X233),COLUMNS(prem_analysis!$N$2:X233)),IF($Q$1=$P$4,INDEX(Table24[[#All],[Year]:[Details]],ROWS(prem_analysis!$M$420:W651),COLUMNS(Data!$Q$3:AA234)))))),"")</f>
        <v/>
      </c>
      <c r="AC233" s="1" t="str">
        <f>IFERROR(IF($Q$1=$P$3,INDEX(prem_analysis!$P$2:$Q$441,ROWS(Data!$P$2:AB233),COLUMNS(Data!$P$3:AA234)),IF($Q$1=$P$5,INDEX(prem_analysis!$BH$1:$BS$23,ROWS(Data!$Q$3:AB234),COLUMNS(Data!$Q$3:AB234)),IF($Q$1=$P$6,INDEX(prem_analysis!$BU$1:$CF$67,ROWS(prem_analysis!$N$2:Y233),COLUMNS(prem_analysis!$N$2:Y233)),IF($Q$1=$P$4,INDEX(Table24[[#All],[Year]:[Details]],ROWS(prem_analysis!$M$420:X651),COLUMNS(Data!$Q$3:AB234)))))),"")</f>
        <v/>
      </c>
    </row>
    <row r="234" spans="1:29" x14ac:dyDescent="0.2">
      <c r="A234" s="3">
        <v>2011</v>
      </c>
      <c r="B234" s="3">
        <v>13</v>
      </c>
      <c r="C234" s="4" t="s">
        <v>17</v>
      </c>
      <c r="D234" s="3">
        <v>38</v>
      </c>
      <c r="E234" s="3">
        <v>11</v>
      </c>
      <c r="F234" s="3">
        <v>12</v>
      </c>
      <c r="G234" s="3">
        <v>15</v>
      </c>
      <c r="H234" s="3">
        <v>45</v>
      </c>
      <c r="I234" s="3">
        <v>46</v>
      </c>
      <c r="J234" s="3">
        <v>-1</v>
      </c>
      <c r="K234" s="3">
        <v>45</v>
      </c>
      <c r="L234" s="5">
        <f>IF(Table24[[#This Row],['#]]=1,"Champion", IF(Table24[[#This Row],['#]]&gt;=18,"Relegated",Table24[[#This Row],['#]]))</f>
        <v>13</v>
      </c>
      <c r="M234" s="5" t="str">
        <f>IF(Table24[[#This Row],[Details]]=2,K233-Table24[[#This Row],[Pts]],IF(Table24[[#This Row],[Details]]=17,Table24[[#This Row],[Pts]]-K235,""))</f>
        <v/>
      </c>
      <c r="R234" s="1" t="str">
        <f>IFERROR(IF($Q$1=$P$3,INDEX(prem_analysis!$P$2:$Q$441,ROWS(Data!$P$2:Q234),COLUMNS(Data!$P$3:P235)),IF($Q$1=$P$5,INDEX(prem_analysis!$BH$1:$BS$23,ROWS(Data!$Q$3:Q235),COLUMNS(Data!$Q$3:Q235)),IF($Q$1=$P$6,INDEX(prem_analysis!$BU$1:$CF$67,ROWS(prem_analysis!$N$2:N234),COLUMNS(prem_analysis!$N$2:N234)),IF($Q$1=$P$4,INDEX(Table24[[#All],[Year]:[Details]],ROWS(prem_analysis!$M$420:M652),COLUMNS(Data!$Q$3:Q235)))))),"")</f>
        <v/>
      </c>
      <c r="S234" s="1" t="str">
        <f>IFERROR(IF($Q$1=$P$3,INDEX(prem_analysis!$P$2:$Q$441,ROWS(Data!$P$2:R234),COLUMNS(Data!$P$3:Q235)),IF($Q$1=$P$5,INDEX(prem_analysis!$BH$1:$BS$23,ROWS(Data!$Q$3:R235),COLUMNS(Data!$Q$3:R235)),IF($Q$1=$P$6,INDEX(prem_analysis!$BU$1:$CF$67,ROWS(prem_analysis!$N$2:O234),COLUMNS(prem_analysis!$N$2:O234)),IF($Q$1=$P$4,INDEX(Table24[[#All],[Year]:[Details]],ROWS(prem_analysis!$M$420:N652),COLUMNS(Data!$Q$3:R235)))))),"")</f>
        <v/>
      </c>
      <c r="T234" s="1" t="str">
        <f>IFERROR(IF($Q$1=$P$3,INDEX(prem_analysis!$P$2:$Q$441,ROWS(Data!$P$2:S234),COLUMNS(Data!$P$3:R235)),IF($Q$1=$P$5,INDEX(prem_analysis!$BH$1:$BS$23,ROWS(Data!$Q$3:S235),COLUMNS(Data!$Q$3:S235)),IF($Q$1=$P$6,INDEX(prem_analysis!$BU$1:$CF$67,ROWS(prem_analysis!$N$2:P234),COLUMNS(prem_analysis!$N$2:P234)),IF($Q$1=$P$4,INDEX(Table24[[#All],[Year]:[Details]],ROWS(prem_analysis!$M$420:O652),COLUMNS(Data!$Q$3:S235)))))),"")</f>
        <v/>
      </c>
      <c r="U234" s="1" t="str">
        <f>IFERROR(IF($Q$1=$P$3,INDEX(prem_analysis!$P$2:$Q$441,ROWS(Data!$P$2:T234),COLUMNS(Data!$P$3:S235)),IF($Q$1=$P$5,INDEX(prem_analysis!$BH$1:$BS$23,ROWS(Data!$Q$3:T235),COLUMNS(Data!$Q$3:T235)),IF($Q$1=$P$6,INDEX(prem_analysis!$BU$1:$CF$67,ROWS(prem_analysis!$N$2:Q234),COLUMNS(prem_analysis!$N$2:Q234)),IF($Q$1=$P$4,INDEX(Table24[[#All],[Year]:[Details]],ROWS(prem_analysis!$M$420:P652),COLUMNS(Data!$Q$3:T235)))))),"")</f>
        <v/>
      </c>
      <c r="V234" s="1" t="str">
        <f>IFERROR(IF($Q$1=$P$3,INDEX(prem_analysis!$P$2:$Q$441,ROWS(Data!$P$2:U234),COLUMNS(Data!$P$3:T235)),IF($Q$1=$P$5,INDEX(prem_analysis!$BH$1:$BS$23,ROWS(Data!$Q$3:U235),COLUMNS(Data!$Q$3:U235)),IF($Q$1=$P$6,INDEX(prem_analysis!$BU$1:$CF$67,ROWS(prem_analysis!$N$2:R234),COLUMNS(prem_analysis!$N$2:R234)),IF($Q$1=$P$4,INDEX(Table24[[#All],[Year]:[Details]],ROWS(prem_analysis!$M$420:Q652),COLUMNS(Data!$Q$3:U235)))))),"")</f>
        <v/>
      </c>
      <c r="W234" s="1" t="str">
        <f>IFERROR(IF($Q$1=$P$3,INDEX(prem_analysis!$P$2:$Q$441,ROWS(Data!$P$2:V234),COLUMNS(Data!$P$3:U235)),IF($Q$1=$P$5,INDEX(prem_analysis!$BH$1:$BS$23,ROWS(Data!$Q$3:V235),COLUMNS(Data!$Q$3:V235)),IF($Q$1=$P$6,INDEX(prem_analysis!$BU$1:$CF$67,ROWS(prem_analysis!$N$2:S234),COLUMNS(prem_analysis!$N$2:S234)),IF($Q$1=$P$4,INDEX(Table24[[#All],[Year]:[Details]],ROWS(prem_analysis!$M$420:R652),COLUMNS(Data!$Q$3:V235)))))),"")</f>
        <v/>
      </c>
      <c r="X234" s="1" t="str">
        <f>IFERROR(IF($Q$1=$P$3,INDEX(prem_analysis!$P$2:$Q$441,ROWS(Data!$P$2:W234),COLUMNS(Data!$P$3:V235)),IF($Q$1=$P$5,INDEX(prem_analysis!$BH$1:$BS$23,ROWS(Data!$Q$3:W235),COLUMNS(Data!$Q$3:W235)),IF($Q$1=$P$6,INDEX(prem_analysis!$BU$1:$CF$67,ROWS(prem_analysis!$N$2:T234),COLUMNS(prem_analysis!$N$2:T234)),IF($Q$1=$P$4,INDEX(Table24[[#All],[Year]:[Details]],ROWS(prem_analysis!$M$420:S652),COLUMNS(Data!$Q$3:W235)))))),"")</f>
        <v/>
      </c>
      <c r="Y234" s="1" t="str">
        <f>IFERROR(IF($Q$1=$P$3,INDEX(prem_analysis!$P$2:$Q$441,ROWS(Data!$P$2:X234),COLUMNS(Data!$P$3:W235)),IF($Q$1=$P$5,INDEX(prem_analysis!$BH$1:$BS$23,ROWS(Data!$Q$3:X235),COLUMNS(Data!$Q$3:X235)),IF($Q$1=$P$6,INDEX(prem_analysis!$BU$1:$CF$67,ROWS(prem_analysis!$N$2:U234),COLUMNS(prem_analysis!$N$2:U234)),IF($Q$1=$P$4,INDEX(Table24[[#All],[Year]:[Details]],ROWS(prem_analysis!$M$420:T652),COLUMNS(Data!$Q$3:X235)))))),"")</f>
        <v/>
      </c>
      <c r="Z234" s="1" t="str">
        <f>IFERROR(IF($Q$1=$P$3,INDEX(prem_analysis!$P$2:$Q$441,ROWS(Data!$P$2:Y234),COLUMNS(Data!$P$3:X235)),IF($Q$1=$P$5,INDEX(prem_analysis!$BH$1:$BS$23,ROWS(Data!$Q$3:Y235),COLUMNS(Data!$Q$3:Y235)),IF($Q$1=$P$6,INDEX(prem_analysis!$BU$1:$CF$67,ROWS(prem_analysis!$N$2:V234),COLUMNS(prem_analysis!$N$2:V234)),IF($Q$1=$P$4,INDEX(Table24[[#All],[Year]:[Details]],ROWS(prem_analysis!$M$420:U652),COLUMNS(Data!$Q$3:Y235)))))),"")</f>
        <v/>
      </c>
      <c r="AA234" s="1" t="str">
        <f>IFERROR(IF($Q$1=$P$3,INDEX(prem_analysis!$P$2:$Q$441,ROWS(Data!$P$2:Z234),COLUMNS(Data!$P$3:Y235)),IF($Q$1=$P$5,INDEX(prem_analysis!$BH$1:$BS$23,ROWS(Data!$Q$3:Z235),COLUMNS(Data!$Q$3:Z235)),IF($Q$1=$P$6,INDEX(prem_analysis!$BU$1:$CF$67,ROWS(prem_analysis!$N$2:W234),COLUMNS(prem_analysis!$N$2:W234)),IF($Q$1=$P$4,INDEX(Table24[[#All],[Year]:[Details]],ROWS(prem_analysis!$M$420:V652),COLUMNS(Data!$Q$3:Z235)))))),"")</f>
        <v/>
      </c>
      <c r="AB234" s="1" t="str">
        <f>IFERROR(IF($Q$1=$P$3,INDEX(prem_analysis!$P$2:$Q$441,ROWS(Data!$P$2:AA234),COLUMNS(Data!$P$3:Z235)),IF($Q$1=$P$5,INDEX(prem_analysis!$BH$1:$BS$23,ROWS(Data!$Q$3:AA235),COLUMNS(Data!$Q$3:AA235)),IF($Q$1=$P$6,INDEX(prem_analysis!$BU$1:$CF$67,ROWS(prem_analysis!$N$2:X234),COLUMNS(prem_analysis!$N$2:X234)),IF($Q$1=$P$4,INDEX(Table24[[#All],[Year]:[Details]],ROWS(prem_analysis!$M$420:W652),COLUMNS(Data!$Q$3:AA235)))))),"")</f>
        <v/>
      </c>
      <c r="AC234" s="1" t="str">
        <f>IFERROR(IF($Q$1=$P$3,INDEX(prem_analysis!$P$2:$Q$441,ROWS(Data!$P$2:AB234),COLUMNS(Data!$P$3:AA235)),IF($Q$1=$P$5,INDEX(prem_analysis!$BH$1:$BS$23,ROWS(Data!$Q$3:AB235),COLUMNS(Data!$Q$3:AB235)),IF($Q$1=$P$6,INDEX(prem_analysis!$BU$1:$CF$67,ROWS(prem_analysis!$N$2:Y234),COLUMNS(prem_analysis!$N$2:Y234)),IF($Q$1=$P$4,INDEX(Table24[[#All],[Year]:[Details]],ROWS(prem_analysis!$M$420:X652),COLUMNS(Data!$Q$3:AB235)))))),"")</f>
        <v/>
      </c>
    </row>
    <row r="235" spans="1:29" x14ac:dyDescent="0.2">
      <c r="A235" s="5">
        <v>2011</v>
      </c>
      <c r="B235" s="5">
        <v>14</v>
      </c>
      <c r="C235" s="6" t="s">
        <v>44</v>
      </c>
      <c r="D235" s="5">
        <v>38</v>
      </c>
      <c r="E235" s="5">
        <v>11</v>
      </c>
      <c r="F235" s="5">
        <v>12</v>
      </c>
      <c r="G235" s="5">
        <v>15</v>
      </c>
      <c r="H235" s="5">
        <v>36</v>
      </c>
      <c r="I235" s="5">
        <v>53</v>
      </c>
      <c r="J235" s="5">
        <v>-17</v>
      </c>
      <c r="K235" s="5">
        <v>45</v>
      </c>
      <c r="L235" s="5">
        <f>IF(Table24[[#This Row],['#]]=1,"Champion", IF(Table24[[#This Row],['#]]&gt;=18,"Relegated",Table24[[#This Row],['#]]))</f>
        <v>14</v>
      </c>
      <c r="M235" s="5" t="str">
        <f>IF(Table24[[#This Row],[Details]]=2,K234-Table24[[#This Row],[Pts]],IF(Table24[[#This Row],[Details]]=17,Table24[[#This Row],[Pts]]-K236,""))</f>
        <v/>
      </c>
      <c r="R235" s="1" t="str">
        <f>IFERROR(IF($Q$1=$P$3,INDEX(prem_analysis!$P$2:$Q$441,ROWS(Data!$P$2:Q235),COLUMNS(Data!$P$3:P236)),IF($Q$1=$P$5,INDEX(prem_analysis!$BH$1:$BS$23,ROWS(Data!$Q$3:Q236),COLUMNS(Data!$Q$3:Q236)),IF($Q$1=$P$6,INDEX(prem_analysis!$BU$1:$CF$67,ROWS(prem_analysis!$N$2:N235),COLUMNS(prem_analysis!$N$2:N235)),IF($Q$1=$P$4,INDEX(Table24[[#All],[Year]:[Details]],ROWS(prem_analysis!$M$420:M653),COLUMNS(Data!$Q$3:Q236)))))),"")</f>
        <v/>
      </c>
      <c r="S235" s="1" t="str">
        <f>IFERROR(IF($Q$1=$P$3,INDEX(prem_analysis!$P$2:$Q$441,ROWS(Data!$P$2:R235),COLUMNS(Data!$P$3:Q236)),IF($Q$1=$P$5,INDEX(prem_analysis!$BH$1:$BS$23,ROWS(Data!$Q$3:R236),COLUMNS(Data!$Q$3:R236)),IF($Q$1=$P$6,INDEX(prem_analysis!$BU$1:$CF$67,ROWS(prem_analysis!$N$2:O235),COLUMNS(prem_analysis!$N$2:O235)),IF($Q$1=$P$4,INDEX(Table24[[#All],[Year]:[Details]],ROWS(prem_analysis!$M$420:N653),COLUMNS(Data!$Q$3:R236)))))),"")</f>
        <v/>
      </c>
      <c r="T235" s="1" t="str">
        <f>IFERROR(IF($Q$1=$P$3,INDEX(prem_analysis!$P$2:$Q$441,ROWS(Data!$P$2:S235),COLUMNS(Data!$P$3:R236)),IF($Q$1=$P$5,INDEX(prem_analysis!$BH$1:$BS$23,ROWS(Data!$Q$3:S236),COLUMNS(Data!$Q$3:S236)),IF($Q$1=$P$6,INDEX(prem_analysis!$BU$1:$CF$67,ROWS(prem_analysis!$N$2:P235),COLUMNS(prem_analysis!$N$2:P235)),IF($Q$1=$P$4,INDEX(Table24[[#All],[Year]:[Details]],ROWS(prem_analysis!$M$420:O653),COLUMNS(Data!$Q$3:S236)))))),"")</f>
        <v/>
      </c>
      <c r="U235" s="1" t="str">
        <f>IFERROR(IF($Q$1=$P$3,INDEX(prem_analysis!$P$2:$Q$441,ROWS(Data!$P$2:T235),COLUMNS(Data!$P$3:S236)),IF($Q$1=$P$5,INDEX(prem_analysis!$BH$1:$BS$23,ROWS(Data!$Q$3:T236),COLUMNS(Data!$Q$3:T236)),IF($Q$1=$P$6,INDEX(prem_analysis!$BU$1:$CF$67,ROWS(prem_analysis!$N$2:Q235),COLUMNS(prem_analysis!$N$2:Q235)),IF($Q$1=$P$4,INDEX(Table24[[#All],[Year]:[Details]],ROWS(prem_analysis!$M$420:P653),COLUMNS(Data!$Q$3:T236)))))),"")</f>
        <v/>
      </c>
      <c r="V235" s="1" t="str">
        <f>IFERROR(IF($Q$1=$P$3,INDEX(prem_analysis!$P$2:$Q$441,ROWS(Data!$P$2:U235),COLUMNS(Data!$P$3:T236)),IF($Q$1=$P$5,INDEX(prem_analysis!$BH$1:$BS$23,ROWS(Data!$Q$3:U236),COLUMNS(Data!$Q$3:U236)),IF($Q$1=$P$6,INDEX(prem_analysis!$BU$1:$CF$67,ROWS(prem_analysis!$N$2:R235),COLUMNS(prem_analysis!$N$2:R235)),IF($Q$1=$P$4,INDEX(Table24[[#All],[Year]:[Details]],ROWS(prem_analysis!$M$420:Q653),COLUMNS(Data!$Q$3:U236)))))),"")</f>
        <v/>
      </c>
      <c r="W235" s="1" t="str">
        <f>IFERROR(IF($Q$1=$P$3,INDEX(prem_analysis!$P$2:$Q$441,ROWS(Data!$P$2:V235),COLUMNS(Data!$P$3:U236)),IF($Q$1=$P$5,INDEX(prem_analysis!$BH$1:$BS$23,ROWS(Data!$Q$3:V236),COLUMNS(Data!$Q$3:V236)),IF($Q$1=$P$6,INDEX(prem_analysis!$BU$1:$CF$67,ROWS(prem_analysis!$N$2:S235),COLUMNS(prem_analysis!$N$2:S235)),IF($Q$1=$P$4,INDEX(Table24[[#All],[Year]:[Details]],ROWS(prem_analysis!$M$420:R653),COLUMNS(Data!$Q$3:V236)))))),"")</f>
        <v/>
      </c>
      <c r="X235" s="1" t="str">
        <f>IFERROR(IF($Q$1=$P$3,INDEX(prem_analysis!$P$2:$Q$441,ROWS(Data!$P$2:W235),COLUMNS(Data!$P$3:V236)),IF($Q$1=$P$5,INDEX(prem_analysis!$BH$1:$BS$23,ROWS(Data!$Q$3:W236),COLUMNS(Data!$Q$3:W236)),IF($Q$1=$P$6,INDEX(prem_analysis!$BU$1:$CF$67,ROWS(prem_analysis!$N$2:T235),COLUMNS(prem_analysis!$N$2:T235)),IF($Q$1=$P$4,INDEX(Table24[[#All],[Year]:[Details]],ROWS(prem_analysis!$M$420:S653),COLUMNS(Data!$Q$3:W236)))))),"")</f>
        <v/>
      </c>
      <c r="Y235" s="1" t="str">
        <f>IFERROR(IF($Q$1=$P$3,INDEX(prem_analysis!$P$2:$Q$441,ROWS(Data!$P$2:X235),COLUMNS(Data!$P$3:W236)),IF($Q$1=$P$5,INDEX(prem_analysis!$BH$1:$BS$23,ROWS(Data!$Q$3:X236),COLUMNS(Data!$Q$3:X236)),IF($Q$1=$P$6,INDEX(prem_analysis!$BU$1:$CF$67,ROWS(prem_analysis!$N$2:U235),COLUMNS(prem_analysis!$N$2:U235)),IF($Q$1=$P$4,INDEX(Table24[[#All],[Year]:[Details]],ROWS(prem_analysis!$M$420:T653),COLUMNS(Data!$Q$3:X236)))))),"")</f>
        <v/>
      </c>
      <c r="Z235" s="1" t="str">
        <f>IFERROR(IF($Q$1=$P$3,INDEX(prem_analysis!$P$2:$Q$441,ROWS(Data!$P$2:Y235),COLUMNS(Data!$P$3:X236)),IF($Q$1=$P$5,INDEX(prem_analysis!$BH$1:$BS$23,ROWS(Data!$Q$3:Y236),COLUMNS(Data!$Q$3:Y236)),IF($Q$1=$P$6,INDEX(prem_analysis!$BU$1:$CF$67,ROWS(prem_analysis!$N$2:V235),COLUMNS(prem_analysis!$N$2:V235)),IF($Q$1=$P$4,INDEX(Table24[[#All],[Year]:[Details]],ROWS(prem_analysis!$M$420:U653),COLUMNS(Data!$Q$3:Y236)))))),"")</f>
        <v/>
      </c>
      <c r="AA235" s="1" t="str">
        <f>IFERROR(IF($Q$1=$P$3,INDEX(prem_analysis!$P$2:$Q$441,ROWS(Data!$P$2:Z235),COLUMNS(Data!$P$3:Y236)),IF($Q$1=$P$5,INDEX(prem_analysis!$BH$1:$BS$23,ROWS(Data!$Q$3:Z236),COLUMNS(Data!$Q$3:Z236)),IF($Q$1=$P$6,INDEX(prem_analysis!$BU$1:$CF$67,ROWS(prem_analysis!$N$2:W235),COLUMNS(prem_analysis!$N$2:W235)),IF($Q$1=$P$4,INDEX(Table24[[#All],[Year]:[Details]],ROWS(prem_analysis!$M$420:V653),COLUMNS(Data!$Q$3:Z236)))))),"")</f>
        <v/>
      </c>
      <c r="AB235" s="1" t="str">
        <f>IFERROR(IF($Q$1=$P$3,INDEX(prem_analysis!$P$2:$Q$441,ROWS(Data!$P$2:AA235),COLUMNS(Data!$P$3:Z236)),IF($Q$1=$P$5,INDEX(prem_analysis!$BH$1:$BS$23,ROWS(Data!$Q$3:AA236),COLUMNS(Data!$Q$3:AA236)),IF($Q$1=$P$6,INDEX(prem_analysis!$BU$1:$CF$67,ROWS(prem_analysis!$N$2:X235),COLUMNS(prem_analysis!$N$2:X235)),IF($Q$1=$P$4,INDEX(Table24[[#All],[Year]:[Details]],ROWS(prem_analysis!$M$420:W653),COLUMNS(Data!$Q$3:AA236)))))),"")</f>
        <v/>
      </c>
      <c r="AC235" s="1" t="str">
        <f>IFERROR(IF($Q$1=$P$3,INDEX(prem_analysis!$P$2:$Q$441,ROWS(Data!$P$2:AB235),COLUMNS(Data!$P$3:AA236)),IF($Q$1=$P$5,INDEX(prem_analysis!$BH$1:$BS$23,ROWS(Data!$Q$3:AB236),COLUMNS(Data!$Q$3:AB236)),IF($Q$1=$P$6,INDEX(prem_analysis!$BU$1:$CF$67,ROWS(prem_analysis!$N$2:Y235),COLUMNS(prem_analysis!$N$2:Y235)),IF($Q$1=$P$4,INDEX(Table24[[#All],[Year]:[Details]],ROWS(prem_analysis!$M$420:X653),COLUMNS(Data!$Q$3:AB236)))))),"")</f>
        <v/>
      </c>
    </row>
    <row r="236" spans="1:29" x14ac:dyDescent="0.2">
      <c r="A236" s="3">
        <v>2011</v>
      </c>
      <c r="B236" s="3">
        <v>15</v>
      </c>
      <c r="C236" s="4" t="s">
        <v>40</v>
      </c>
      <c r="D236" s="3">
        <v>38</v>
      </c>
      <c r="E236" s="3">
        <v>11</v>
      </c>
      <c r="F236" s="3">
        <v>10</v>
      </c>
      <c r="G236" s="3">
        <v>17</v>
      </c>
      <c r="H236" s="3">
        <v>42</v>
      </c>
      <c r="I236" s="3">
        <v>62</v>
      </c>
      <c r="J236" s="3">
        <v>-20</v>
      </c>
      <c r="K236" s="3">
        <v>43</v>
      </c>
      <c r="L236" s="5">
        <f>IF(Table24[[#This Row],['#]]=1,"Champion", IF(Table24[[#This Row],['#]]&gt;=18,"Relegated",Table24[[#This Row],['#]]))</f>
        <v>15</v>
      </c>
      <c r="M236" s="5" t="str">
        <f>IF(Table24[[#This Row],[Details]]=2,K235-Table24[[#This Row],[Pts]],IF(Table24[[#This Row],[Details]]=17,Table24[[#This Row],[Pts]]-K237,""))</f>
        <v/>
      </c>
      <c r="R236" s="1" t="str">
        <f>IFERROR(IF($Q$1=$P$3,INDEX(prem_analysis!$P$2:$Q$441,ROWS(Data!$P$2:Q236),COLUMNS(Data!$P$3:P237)),IF($Q$1=$P$5,INDEX(prem_analysis!$BH$1:$BS$23,ROWS(Data!$Q$3:Q237),COLUMNS(Data!$Q$3:Q237)),IF($Q$1=$P$6,INDEX(prem_analysis!$BU$1:$CF$67,ROWS(prem_analysis!$N$2:N236),COLUMNS(prem_analysis!$N$2:N236)),IF($Q$1=$P$4,INDEX(Table24[[#All],[Year]:[Details]],ROWS(prem_analysis!$M$420:M654),COLUMNS(Data!$Q$3:Q237)))))),"")</f>
        <v/>
      </c>
      <c r="S236" s="1" t="str">
        <f>IFERROR(IF($Q$1=$P$3,INDEX(prem_analysis!$P$2:$Q$441,ROWS(Data!$P$2:R236),COLUMNS(Data!$P$3:Q237)),IF($Q$1=$P$5,INDEX(prem_analysis!$BH$1:$BS$23,ROWS(Data!$Q$3:R237),COLUMNS(Data!$Q$3:R237)),IF($Q$1=$P$6,INDEX(prem_analysis!$BU$1:$CF$67,ROWS(prem_analysis!$N$2:O236),COLUMNS(prem_analysis!$N$2:O236)),IF($Q$1=$P$4,INDEX(Table24[[#All],[Year]:[Details]],ROWS(prem_analysis!$M$420:N654),COLUMNS(Data!$Q$3:R237)))))),"")</f>
        <v/>
      </c>
      <c r="T236" s="1" t="str">
        <f>IFERROR(IF($Q$1=$P$3,INDEX(prem_analysis!$P$2:$Q$441,ROWS(Data!$P$2:S236),COLUMNS(Data!$P$3:R237)),IF($Q$1=$P$5,INDEX(prem_analysis!$BH$1:$BS$23,ROWS(Data!$Q$3:S237),COLUMNS(Data!$Q$3:S237)),IF($Q$1=$P$6,INDEX(prem_analysis!$BU$1:$CF$67,ROWS(prem_analysis!$N$2:P236),COLUMNS(prem_analysis!$N$2:P236)),IF($Q$1=$P$4,INDEX(Table24[[#All],[Year]:[Details]],ROWS(prem_analysis!$M$420:O654),COLUMNS(Data!$Q$3:S237)))))),"")</f>
        <v/>
      </c>
      <c r="U236" s="1" t="str">
        <f>IFERROR(IF($Q$1=$P$3,INDEX(prem_analysis!$P$2:$Q$441,ROWS(Data!$P$2:T236),COLUMNS(Data!$P$3:S237)),IF($Q$1=$P$5,INDEX(prem_analysis!$BH$1:$BS$23,ROWS(Data!$Q$3:T237),COLUMNS(Data!$Q$3:T237)),IF($Q$1=$P$6,INDEX(prem_analysis!$BU$1:$CF$67,ROWS(prem_analysis!$N$2:Q236),COLUMNS(prem_analysis!$N$2:Q236)),IF($Q$1=$P$4,INDEX(Table24[[#All],[Year]:[Details]],ROWS(prem_analysis!$M$420:P654),COLUMNS(Data!$Q$3:T237)))))),"")</f>
        <v/>
      </c>
      <c r="V236" s="1" t="str">
        <f>IFERROR(IF($Q$1=$P$3,INDEX(prem_analysis!$P$2:$Q$441,ROWS(Data!$P$2:U236),COLUMNS(Data!$P$3:T237)),IF($Q$1=$P$5,INDEX(prem_analysis!$BH$1:$BS$23,ROWS(Data!$Q$3:U237),COLUMNS(Data!$Q$3:U237)),IF($Q$1=$P$6,INDEX(prem_analysis!$BU$1:$CF$67,ROWS(prem_analysis!$N$2:R236),COLUMNS(prem_analysis!$N$2:R236)),IF($Q$1=$P$4,INDEX(Table24[[#All],[Year]:[Details]],ROWS(prem_analysis!$M$420:Q654),COLUMNS(Data!$Q$3:U237)))))),"")</f>
        <v/>
      </c>
      <c r="W236" s="1" t="str">
        <f>IFERROR(IF($Q$1=$P$3,INDEX(prem_analysis!$P$2:$Q$441,ROWS(Data!$P$2:V236),COLUMNS(Data!$P$3:U237)),IF($Q$1=$P$5,INDEX(prem_analysis!$BH$1:$BS$23,ROWS(Data!$Q$3:V237),COLUMNS(Data!$Q$3:V237)),IF($Q$1=$P$6,INDEX(prem_analysis!$BU$1:$CF$67,ROWS(prem_analysis!$N$2:S236),COLUMNS(prem_analysis!$N$2:S236)),IF($Q$1=$P$4,INDEX(Table24[[#All],[Year]:[Details]],ROWS(prem_analysis!$M$420:R654),COLUMNS(Data!$Q$3:V237)))))),"")</f>
        <v/>
      </c>
      <c r="X236" s="1" t="str">
        <f>IFERROR(IF($Q$1=$P$3,INDEX(prem_analysis!$P$2:$Q$441,ROWS(Data!$P$2:W236),COLUMNS(Data!$P$3:V237)),IF($Q$1=$P$5,INDEX(prem_analysis!$BH$1:$BS$23,ROWS(Data!$Q$3:W237),COLUMNS(Data!$Q$3:W237)),IF($Q$1=$P$6,INDEX(prem_analysis!$BU$1:$CF$67,ROWS(prem_analysis!$N$2:T236),COLUMNS(prem_analysis!$N$2:T236)),IF($Q$1=$P$4,INDEX(Table24[[#All],[Year]:[Details]],ROWS(prem_analysis!$M$420:S654),COLUMNS(Data!$Q$3:W237)))))),"")</f>
        <v/>
      </c>
      <c r="Y236" s="1" t="str">
        <f>IFERROR(IF($Q$1=$P$3,INDEX(prem_analysis!$P$2:$Q$441,ROWS(Data!$P$2:X236),COLUMNS(Data!$P$3:W237)),IF($Q$1=$P$5,INDEX(prem_analysis!$BH$1:$BS$23,ROWS(Data!$Q$3:X237),COLUMNS(Data!$Q$3:X237)),IF($Q$1=$P$6,INDEX(prem_analysis!$BU$1:$CF$67,ROWS(prem_analysis!$N$2:U236),COLUMNS(prem_analysis!$N$2:U236)),IF($Q$1=$P$4,INDEX(Table24[[#All],[Year]:[Details]],ROWS(prem_analysis!$M$420:T654),COLUMNS(Data!$Q$3:X237)))))),"")</f>
        <v/>
      </c>
      <c r="Z236" s="1" t="str">
        <f>IFERROR(IF($Q$1=$P$3,INDEX(prem_analysis!$P$2:$Q$441,ROWS(Data!$P$2:Y236),COLUMNS(Data!$P$3:X237)),IF($Q$1=$P$5,INDEX(prem_analysis!$BH$1:$BS$23,ROWS(Data!$Q$3:Y237),COLUMNS(Data!$Q$3:Y237)),IF($Q$1=$P$6,INDEX(prem_analysis!$BU$1:$CF$67,ROWS(prem_analysis!$N$2:V236),COLUMNS(prem_analysis!$N$2:V236)),IF($Q$1=$P$4,INDEX(Table24[[#All],[Year]:[Details]],ROWS(prem_analysis!$M$420:U654),COLUMNS(Data!$Q$3:Y237)))))),"")</f>
        <v/>
      </c>
      <c r="AA236" s="1" t="str">
        <f>IFERROR(IF($Q$1=$P$3,INDEX(prem_analysis!$P$2:$Q$441,ROWS(Data!$P$2:Z236),COLUMNS(Data!$P$3:Y237)),IF($Q$1=$P$5,INDEX(prem_analysis!$BH$1:$BS$23,ROWS(Data!$Q$3:Z237),COLUMNS(Data!$Q$3:Z237)),IF($Q$1=$P$6,INDEX(prem_analysis!$BU$1:$CF$67,ROWS(prem_analysis!$N$2:W236),COLUMNS(prem_analysis!$N$2:W236)),IF($Q$1=$P$4,INDEX(Table24[[#All],[Year]:[Details]],ROWS(prem_analysis!$M$420:V654),COLUMNS(Data!$Q$3:Z237)))))),"")</f>
        <v/>
      </c>
      <c r="AB236" s="1" t="str">
        <f>IFERROR(IF($Q$1=$P$3,INDEX(prem_analysis!$P$2:$Q$441,ROWS(Data!$P$2:AA236),COLUMNS(Data!$P$3:Z237)),IF($Q$1=$P$5,INDEX(prem_analysis!$BH$1:$BS$23,ROWS(Data!$Q$3:AA237),COLUMNS(Data!$Q$3:AA237)),IF($Q$1=$P$6,INDEX(prem_analysis!$BU$1:$CF$67,ROWS(prem_analysis!$N$2:X236),COLUMNS(prem_analysis!$N$2:X236)),IF($Q$1=$P$4,INDEX(Table24[[#All],[Year]:[Details]],ROWS(prem_analysis!$M$420:W654),COLUMNS(Data!$Q$3:AA237)))))),"")</f>
        <v/>
      </c>
      <c r="AC236" s="1" t="str">
        <f>IFERROR(IF($Q$1=$P$3,INDEX(prem_analysis!$P$2:$Q$441,ROWS(Data!$P$2:AB236),COLUMNS(Data!$P$3:AA237)),IF($Q$1=$P$5,INDEX(prem_analysis!$BH$1:$BS$23,ROWS(Data!$Q$3:AB237),COLUMNS(Data!$Q$3:AB237)),IF($Q$1=$P$6,INDEX(prem_analysis!$BU$1:$CF$67,ROWS(prem_analysis!$N$2:Y236),COLUMNS(prem_analysis!$N$2:Y236)),IF($Q$1=$P$4,INDEX(Table24[[#All],[Year]:[Details]],ROWS(prem_analysis!$M$420:X654),COLUMNS(Data!$Q$3:AB237)))))),"")</f>
        <v/>
      </c>
    </row>
    <row r="237" spans="1:29" x14ac:dyDescent="0.2">
      <c r="A237" s="5">
        <v>2011</v>
      </c>
      <c r="B237" s="5">
        <v>16</v>
      </c>
      <c r="C237" s="6" t="s">
        <v>18</v>
      </c>
      <c r="D237" s="5">
        <v>38</v>
      </c>
      <c r="E237" s="5">
        <v>7</v>
      </c>
      <c r="F237" s="5">
        <v>17</v>
      </c>
      <c r="G237" s="5">
        <v>14</v>
      </c>
      <c r="H237" s="5">
        <v>37</v>
      </c>
      <c r="I237" s="5">
        <v>53</v>
      </c>
      <c r="J237" s="5">
        <v>-16</v>
      </c>
      <c r="K237" s="5">
        <v>38</v>
      </c>
      <c r="L237" s="5">
        <f>IF(Table24[[#This Row],['#]]=1,"Champion", IF(Table24[[#This Row],['#]]&gt;=18,"Relegated",Table24[[#This Row],['#]]))</f>
        <v>16</v>
      </c>
      <c r="M237" s="5" t="str">
        <f>IF(Table24[[#This Row],[Details]]=2,K236-Table24[[#This Row],[Pts]],IF(Table24[[#This Row],[Details]]=17,Table24[[#This Row],[Pts]]-K238,""))</f>
        <v/>
      </c>
      <c r="R237" s="1" t="str">
        <f>IFERROR(IF($Q$1=$P$3,INDEX(prem_analysis!$P$2:$Q$441,ROWS(Data!$P$2:Q237),COLUMNS(Data!$P$3:P238)),IF($Q$1=$P$5,INDEX(prem_analysis!$BH$1:$BS$23,ROWS(Data!$Q$3:Q238),COLUMNS(Data!$Q$3:Q238)),IF($Q$1=$P$6,INDEX(prem_analysis!$BU$1:$CF$67,ROWS(prem_analysis!$N$2:N237),COLUMNS(prem_analysis!$N$2:N237)),IF($Q$1=$P$4,INDEX(Table24[[#All],[Year]:[Details]],ROWS(prem_analysis!$M$420:M655),COLUMNS(Data!$Q$3:Q238)))))),"")</f>
        <v/>
      </c>
      <c r="S237" s="1" t="str">
        <f>IFERROR(IF($Q$1=$P$3,INDEX(prem_analysis!$P$2:$Q$441,ROWS(Data!$P$2:R237),COLUMNS(Data!$P$3:Q238)),IF($Q$1=$P$5,INDEX(prem_analysis!$BH$1:$BS$23,ROWS(Data!$Q$3:R238),COLUMNS(Data!$Q$3:R238)),IF($Q$1=$P$6,INDEX(prem_analysis!$BU$1:$CF$67,ROWS(prem_analysis!$N$2:O237),COLUMNS(prem_analysis!$N$2:O237)),IF($Q$1=$P$4,INDEX(Table24[[#All],[Year]:[Details]],ROWS(prem_analysis!$M$420:N655),COLUMNS(Data!$Q$3:R238)))))),"")</f>
        <v/>
      </c>
      <c r="T237" s="1" t="str">
        <f>IFERROR(IF($Q$1=$P$3,INDEX(prem_analysis!$P$2:$Q$441,ROWS(Data!$P$2:S237),COLUMNS(Data!$P$3:R238)),IF($Q$1=$P$5,INDEX(prem_analysis!$BH$1:$BS$23,ROWS(Data!$Q$3:S238),COLUMNS(Data!$Q$3:S238)),IF($Q$1=$P$6,INDEX(prem_analysis!$BU$1:$CF$67,ROWS(prem_analysis!$N$2:P237),COLUMNS(prem_analysis!$N$2:P237)),IF($Q$1=$P$4,INDEX(Table24[[#All],[Year]:[Details]],ROWS(prem_analysis!$M$420:O655),COLUMNS(Data!$Q$3:S238)))))),"")</f>
        <v/>
      </c>
      <c r="U237" s="1" t="str">
        <f>IFERROR(IF($Q$1=$P$3,INDEX(prem_analysis!$P$2:$Q$441,ROWS(Data!$P$2:T237),COLUMNS(Data!$P$3:S238)),IF($Q$1=$P$5,INDEX(prem_analysis!$BH$1:$BS$23,ROWS(Data!$Q$3:T238),COLUMNS(Data!$Q$3:T238)),IF($Q$1=$P$6,INDEX(prem_analysis!$BU$1:$CF$67,ROWS(prem_analysis!$N$2:Q237),COLUMNS(prem_analysis!$N$2:Q237)),IF($Q$1=$P$4,INDEX(Table24[[#All],[Year]:[Details]],ROWS(prem_analysis!$M$420:P655),COLUMNS(Data!$Q$3:T238)))))),"")</f>
        <v/>
      </c>
      <c r="V237" s="1" t="str">
        <f>IFERROR(IF($Q$1=$P$3,INDEX(prem_analysis!$P$2:$Q$441,ROWS(Data!$P$2:U237),COLUMNS(Data!$P$3:T238)),IF($Q$1=$P$5,INDEX(prem_analysis!$BH$1:$BS$23,ROWS(Data!$Q$3:U238),COLUMNS(Data!$Q$3:U238)),IF($Q$1=$P$6,INDEX(prem_analysis!$BU$1:$CF$67,ROWS(prem_analysis!$N$2:R237),COLUMNS(prem_analysis!$N$2:R237)),IF($Q$1=$P$4,INDEX(Table24[[#All],[Year]:[Details]],ROWS(prem_analysis!$M$420:Q655),COLUMNS(Data!$Q$3:U238)))))),"")</f>
        <v/>
      </c>
      <c r="W237" s="1" t="str">
        <f>IFERROR(IF($Q$1=$P$3,INDEX(prem_analysis!$P$2:$Q$441,ROWS(Data!$P$2:V237),COLUMNS(Data!$P$3:U238)),IF($Q$1=$P$5,INDEX(prem_analysis!$BH$1:$BS$23,ROWS(Data!$Q$3:V238),COLUMNS(Data!$Q$3:V238)),IF($Q$1=$P$6,INDEX(prem_analysis!$BU$1:$CF$67,ROWS(prem_analysis!$N$2:S237),COLUMNS(prem_analysis!$N$2:S237)),IF($Q$1=$P$4,INDEX(Table24[[#All],[Year]:[Details]],ROWS(prem_analysis!$M$420:R655),COLUMNS(Data!$Q$3:V238)))))),"")</f>
        <v/>
      </c>
      <c r="X237" s="1" t="str">
        <f>IFERROR(IF($Q$1=$P$3,INDEX(prem_analysis!$P$2:$Q$441,ROWS(Data!$P$2:W237),COLUMNS(Data!$P$3:V238)),IF($Q$1=$P$5,INDEX(prem_analysis!$BH$1:$BS$23,ROWS(Data!$Q$3:W238),COLUMNS(Data!$Q$3:W238)),IF($Q$1=$P$6,INDEX(prem_analysis!$BU$1:$CF$67,ROWS(prem_analysis!$N$2:T237),COLUMNS(prem_analysis!$N$2:T237)),IF($Q$1=$P$4,INDEX(Table24[[#All],[Year]:[Details]],ROWS(prem_analysis!$M$420:S655),COLUMNS(Data!$Q$3:W238)))))),"")</f>
        <v/>
      </c>
      <c r="Y237" s="1" t="str">
        <f>IFERROR(IF($Q$1=$P$3,INDEX(prem_analysis!$P$2:$Q$441,ROWS(Data!$P$2:X237),COLUMNS(Data!$P$3:W238)),IF($Q$1=$P$5,INDEX(prem_analysis!$BH$1:$BS$23,ROWS(Data!$Q$3:X238),COLUMNS(Data!$Q$3:X238)),IF($Q$1=$P$6,INDEX(prem_analysis!$BU$1:$CF$67,ROWS(prem_analysis!$N$2:U237),COLUMNS(prem_analysis!$N$2:U237)),IF($Q$1=$P$4,INDEX(Table24[[#All],[Year]:[Details]],ROWS(prem_analysis!$M$420:T655),COLUMNS(Data!$Q$3:X238)))))),"")</f>
        <v/>
      </c>
      <c r="Z237" s="1" t="str">
        <f>IFERROR(IF($Q$1=$P$3,INDEX(prem_analysis!$P$2:$Q$441,ROWS(Data!$P$2:Y237),COLUMNS(Data!$P$3:X238)),IF($Q$1=$P$5,INDEX(prem_analysis!$BH$1:$BS$23,ROWS(Data!$Q$3:Y238),COLUMNS(Data!$Q$3:Y238)),IF($Q$1=$P$6,INDEX(prem_analysis!$BU$1:$CF$67,ROWS(prem_analysis!$N$2:V237),COLUMNS(prem_analysis!$N$2:V237)),IF($Q$1=$P$4,INDEX(Table24[[#All],[Year]:[Details]],ROWS(prem_analysis!$M$420:U655),COLUMNS(Data!$Q$3:Y238)))))),"")</f>
        <v/>
      </c>
      <c r="AA237" s="1" t="str">
        <f>IFERROR(IF($Q$1=$P$3,INDEX(prem_analysis!$P$2:$Q$441,ROWS(Data!$P$2:Z237),COLUMNS(Data!$P$3:Y238)),IF($Q$1=$P$5,INDEX(prem_analysis!$BH$1:$BS$23,ROWS(Data!$Q$3:Z238),COLUMNS(Data!$Q$3:Z238)),IF($Q$1=$P$6,INDEX(prem_analysis!$BU$1:$CF$67,ROWS(prem_analysis!$N$2:W237),COLUMNS(prem_analysis!$N$2:W237)),IF($Q$1=$P$4,INDEX(Table24[[#All],[Year]:[Details]],ROWS(prem_analysis!$M$420:V655),COLUMNS(Data!$Q$3:Z238)))))),"")</f>
        <v/>
      </c>
      <c r="AB237" s="1" t="str">
        <f>IFERROR(IF($Q$1=$P$3,INDEX(prem_analysis!$P$2:$Q$441,ROWS(Data!$P$2:AA237),COLUMNS(Data!$P$3:Z238)),IF($Q$1=$P$5,INDEX(prem_analysis!$BH$1:$BS$23,ROWS(Data!$Q$3:AA238),COLUMNS(Data!$Q$3:AA238)),IF($Q$1=$P$6,INDEX(prem_analysis!$BU$1:$CF$67,ROWS(prem_analysis!$N$2:X237),COLUMNS(prem_analysis!$N$2:X237)),IF($Q$1=$P$4,INDEX(Table24[[#All],[Year]:[Details]],ROWS(prem_analysis!$M$420:W655),COLUMNS(Data!$Q$3:AA238)))))),"")</f>
        <v/>
      </c>
      <c r="AC237" s="1" t="str">
        <f>IFERROR(IF($Q$1=$P$3,INDEX(prem_analysis!$P$2:$Q$441,ROWS(Data!$P$2:AB237),COLUMNS(Data!$P$3:AA238)),IF($Q$1=$P$5,INDEX(prem_analysis!$BH$1:$BS$23,ROWS(Data!$Q$3:AB238),COLUMNS(Data!$Q$3:AB238)),IF($Q$1=$P$6,INDEX(prem_analysis!$BU$1:$CF$67,ROWS(prem_analysis!$N$2:Y237),COLUMNS(prem_analysis!$N$2:Y237)),IF($Q$1=$P$4,INDEX(Table24[[#All],[Year]:[Details]],ROWS(prem_analysis!$M$420:X655),COLUMNS(Data!$Q$3:AB238)))))),"")</f>
        <v/>
      </c>
    </row>
    <row r="238" spans="1:29" x14ac:dyDescent="0.2">
      <c r="A238" s="3">
        <v>2011</v>
      </c>
      <c r="B238" s="3">
        <v>17</v>
      </c>
      <c r="C238" s="4" t="s">
        <v>49</v>
      </c>
      <c r="D238" s="3">
        <v>38</v>
      </c>
      <c r="E238" s="3">
        <v>10</v>
      </c>
      <c r="F238" s="3">
        <v>7</v>
      </c>
      <c r="G238" s="3">
        <v>21</v>
      </c>
      <c r="H238" s="3">
        <v>43</v>
      </c>
      <c r="I238" s="3">
        <v>66</v>
      </c>
      <c r="J238" s="3">
        <v>-23</v>
      </c>
      <c r="K238" s="3">
        <v>37</v>
      </c>
      <c r="L238" s="5">
        <f>IF(Table24[[#This Row],['#]]=1,"Champion", IF(Table24[[#This Row],['#]]&gt;=18,"Relegated",Table24[[#This Row],['#]]))</f>
        <v>17</v>
      </c>
      <c r="M238" s="5">
        <f>IF(Table24[[#This Row],[Details]]=2,K237-Table24[[#This Row],[Pts]],IF(Table24[[#This Row],[Details]]=17,Table24[[#This Row],[Pts]]-K239,""))</f>
        <v>1</v>
      </c>
      <c r="R238" s="1" t="str">
        <f>IFERROR(IF($Q$1=$P$3,INDEX(prem_analysis!$P$2:$Q$441,ROWS(Data!$P$2:Q238),COLUMNS(Data!$P$3:P239)),IF($Q$1=$P$5,INDEX(prem_analysis!$BH$1:$BS$23,ROWS(Data!$Q$3:Q239),COLUMNS(Data!$Q$3:Q239)),IF($Q$1=$P$6,INDEX(prem_analysis!$BU$1:$CF$67,ROWS(prem_analysis!$N$2:N238),COLUMNS(prem_analysis!$N$2:N238)),IF($Q$1=$P$4,INDEX(Table24[[#All],[Year]:[Details]],ROWS(prem_analysis!$M$420:M656),COLUMNS(Data!$Q$3:Q239)))))),"")</f>
        <v/>
      </c>
      <c r="S238" s="1" t="str">
        <f>IFERROR(IF($Q$1=$P$3,INDEX(prem_analysis!$P$2:$Q$441,ROWS(Data!$P$2:R238),COLUMNS(Data!$P$3:Q239)),IF($Q$1=$P$5,INDEX(prem_analysis!$BH$1:$BS$23,ROWS(Data!$Q$3:R239),COLUMNS(Data!$Q$3:R239)),IF($Q$1=$P$6,INDEX(prem_analysis!$BU$1:$CF$67,ROWS(prem_analysis!$N$2:O238),COLUMNS(prem_analysis!$N$2:O238)),IF($Q$1=$P$4,INDEX(Table24[[#All],[Year]:[Details]],ROWS(prem_analysis!$M$420:N656),COLUMNS(Data!$Q$3:R239)))))),"")</f>
        <v/>
      </c>
      <c r="T238" s="1" t="str">
        <f>IFERROR(IF($Q$1=$P$3,INDEX(prem_analysis!$P$2:$Q$441,ROWS(Data!$P$2:S238),COLUMNS(Data!$P$3:R239)),IF($Q$1=$P$5,INDEX(prem_analysis!$BH$1:$BS$23,ROWS(Data!$Q$3:S239),COLUMNS(Data!$Q$3:S239)),IF($Q$1=$P$6,INDEX(prem_analysis!$BU$1:$CF$67,ROWS(prem_analysis!$N$2:P238),COLUMNS(prem_analysis!$N$2:P238)),IF($Q$1=$P$4,INDEX(Table24[[#All],[Year]:[Details]],ROWS(prem_analysis!$M$420:O656),COLUMNS(Data!$Q$3:S239)))))),"")</f>
        <v/>
      </c>
      <c r="U238" s="1" t="str">
        <f>IFERROR(IF($Q$1=$P$3,INDEX(prem_analysis!$P$2:$Q$441,ROWS(Data!$P$2:T238),COLUMNS(Data!$P$3:S239)),IF($Q$1=$P$5,INDEX(prem_analysis!$BH$1:$BS$23,ROWS(Data!$Q$3:T239),COLUMNS(Data!$Q$3:T239)),IF($Q$1=$P$6,INDEX(prem_analysis!$BU$1:$CF$67,ROWS(prem_analysis!$N$2:Q238),COLUMNS(prem_analysis!$N$2:Q238)),IF($Q$1=$P$4,INDEX(Table24[[#All],[Year]:[Details]],ROWS(prem_analysis!$M$420:P656),COLUMNS(Data!$Q$3:T239)))))),"")</f>
        <v/>
      </c>
      <c r="V238" s="1" t="str">
        <f>IFERROR(IF($Q$1=$P$3,INDEX(prem_analysis!$P$2:$Q$441,ROWS(Data!$P$2:U238),COLUMNS(Data!$P$3:T239)),IF($Q$1=$P$5,INDEX(prem_analysis!$BH$1:$BS$23,ROWS(Data!$Q$3:U239),COLUMNS(Data!$Q$3:U239)),IF($Q$1=$P$6,INDEX(prem_analysis!$BU$1:$CF$67,ROWS(prem_analysis!$N$2:R238),COLUMNS(prem_analysis!$N$2:R238)),IF($Q$1=$P$4,INDEX(Table24[[#All],[Year]:[Details]],ROWS(prem_analysis!$M$420:Q656),COLUMNS(Data!$Q$3:U239)))))),"")</f>
        <v/>
      </c>
      <c r="W238" s="1" t="str">
        <f>IFERROR(IF($Q$1=$P$3,INDEX(prem_analysis!$P$2:$Q$441,ROWS(Data!$P$2:V238),COLUMNS(Data!$P$3:U239)),IF($Q$1=$P$5,INDEX(prem_analysis!$BH$1:$BS$23,ROWS(Data!$Q$3:V239),COLUMNS(Data!$Q$3:V239)),IF($Q$1=$P$6,INDEX(prem_analysis!$BU$1:$CF$67,ROWS(prem_analysis!$N$2:S238),COLUMNS(prem_analysis!$N$2:S238)),IF($Q$1=$P$4,INDEX(Table24[[#All],[Year]:[Details]],ROWS(prem_analysis!$M$420:R656),COLUMNS(Data!$Q$3:V239)))))),"")</f>
        <v/>
      </c>
      <c r="X238" s="1" t="str">
        <f>IFERROR(IF($Q$1=$P$3,INDEX(prem_analysis!$P$2:$Q$441,ROWS(Data!$P$2:W238),COLUMNS(Data!$P$3:V239)),IF($Q$1=$P$5,INDEX(prem_analysis!$BH$1:$BS$23,ROWS(Data!$Q$3:W239),COLUMNS(Data!$Q$3:W239)),IF($Q$1=$P$6,INDEX(prem_analysis!$BU$1:$CF$67,ROWS(prem_analysis!$N$2:T238),COLUMNS(prem_analysis!$N$2:T238)),IF($Q$1=$P$4,INDEX(Table24[[#All],[Year]:[Details]],ROWS(prem_analysis!$M$420:S656),COLUMNS(Data!$Q$3:W239)))))),"")</f>
        <v/>
      </c>
      <c r="Y238" s="1" t="str">
        <f>IFERROR(IF($Q$1=$P$3,INDEX(prem_analysis!$P$2:$Q$441,ROWS(Data!$P$2:X238),COLUMNS(Data!$P$3:W239)),IF($Q$1=$P$5,INDEX(prem_analysis!$BH$1:$BS$23,ROWS(Data!$Q$3:X239),COLUMNS(Data!$Q$3:X239)),IF($Q$1=$P$6,INDEX(prem_analysis!$BU$1:$CF$67,ROWS(prem_analysis!$N$2:U238),COLUMNS(prem_analysis!$N$2:U238)),IF($Q$1=$P$4,INDEX(Table24[[#All],[Year]:[Details]],ROWS(prem_analysis!$M$420:T656),COLUMNS(Data!$Q$3:X239)))))),"")</f>
        <v/>
      </c>
      <c r="Z238" s="1" t="str">
        <f>IFERROR(IF($Q$1=$P$3,INDEX(prem_analysis!$P$2:$Q$441,ROWS(Data!$P$2:Y238),COLUMNS(Data!$P$3:X239)),IF($Q$1=$P$5,INDEX(prem_analysis!$BH$1:$BS$23,ROWS(Data!$Q$3:Y239),COLUMNS(Data!$Q$3:Y239)),IF($Q$1=$P$6,INDEX(prem_analysis!$BU$1:$CF$67,ROWS(prem_analysis!$N$2:V238),COLUMNS(prem_analysis!$N$2:V238)),IF($Q$1=$P$4,INDEX(Table24[[#All],[Year]:[Details]],ROWS(prem_analysis!$M$420:U656),COLUMNS(Data!$Q$3:Y239)))))),"")</f>
        <v/>
      </c>
      <c r="AA238" s="1" t="str">
        <f>IFERROR(IF($Q$1=$P$3,INDEX(prem_analysis!$P$2:$Q$441,ROWS(Data!$P$2:Z238),COLUMNS(Data!$P$3:Y239)),IF($Q$1=$P$5,INDEX(prem_analysis!$BH$1:$BS$23,ROWS(Data!$Q$3:Z239),COLUMNS(Data!$Q$3:Z239)),IF($Q$1=$P$6,INDEX(prem_analysis!$BU$1:$CF$67,ROWS(prem_analysis!$N$2:W238),COLUMNS(prem_analysis!$N$2:W238)),IF($Q$1=$P$4,INDEX(Table24[[#All],[Year]:[Details]],ROWS(prem_analysis!$M$420:V656),COLUMNS(Data!$Q$3:Z239)))))),"")</f>
        <v/>
      </c>
      <c r="AB238" s="1" t="str">
        <f>IFERROR(IF($Q$1=$P$3,INDEX(prem_analysis!$P$2:$Q$441,ROWS(Data!$P$2:AA238),COLUMNS(Data!$P$3:Z239)),IF($Q$1=$P$5,INDEX(prem_analysis!$BH$1:$BS$23,ROWS(Data!$Q$3:AA239),COLUMNS(Data!$Q$3:AA239)),IF($Q$1=$P$6,INDEX(prem_analysis!$BU$1:$CF$67,ROWS(prem_analysis!$N$2:X238),COLUMNS(prem_analysis!$N$2:X238)),IF($Q$1=$P$4,INDEX(Table24[[#All],[Year]:[Details]],ROWS(prem_analysis!$M$420:W656),COLUMNS(Data!$Q$3:AA239)))))),"")</f>
        <v/>
      </c>
      <c r="AC238" s="1" t="str">
        <f>IFERROR(IF($Q$1=$P$3,INDEX(prem_analysis!$P$2:$Q$441,ROWS(Data!$P$2:AB238),COLUMNS(Data!$P$3:AA239)),IF($Q$1=$P$5,INDEX(prem_analysis!$BH$1:$BS$23,ROWS(Data!$Q$3:AB239),COLUMNS(Data!$Q$3:AB239)),IF($Q$1=$P$6,INDEX(prem_analysis!$BU$1:$CF$67,ROWS(prem_analysis!$N$2:Y238),COLUMNS(prem_analysis!$N$2:Y238)),IF($Q$1=$P$4,INDEX(Table24[[#All],[Year]:[Details]],ROWS(prem_analysis!$M$420:X656),COLUMNS(Data!$Q$3:AB239)))))),"")</f>
        <v/>
      </c>
    </row>
    <row r="239" spans="1:29" x14ac:dyDescent="0.2">
      <c r="A239" s="5">
        <v>2011</v>
      </c>
      <c r="B239" s="5">
        <v>18</v>
      </c>
      <c r="C239" s="6" t="s">
        <v>33</v>
      </c>
      <c r="D239" s="5">
        <v>38</v>
      </c>
      <c r="E239" s="5">
        <v>10</v>
      </c>
      <c r="F239" s="5">
        <v>6</v>
      </c>
      <c r="G239" s="5">
        <v>22</v>
      </c>
      <c r="H239" s="5">
        <v>46</v>
      </c>
      <c r="I239" s="5">
        <v>77</v>
      </c>
      <c r="J239" s="5">
        <v>-31</v>
      </c>
      <c r="K239" s="5">
        <v>36</v>
      </c>
      <c r="L239" s="5" t="str">
        <f>IF(Table24[[#This Row],['#]]=1,"Champion", IF(Table24[[#This Row],['#]]&gt;=18,"Relegated",Table24[[#This Row],['#]]))</f>
        <v>Relegated</v>
      </c>
      <c r="M239" s="5" t="str">
        <f>IF(Table24[[#This Row],[Details]]=2,K238-Table24[[#This Row],[Pts]],IF(Table24[[#This Row],[Details]]=17,Table24[[#This Row],[Pts]]-K240,""))</f>
        <v/>
      </c>
      <c r="R239" s="1" t="str">
        <f>IFERROR(IF($Q$1=$P$3,INDEX(prem_analysis!$P$2:$Q$441,ROWS(Data!$P$2:Q239),COLUMNS(Data!$P$3:P240)),IF($Q$1=$P$5,INDEX(prem_analysis!$BH$1:$BS$23,ROWS(Data!$Q$3:Q240),COLUMNS(Data!$Q$3:Q240)),IF($Q$1=$P$6,INDEX(prem_analysis!$BU$1:$CF$67,ROWS(prem_analysis!$N$2:N239),COLUMNS(prem_analysis!$N$2:N239)),IF($Q$1=$P$4,INDEX(Table24[[#All],[Year]:[Details]],ROWS(prem_analysis!$M$420:M657),COLUMNS(Data!$Q$3:Q240)))))),"")</f>
        <v/>
      </c>
      <c r="S239" s="1" t="str">
        <f>IFERROR(IF($Q$1=$P$3,INDEX(prem_analysis!$P$2:$Q$441,ROWS(Data!$P$2:R239),COLUMNS(Data!$P$3:Q240)),IF($Q$1=$P$5,INDEX(prem_analysis!$BH$1:$BS$23,ROWS(Data!$Q$3:R240),COLUMNS(Data!$Q$3:R240)),IF($Q$1=$P$6,INDEX(prem_analysis!$BU$1:$CF$67,ROWS(prem_analysis!$N$2:O239),COLUMNS(prem_analysis!$N$2:O239)),IF($Q$1=$P$4,INDEX(Table24[[#All],[Year]:[Details]],ROWS(prem_analysis!$M$420:N657),COLUMNS(Data!$Q$3:R240)))))),"")</f>
        <v/>
      </c>
      <c r="T239" s="1" t="str">
        <f>IFERROR(IF($Q$1=$P$3,INDEX(prem_analysis!$P$2:$Q$441,ROWS(Data!$P$2:S239),COLUMNS(Data!$P$3:R240)),IF($Q$1=$P$5,INDEX(prem_analysis!$BH$1:$BS$23,ROWS(Data!$Q$3:S240),COLUMNS(Data!$Q$3:S240)),IF($Q$1=$P$6,INDEX(prem_analysis!$BU$1:$CF$67,ROWS(prem_analysis!$N$2:P239),COLUMNS(prem_analysis!$N$2:P239)),IF($Q$1=$P$4,INDEX(Table24[[#All],[Year]:[Details]],ROWS(prem_analysis!$M$420:O657),COLUMNS(Data!$Q$3:S240)))))),"")</f>
        <v/>
      </c>
      <c r="U239" s="1" t="str">
        <f>IFERROR(IF($Q$1=$P$3,INDEX(prem_analysis!$P$2:$Q$441,ROWS(Data!$P$2:T239),COLUMNS(Data!$P$3:S240)),IF($Q$1=$P$5,INDEX(prem_analysis!$BH$1:$BS$23,ROWS(Data!$Q$3:T240),COLUMNS(Data!$Q$3:T240)),IF($Q$1=$P$6,INDEX(prem_analysis!$BU$1:$CF$67,ROWS(prem_analysis!$N$2:Q239),COLUMNS(prem_analysis!$N$2:Q239)),IF($Q$1=$P$4,INDEX(Table24[[#All],[Year]:[Details]],ROWS(prem_analysis!$M$420:P657),COLUMNS(Data!$Q$3:T240)))))),"")</f>
        <v/>
      </c>
      <c r="V239" s="1" t="str">
        <f>IFERROR(IF($Q$1=$P$3,INDEX(prem_analysis!$P$2:$Q$441,ROWS(Data!$P$2:U239),COLUMNS(Data!$P$3:T240)),IF($Q$1=$P$5,INDEX(prem_analysis!$BH$1:$BS$23,ROWS(Data!$Q$3:U240),COLUMNS(Data!$Q$3:U240)),IF($Q$1=$P$6,INDEX(prem_analysis!$BU$1:$CF$67,ROWS(prem_analysis!$N$2:R239),COLUMNS(prem_analysis!$N$2:R239)),IF($Q$1=$P$4,INDEX(Table24[[#All],[Year]:[Details]],ROWS(prem_analysis!$M$420:Q657),COLUMNS(Data!$Q$3:U240)))))),"")</f>
        <v/>
      </c>
      <c r="W239" s="1" t="str">
        <f>IFERROR(IF($Q$1=$P$3,INDEX(prem_analysis!$P$2:$Q$441,ROWS(Data!$P$2:V239),COLUMNS(Data!$P$3:U240)),IF($Q$1=$P$5,INDEX(prem_analysis!$BH$1:$BS$23,ROWS(Data!$Q$3:V240),COLUMNS(Data!$Q$3:V240)),IF($Q$1=$P$6,INDEX(prem_analysis!$BU$1:$CF$67,ROWS(prem_analysis!$N$2:S239),COLUMNS(prem_analysis!$N$2:S239)),IF($Q$1=$P$4,INDEX(Table24[[#All],[Year]:[Details]],ROWS(prem_analysis!$M$420:R657),COLUMNS(Data!$Q$3:V240)))))),"")</f>
        <v/>
      </c>
      <c r="X239" s="1" t="str">
        <f>IFERROR(IF($Q$1=$P$3,INDEX(prem_analysis!$P$2:$Q$441,ROWS(Data!$P$2:W239),COLUMNS(Data!$P$3:V240)),IF($Q$1=$P$5,INDEX(prem_analysis!$BH$1:$BS$23,ROWS(Data!$Q$3:W240),COLUMNS(Data!$Q$3:W240)),IF($Q$1=$P$6,INDEX(prem_analysis!$BU$1:$CF$67,ROWS(prem_analysis!$N$2:T239),COLUMNS(prem_analysis!$N$2:T239)),IF($Q$1=$P$4,INDEX(Table24[[#All],[Year]:[Details]],ROWS(prem_analysis!$M$420:S657),COLUMNS(Data!$Q$3:W240)))))),"")</f>
        <v/>
      </c>
      <c r="Y239" s="1" t="str">
        <f>IFERROR(IF($Q$1=$P$3,INDEX(prem_analysis!$P$2:$Q$441,ROWS(Data!$P$2:X239),COLUMNS(Data!$P$3:W240)),IF($Q$1=$P$5,INDEX(prem_analysis!$BH$1:$BS$23,ROWS(Data!$Q$3:X240),COLUMNS(Data!$Q$3:X240)),IF($Q$1=$P$6,INDEX(prem_analysis!$BU$1:$CF$67,ROWS(prem_analysis!$N$2:U239),COLUMNS(prem_analysis!$N$2:U239)),IF($Q$1=$P$4,INDEX(Table24[[#All],[Year]:[Details]],ROWS(prem_analysis!$M$420:T657),COLUMNS(Data!$Q$3:X240)))))),"")</f>
        <v/>
      </c>
      <c r="Z239" s="1" t="str">
        <f>IFERROR(IF($Q$1=$P$3,INDEX(prem_analysis!$P$2:$Q$441,ROWS(Data!$P$2:Y239),COLUMNS(Data!$P$3:X240)),IF($Q$1=$P$5,INDEX(prem_analysis!$BH$1:$BS$23,ROWS(Data!$Q$3:Y240),COLUMNS(Data!$Q$3:Y240)),IF($Q$1=$P$6,INDEX(prem_analysis!$BU$1:$CF$67,ROWS(prem_analysis!$N$2:V239),COLUMNS(prem_analysis!$N$2:V239)),IF($Q$1=$P$4,INDEX(Table24[[#All],[Year]:[Details]],ROWS(prem_analysis!$M$420:U657),COLUMNS(Data!$Q$3:Y240)))))),"")</f>
        <v/>
      </c>
      <c r="AA239" s="1" t="str">
        <f>IFERROR(IF($Q$1=$P$3,INDEX(prem_analysis!$P$2:$Q$441,ROWS(Data!$P$2:Z239),COLUMNS(Data!$P$3:Y240)),IF($Q$1=$P$5,INDEX(prem_analysis!$BH$1:$BS$23,ROWS(Data!$Q$3:Z240),COLUMNS(Data!$Q$3:Z240)),IF($Q$1=$P$6,INDEX(prem_analysis!$BU$1:$CF$67,ROWS(prem_analysis!$N$2:W239),COLUMNS(prem_analysis!$N$2:W239)),IF($Q$1=$P$4,INDEX(Table24[[#All],[Year]:[Details]],ROWS(prem_analysis!$M$420:V657),COLUMNS(Data!$Q$3:Z240)))))),"")</f>
        <v/>
      </c>
      <c r="AB239" s="1" t="str">
        <f>IFERROR(IF($Q$1=$P$3,INDEX(prem_analysis!$P$2:$Q$441,ROWS(Data!$P$2:AA239),COLUMNS(Data!$P$3:Z240)),IF($Q$1=$P$5,INDEX(prem_analysis!$BH$1:$BS$23,ROWS(Data!$Q$3:AA240),COLUMNS(Data!$Q$3:AA240)),IF($Q$1=$P$6,INDEX(prem_analysis!$BU$1:$CF$67,ROWS(prem_analysis!$N$2:X239),COLUMNS(prem_analysis!$N$2:X239)),IF($Q$1=$P$4,INDEX(Table24[[#All],[Year]:[Details]],ROWS(prem_analysis!$M$420:W657),COLUMNS(Data!$Q$3:AA240)))))),"")</f>
        <v/>
      </c>
      <c r="AC239" s="1" t="str">
        <f>IFERROR(IF($Q$1=$P$3,INDEX(prem_analysis!$P$2:$Q$441,ROWS(Data!$P$2:AB239),COLUMNS(Data!$P$3:AA240)),IF($Q$1=$P$5,INDEX(prem_analysis!$BH$1:$BS$23,ROWS(Data!$Q$3:AB240),COLUMNS(Data!$Q$3:AB240)),IF($Q$1=$P$6,INDEX(prem_analysis!$BU$1:$CF$67,ROWS(prem_analysis!$N$2:Y239),COLUMNS(prem_analysis!$N$2:Y239)),IF($Q$1=$P$4,INDEX(Table24[[#All],[Year]:[Details]],ROWS(prem_analysis!$M$420:X657),COLUMNS(Data!$Q$3:AB240)))))),"")</f>
        <v/>
      </c>
    </row>
    <row r="240" spans="1:29" x14ac:dyDescent="0.2">
      <c r="A240" s="3">
        <v>2011</v>
      </c>
      <c r="B240" s="3">
        <v>19</v>
      </c>
      <c r="C240" s="4" t="s">
        <v>31</v>
      </c>
      <c r="D240" s="3">
        <v>38</v>
      </c>
      <c r="E240" s="3">
        <v>8</v>
      </c>
      <c r="F240" s="3">
        <v>7</v>
      </c>
      <c r="G240" s="3">
        <v>23</v>
      </c>
      <c r="H240" s="3">
        <v>48</v>
      </c>
      <c r="I240" s="3">
        <v>78</v>
      </c>
      <c r="J240" s="3">
        <v>-30</v>
      </c>
      <c r="K240" s="3">
        <v>31</v>
      </c>
      <c r="L240" s="5" t="str">
        <f>IF(Table24[[#This Row],['#]]=1,"Champion", IF(Table24[[#This Row],['#]]&gt;=18,"Relegated",Table24[[#This Row],['#]]))</f>
        <v>Relegated</v>
      </c>
      <c r="M240" s="5" t="str">
        <f>IF(Table24[[#This Row],[Details]]=2,K239-Table24[[#This Row],[Pts]],IF(Table24[[#This Row],[Details]]=17,Table24[[#This Row],[Pts]]-K241,""))</f>
        <v/>
      </c>
      <c r="R240" s="1" t="str">
        <f>IFERROR(IF($Q$1=$P$3,INDEX(prem_analysis!$P$2:$Q$441,ROWS(Data!$P$2:Q240),COLUMNS(Data!$P$3:P241)),IF($Q$1=$P$5,INDEX(prem_analysis!$BH$1:$BS$23,ROWS(Data!$Q$3:Q241),COLUMNS(Data!$Q$3:Q241)),IF($Q$1=$P$6,INDEX(prem_analysis!$BU$1:$CF$67,ROWS(prem_analysis!$N$2:N240),COLUMNS(prem_analysis!$N$2:N240)),IF($Q$1=$P$4,INDEX(Table24[[#All],[Year]:[Details]],ROWS(prem_analysis!$M$420:M658),COLUMNS(Data!$Q$3:Q241)))))),"")</f>
        <v/>
      </c>
      <c r="S240" s="1" t="str">
        <f>IFERROR(IF($Q$1=$P$3,INDEX(prem_analysis!$P$2:$Q$441,ROWS(Data!$P$2:R240),COLUMNS(Data!$P$3:Q241)),IF($Q$1=$P$5,INDEX(prem_analysis!$BH$1:$BS$23,ROWS(Data!$Q$3:R241),COLUMNS(Data!$Q$3:R241)),IF($Q$1=$P$6,INDEX(prem_analysis!$BU$1:$CF$67,ROWS(prem_analysis!$N$2:O240),COLUMNS(prem_analysis!$N$2:O240)),IF($Q$1=$P$4,INDEX(Table24[[#All],[Year]:[Details]],ROWS(prem_analysis!$M$420:N658),COLUMNS(Data!$Q$3:R241)))))),"")</f>
        <v/>
      </c>
      <c r="T240" s="1" t="str">
        <f>IFERROR(IF($Q$1=$P$3,INDEX(prem_analysis!$P$2:$Q$441,ROWS(Data!$P$2:S240),COLUMNS(Data!$P$3:R241)),IF($Q$1=$P$5,INDEX(prem_analysis!$BH$1:$BS$23,ROWS(Data!$Q$3:S241),COLUMNS(Data!$Q$3:S241)),IF($Q$1=$P$6,INDEX(prem_analysis!$BU$1:$CF$67,ROWS(prem_analysis!$N$2:P240),COLUMNS(prem_analysis!$N$2:P240)),IF($Q$1=$P$4,INDEX(Table24[[#All],[Year]:[Details]],ROWS(prem_analysis!$M$420:O658),COLUMNS(Data!$Q$3:S241)))))),"")</f>
        <v/>
      </c>
      <c r="U240" s="1" t="str">
        <f>IFERROR(IF($Q$1=$P$3,INDEX(prem_analysis!$P$2:$Q$441,ROWS(Data!$P$2:T240),COLUMNS(Data!$P$3:S241)),IF($Q$1=$P$5,INDEX(prem_analysis!$BH$1:$BS$23,ROWS(Data!$Q$3:T241),COLUMNS(Data!$Q$3:T241)),IF($Q$1=$P$6,INDEX(prem_analysis!$BU$1:$CF$67,ROWS(prem_analysis!$N$2:Q240),COLUMNS(prem_analysis!$N$2:Q240)),IF($Q$1=$P$4,INDEX(Table24[[#All],[Year]:[Details]],ROWS(prem_analysis!$M$420:P658),COLUMNS(Data!$Q$3:T241)))))),"")</f>
        <v/>
      </c>
      <c r="V240" s="1" t="str">
        <f>IFERROR(IF($Q$1=$P$3,INDEX(prem_analysis!$P$2:$Q$441,ROWS(Data!$P$2:U240),COLUMNS(Data!$P$3:T241)),IF($Q$1=$P$5,INDEX(prem_analysis!$BH$1:$BS$23,ROWS(Data!$Q$3:U241),COLUMNS(Data!$Q$3:U241)),IF($Q$1=$P$6,INDEX(prem_analysis!$BU$1:$CF$67,ROWS(prem_analysis!$N$2:R240),COLUMNS(prem_analysis!$N$2:R240)),IF($Q$1=$P$4,INDEX(Table24[[#All],[Year]:[Details]],ROWS(prem_analysis!$M$420:Q658),COLUMNS(Data!$Q$3:U241)))))),"")</f>
        <v/>
      </c>
      <c r="W240" s="1" t="str">
        <f>IFERROR(IF($Q$1=$P$3,INDEX(prem_analysis!$P$2:$Q$441,ROWS(Data!$P$2:V240),COLUMNS(Data!$P$3:U241)),IF($Q$1=$P$5,INDEX(prem_analysis!$BH$1:$BS$23,ROWS(Data!$Q$3:V241),COLUMNS(Data!$Q$3:V241)),IF($Q$1=$P$6,INDEX(prem_analysis!$BU$1:$CF$67,ROWS(prem_analysis!$N$2:S240),COLUMNS(prem_analysis!$N$2:S240)),IF($Q$1=$P$4,INDEX(Table24[[#All],[Year]:[Details]],ROWS(prem_analysis!$M$420:R658),COLUMNS(Data!$Q$3:V241)))))),"")</f>
        <v/>
      </c>
      <c r="X240" s="1" t="str">
        <f>IFERROR(IF($Q$1=$P$3,INDEX(prem_analysis!$P$2:$Q$441,ROWS(Data!$P$2:W240),COLUMNS(Data!$P$3:V241)),IF($Q$1=$P$5,INDEX(prem_analysis!$BH$1:$BS$23,ROWS(Data!$Q$3:W241),COLUMNS(Data!$Q$3:W241)),IF($Q$1=$P$6,INDEX(prem_analysis!$BU$1:$CF$67,ROWS(prem_analysis!$N$2:T240),COLUMNS(prem_analysis!$N$2:T240)),IF($Q$1=$P$4,INDEX(Table24[[#All],[Year]:[Details]],ROWS(prem_analysis!$M$420:S658),COLUMNS(Data!$Q$3:W241)))))),"")</f>
        <v/>
      </c>
      <c r="Y240" s="1" t="str">
        <f>IFERROR(IF($Q$1=$P$3,INDEX(prem_analysis!$P$2:$Q$441,ROWS(Data!$P$2:X240),COLUMNS(Data!$P$3:W241)),IF($Q$1=$P$5,INDEX(prem_analysis!$BH$1:$BS$23,ROWS(Data!$Q$3:X241),COLUMNS(Data!$Q$3:X241)),IF($Q$1=$P$6,INDEX(prem_analysis!$BU$1:$CF$67,ROWS(prem_analysis!$N$2:U240),COLUMNS(prem_analysis!$N$2:U240)),IF($Q$1=$P$4,INDEX(Table24[[#All],[Year]:[Details]],ROWS(prem_analysis!$M$420:T658),COLUMNS(Data!$Q$3:X241)))))),"")</f>
        <v/>
      </c>
      <c r="Z240" s="1" t="str">
        <f>IFERROR(IF($Q$1=$P$3,INDEX(prem_analysis!$P$2:$Q$441,ROWS(Data!$P$2:Y240),COLUMNS(Data!$P$3:X241)),IF($Q$1=$P$5,INDEX(prem_analysis!$BH$1:$BS$23,ROWS(Data!$Q$3:Y241),COLUMNS(Data!$Q$3:Y241)),IF($Q$1=$P$6,INDEX(prem_analysis!$BU$1:$CF$67,ROWS(prem_analysis!$N$2:V240),COLUMNS(prem_analysis!$N$2:V240)),IF($Q$1=$P$4,INDEX(Table24[[#All],[Year]:[Details]],ROWS(prem_analysis!$M$420:U658),COLUMNS(Data!$Q$3:Y241)))))),"")</f>
        <v/>
      </c>
      <c r="AA240" s="1" t="str">
        <f>IFERROR(IF($Q$1=$P$3,INDEX(prem_analysis!$P$2:$Q$441,ROWS(Data!$P$2:Z240),COLUMNS(Data!$P$3:Y241)),IF($Q$1=$P$5,INDEX(prem_analysis!$BH$1:$BS$23,ROWS(Data!$Q$3:Z241),COLUMNS(Data!$Q$3:Z241)),IF($Q$1=$P$6,INDEX(prem_analysis!$BU$1:$CF$67,ROWS(prem_analysis!$N$2:W240),COLUMNS(prem_analysis!$N$2:W240)),IF($Q$1=$P$4,INDEX(Table24[[#All],[Year]:[Details]],ROWS(prem_analysis!$M$420:V658),COLUMNS(Data!$Q$3:Z241)))))),"")</f>
        <v/>
      </c>
      <c r="AB240" s="1" t="str">
        <f>IFERROR(IF($Q$1=$P$3,INDEX(prem_analysis!$P$2:$Q$441,ROWS(Data!$P$2:AA240),COLUMNS(Data!$P$3:Z241)),IF($Q$1=$P$5,INDEX(prem_analysis!$BH$1:$BS$23,ROWS(Data!$Q$3:AA241),COLUMNS(Data!$Q$3:AA241)),IF($Q$1=$P$6,INDEX(prem_analysis!$BU$1:$CF$67,ROWS(prem_analysis!$N$2:X240),COLUMNS(prem_analysis!$N$2:X240)),IF($Q$1=$P$4,INDEX(Table24[[#All],[Year]:[Details]],ROWS(prem_analysis!$M$420:W658),COLUMNS(Data!$Q$3:AA241)))))),"")</f>
        <v/>
      </c>
      <c r="AC240" s="1" t="str">
        <f>IFERROR(IF($Q$1=$P$3,INDEX(prem_analysis!$P$2:$Q$441,ROWS(Data!$P$2:AB240),COLUMNS(Data!$P$3:AA241)),IF($Q$1=$P$5,INDEX(prem_analysis!$BH$1:$BS$23,ROWS(Data!$Q$3:AB241),COLUMNS(Data!$Q$3:AB241)),IF($Q$1=$P$6,INDEX(prem_analysis!$BU$1:$CF$67,ROWS(prem_analysis!$N$2:Y240),COLUMNS(prem_analysis!$N$2:Y240)),IF($Q$1=$P$4,INDEX(Table24[[#All],[Year]:[Details]],ROWS(prem_analysis!$M$420:X658),COLUMNS(Data!$Q$3:AB241)))))),"")</f>
        <v/>
      </c>
    </row>
    <row r="241" spans="1:29" x14ac:dyDescent="0.2">
      <c r="A241" s="5">
        <v>2011</v>
      </c>
      <c r="B241" s="5">
        <v>20</v>
      </c>
      <c r="C241" s="6" t="s">
        <v>37</v>
      </c>
      <c r="D241" s="5">
        <v>38</v>
      </c>
      <c r="E241" s="5">
        <v>5</v>
      </c>
      <c r="F241" s="5">
        <v>10</v>
      </c>
      <c r="G241" s="5">
        <v>23</v>
      </c>
      <c r="H241" s="5">
        <v>40</v>
      </c>
      <c r="I241" s="5">
        <v>82</v>
      </c>
      <c r="J241" s="5">
        <v>-42</v>
      </c>
      <c r="K241" s="5">
        <v>25</v>
      </c>
      <c r="L241" s="5" t="str">
        <f>IF(Table24[[#This Row],['#]]=1,"Champion", IF(Table24[[#This Row],['#]]&gt;=18,"Relegated",Table24[[#This Row],['#]]))</f>
        <v>Relegated</v>
      </c>
      <c r="M241" s="5" t="str">
        <f>IF(Table24[[#This Row],[Details]]=2,K240-Table24[[#This Row],[Pts]],IF(Table24[[#This Row],[Details]]=17,Table24[[#This Row],[Pts]]-K242,""))</f>
        <v/>
      </c>
      <c r="R241" s="1" t="str">
        <f>IFERROR(IF($Q$1=$P$3,INDEX(prem_analysis!$P$2:$Q$441,ROWS(Data!$P$2:Q241),COLUMNS(Data!$P$3:P242)),IF($Q$1=$P$5,INDEX(prem_analysis!$BH$1:$BS$23,ROWS(Data!$Q$3:Q242),COLUMNS(Data!$Q$3:Q242)),IF($Q$1=$P$6,INDEX(prem_analysis!$BU$1:$CF$67,ROWS(prem_analysis!$N$2:N241),COLUMNS(prem_analysis!$N$2:N241)),IF($Q$1=$P$4,INDEX(Table24[[#All],[Year]:[Details]],ROWS(prem_analysis!$M$420:M659),COLUMNS(Data!$Q$3:Q242)))))),"")</f>
        <v/>
      </c>
      <c r="S241" s="1" t="str">
        <f>IFERROR(IF($Q$1=$P$3,INDEX(prem_analysis!$P$2:$Q$441,ROWS(Data!$P$2:R241),COLUMNS(Data!$P$3:Q242)),IF($Q$1=$P$5,INDEX(prem_analysis!$BH$1:$BS$23,ROWS(Data!$Q$3:R242),COLUMNS(Data!$Q$3:R242)),IF($Q$1=$P$6,INDEX(prem_analysis!$BU$1:$CF$67,ROWS(prem_analysis!$N$2:O241),COLUMNS(prem_analysis!$N$2:O241)),IF($Q$1=$P$4,INDEX(Table24[[#All],[Year]:[Details]],ROWS(prem_analysis!$M$420:N659),COLUMNS(Data!$Q$3:R242)))))),"")</f>
        <v/>
      </c>
      <c r="T241" s="1" t="str">
        <f>IFERROR(IF($Q$1=$P$3,INDEX(prem_analysis!$P$2:$Q$441,ROWS(Data!$P$2:S241),COLUMNS(Data!$P$3:R242)),IF($Q$1=$P$5,INDEX(prem_analysis!$BH$1:$BS$23,ROWS(Data!$Q$3:S242),COLUMNS(Data!$Q$3:S242)),IF($Q$1=$P$6,INDEX(prem_analysis!$BU$1:$CF$67,ROWS(prem_analysis!$N$2:P241),COLUMNS(prem_analysis!$N$2:P241)),IF($Q$1=$P$4,INDEX(Table24[[#All],[Year]:[Details]],ROWS(prem_analysis!$M$420:O659),COLUMNS(Data!$Q$3:S242)))))),"")</f>
        <v/>
      </c>
      <c r="U241" s="1" t="str">
        <f>IFERROR(IF($Q$1=$P$3,INDEX(prem_analysis!$P$2:$Q$441,ROWS(Data!$P$2:T241),COLUMNS(Data!$P$3:S242)),IF($Q$1=$P$5,INDEX(prem_analysis!$BH$1:$BS$23,ROWS(Data!$Q$3:T242),COLUMNS(Data!$Q$3:T242)),IF($Q$1=$P$6,INDEX(prem_analysis!$BU$1:$CF$67,ROWS(prem_analysis!$N$2:Q241),COLUMNS(prem_analysis!$N$2:Q241)),IF($Q$1=$P$4,INDEX(Table24[[#All],[Year]:[Details]],ROWS(prem_analysis!$M$420:P659),COLUMNS(Data!$Q$3:T242)))))),"")</f>
        <v/>
      </c>
      <c r="V241" s="1" t="str">
        <f>IFERROR(IF($Q$1=$P$3,INDEX(prem_analysis!$P$2:$Q$441,ROWS(Data!$P$2:U241),COLUMNS(Data!$P$3:T242)),IF($Q$1=$P$5,INDEX(prem_analysis!$BH$1:$BS$23,ROWS(Data!$Q$3:U242),COLUMNS(Data!$Q$3:U242)),IF($Q$1=$P$6,INDEX(prem_analysis!$BU$1:$CF$67,ROWS(prem_analysis!$N$2:R241),COLUMNS(prem_analysis!$N$2:R241)),IF($Q$1=$P$4,INDEX(Table24[[#All],[Year]:[Details]],ROWS(prem_analysis!$M$420:Q659),COLUMNS(Data!$Q$3:U242)))))),"")</f>
        <v/>
      </c>
      <c r="W241" s="1" t="str">
        <f>IFERROR(IF($Q$1=$P$3,INDEX(prem_analysis!$P$2:$Q$441,ROWS(Data!$P$2:V241),COLUMNS(Data!$P$3:U242)),IF($Q$1=$P$5,INDEX(prem_analysis!$BH$1:$BS$23,ROWS(Data!$Q$3:V242),COLUMNS(Data!$Q$3:V242)),IF($Q$1=$P$6,INDEX(prem_analysis!$BU$1:$CF$67,ROWS(prem_analysis!$N$2:S241),COLUMNS(prem_analysis!$N$2:S241)),IF($Q$1=$P$4,INDEX(Table24[[#All],[Year]:[Details]],ROWS(prem_analysis!$M$420:R659),COLUMNS(Data!$Q$3:V242)))))),"")</f>
        <v/>
      </c>
      <c r="X241" s="1" t="str">
        <f>IFERROR(IF($Q$1=$P$3,INDEX(prem_analysis!$P$2:$Q$441,ROWS(Data!$P$2:W241),COLUMNS(Data!$P$3:V242)),IF($Q$1=$P$5,INDEX(prem_analysis!$BH$1:$BS$23,ROWS(Data!$Q$3:W242),COLUMNS(Data!$Q$3:W242)),IF($Q$1=$P$6,INDEX(prem_analysis!$BU$1:$CF$67,ROWS(prem_analysis!$N$2:T241),COLUMNS(prem_analysis!$N$2:T241)),IF($Q$1=$P$4,INDEX(Table24[[#All],[Year]:[Details]],ROWS(prem_analysis!$M$420:S659),COLUMNS(Data!$Q$3:W242)))))),"")</f>
        <v/>
      </c>
      <c r="Y241" s="1" t="str">
        <f>IFERROR(IF($Q$1=$P$3,INDEX(prem_analysis!$P$2:$Q$441,ROWS(Data!$P$2:X241),COLUMNS(Data!$P$3:W242)),IF($Q$1=$P$5,INDEX(prem_analysis!$BH$1:$BS$23,ROWS(Data!$Q$3:X242),COLUMNS(Data!$Q$3:X242)),IF($Q$1=$P$6,INDEX(prem_analysis!$BU$1:$CF$67,ROWS(prem_analysis!$N$2:U241),COLUMNS(prem_analysis!$N$2:U241)),IF($Q$1=$P$4,INDEX(Table24[[#All],[Year]:[Details]],ROWS(prem_analysis!$M$420:T659),COLUMNS(Data!$Q$3:X242)))))),"")</f>
        <v/>
      </c>
      <c r="Z241" s="1" t="str">
        <f>IFERROR(IF($Q$1=$P$3,INDEX(prem_analysis!$P$2:$Q$441,ROWS(Data!$P$2:Y241),COLUMNS(Data!$P$3:X242)),IF($Q$1=$P$5,INDEX(prem_analysis!$BH$1:$BS$23,ROWS(Data!$Q$3:Y242),COLUMNS(Data!$Q$3:Y242)),IF($Q$1=$P$6,INDEX(prem_analysis!$BU$1:$CF$67,ROWS(prem_analysis!$N$2:V241),COLUMNS(prem_analysis!$N$2:V241)),IF($Q$1=$P$4,INDEX(Table24[[#All],[Year]:[Details]],ROWS(prem_analysis!$M$420:U659),COLUMNS(Data!$Q$3:Y242)))))),"")</f>
        <v/>
      </c>
      <c r="AA241" s="1" t="str">
        <f>IFERROR(IF($Q$1=$P$3,INDEX(prem_analysis!$P$2:$Q$441,ROWS(Data!$P$2:Z241),COLUMNS(Data!$P$3:Y242)),IF($Q$1=$P$5,INDEX(prem_analysis!$BH$1:$BS$23,ROWS(Data!$Q$3:Z242),COLUMNS(Data!$Q$3:Z242)),IF($Q$1=$P$6,INDEX(prem_analysis!$BU$1:$CF$67,ROWS(prem_analysis!$N$2:W241),COLUMNS(prem_analysis!$N$2:W241)),IF($Q$1=$P$4,INDEX(Table24[[#All],[Year]:[Details]],ROWS(prem_analysis!$M$420:V659),COLUMNS(Data!$Q$3:Z242)))))),"")</f>
        <v/>
      </c>
      <c r="AB241" s="1" t="str">
        <f>IFERROR(IF($Q$1=$P$3,INDEX(prem_analysis!$P$2:$Q$441,ROWS(Data!$P$2:AA241),COLUMNS(Data!$P$3:Z242)),IF($Q$1=$P$5,INDEX(prem_analysis!$BH$1:$BS$23,ROWS(Data!$Q$3:AA242),COLUMNS(Data!$Q$3:AA242)),IF($Q$1=$P$6,INDEX(prem_analysis!$BU$1:$CF$67,ROWS(prem_analysis!$N$2:X241),COLUMNS(prem_analysis!$N$2:X241)),IF($Q$1=$P$4,INDEX(Table24[[#All],[Year]:[Details]],ROWS(prem_analysis!$M$420:W659),COLUMNS(Data!$Q$3:AA242)))))),"")</f>
        <v/>
      </c>
      <c r="AC241" s="1" t="str">
        <f>IFERROR(IF($Q$1=$P$3,INDEX(prem_analysis!$P$2:$Q$441,ROWS(Data!$P$2:AB241),COLUMNS(Data!$P$3:AA242)),IF($Q$1=$P$5,INDEX(prem_analysis!$BH$1:$BS$23,ROWS(Data!$Q$3:AB242),COLUMNS(Data!$Q$3:AB242)),IF($Q$1=$P$6,INDEX(prem_analysis!$BU$1:$CF$67,ROWS(prem_analysis!$N$2:Y241),COLUMNS(prem_analysis!$N$2:Y241)),IF($Q$1=$P$4,INDEX(Table24[[#All],[Year]:[Details]],ROWS(prem_analysis!$M$420:X659),COLUMNS(Data!$Q$3:AB242)))))),"")</f>
        <v/>
      </c>
    </row>
    <row r="242" spans="1:29" x14ac:dyDescent="0.2">
      <c r="A242" s="3">
        <v>2012</v>
      </c>
      <c r="B242" s="3">
        <v>1</v>
      </c>
      <c r="C242" s="4" t="s">
        <v>11</v>
      </c>
      <c r="D242" s="3">
        <v>38</v>
      </c>
      <c r="E242" s="3">
        <v>28</v>
      </c>
      <c r="F242" s="3">
        <v>5</v>
      </c>
      <c r="G242" s="3">
        <v>5</v>
      </c>
      <c r="H242" s="3">
        <v>86</v>
      </c>
      <c r="I242" s="3">
        <v>43</v>
      </c>
      <c r="J242" s="3">
        <v>43</v>
      </c>
      <c r="K242" s="3">
        <v>89</v>
      </c>
      <c r="L242" s="5" t="str">
        <f>IF(Table24[[#This Row],['#]]=1,"Champion", IF(Table24[[#This Row],['#]]&gt;=18,"Relegated",Table24[[#This Row],['#]]))</f>
        <v>Champion</v>
      </c>
      <c r="M242" s="5" t="str">
        <f>IF(Table24[[#This Row],[Details]]=2,K241-Table24[[#This Row],[Pts]],IF(Table24[[#This Row],[Details]]=17,Table24[[#This Row],[Pts]]-K243,""))</f>
        <v/>
      </c>
      <c r="R242" s="1" t="str">
        <f>IFERROR(IF($Q$1=$P$3,INDEX(prem_analysis!$P$2:$Q$441,ROWS(Data!$P$2:Q242),COLUMNS(Data!$P$3:P243)),IF($Q$1=$P$5,INDEX(prem_analysis!$BH$1:$BS$23,ROWS(Data!$Q$3:Q243),COLUMNS(Data!$Q$3:Q243)),IF($Q$1=$P$6,INDEX(prem_analysis!$BU$1:$CF$67,ROWS(prem_analysis!$N$2:N242),COLUMNS(prem_analysis!$N$2:N242)),IF($Q$1=$P$4,INDEX(Table24[[#All],[Year]:[Details]],ROWS(prem_analysis!$M$420:M660),COLUMNS(Data!$Q$3:Q243)))))),"")</f>
        <v/>
      </c>
      <c r="S242" s="1" t="str">
        <f>IFERROR(IF($Q$1=$P$3,INDEX(prem_analysis!$P$2:$Q$441,ROWS(Data!$P$2:R242),COLUMNS(Data!$P$3:Q243)),IF($Q$1=$P$5,INDEX(prem_analysis!$BH$1:$BS$23,ROWS(Data!$Q$3:R243),COLUMNS(Data!$Q$3:R243)),IF($Q$1=$P$6,INDEX(prem_analysis!$BU$1:$CF$67,ROWS(prem_analysis!$N$2:O242),COLUMNS(prem_analysis!$N$2:O242)),IF($Q$1=$P$4,INDEX(Table24[[#All],[Year]:[Details]],ROWS(prem_analysis!$M$420:N660),COLUMNS(Data!$Q$3:R243)))))),"")</f>
        <v/>
      </c>
      <c r="T242" s="1" t="str">
        <f>IFERROR(IF($Q$1=$P$3,INDEX(prem_analysis!$P$2:$Q$441,ROWS(Data!$P$2:S242),COLUMNS(Data!$P$3:R243)),IF($Q$1=$P$5,INDEX(prem_analysis!$BH$1:$BS$23,ROWS(Data!$Q$3:S243),COLUMNS(Data!$Q$3:S243)),IF($Q$1=$P$6,INDEX(prem_analysis!$BU$1:$CF$67,ROWS(prem_analysis!$N$2:P242),COLUMNS(prem_analysis!$N$2:P242)),IF($Q$1=$P$4,INDEX(Table24[[#All],[Year]:[Details]],ROWS(prem_analysis!$M$420:O660),COLUMNS(Data!$Q$3:S243)))))),"")</f>
        <v/>
      </c>
      <c r="U242" s="1" t="str">
        <f>IFERROR(IF($Q$1=$P$3,INDEX(prem_analysis!$P$2:$Q$441,ROWS(Data!$P$2:T242),COLUMNS(Data!$P$3:S243)),IF($Q$1=$P$5,INDEX(prem_analysis!$BH$1:$BS$23,ROWS(Data!$Q$3:T243),COLUMNS(Data!$Q$3:T243)),IF($Q$1=$P$6,INDEX(prem_analysis!$BU$1:$CF$67,ROWS(prem_analysis!$N$2:Q242),COLUMNS(prem_analysis!$N$2:Q242)),IF($Q$1=$P$4,INDEX(Table24[[#All],[Year]:[Details]],ROWS(prem_analysis!$M$420:P660),COLUMNS(Data!$Q$3:T243)))))),"")</f>
        <v/>
      </c>
      <c r="V242" s="1" t="str">
        <f>IFERROR(IF($Q$1=$P$3,INDEX(prem_analysis!$P$2:$Q$441,ROWS(Data!$P$2:U242),COLUMNS(Data!$P$3:T243)),IF($Q$1=$P$5,INDEX(prem_analysis!$BH$1:$BS$23,ROWS(Data!$Q$3:U243),COLUMNS(Data!$Q$3:U243)),IF($Q$1=$P$6,INDEX(prem_analysis!$BU$1:$CF$67,ROWS(prem_analysis!$N$2:R242),COLUMNS(prem_analysis!$N$2:R242)),IF($Q$1=$P$4,INDEX(Table24[[#All],[Year]:[Details]],ROWS(prem_analysis!$M$420:Q660),COLUMNS(Data!$Q$3:U243)))))),"")</f>
        <v/>
      </c>
      <c r="W242" s="1" t="str">
        <f>IFERROR(IF($Q$1=$P$3,INDEX(prem_analysis!$P$2:$Q$441,ROWS(Data!$P$2:V242),COLUMNS(Data!$P$3:U243)),IF($Q$1=$P$5,INDEX(prem_analysis!$BH$1:$BS$23,ROWS(Data!$Q$3:V243),COLUMNS(Data!$Q$3:V243)),IF($Q$1=$P$6,INDEX(prem_analysis!$BU$1:$CF$67,ROWS(prem_analysis!$N$2:S242),COLUMNS(prem_analysis!$N$2:S242)),IF($Q$1=$P$4,INDEX(Table24[[#All],[Year]:[Details]],ROWS(prem_analysis!$M$420:R660),COLUMNS(Data!$Q$3:V243)))))),"")</f>
        <v/>
      </c>
      <c r="X242" s="1" t="str">
        <f>IFERROR(IF($Q$1=$P$3,INDEX(prem_analysis!$P$2:$Q$441,ROWS(Data!$P$2:W242),COLUMNS(Data!$P$3:V243)),IF($Q$1=$P$5,INDEX(prem_analysis!$BH$1:$BS$23,ROWS(Data!$Q$3:W243),COLUMNS(Data!$Q$3:W243)),IF($Q$1=$P$6,INDEX(prem_analysis!$BU$1:$CF$67,ROWS(prem_analysis!$N$2:T242),COLUMNS(prem_analysis!$N$2:T242)),IF($Q$1=$P$4,INDEX(Table24[[#All],[Year]:[Details]],ROWS(prem_analysis!$M$420:S660),COLUMNS(Data!$Q$3:W243)))))),"")</f>
        <v/>
      </c>
      <c r="Y242" s="1" t="str">
        <f>IFERROR(IF($Q$1=$P$3,INDEX(prem_analysis!$P$2:$Q$441,ROWS(Data!$P$2:X242),COLUMNS(Data!$P$3:W243)),IF($Q$1=$P$5,INDEX(prem_analysis!$BH$1:$BS$23,ROWS(Data!$Q$3:X243),COLUMNS(Data!$Q$3:X243)),IF($Q$1=$P$6,INDEX(prem_analysis!$BU$1:$CF$67,ROWS(prem_analysis!$N$2:U242),COLUMNS(prem_analysis!$N$2:U242)),IF($Q$1=$P$4,INDEX(Table24[[#All],[Year]:[Details]],ROWS(prem_analysis!$M$420:T660),COLUMNS(Data!$Q$3:X243)))))),"")</f>
        <v/>
      </c>
      <c r="Z242" s="1" t="str">
        <f>IFERROR(IF($Q$1=$P$3,INDEX(prem_analysis!$P$2:$Q$441,ROWS(Data!$P$2:Y242),COLUMNS(Data!$P$3:X243)),IF($Q$1=$P$5,INDEX(prem_analysis!$BH$1:$BS$23,ROWS(Data!$Q$3:Y243),COLUMNS(Data!$Q$3:Y243)),IF($Q$1=$P$6,INDEX(prem_analysis!$BU$1:$CF$67,ROWS(prem_analysis!$N$2:V242),COLUMNS(prem_analysis!$N$2:V242)),IF($Q$1=$P$4,INDEX(Table24[[#All],[Year]:[Details]],ROWS(prem_analysis!$M$420:U660),COLUMNS(Data!$Q$3:Y243)))))),"")</f>
        <v/>
      </c>
      <c r="AA242" s="1" t="str">
        <f>IFERROR(IF($Q$1=$P$3,INDEX(prem_analysis!$P$2:$Q$441,ROWS(Data!$P$2:Z242),COLUMNS(Data!$P$3:Y243)),IF($Q$1=$P$5,INDEX(prem_analysis!$BH$1:$BS$23,ROWS(Data!$Q$3:Z243),COLUMNS(Data!$Q$3:Z243)),IF($Q$1=$P$6,INDEX(prem_analysis!$BU$1:$CF$67,ROWS(prem_analysis!$N$2:W242),COLUMNS(prem_analysis!$N$2:W242)),IF($Q$1=$P$4,INDEX(Table24[[#All],[Year]:[Details]],ROWS(prem_analysis!$M$420:V660),COLUMNS(Data!$Q$3:Z243)))))),"")</f>
        <v/>
      </c>
      <c r="AB242" s="1" t="str">
        <f>IFERROR(IF($Q$1=$P$3,INDEX(prem_analysis!$P$2:$Q$441,ROWS(Data!$P$2:AA242),COLUMNS(Data!$P$3:Z243)),IF($Q$1=$P$5,INDEX(prem_analysis!$BH$1:$BS$23,ROWS(Data!$Q$3:AA243),COLUMNS(Data!$Q$3:AA243)),IF($Q$1=$P$6,INDEX(prem_analysis!$BU$1:$CF$67,ROWS(prem_analysis!$N$2:X242),COLUMNS(prem_analysis!$N$2:X242)),IF($Q$1=$P$4,INDEX(Table24[[#All],[Year]:[Details]],ROWS(prem_analysis!$M$420:W660),COLUMNS(Data!$Q$3:AA243)))))),"")</f>
        <v/>
      </c>
      <c r="AC242" s="1" t="str">
        <f>IFERROR(IF($Q$1=$P$3,INDEX(prem_analysis!$P$2:$Q$441,ROWS(Data!$P$2:AB242),COLUMNS(Data!$P$3:AA243)),IF($Q$1=$P$5,INDEX(prem_analysis!$BH$1:$BS$23,ROWS(Data!$Q$3:AB243),COLUMNS(Data!$Q$3:AB243)),IF($Q$1=$P$6,INDEX(prem_analysis!$BU$1:$CF$67,ROWS(prem_analysis!$N$2:Y242),COLUMNS(prem_analysis!$N$2:Y242)),IF($Q$1=$P$4,INDEX(Table24[[#All],[Year]:[Details]],ROWS(prem_analysis!$M$420:X660),COLUMNS(Data!$Q$3:AB243)))))),"")</f>
        <v/>
      </c>
    </row>
    <row r="243" spans="1:29" x14ac:dyDescent="0.2">
      <c r="A243" s="5">
        <v>2012</v>
      </c>
      <c r="B243" s="5">
        <v>2</v>
      </c>
      <c r="C243" s="6" t="s">
        <v>28</v>
      </c>
      <c r="D243" s="5">
        <v>38</v>
      </c>
      <c r="E243" s="5">
        <v>23</v>
      </c>
      <c r="F243" s="5">
        <v>9</v>
      </c>
      <c r="G243" s="5">
        <v>6</v>
      </c>
      <c r="H243" s="5">
        <v>66</v>
      </c>
      <c r="I243" s="5">
        <v>34</v>
      </c>
      <c r="J243" s="5">
        <v>32</v>
      </c>
      <c r="K243" s="5">
        <v>78</v>
      </c>
      <c r="L243" s="5">
        <f>IF(Table24[[#This Row],['#]]=1,"Champion", IF(Table24[[#This Row],['#]]&gt;=18,"Relegated",Table24[[#This Row],['#]]))</f>
        <v>2</v>
      </c>
      <c r="M243" s="5">
        <f>IF(Table24[[#This Row],[Details]]=2,K242-Table24[[#This Row],[Pts]],IF(Table24[[#This Row],[Details]]=17,Table24[[#This Row],[Pts]]-K244,""))</f>
        <v>11</v>
      </c>
      <c r="R243" s="1" t="str">
        <f>IFERROR(IF($Q$1=$P$3,INDEX(prem_analysis!$P$2:$Q$441,ROWS(Data!$P$2:Q243),COLUMNS(Data!$P$3:P244)),IF($Q$1=$P$5,INDEX(prem_analysis!$BH$1:$BS$23,ROWS(Data!$Q$3:Q244),COLUMNS(Data!$Q$3:Q244)),IF($Q$1=$P$6,INDEX(prem_analysis!$BU$1:$CF$67,ROWS(prem_analysis!$N$2:N243),COLUMNS(prem_analysis!$N$2:N243)),IF($Q$1=$P$4,INDEX(Table24[[#All],[Year]:[Details]],ROWS(prem_analysis!$M$420:M661),COLUMNS(Data!$Q$3:Q244)))))),"")</f>
        <v/>
      </c>
      <c r="S243" s="1" t="str">
        <f>IFERROR(IF($Q$1=$P$3,INDEX(prem_analysis!$P$2:$Q$441,ROWS(Data!$P$2:R243),COLUMNS(Data!$P$3:Q244)),IF($Q$1=$P$5,INDEX(prem_analysis!$BH$1:$BS$23,ROWS(Data!$Q$3:R244),COLUMNS(Data!$Q$3:R244)),IF($Q$1=$P$6,INDEX(prem_analysis!$BU$1:$CF$67,ROWS(prem_analysis!$N$2:O243),COLUMNS(prem_analysis!$N$2:O243)),IF($Q$1=$P$4,INDEX(Table24[[#All],[Year]:[Details]],ROWS(prem_analysis!$M$420:N661),COLUMNS(Data!$Q$3:R244)))))),"")</f>
        <v/>
      </c>
      <c r="T243" s="1" t="str">
        <f>IFERROR(IF($Q$1=$P$3,INDEX(prem_analysis!$P$2:$Q$441,ROWS(Data!$P$2:S243),COLUMNS(Data!$P$3:R244)),IF($Q$1=$P$5,INDEX(prem_analysis!$BH$1:$BS$23,ROWS(Data!$Q$3:S244),COLUMNS(Data!$Q$3:S244)),IF($Q$1=$P$6,INDEX(prem_analysis!$BU$1:$CF$67,ROWS(prem_analysis!$N$2:P243),COLUMNS(prem_analysis!$N$2:P243)),IF($Q$1=$P$4,INDEX(Table24[[#All],[Year]:[Details]],ROWS(prem_analysis!$M$420:O661),COLUMNS(Data!$Q$3:S244)))))),"")</f>
        <v/>
      </c>
      <c r="U243" s="1" t="str">
        <f>IFERROR(IF($Q$1=$P$3,INDEX(prem_analysis!$P$2:$Q$441,ROWS(Data!$P$2:T243),COLUMNS(Data!$P$3:S244)),IF($Q$1=$P$5,INDEX(prem_analysis!$BH$1:$BS$23,ROWS(Data!$Q$3:T244),COLUMNS(Data!$Q$3:T244)),IF($Q$1=$P$6,INDEX(prem_analysis!$BU$1:$CF$67,ROWS(prem_analysis!$N$2:Q243),COLUMNS(prem_analysis!$N$2:Q243)),IF($Q$1=$P$4,INDEX(Table24[[#All],[Year]:[Details]],ROWS(prem_analysis!$M$420:P661),COLUMNS(Data!$Q$3:T244)))))),"")</f>
        <v/>
      </c>
      <c r="V243" s="1" t="str">
        <f>IFERROR(IF($Q$1=$P$3,INDEX(prem_analysis!$P$2:$Q$441,ROWS(Data!$P$2:U243),COLUMNS(Data!$P$3:T244)),IF($Q$1=$P$5,INDEX(prem_analysis!$BH$1:$BS$23,ROWS(Data!$Q$3:U244),COLUMNS(Data!$Q$3:U244)),IF($Q$1=$P$6,INDEX(prem_analysis!$BU$1:$CF$67,ROWS(prem_analysis!$N$2:R243),COLUMNS(prem_analysis!$N$2:R243)),IF($Q$1=$P$4,INDEX(Table24[[#All],[Year]:[Details]],ROWS(prem_analysis!$M$420:Q661),COLUMNS(Data!$Q$3:U244)))))),"")</f>
        <v/>
      </c>
      <c r="W243" s="1" t="str">
        <f>IFERROR(IF($Q$1=$P$3,INDEX(prem_analysis!$P$2:$Q$441,ROWS(Data!$P$2:V243),COLUMNS(Data!$P$3:U244)),IF($Q$1=$P$5,INDEX(prem_analysis!$BH$1:$BS$23,ROWS(Data!$Q$3:V244),COLUMNS(Data!$Q$3:V244)),IF($Q$1=$P$6,INDEX(prem_analysis!$BU$1:$CF$67,ROWS(prem_analysis!$N$2:S243),COLUMNS(prem_analysis!$N$2:S243)),IF($Q$1=$P$4,INDEX(Table24[[#All],[Year]:[Details]],ROWS(prem_analysis!$M$420:R661),COLUMNS(Data!$Q$3:V244)))))),"")</f>
        <v/>
      </c>
      <c r="X243" s="1" t="str">
        <f>IFERROR(IF($Q$1=$P$3,INDEX(prem_analysis!$P$2:$Q$441,ROWS(Data!$P$2:W243),COLUMNS(Data!$P$3:V244)),IF($Q$1=$P$5,INDEX(prem_analysis!$BH$1:$BS$23,ROWS(Data!$Q$3:W244),COLUMNS(Data!$Q$3:W244)),IF($Q$1=$P$6,INDEX(prem_analysis!$BU$1:$CF$67,ROWS(prem_analysis!$N$2:T243),COLUMNS(prem_analysis!$N$2:T243)),IF($Q$1=$P$4,INDEX(Table24[[#All],[Year]:[Details]],ROWS(prem_analysis!$M$420:S661),COLUMNS(Data!$Q$3:W244)))))),"")</f>
        <v/>
      </c>
      <c r="Y243" s="1" t="str">
        <f>IFERROR(IF($Q$1=$P$3,INDEX(prem_analysis!$P$2:$Q$441,ROWS(Data!$P$2:X243),COLUMNS(Data!$P$3:W244)),IF($Q$1=$P$5,INDEX(prem_analysis!$BH$1:$BS$23,ROWS(Data!$Q$3:X244),COLUMNS(Data!$Q$3:X244)),IF($Q$1=$P$6,INDEX(prem_analysis!$BU$1:$CF$67,ROWS(prem_analysis!$N$2:U243),COLUMNS(prem_analysis!$N$2:U243)),IF($Q$1=$P$4,INDEX(Table24[[#All],[Year]:[Details]],ROWS(prem_analysis!$M$420:T661),COLUMNS(Data!$Q$3:X244)))))),"")</f>
        <v/>
      </c>
      <c r="Z243" s="1" t="str">
        <f>IFERROR(IF($Q$1=$P$3,INDEX(prem_analysis!$P$2:$Q$441,ROWS(Data!$P$2:Y243),COLUMNS(Data!$P$3:X244)),IF($Q$1=$P$5,INDEX(prem_analysis!$BH$1:$BS$23,ROWS(Data!$Q$3:Y244),COLUMNS(Data!$Q$3:Y244)),IF($Q$1=$P$6,INDEX(prem_analysis!$BU$1:$CF$67,ROWS(prem_analysis!$N$2:V243),COLUMNS(prem_analysis!$N$2:V243)),IF($Q$1=$P$4,INDEX(Table24[[#All],[Year]:[Details]],ROWS(prem_analysis!$M$420:U661),COLUMNS(Data!$Q$3:Y244)))))),"")</f>
        <v/>
      </c>
      <c r="AA243" s="1" t="str">
        <f>IFERROR(IF($Q$1=$P$3,INDEX(prem_analysis!$P$2:$Q$441,ROWS(Data!$P$2:Z243),COLUMNS(Data!$P$3:Y244)),IF($Q$1=$P$5,INDEX(prem_analysis!$BH$1:$BS$23,ROWS(Data!$Q$3:Z244),COLUMNS(Data!$Q$3:Z244)),IF($Q$1=$P$6,INDEX(prem_analysis!$BU$1:$CF$67,ROWS(prem_analysis!$N$2:W243),COLUMNS(prem_analysis!$N$2:W243)),IF($Q$1=$P$4,INDEX(Table24[[#All],[Year]:[Details]],ROWS(prem_analysis!$M$420:V661),COLUMNS(Data!$Q$3:Z244)))))),"")</f>
        <v/>
      </c>
      <c r="AB243" s="1" t="str">
        <f>IFERROR(IF($Q$1=$P$3,INDEX(prem_analysis!$P$2:$Q$441,ROWS(Data!$P$2:AA243),COLUMNS(Data!$P$3:Z244)),IF($Q$1=$P$5,INDEX(prem_analysis!$BH$1:$BS$23,ROWS(Data!$Q$3:AA244),COLUMNS(Data!$Q$3:AA244)),IF($Q$1=$P$6,INDEX(prem_analysis!$BU$1:$CF$67,ROWS(prem_analysis!$N$2:X243),COLUMNS(prem_analysis!$N$2:X243)),IF($Q$1=$P$4,INDEX(Table24[[#All],[Year]:[Details]],ROWS(prem_analysis!$M$420:W661),COLUMNS(Data!$Q$3:AA244)))))),"")</f>
        <v/>
      </c>
      <c r="AC243" s="1" t="str">
        <f>IFERROR(IF($Q$1=$P$3,INDEX(prem_analysis!$P$2:$Q$441,ROWS(Data!$P$2:AB243),COLUMNS(Data!$P$3:AA244)),IF($Q$1=$P$5,INDEX(prem_analysis!$BH$1:$BS$23,ROWS(Data!$Q$3:AB244),COLUMNS(Data!$Q$3:AB244)),IF($Q$1=$P$6,INDEX(prem_analysis!$BU$1:$CF$67,ROWS(prem_analysis!$N$2:Y243),COLUMNS(prem_analysis!$N$2:Y243)),IF($Q$1=$P$4,INDEX(Table24[[#All],[Year]:[Details]],ROWS(prem_analysis!$M$420:X661),COLUMNS(Data!$Q$3:AB244)))))),"")</f>
        <v/>
      </c>
    </row>
    <row r="244" spans="1:29" x14ac:dyDescent="0.2">
      <c r="A244" s="3">
        <v>2012</v>
      </c>
      <c r="B244" s="3">
        <v>3</v>
      </c>
      <c r="C244" s="4" t="s">
        <v>16</v>
      </c>
      <c r="D244" s="3">
        <v>38</v>
      </c>
      <c r="E244" s="3">
        <v>22</v>
      </c>
      <c r="F244" s="3">
        <v>9</v>
      </c>
      <c r="G244" s="3">
        <v>7</v>
      </c>
      <c r="H244" s="3">
        <v>75</v>
      </c>
      <c r="I244" s="3">
        <v>39</v>
      </c>
      <c r="J244" s="3">
        <v>36</v>
      </c>
      <c r="K244" s="3">
        <v>75</v>
      </c>
      <c r="L244" s="5">
        <f>IF(Table24[[#This Row],['#]]=1,"Champion", IF(Table24[[#This Row],['#]]&gt;=18,"Relegated",Table24[[#This Row],['#]]))</f>
        <v>3</v>
      </c>
      <c r="M244" s="5" t="str">
        <f>IF(Table24[[#This Row],[Details]]=2,K243-Table24[[#This Row],[Pts]],IF(Table24[[#This Row],[Details]]=17,Table24[[#This Row],[Pts]]-K245,""))</f>
        <v/>
      </c>
      <c r="R244" s="1" t="str">
        <f>IFERROR(IF($Q$1=$P$3,INDEX(prem_analysis!$P$2:$Q$441,ROWS(Data!$P$2:Q244),COLUMNS(Data!$P$3:P245)),IF($Q$1=$P$5,INDEX(prem_analysis!$BH$1:$BS$23,ROWS(Data!$Q$3:Q245),COLUMNS(Data!$Q$3:Q245)),IF($Q$1=$P$6,INDEX(prem_analysis!$BU$1:$CF$67,ROWS(prem_analysis!$N$2:N244),COLUMNS(prem_analysis!$N$2:N244)),IF($Q$1=$P$4,INDEX(Table24[[#All],[Year]:[Details]],ROWS(prem_analysis!$M$420:M662),COLUMNS(Data!$Q$3:Q245)))))),"")</f>
        <v/>
      </c>
      <c r="S244" s="1" t="str">
        <f>IFERROR(IF($Q$1=$P$3,INDEX(prem_analysis!$P$2:$Q$441,ROWS(Data!$P$2:R244),COLUMNS(Data!$P$3:Q245)),IF($Q$1=$P$5,INDEX(prem_analysis!$BH$1:$BS$23,ROWS(Data!$Q$3:R245),COLUMNS(Data!$Q$3:R245)),IF($Q$1=$P$6,INDEX(prem_analysis!$BU$1:$CF$67,ROWS(prem_analysis!$N$2:O244),COLUMNS(prem_analysis!$N$2:O244)),IF($Q$1=$P$4,INDEX(Table24[[#All],[Year]:[Details]],ROWS(prem_analysis!$M$420:N662),COLUMNS(Data!$Q$3:R245)))))),"")</f>
        <v/>
      </c>
      <c r="T244" s="1" t="str">
        <f>IFERROR(IF($Q$1=$P$3,INDEX(prem_analysis!$P$2:$Q$441,ROWS(Data!$P$2:S244),COLUMNS(Data!$P$3:R245)),IF($Q$1=$P$5,INDEX(prem_analysis!$BH$1:$BS$23,ROWS(Data!$Q$3:S245),COLUMNS(Data!$Q$3:S245)),IF($Q$1=$P$6,INDEX(prem_analysis!$BU$1:$CF$67,ROWS(prem_analysis!$N$2:P244),COLUMNS(prem_analysis!$N$2:P244)),IF($Q$1=$P$4,INDEX(Table24[[#All],[Year]:[Details]],ROWS(prem_analysis!$M$420:O662),COLUMNS(Data!$Q$3:S245)))))),"")</f>
        <v/>
      </c>
      <c r="U244" s="1" t="str">
        <f>IFERROR(IF($Q$1=$P$3,INDEX(prem_analysis!$P$2:$Q$441,ROWS(Data!$P$2:T244),COLUMNS(Data!$P$3:S245)),IF($Q$1=$P$5,INDEX(prem_analysis!$BH$1:$BS$23,ROWS(Data!$Q$3:T245),COLUMNS(Data!$Q$3:T245)),IF($Q$1=$P$6,INDEX(prem_analysis!$BU$1:$CF$67,ROWS(prem_analysis!$N$2:Q244),COLUMNS(prem_analysis!$N$2:Q244)),IF($Q$1=$P$4,INDEX(Table24[[#All],[Year]:[Details]],ROWS(prem_analysis!$M$420:P662),COLUMNS(Data!$Q$3:T245)))))),"")</f>
        <v/>
      </c>
      <c r="V244" s="1" t="str">
        <f>IFERROR(IF($Q$1=$P$3,INDEX(prem_analysis!$P$2:$Q$441,ROWS(Data!$P$2:U244),COLUMNS(Data!$P$3:T245)),IF($Q$1=$P$5,INDEX(prem_analysis!$BH$1:$BS$23,ROWS(Data!$Q$3:U245),COLUMNS(Data!$Q$3:U245)),IF($Q$1=$P$6,INDEX(prem_analysis!$BU$1:$CF$67,ROWS(prem_analysis!$N$2:R244),COLUMNS(prem_analysis!$N$2:R244)),IF($Q$1=$P$4,INDEX(Table24[[#All],[Year]:[Details]],ROWS(prem_analysis!$M$420:Q662),COLUMNS(Data!$Q$3:U245)))))),"")</f>
        <v/>
      </c>
      <c r="W244" s="1" t="str">
        <f>IFERROR(IF($Q$1=$P$3,INDEX(prem_analysis!$P$2:$Q$441,ROWS(Data!$P$2:V244),COLUMNS(Data!$P$3:U245)),IF($Q$1=$P$5,INDEX(prem_analysis!$BH$1:$BS$23,ROWS(Data!$Q$3:V245),COLUMNS(Data!$Q$3:V245)),IF($Q$1=$P$6,INDEX(prem_analysis!$BU$1:$CF$67,ROWS(prem_analysis!$N$2:S244),COLUMNS(prem_analysis!$N$2:S244)),IF($Q$1=$P$4,INDEX(Table24[[#All],[Year]:[Details]],ROWS(prem_analysis!$M$420:R662),COLUMNS(Data!$Q$3:V245)))))),"")</f>
        <v/>
      </c>
      <c r="X244" s="1" t="str">
        <f>IFERROR(IF($Q$1=$P$3,INDEX(prem_analysis!$P$2:$Q$441,ROWS(Data!$P$2:W244),COLUMNS(Data!$P$3:V245)),IF($Q$1=$P$5,INDEX(prem_analysis!$BH$1:$BS$23,ROWS(Data!$Q$3:W245),COLUMNS(Data!$Q$3:W245)),IF($Q$1=$P$6,INDEX(prem_analysis!$BU$1:$CF$67,ROWS(prem_analysis!$N$2:T244),COLUMNS(prem_analysis!$N$2:T244)),IF($Q$1=$P$4,INDEX(Table24[[#All],[Year]:[Details]],ROWS(prem_analysis!$M$420:S662),COLUMNS(Data!$Q$3:W245)))))),"")</f>
        <v/>
      </c>
      <c r="Y244" s="1" t="str">
        <f>IFERROR(IF($Q$1=$P$3,INDEX(prem_analysis!$P$2:$Q$441,ROWS(Data!$P$2:X244),COLUMNS(Data!$P$3:W245)),IF($Q$1=$P$5,INDEX(prem_analysis!$BH$1:$BS$23,ROWS(Data!$Q$3:X245),COLUMNS(Data!$Q$3:X245)),IF($Q$1=$P$6,INDEX(prem_analysis!$BU$1:$CF$67,ROWS(prem_analysis!$N$2:U244),COLUMNS(prem_analysis!$N$2:U244)),IF($Q$1=$P$4,INDEX(Table24[[#All],[Year]:[Details]],ROWS(prem_analysis!$M$420:T662),COLUMNS(Data!$Q$3:X245)))))),"")</f>
        <v/>
      </c>
      <c r="Z244" s="1" t="str">
        <f>IFERROR(IF($Q$1=$P$3,INDEX(prem_analysis!$P$2:$Q$441,ROWS(Data!$P$2:Y244),COLUMNS(Data!$P$3:X245)),IF($Q$1=$P$5,INDEX(prem_analysis!$BH$1:$BS$23,ROWS(Data!$Q$3:Y245),COLUMNS(Data!$Q$3:Y245)),IF($Q$1=$P$6,INDEX(prem_analysis!$BU$1:$CF$67,ROWS(prem_analysis!$N$2:V244),COLUMNS(prem_analysis!$N$2:V244)),IF($Q$1=$P$4,INDEX(Table24[[#All],[Year]:[Details]],ROWS(prem_analysis!$M$420:U662),COLUMNS(Data!$Q$3:Y245)))))),"")</f>
        <v/>
      </c>
      <c r="AA244" s="1" t="str">
        <f>IFERROR(IF($Q$1=$P$3,INDEX(prem_analysis!$P$2:$Q$441,ROWS(Data!$P$2:Z244),COLUMNS(Data!$P$3:Y245)),IF($Q$1=$P$5,INDEX(prem_analysis!$BH$1:$BS$23,ROWS(Data!$Q$3:Z245),COLUMNS(Data!$Q$3:Z245)),IF($Q$1=$P$6,INDEX(prem_analysis!$BU$1:$CF$67,ROWS(prem_analysis!$N$2:W244),COLUMNS(prem_analysis!$N$2:W244)),IF($Q$1=$P$4,INDEX(Table24[[#All],[Year]:[Details]],ROWS(prem_analysis!$M$420:V662),COLUMNS(Data!$Q$3:Z245)))))),"")</f>
        <v/>
      </c>
      <c r="AB244" s="1" t="str">
        <f>IFERROR(IF($Q$1=$P$3,INDEX(prem_analysis!$P$2:$Q$441,ROWS(Data!$P$2:AA244),COLUMNS(Data!$P$3:Z245)),IF($Q$1=$P$5,INDEX(prem_analysis!$BH$1:$BS$23,ROWS(Data!$Q$3:AA245),COLUMNS(Data!$Q$3:AA245)),IF($Q$1=$P$6,INDEX(prem_analysis!$BU$1:$CF$67,ROWS(prem_analysis!$N$2:X244),COLUMNS(prem_analysis!$N$2:X244)),IF($Q$1=$P$4,INDEX(Table24[[#All],[Year]:[Details]],ROWS(prem_analysis!$M$420:W662),COLUMNS(Data!$Q$3:AA245)))))),"")</f>
        <v/>
      </c>
      <c r="AC244" s="1" t="str">
        <f>IFERROR(IF($Q$1=$P$3,INDEX(prem_analysis!$P$2:$Q$441,ROWS(Data!$P$2:AB244),COLUMNS(Data!$P$3:AA245)),IF($Q$1=$P$5,INDEX(prem_analysis!$BH$1:$BS$23,ROWS(Data!$Q$3:AB245),COLUMNS(Data!$Q$3:AB245)),IF($Q$1=$P$6,INDEX(prem_analysis!$BU$1:$CF$67,ROWS(prem_analysis!$N$2:Y244),COLUMNS(prem_analysis!$N$2:Y244)),IF($Q$1=$P$4,INDEX(Table24[[#All],[Year]:[Details]],ROWS(prem_analysis!$M$420:X662),COLUMNS(Data!$Q$3:AB245)))))),"")</f>
        <v/>
      </c>
    </row>
    <row r="245" spans="1:29" x14ac:dyDescent="0.2">
      <c r="A245" s="5">
        <v>2012</v>
      </c>
      <c r="B245" s="5">
        <v>4</v>
      </c>
      <c r="C245" s="6" t="s">
        <v>12</v>
      </c>
      <c r="D245" s="5">
        <v>38</v>
      </c>
      <c r="E245" s="5">
        <v>21</v>
      </c>
      <c r="F245" s="5">
        <v>10</v>
      </c>
      <c r="G245" s="5">
        <v>7</v>
      </c>
      <c r="H245" s="5">
        <v>72</v>
      </c>
      <c r="I245" s="5">
        <v>37</v>
      </c>
      <c r="J245" s="5">
        <v>35</v>
      </c>
      <c r="K245" s="5">
        <v>73</v>
      </c>
      <c r="L245" s="5">
        <f>IF(Table24[[#This Row],['#]]=1,"Champion", IF(Table24[[#This Row],['#]]&gt;=18,"Relegated",Table24[[#This Row],['#]]))</f>
        <v>4</v>
      </c>
      <c r="M245" s="5" t="str">
        <f>IF(Table24[[#This Row],[Details]]=2,K244-Table24[[#This Row],[Pts]],IF(Table24[[#This Row],[Details]]=17,Table24[[#This Row],[Pts]]-K246,""))</f>
        <v/>
      </c>
      <c r="R245" s="1" t="str">
        <f>IFERROR(IF($Q$1=$P$3,INDEX(prem_analysis!$P$2:$Q$441,ROWS(Data!$P$2:Q245),COLUMNS(Data!$P$3:P246)),IF($Q$1=$P$5,INDEX(prem_analysis!$BH$1:$BS$23,ROWS(Data!$Q$3:Q246),COLUMNS(Data!$Q$3:Q246)),IF($Q$1=$P$6,INDEX(prem_analysis!$BU$1:$CF$67,ROWS(prem_analysis!$N$2:N245),COLUMNS(prem_analysis!$N$2:N245)),IF($Q$1=$P$4,INDEX(Table24[[#All],[Year]:[Details]],ROWS(prem_analysis!$M$420:M663),COLUMNS(Data!$Q$3:Q246)))))),"")</f>
        <v/>
      </c>
      <c r="S245" s="1" t="str">
        <f>IFERROR(IF($Q$1=$P$3,INDEX(prem_analysis!$P$2:$Q$441,ROWS(Data!$P$2:R245),COLUMNS(Data!$P$3:Q246)),IF($Q$1=$P$5,INDEX(prem_analysis!$BH$1:$BS$23,ROWS(Data!$Q$3:R246),COLUMNS(Data!$Q$3:R246)),IF($Q$1=$P$6,INDEX(prem_analysis!$BU$1:$CF$67,ROWS(prem_analysis!$N$2:O245),COLUMNS(prem_analysis!$N$2:O245)),IF($Q$1=$P$4,INDEX(Table24[[#All],[Year]:[Details]],ROWS(prem_analysis!$M$420:N663),COLUMNS(Data!$Q$3:R246)))))),"")</f>
        <v/>
      </c>
      <c r="T245" s="1" t="str">
        <f>IFERROR(IF($Q$1=$P$3,INDEX(prem_analysis!$P$2:$Q$441,ROWS(Data!$P$2:S245),COLUMNS(Data!$P$3:R246)),IF($Q$1=$P$5,INDEX(prem_analysis!$BH$1:$BS$23,ROWS(Data!$Q$3:S246),COLUMNS(Data!$Q$3:S246)),IF($Q$1=$P$6,INDEX(prem_analysis!$BU$1:$CF$67,ROWS(prem_analysis!$N$2:P245),COLUMNS(prem_analysis!$N$2:P245)),IF($Q$1=$P$4,INDEX(Table24[[#All],[Year]:[Details]],ROWS(prem_analysis!$M$420:O663),COLUMNS(Data!$Q$3:S246)))))),"")</f>
        <v/>
      </c>
      <c r="U245" s="1" t="str">
        <f>IFERROR(IF($Q$1=$P$3,INDEX(prem_analysis!$P$2:$Q$441,ROWS(Data!$P$2:T245),COLUMNS(Data!$P$3:S246)),IF($Q$1=$P$5,INDEX(prem_analysis!$BH$1:$BS$23,ROWS(Data!$Q$3:T246),COLUMNS(Data!$Q$3:T246)),IF($Q$1=$P$6,INDEX(prem_analysis!$BU$1:$CF$67,ROWS(prem_analysis!$N$2:Q245),COLUMNS(prem_analysis!$N$2:Q245)),IF($Q$1=$P$4,INDEX(Table24[[#All],[Year]:[Details]],ROWS(prem_analysis!$M$420:P663),COLUMNS(Data!$Q$3:T246)))))),"")</f>
        <v/>
      </c>
      <c r="V245" s="1" t="str">
        <f>IFERROR(IF($Q$1=$P$3,INDEX(prem_analysis!$P$2:$Q$441,ROWS(Data!$P$2:U245),COLUMNS(Data!$P$3:T246)),IF($Q$1=$P$5,INDEX(prem_analysis!$BH$1:$BS$23,ROWS(Data!$Q$3:U246),COLUMNS(Data!$Q$3:U246)),IF($Q$1=$P$6,INDEX(prem_analysis!$BU$1:$CF$67,ROWS(prem_analysis!$N$2:R245),COLUMNS(prem_analysis!$N$2:R245)),IF($Q$1=$P$4,INDEX(Table24[[#All],[Year]:[Details]],ROWS(prem_analysis!$M$420:Q663),COLUMNS(Data!$Q$3:U246)))))),"")</f>
        <v/>
      </c>
      <c r="W245" s="1" t="str">
        <f>IFERROR(IF($Q$1=$P$3,INDEX(prem_analysis!$P$2:$Q$441,ROWS(Data!$P$2:V245),COLUMNS(Data!$P$3:U246)),IF($Q$1=$P$5,INDEX(prem_analysis!$BH$1:$BS$23,ROWS(Data!$Q$3:V246),COLUMNS(Data!$Q$3:V246)),IF($Q$1=$P$6,INDEX(prem_analysis!$BU$1:$CF$67,ROWS(prem_analysis!$N$2:S245),COLUMNS(prem_analysis!$N$2:S245)),IF($Q$1=$P$4,INDEX(Table24[[#All],[Year]:[Details]],ROWS(prem_analysis!$M$420:R663),COLUMNS(Data!$Q$3:V246)))))),"")</f>
        <v/>
      </c>
      <c r="X245" s="1" t="str">
        <f>IFERROR(IF($Q$1=$P$3,INDEX(prem_analysis!$P$2:$Q$441,ROWS(Data!$P$2:W245),COLUMNS(Data!$P$3:V246)),IF($Q$1=$P$5,INDEX(prem_analysis!$BH$1:$BS$23,ROWS(Data!$Q$3:W246),COLUMNS(Data!$Q$3:W246)),IF($Q$1=$P$6,INDEX(prem_analysis!$BU$1:$CF$67,ROWS(prem_analysis!$N$2:T245),COLUMNS(prem_analysis!$N$2:T245)),IF($Q$1=$P$4,INDEX(Table24[[#All],[Year]:[Details]],ROWS(prem_analysis!$M$420:S663),COLUMNS(Data!$Q$3:W246)))))),"")</f>
        <v/>
      </c>
      <c r="Y245" s="1" t="str">
        <f>IFERROR(IF($Q$1=$P$3,INDEX(prem_analysis!$P$2:$Q$441,ROWS(Data!$P$2:X245),COLUMNS(Data!$P$3:W246)),IF($Q$1=$P$5,INDEX(prem_analysis!$BH$1:$BS$23,ROWS(Data!$Q$3:X246),COLUMNS(Data!$Q$3:X246)),IF($Q$1=$P$6,INDEX(prem_analysis!$BU$1:$CF$67,ROWS(prem_analysis!$N$2:U245),COLUMNS(prem_analysis!$N$2:U245)),IF($Q$1=$P$4,INDEX(Table24[[#All],[Year]:[Details]],ROWS(prem_analysis!$M$420:T663),COLUMNS(Data!$Q$3:X246)))))),"")</f>
        <v/>
      </c>
      <c r="Z245" s="1" t="str">
        <f>IFERROR(IF($Q$1=$P$3,INDEX(prem_analysis!$P$2:$Q$441,ROWS(Data!$P$2:Y245),COLUMNS(Data!$P$3:X246)),IF($Q$1=$P$5,INDEX(prem_analysis!$BH$1:$BS$23,ROWS(Data!$Q$3:Y246),COLUMNS(Data!$Q$3:Y246)),IF($Q$1=$P$6,INDEX(prem_analysis!$BU$1:$CF$67,ROWS(prem_analysis!$N$2:V245),COLUMNS(prem_analysis!$N$2:V245)),IF($Q$1=$P$4,INDEX(Table24[[#All],[Year]:[Details]],ROWS(prem_analysis!$M$420:U663),COLUMNS(Data!$Q$3:Y246)))))),"")</f>
        <v/>
      </c>
      <c r="AA245" s="1" t="str">
        <f>IFERROR(IF($Q$1=$P$3,INDEX(prem_analysis!$P$2:$Q$441,ROWS(Data!$P$2:Z245),COLUMNS(Data!$P$3:Y246)),IF($Q$1=$P$5,INDEX(prem_analysis!$BH$1:$BS$23,ROWS(Data!$Q$3:Z246),COLUMNS(Data!$Q$3:Z246)),IF($Q$1=$P$6,INDEX(prem_analysis!$BU$1:$CF$67,ROWS(prem_analysis!$N$2:W245),COLUMNS(prem_analysis!$N$2:W245)),IF($Q$1=$P$4,INDEX(Table24[[#All],[Year]:[Details]],ROWS(prem_analysis!$M$420:V663),COLUMNS(Data!$Q$3:Z246)))))),"")</f>
        <v/>
      </c>
      <c r="AB245" s="1" t="str">
        <f>IFERROR(IF($Q$1=$P$3,INDEX(prem_analysis!$P$2:$Q$441,ROWS(Data!$P$2:AA245),COLUMNS(Data!$P$3:Z246)),IF($Q$1=$P$5,INDEX(prem_analysis!$BH$1:$BS$23,ROWS(Data!$Q$3:AA246),COLUMNS(Data!$Q$3:AA246)),IF($Q$1=$P$6,INDEX(prem_analysis!$BU$1:$CF$67,ROWS(prem_analysis!$N$2:X245),COLUMNS(prem_analysis!$N$2:X245)),IF($Q$1=$P$4,INDEX(Table24[[#All],[Year]:[Details]],ROWS(prem_analysis!$M$420:W663),COLUMNS(Data!$Q$3:AA246)))))),"")</f>
        <v/>
      </c>
      <c r="AC245" s="1" t="str">
        <f>IFERROR(IF($Q$1=$P$3,INDEX(prem_analysis!$P$2:$Q$441,ROWS(Data!$P$2:AB245),COLUMNS(Data!$P$3:AA246)),IF($Q$1=$P$5,INDEX(prem_analysis!$BH$1:$BS$23,ROWS(Data!$Q$3:AB246),COLUMNS(Data!$Q$3:AB246)),IF($Q$1=$P$6,INDEX(prem_analysis!$BU$1:$CF$67,ROWS(prem_analysis!$N$2:Y245),COLUMNS(prem_analysis!$N$2:Y245)),IF($Q$1=$P$4,INDEX(Table24[[#All],[Year]:[Details]],ROWS(prem_analysis!$M$420:X663),COLUMNS(Data!$Q$3:AB246)))))),"")</f>
        <v/>
      </c>
    </row>
    <row r="246" spans="1:29" x14ac:dyDescent="0.2">
      <c r="A246" s="3">
        <v>2012</v>
      </c>
      <c r="B246" s="3">
        <v>5</v>
      </c>
      <c r="C246" s="4" t="s">
        <v>22</v>
      </c>
      <c r="D246" s="3">
        <v>38</v>
      </c>
      <c r="E246" s="3">
        <v>21</v>
      </c>
      <c r="F246" s="3">
        <v>9</v>
      </c>
      <c r="G246" s="3">
        <v>8</v>
      </c>
      <c r="H246" s="3">
        <v>66</v>
      </c>
      <c r="I246" s="3">
        <v>46</v>
      </c>
      <c r="J246" s="3">
        <v>20</v>
      </c>
      <c r="K246" s="3">
        <v>72</v>
      </c>
      <c r="L246" s="5">
        <f>IF(Table24[[#This Row],['#]]=1,"Champion", IF(Table24[[#This Row],['#]]&gt;=18,"Relegated",Table24[[#This Row],['#]]))</f>
        <v>5</v>
      </c>
      <c r="M246" s="5" t="str">
        <f>IF(Table24[[#This Row],[Details]]=2,K245-Table24[[#This Row],[Pts]],IF(Table24[[#This Row],[Details]]=17,Table24[[#This Row],[Pts]]-K247,""))</f>
        <v/>
      </c>
      <c r="R246" s="1" t="str">
        <f>IFERROR(IF($Q$1=$P$3,INDEX(prem_analysis!$P$2:$Q$441,ROWS(Data!$P$2:Q246),COLUMNS(Data!$P$3:P247)),IF($Q$1=$P$5,INDEX(prem_analysis!$BH$1:$BS$23,ROWS(Data!$Q$3:Q247),COLUMNS(Data!$Q$3:Q247)),IF($Q$1=$P$6,INDEX(prem_analysis!$BU$1:$CF$67,ROWS(prem_analysis!$N$2:N246),COLUMNS(prem_analysis!$N$2:N246)),IF($Q$1=$P$4,INDEX(Table24[[#All],[Year]:[Details]],ROWS(prem_analysis!$M$420:M664),COLUMNS(Data!$Q$3:Q247)))))),"")</f>
        <v/>
      </c>
      <c r="S246" s="1" t="str">
        <f>IFERROR(IF($Q$1=$P$3,INDEX(prem_analysis!$P$2:$Q$441,ROWS(Data!$P$2:R246),COLUMNS(Data!$P$3:Q247)),IF($Q$1=$P$5,INDEX(prem_analysis!$BH$1:$BS$23,ROWS(Data!$Q$3:R247),COLUMNS(Data!$Q$3:R247)),IF($Q$1=$P$6,INDEX(prem_analysis!$BU$1:$CF$67,ROWS(prem_analysis!$N$2:O246),COLUMNS(prem_analysis!$N$2:O246)),IF($Q$1=$P$4,INDEX(Table24[[#All],[Year]:[Details]],ROWS(prem_analysis!$M$420:N664),COLUMNS(Data!$Q$3:R247)))))),"")</f>
        <v/>
      </c>
      <c r="T246" s="1" t="str">
        <f>IFERROR(IF($Q$1=$P$3,INDEX(prem_analysis!$P$2:$Q$441,ROWS(Data!$P$2:S246),COLUMNS(Data!$P$3:R247)),IF($Q$1=$P$5,INDEX(prem_analysis!$BH$1:$BS$23,ROWS(Data!$Q$3:S247),COLUMNS(Data!$Q$3:S247)),IF($Q$1=$P$6,INDEX(prem_analysis!$BU$1:$CF$67,ROWS(prem_analysis!$N$2:P246),COLUMNS(prem_analysis!$N$2:P246)),IF($Q$1=$P$4,INDEX(Table24[[#All],[Year]:[Details]],ROWS(prem_analysis!$M$420:O664),COLUMNS(Data!$Q$3:S247)))))),"")</f>
        <v/>
      </c>
      <c r="U246" s="1" t="str">
        <f>IFERROR(IF($Q$1=$P$3,INDEX(prem_analysis!$P$2:$Q$441,ROWS(Data!$P$2:T246),COLUMNS(Data!$P$3:S247)),IF($Q$1=$P$5,INDEX(prem_analysis!$BH$1:$BS$23,ROWS(Data!$Q$3:T247),COLUMNS(Data!$Q$3:T247)),IF($Q$1=$P$6,INDEX(prem_analysis!$BU$1:$CF$67,ROWS(prem_analysis!$N$2:Q246),COLUMNS(prem_analysis!$N$2:Q246)),IF($Q$1=$P$4,INDEX(Table24[[#All],[Year]:[Details]],ROWS(prem_analysis!$M$420:P664),COLUMNS(Data!$Q$3:T247)))))),"")</f>
        <v/>
      </c>
      <c r="V246" s="1" t="str">
        <f>IFERROR(IF($Q$1=$P$3,INDEX(prem_analysis!$P$2:$Q$441,ROWS(Data!$P$2:U246),COLUMNS(Data!$P$3:T247)),IF($Q$1=$P$5,INDEX(prem_analysis!$BH$1:$BS$23,ROWS(Data!$Q$3:U247),COLUMNS(Data!$Q$3:U247)),IF($Q$1=$P$6,INDEX(prem_analysis!$BU$1:$CF$67,ROWS(prem_analysis!$N$2:R246),COLUMNS(prem_analysis!$N$2:R246)),IF($Q$1=$P$4,INDEX(Table24[[#All],[Year]:[Details]],ROWS(prem_analysis!$M$420:Q664),COLUMNS(Data!$Q$3:U247)))))),"")</f>
        <v/>
      </c>
      <c r="W246" s="1" t="str">
        <f>IFERROR(IF($Q$1=$P$3,INDEX(prem_analysis!$P$2:$Q$441,ROWS(Data!$P$2:V246),COLUMNS(Data!$P$3:U247)),IF($Q$1=$P$5,INDEX(prem_analysis!$BH$1:$BS$23,ROWS(Data!$Q$3:V247),COLUMNS(Data!$Q$3:V247)),IF($Q$1=$P$6,INDEX(prem_analysis!$BU$1:$CF$67,ROWS(prem_analysis!$N$2:S246),COLUMNS(prem_analysis!$N$2:S246)),IF($Q$1=$P$4,INDEX(Table24[[#All],[Year]:[Details]],ROWS(prem_analysis!$M$420:R664),COLUMNS(Data!$Q$3:V247)))))),"")</f>
        <v/>
      </c>
      <c r="X246" s="1" t="str">
        <f>IFERROR(IF($Q$1=$P$3,INDEX(prem_analysis!$P$2:$Q$441,ROWS(Data!$P$2:W246),COLUMNS(Data!$P$3:V247)),IF($Q$1=$P$5,INDEX(prem_analysis!$BH$1:$BS$23,ROWS(Data!$Q$3:W247),COLUMNS(Data!$Q$3:W247)),IF($Q$1=$P$6,INDEX(prem_analysis!$BU$1:$CF$67,ROWS(prem_analysis!$N$2:T246),COLUMNS(prem_analysis!$N$2:T246)),IF($Q$1=$P$4,INDEX(Table24[[#All],[Year]:[Details]],ROWS(prem_analysis!$M$420:S664),COLUMNS(Data!$Q$3:W247)))))),"")</f>
        <v/>
      </c>
      <c r="Y246" s="1" t="str">
        <f>IFERROR(IF($Q$1=$P$3,INDEX(prem_analysis!$P$2:$Q$441,ROWS(Data!$P$2:X246),COLUMNS(Data!$P$3:W247)),IF($Q$1=$P$5,INDEX(prem_analysis!$BH$1:$BS$23,ROWS(Data!$Q$3:X247),COLUMNS(Data!$Q$3:X247)),IF($Q$1=$P$6,INDEX(prem_analysis!$BU$1:$CF$67,ROWS(prem_analysis!$N$2:U246),COLUMNS(prem_analysis!$N$2:U246)),IF($Q$1=$P$4,INDEX(Table24[[#All],[Year]:[Details]],ROWS(prem_analysis!$M$420:T664),COLUMNS(Data!$Q$3:X247)))))),"")</f>
        <v/>
      </c>
      <c r="Z246" s="1" t="str">
        <f>IFERROR(IF($Q$1=$P$3,INDEX(prem_analysis!$P$2:$Q$441,ROWS(Data!$P$2:Y246),COLUMNS(Data!$P$3:X247)),IF($Q$1=$P$5,INDEX(prem_analysis!$BH$1:$BS$23,ROWS(Data!$Q$3:Y247),COLUMNS(Data!$Q$3:Y247)),IF($Q$1=$P$6,INDEX(prem_analysis!$BU$1:$CF$67,ROWS(prem_analysis!$N$2:V246),COLUMNS(prem_analysis!$N$2:V246)),IF($Q$1=$P$4,INDEX(Table24[[#All],[Year]:[Details]],ROWS(prem_analysis!$M$420:U664),COLUMNS(Data!$Q$3:Y247)))))),"")</f>
        <v/>
      </c>
      <c r="AA246" s="1" t="str">
        <f>IFERROR(IF($Q$1=$P$3,INDEX(prem_analysis!$P$2:$Q$441,ROWS(Data!$P$2:Z246),COLUMNS(Data!$P$3:Y247)),IF($Q$1=$P$5,INDEX(prem_analysis!$BH$1:$BS$23,ROWS(Data!$Q$3:Z247),COLUMNS(Data!$Q$3:Z247)),IF($Q$1=$P$6,INDEX(prem_analysis!$BU$1:$CF$67,ROWS(prem_analysis!$N$2:W246),COLUMNS(prem_analysis!$N$2:W246)),IF($Q$1=$P$4,INDEX(Table24[[#All],[Year]:[Details]],ROWS(prem_analysis!$M$420:V664),COLUMNS(Data!$Q$3:Z247)))))),"")</f>
        <v/>
      </c>
      <c r="AB246" s="1" t="str">
        <f>IFERROR(IF($Q$1=$P$3,INDEX(prem_analysis!$P$2:$Q$441,ROWS(Data!$P$2:AA246),COLUMNS(Data!$P$3:Z247)),IF($Q$1=$P$5,INDEX(prem_analysis!$BH$1:$BS$23,ROWS(Data!$Q$3:AA247),COLUMNS(Data!$Q$3:AA247)),IF($Q$1=$P$6,INDEX(prem_analysis!$BU$1:$CF$67,ROWS(prem_analysis!$N$2:X246),COLUMNS(prem_analysis!$N$2:X246)),IF($Q$1=$P$4,INDEX(Table24[[#All],[Year]:[Details]],ROWS(prem_analysis!$M$420:W664),COLUMNS(Data!$Q$3:AA247)))))),"")</f>
        <v/>
      </c>
      <c r="AC246" s="1" t="str">
        <f>IFERROR(IF($Q$1=$P$3,INDEX(prem_analysis!$P$2:$Q$441,ROWS(Data!$P$2:AB246),COLUMNS(Data!$P$3:AA247)),IF($Q$1=$P$5,INDEX(prem_analysis!$BH$1:$BS$23,ROWS(Data!$Q$3:AB247),COLUMNS(Data!$Q$3:AB247)),IF($Q$1=$P$6,INDEX(prem_analysis!$BU$1:$CF$67,ROWS(prem_analysis!$N$2:Y246),COLUMNS(prem_analysis!$N$2:Y246)),IF($Q$1=$P$4,INDEX(Table24[[#All],[Year]:[Details]],ROWS(prem_analysis!$M$420:X664),COLUMNS(Data!$Q$3:AB247)))))),"")</f>
        <v/>
      </c>
    </row>
    <row r="247" spans="1:29" x14ac:dyDescent="0.2">
      <c r="A247" s="5">
        <v>2012</v>
      </c>
      <c r="B247" s="5">
        <v>6</v>
      </c>
      <c r="C247" s="6" t="s">
        <v>26</v>
      </c>
      <c r="D247" s="5">
        <v>38</v>
      </c>
      <c r="E247" s="5">
        <v>16</v>
      </c>
      <c r="F247" s="5">
        <v>15</v>
      </c>
      <c r="G247" s="5">
        <v>7</v>
      </c>
      <c r="H247" s="5">
        <v>55</v>
      </c>
      <c r="I247" s="5">
        <v>40</v>
      </c>
      <c r="J247" s="5">
        <v>15</v>
      </c>
      <c r="K247" s="5">
        <v>63</v>
      </c>
      <c r="L247" s="5">
        <f>IF(Table24[[#This Row],['#]]=1,"Champion", IF(Table24[[#This Row],['#]]&gt;=18,"Relegated",Table24[[#This Row],['#]]))</f>
        <v>6</v>
      </c>
      <c r="M247" s="5" t="str">
        <f>IF(Table24[[#This Row],[Details]]=2,K246-Table24[[#This Row],[Pts]],IF(Table24[[#This Row],[Details]]=17,Table24[[#This Row],[Pts]]-K248,""))</f>
        <v/>
      </c>
      <c r="R247" s="1" t="str">
        <f>IFERROR(IF($Q$1=$P$3,INDEX(prem_analysis!$P$2:$Q$441,ROWS(Data!$P$2:Q247),COLUMNS(Data!$P$3:P248)),IF($Q$1=$P$5,INDEX(prem_analysis!$BH$1:$BS$23,ROWS(Data!$Q$3:Q248),COLUMNS(Data!$Q$3:Q248)),IF($Q$1=$P$6,INDEX(prem_analysis!$BU$1:$CF$67,ROWS(prem_analysis!$N$2:N247),COLUMNS(prem_analysis!$N$2:N247)),IF($Q$1=$P$4,INDEX(Table24[[#All],[Year]:[Details]],ROWS(prem_analysis!$M$420:M665),COLUMNS(Data!$Q$3:Q248)))))),"")</f>
        <v/>
      </c>
      <c r="S247" s="1" t="str">
        <f>IFERROR(IF($Q$1=$P$3,INDEX(prem_analysis!$P$2:$Q$441,ROWS(Data!$P$2:R247),COLUMNS(Data!$P$3:Q248)),IF($Q$1=$P$5,INDEX(prem_analysis!$BH$1:$BS$23,ROWS(Data!$Q$3:R248),COLUMNS(Data!$Q$3:R248)),IF($Q$1=$P$6,INDEX(prem_analysis!$BU$1:$CF$67,ROWS(prem_analysis!$N$2:O247),COLUMNS(prem_analysis!$N$2:O247)),IF($Q$1=$P$4,INDEX(Table24[[#All],[Year]:[Details]],ROWS(prem_analysis!$M$420:N665),COLUMNS(Data!$Q$3:R248)))))),"")</f>
        <v/>
      </c>
      <c r="T247" s="1" t="str">
        <f>IFERROR(IF($Q$1=$P$3,INDEX(prem_analysis!$P$2:$Q$441,ROWS(Data!$P$2:S247),COLUMNS(Data!$P$3:R248)),IF($Q$1=$P$5,INDEX(prem_analysis!$BH$1:$BS$23,ROWS(Data!$Q$3:S248),COLUMNS(Data!$Q$3:S248)),IF($Q$1=$P$6,INDEX(prem_analysis!$BU$1:$CF$67,ROWS(prem_analysis!$N$2:P247),COLUMNS(prem_analysis!$N$2:P247)),IF($Q$1=$P$4,INDEX(Table24[[#All],[Year]:[Details]],ROWS(prem_analysis!$M$420:O665),COLUMNS(Data!$Q$3:S248)))))),"")</f>
        <v/>
      </c>
      <c r="U247" s="1" t="str">
        <f>IFERROR(IF($Q$1=$P$3,INDEX(prem_analysis!$P$2:$Q$441,ROWS(Data!$P$2:T247),COLUMNS(Data!$P$3:S248)),IF($Q$1=$P$5,INDEX(prem_analysis!$BH$1:$BS$23,ROWS(Data!$Q$3:T248),COLUMNS(Data!$Q$3:T248)),IF($Q$1=$P$6,INDEX(prem_analysis!$BU$1:$CF$67,ROWS(prem_analysis!$N$2:Q247),COLUMNS(prem_analysis!$N$2:Q247)),IF($Q$1=$P$4,INDEX(Table24[[#All],[Year]:[Details]],ROWS(prem_analysis!$M$420:P665),COLUMNS(Data!$Q$3:T248)))))),"")</f>
        <v/>
      </c>
      <c r="V247" s="1" t="str">
        <f>IFERROR(IF($Q$1=$P$3,INDEX(prem_analysis!$P$2:$Q$441,ROWS(Data!$P$2:U247),COLUMNS(Data!$P$3:T248)),IF($Q$1=$P$5,INDEX(prem_analysis!$BH$1:$BS$23,ROWS(Data!$Q$3:U248),COLUMNS(Data!$Q$3:U248)),IF($Q$1=$P$6,INDEX(prem_analysis!$BU$1:$CF$67,ROWS(prem_analysis!$N$2:R247),COLUMNS(prem_analysis!$N$2:R247)),IF($Q$1=$P$4,INDEX(Table24[[#All],[Year]:[Details]],ROWS(prem_analysis!$M$420:Q665),COLUMNS(Data!$Q$3:U248)))))),"")</f>
        <v/>
      </c>
      <c r="W247" s="1" t="str">
        <f>IFERROR(IF($Q$1=$P$3,INDEX(prem_analysis!$P$2:$Q$441,ROWS(Data!$P$2:V247),COLUMNS(Data!$P$3:U248)),IF($Q$1=$P$5,INDEX(prem_analysis!$BH$1:$BS$23,ROWS(Data!$Q$3:V248),COLUMNS(Data!$Q$3:V248)),IF($Q$1=$P$6,INDEX(prem_analysis!$BU$1:$CF$67,ROWS(prem_analysis!$N$2:S247),COLUMNS(prem_analysis!$N$2:S247)),IF($Q$1=$P$4,INDEX(Table24[[#All],[Year]:[Details]],ROWS(prem_analysis!$M$420:R665),COLUMNS(Data!$Q$3:V248)))))),"")</f>
        <v/>
      </c>
      <c r="X247" s="1" t="str">
        <f>IFERROR(IF($Q$1=$P$3,INDEX(prem_analysis!$P$2:$Q$441,ROWS(Data!$P$2:W247),COLUMNS(Data!$P$3:V248)),IF($Q$1=$P$5,INDEX(prem_analysis!$BH$1:$BS$23,ROWS(Data!$Q$3:W248),COLUMNS(Data!$Q$3:W248)),IF($Q$1=$P$6,INDEX(prem_analysis!$BU$1:$CF$67,ROWS(prem_analysis!$N$2:T247),COLUMNS(prem_analysis!$N$2:T247)),IF($Q$1=$P$4,INDEX(Table24[[#All],[Year]:[Details]],ROWS(prem_analysis!$M$420:S665),COLUMNS(Data!$Q$3:W248)))))),"")</f>
        <v/>
      </c>
      <c r="Y247" s="1" t="str">
        <f>IFERROR(IF($Q$1=$P$3,INDEX(prem_analysis!$P$2:$Q$441,ROWS(Data!$P$2:X247),COLUMNS(Data!$P$3:W248)),IF($Q$1=$P$5,INDEX(prem_analysis!$BH$1:$BS$23,ROWS(Data!$Q$3:X248),COLUMNS(Data!$Q$3:X248)),IF($Q$1=$P$6,INDEX(prem_analysis!$BU$1:$CF$67,ROWS(prem_analysis!$N$2:U247),COLUMNS(prem_analysis!$N$2:U247)),IF($Q$1=$P$4,INDEX(Table24[[#All],[Year]:[Details]],ROWS(prem_analysis!$M$420:T665),COLUMNS(Data!$Q$3:X248)))))),"")</f>
        <v/>
      </c>
      <c r="Z247" s="1" t="str">
        <f>IFERROR(IF($Q$1=$P$3,INDEX(prem_analysis!$P$2:$Q$441,ROWS(Data!$P$2:Y247),COLUMNS(Data!$P$3:X248)),IF($Q$1=$P$5,INDEX(prem_analysis!$BH$1:$BS$23,ROWS(Data!$Q$3:Y248),COLUMNS(Data!$Q$3:Y248)),IF($Q$1=$P$6,INDEX(prem_analysis!$BU$1:$CF$67,ROWS(prem_analysis!$N$2:V247),COLUMNS(prem_analysis!$N$2:V247)),IF($Q$1=$P$4,INDEX(Table24[[#All],[Year]:[Details]],ROWS(prem_analysis!$M$420:U665),COLUMNS(Data!$Q$3:Y248)))))),"")</f>
        <v/>
      </c>
      <c r="AA247" s="1" t="str">
        <f>IFERROR(IF($Q$1=$P$3,INDEX(prem_analysis!$P$2:$Q$441,ROWS(Data!$P$2:Z247),COLUMNS(Data!$P$3:Y248)),IF($Q$1=$P$5,INDEX(prem_analysis!$BH$1:$BS$23,ROWS(Data!$Q$3:Z248),COLUMNS(Data!$Q$3:Z248)),IF($Q$1=$P$6,INDEX(prem_analysis!$BU$1:$CF$67,ROWS(prem_analysis!$N$2:W247),COLUMNS(prem_analysis!$N$2:W247)),IF($Q$1=$P$4,INDEX(Table24[[#All],[Year]:[Details]],ROWS(prem_analysis!$M$420:V665),COLUMNS(Data!$Q$3:Z248)))))),"")</f>
        <v/>
      </c>
      <c r="AB247" s="1" t="str">
        <f>IFERROR(IF($Q$1=$P$3,INDEX(prem_analysis!$P$2:$Q$441,ROWS(Data!$P$2:AA247),COLUMNS(Data!$P$3:Z248)),IF($Q$1=$P$5,INDEX(prem_analysis!$BH$1:$BS$23,ROWS(Data!$Q$3:AA248),COLUMNS(Data!$Q$3:AA248)),IF($Q$1=$P$6,INDEX(prem_analysis!$BU$1:$CF$67,ROWS(prem_analysis!$N$2:X247),COLUMNS(prem_analysis!$N$2:X247)),IF($Q$1=$P$4,INDEX(Table24[[#All],[Year]:[Details]],ROWS(prem_analysis!$M$420:W665),COLUMNS(Data!$Q$3:AA248)))))),"")</f>
        <v/>
      </c>
      <c r="AC247" s="1" t="str">
        <f>IFERROR(IF($Q$1=$P$3,INDEX(prem_analysis!$P$2:$Q$441,ROWS(Data!$P$2:AB247),COLUMNS(Data!$P$3:AA248)),IF($Q$1=$P$5,INDEX(prem_analysis!$BH$1:$BS$23,ROWS(Data!$Q$3:AB248),COLUMNS(Data!$Q$3:AB248)),IF($Q$1=$P$6,INDEX(prem_analysis!$BU$1:$CF$67,ROWS(prem_analysis!$N$2:Y247),COLUMNS(prem_analysis!$N$2:Y247)),IF($Q$1=$P$4,INDEX(Table24[[#All],[Year]:[Details]],ROWS(prem_analysis!$M$420:X665),COLUMNS(Data!$Q$3:AB248)))))),"")</f>
        <v/>
      </c>
    </row>
    <row r="248" spans="1:29" x14ac:dyDescent="0.2">
      <c r="A248" s="3">
        <v>2012</v>
      </c>
      <c r="B248" s="3">
        <v>7</v>
      </c>
      <c r="C248" s="4" t="s">
        <v>13</v>
      </c>
      <c r="D248" s="3">
        <v>38</v>
      </c>
      <c r="E248" s="3">
        <v>16</v>
      </c>
      <c r="F248" s="3">
        <v>13</v>
      </c>
      <c r="G248" s="3">
        <v>9</v>
      </c>
      <c r="H248" s="3">
        <v>71</v>
      </c>
      <c r="I248" s="3">
        <v>43</v>
      </c>
      <c r="J248" s="3">
        <v>28</v>
      </c>
      <c r="K248" s="3">
        <v>61</v>
      </c>
      <c r="L248" s="5">
        <f>IF(Table24[[#This Row],['#]]=1,"Champion", IF(Table24[[#This Row],['#]]&gt;=18,"Relegated",Table24[[#This Row],['#]]))</f>
        <v>7</v>
      </c>
      <c r="M248" s="5" t="str">
        <f>IF(Table24[[#This Row],[Details]]=2,K247-Table24[[#This Row],[Pts]],IF(Table24[[#This Row],[Details]]=17,Table24[[#This Row],[Pts]]-K249,""))</f>
        <v/>
      </c>
      <c r="R248" s="1" t="str">
        <f>IFERROR(IF($Q$1=$P$3,INDEX(prem_analysis!$P$2:$Q$441,ROWS(Data!$P$2:Q248),COLUMNS(Data!$P$3:P249)),IF($Q$1=$P$5,INDEX(prem_analysis!$BH$1:$BS$23,ROWS(Data!$Q$3:Q249),COLUMNS(Data!$Q$3:Q249)),IF($Q$1=$P$6,INDEX(prem_analysis!$BU$1:$CF$67,ROWS(prem_analysis!$N$2:N248),COLUMNS(prem_analysis!$N$2:N248)),IF($Q$1=$P$4,INDEX(Table24[[#All],[Year]:[Details]],ROWS(prem_analysis!$M$420:M666),COLUMNS(Data!$Q$3:Q249)))))),"")</f>
        <v/>
      </c>
      <c r="S248" s="1" t="str">
        <f>IFERROR(IF($Q$1=$P$3,INDEX(prem_analysis!$P$2:$Q$441,ROWS(Data!$P$2:R248),COLUMNS(Data!$P$3:Q249)),IF($Q$1=$P$5,INDEX(prem_analysis!$BH$1:$BS$23,ROWS(Data!$Q$3:R249),COLUMNS(Data!$Q$3:R249)),IF($Q$1=$P$6,INDEX(prem_analysis!$BU$1:$CF$67,ROWS(prem_analysis!$N$2:O248),COLUMNS(prem_analysis!$N$2:O248)),IF($Q$1=$P$4,INDEX(Table24[[#All],[Year]:[Details]],ROWS(prem_analysis!$M$420:N666),COLUMNS(Data!$Q$3:R249)))))),"")</f>
        <v/>
      </c>
      <c r="T248" s="1" t="str">
        <f>IFERROR(IF($Q$1=$P$3,INDEX(prem_analysis!$P$2:$Q$441,ROWS(Data!$P$2:S248),COLUMNS(Data!$P$3:R249)),IF($Q$1=$P$5,INDEX(prem_analysis!$BH$1:$BS$23,ROWS(Data!$Q$3:S249),COLUMNS(Data!$Q$3:S249)),IF($Q$1=$P$6,INDEX(prem_analysis!$BU$1:$CF$67,ROWS(prem_analysis!$N$2:P248),COLUMNS(prem_analysis!$N$2:P248)),IF($Q$1=$P$4,INDEX(Table24[[#All],[Year]:[Details]],ROWS(prem_analysis!$M$420:O666),COLUMNS(Data!$Q$3:S249)))))),"")</f>
        <v/>
      </c>
      <c r="U248" s="1" t="str">
        <f>IFERROR(IF($Q$1=$P$3,INDEX(prem_analysis!$P$2:$Q$441,ROWS(Data!$P$2:T248),COLUMNS(Data!$P$3:S249)),IF($Q$1=$P$5,INDEX(prem_analysis!$BH$1:$BS$23,ROWS(Data!$Q$3:T249),COLUMNS(Data!$Q$3:T249)),IF($Q$1=$P$6,INDEX(prem_analysis!$BU$1:$CF$67,ROWS(prem_analysis!$N$2:Q248),COLUMNS(prem_analysis!$N$2:Q248)),IF($Q$1=$P$4,INDEX(Table24[[#All],[Year]:[Details]],ROWS(prem_analysis!$M$420:P666),COLUMNS(Data!$Q$3:T249)))))),"")</f>
        <v/>
      </c>
      <c r="V248" s="1" t="str">
        <f>IFERROR(IF($Q$1=$P$3,INDEX(prem_analysis!$P$2:$Q$441,ROWS(Data!$P$2:U248),COLUMNS(Data!$P$3:T249)),IF($Q$1=$P$5,INDEX(prem_analysis!$BH$1:$BS$23,ROWS(Data!$Q$3:U249),COLUMNS(Data!$Q$3:U249)),IF($Q$1=$P$6,INDEX(prem_analysis!$BU$1:$CF$67,ROWS(prem_analysis!$N$2:R248),COLUMNS(prem_analysis!$N$2:R248)),IF($Q$1=$P$4,INDEX(Table24[[#All],[Year]:[Details]],ROWS(prem_analysis!$M$420:Q666),COLUMNS(Data!$Q$3:U249)))))),"")</f>
        <v/>
      </c>
      <c r="W248" s="1" t="str">
        <f>IFERROR(IF($Q$1=$P$3,INDEX(prem_analysis!$P$2:$Q$441,ROWS(Data!$P$2:V248),COLUMNS(Data!$P$3:U249)),IF($Q$1=$P$5,INDEX(prem_analysis!$BH$1:$BS$23,ROWS(Data!$Q$3:V249),COLUMNS(Data!$Q$3:V249)),IF($Q$1=$P$6,INDEX(prem_analysis!$BU$1:$CF$67,ROWS(prem_analysis!$N$2:S248),COLUMNS(prem_analysis!$N$2:S248)),IF($Q$1=$P$4,INDEX(Table24[[#All],[Year]:[Details]],ROWS(prem_analysis!$M$420:R666),COLUMNS(Data!$Q$3:V249)))))),"")</f>
        <v/>
      </c>
      <c r="X248" s="1" t="str">
        <f>IFERROR(IF($Q$1=$P$3,INDEX(prem_analysis!$P$2:$Q$441,ROWS(Data!$P$2:W248),COLUMNS(Data!$P$3:V249)),IF($Q$1=$P$5,INDEX(prem_analysis!$BH$1:$BS$23,ROWS(Data!$Q$3:W249),COLUMNS(Data!$Q$3:W249)),IF($Q$1=$P$6,INDEX(prem_analysis!$BU$1:$CF$67,ROWS(prem_analysis!$N$2:T248),COLUMNS(prem_analysis!$N$2:T248)),IF($Q$1=$P$4,INDEX(Table24[[#All],[Year]:[Details]],ROWS(prem_analysis!$M$420:S666),COLUMNS(Data!$Q$3:W249)))))),"")</f>
        <v/>
      </c>
      <c r="Y248" s="1" t="str">
        <f>IFERROR(IF($Q$1=$P$3,INDEX(prem_analysis!$P$2:$Q$441,ROWS(Data!$P$2:X248),COLUMNS(Data!$P$3:W249)),IF($Q$1=$P$5,INDEX(prem_analysis!$BH$1:$BS$23,ROWS(Data!$Q$3:X249),COLUMNS(Data!$Q$3:X249)),IF($Q$1=$P$6,INDEX(prem_analysis!$BU$1:$CF$67,ROWS(prem_analysis!$N$2:U248),COLUMNS(prem_analysis!$N$2:U248)),IF($Q$1=$P$4,INDEX(Table24[[#All],[Year]:[Details]],ROWS(prem_analysis!$M$420:T666),COLUMNS(Data!$Q$3:X249)))))),"")</f>
        <v/>
      </c>
      <c r="Z248" s="1" t="str">
        <f>IFERROR(IF($Q$1=$P$3,INDEX(prem_analysis!$P$2:$Q$441,ROWS(Data!$P$2:Y248),COLUMNS(Data!$P$3:X249)),IF($Q$1=$P$5,INDEX(prem_analysis!$BH$1:$BS$23,ROWS(Data!$Q$3:Y249),COLUMNS(Data!$Q$3:Y249)),IF($Q$1=$P$6,INDEX(prem_analysis!$BU$1:$CF$67,ROWS(prem_analysis!$N$2:V248),COLUMNS(prem_analysis!$N$2:V248)),IF($Q$1=$P$4,INDEX(Table24[[#All],[Year]:[Details]],ROWS(prem_analysis!$M$420:U666),COLUMNS(Data!$Q$3:Y249)))))),"")</f>
        <v/>
      </c>
      <c r="AA248" s="1" t="str">
        <f>IFERROR(IF($Q$1=$P$3,INDEX(prem_analysis!$P$2:$Q$441,ROWS(Data!$P$2:Z248),COLUMNS(Data!$P$3:Y249)),IF($Q$1=$P$5,INDEX(prem_analysis!$BH$1:$BS$23,ROWS(Data!$Q$3:Z249),COLUMNS(Data!$Q$3:Z249)),IF($Q$1=$P$6,INDEX(prem_analysis!$BU$1:$CF$67,ROWS(prem_analysis!$N$2:W248),COLUMNS(prem_analysis!$N$2:W248)),IF($Q$1=$P$4,INDEX(Table24[[#All],[Year]:[Details]],ROWS(prem_analysis!$M$420:V666),COLUMNS(Data!$Q$3:Z249)))))),"")</f>
        <v/>
      </c>
      <c r="AB248" s="1" t="str">
        <f>IFERROR(IF($Q$1=$P$3,INDEX(prem_analysis!$P$2:$Q$441,ROWS(Data!$P$2:AA248),COLUMNS(Data!$P$3:Z249)),IF($Q$1=$P$5,INDEX(prem_analysis!$BH$1:$BS$23,ROWS(Data!$Q$3:AA249),COLUMNS(Data!$Q$3:AA249)),IF($Q$1=$P$6,INDEX(prem_analysis!$BU$1:$CF$67,ROWS(prem_analysis!$N$2:X248),COLUMNS(prem_analysis!$N$2:X248)),IF($Q$1=$P$4,INDEX(Table24[[#All],[Year]:[Details]],ROWS(prem_analysis!$M$420:W666),COLUMNS(Data!$Q$3:AA249)))))),"")</f>
        <v/>
      </c>
      <c r="AC248" s="1" t="str">
        <f>IFERROR(IF($Q$1=$P$3,INDEX(prem_analysis!$P$2:$Q$441,ROWS(Data!$P$2:AB248),COLUMNS(Data!$P$3:AA249)),IF($Q$1=$P$5,INDEX(prem_analysis!$BH$1:$BS$23,ROWS(Data!$Q$3:AB249),COLUMNS(Data!$Q$3:AB249)),IF($Q$1=$P$6,INDEX(prem_analysis!$BU$1:$CF$67,ROWS(prem_analysis!$N$2:Y248),COLUMNS(prem_analysis!$N$2:Y248)),IF($Q$1=$P$4,INDEX(Table24[[#All],[Year]:[Details]],ROWS(prem_analysis!$M$420:X666),COLUMNS(Data!$Q$3:AB249)))))),"")</f>
        <v/>
      </c>
    </row>
    <row r="249" spans="1:29" x14ac:dyDescent="0.2">
      <c r="A249" s="5">
        <v>2012</v>
      </c>
      <c r="B249" s="5">
        <v>8</v>
      </c>
      <c r="C249" s="6" t="s">
        <v>35</v>
      </c>
      <c r="D249" s="5">
        <v>38</v>
      </c>
      <c r="E249" s="5">
        <v>14</v>
      </c>
      <c r="F249" s="5">
        <v>7</v>
      </c>
      <c r="G249" s="5">
        <v>17</v>
      </c>
      <c r="H249" s="5">
        <v>53</v>
      </c>
      <c r="I249" s="5">
        <v>57</v>
      </c>
      <c r="J249" s="5">
        <v>-4</v>
      </c>
      <c r="K249" s="5">
        <v>49</v>
      </c>
      <c r="L249" s="5">
        <f>IF(Table24[[#This Row],['#]]=1,"Champion", IF(Table24[[#This Row],['#]]&gt;=18,"Relegated",Table24[[#This Row],['#]]))</f>
        <v>8</v>
      </c>
      <c r="M249" s="5" t="str">
        <f>IF(Table24[[#This Row],[Details]]=2,K248-Table24[[#This Row],[Pts]],IF(Table24[[#This Row],[Details]]=17,Table24[[#This Row],[Pts]]-K250,""))</f>
        <v/>
      </c>
      <c r="R249" s="1" t="str">
        <f>IFERROR(IF($Q$1=$P$3,INDEX(prem_analysis!$P$2:$Q$441,ROWS(Data!$P$2:Q249),COLUMNS(Data!$P$3:P250)),IF($Q$1=$P$5,INDEX(prem_analysis!$BH$1:$BS$23,ROWS(Data!$Q$3:Q250),COLUMNS(Data!$Q$3:Q250)),IF($Q$1=$P$6,INDEX(prem_analysis!$BU$1:$CF$67,ROWS(prem_analysis!$N$2:N249),COLUMNS(prem_analysis!$N$2:N249)),IF($Q$1=$P$4,INDEX(Table24[[#All],[Year]:[Details]],ROWS(prem_analysis!$M$420:M667),COLUMNS(Data!$Q$3:Q250)))))),"")</f>
        <v/>
      </c>
      <c r="S249" s="1" t="str">
        <f>IFERROR(IF($Q$1=$P$3,INDEX(prem_analysis!$P$2:$Q$441,ROWS(Data!$P$2:R249),COLUMNS(Data!$P$3:Q250)),IF($Q$1=$P$5,INDEX(prem_analysis!$BH$1:$BS$23,ROWS(Data!$Q$3:R250),COLUMNS(Data!$Q$3:R250)),IF($Q$1=$P$6,INDEX(prem_analysis!$BU$1:$CF$67,ROWS(prem_analysis!$N$2:O249),COLUMNS(prem_analysis!$N$2:O249)),IF($Q$1=$P$4,INDEX(Table24[[#All],[Year]:[Details]],ROWS(prem_analysis!$M$420:N667),COLUMNS(Data!$Q$3:R250)))))),"")</f>
        <v/>
      </c>
      <c r="T249" s="1" t="str">
        <f>IFERROR(IF($Q$1=$P$3,INDEX(prem_analysis!$P$2:$Q$441,ROWS(Data!$P$2:S249),COLUMNS(Data!$P$3:R250)),IF($Q$1=$P$5,INDEX(prem_analysis!$BH$1:$BS$23,ROWS(Data!$Q$3:S250),COLUMNS(Data!$Q$3:S250)),IF($Q$1=$P$6,INDEX(prem_analysis!$BU$1:$CF$67,ROWS(prem_analysis!$N$2:P249),COLUMNS(prem_analysis!$N$2:P249)),IF($Q$1=$P$4,INDEX(Table24[[#All],[Year]:[Details]],ROWS(prem_analysis!$M$420:O667),COLUMNS(Data!$Q$3:S250)))))),"")</f>
        <v/>
      </c>
      <c r="U249" s="1" t="str">
        <f>IFERROR(IF($Q$1=$P$3,INDEX(prem_analysis!$P$2:$Q$441,ROWS(Data!$P$2:T249),COLUMNS(Data!$P$3:S250)),IF($Q$1=$P$5,INDEX(prem_analysis!$BH$1:$BS$23,ROWS(Data!$Q$3:T250),COLUMNS(Data!$Q$3:T250)),IF($Q$1=$P$6,INDEX(prem_analysis!$BU$1:$CF$67,ROWS(prem_analysis!$N$2:Q249),COLUMNS(prem_analysis!$N$2:Q249)),IF($Q$1=$P$4,INDEX(Table24[[#All],[Year]:[Details]],ROWS(prem_analysis!$M$420:P667),COLUMNS(Data!$Q$3:T250)))))),"")</f>
        <v/>
      </c>
      <c r="V249" s="1" t="str">
        <f>IFERROR(IF($Q$1=$P$3,INDEX(prem_analysis!$P$2:$Q$441,ROWS(Data!$P$2:U249),COLUMNS(Data!$P$3:T250)),IF($Q$1=$P$5,INDEX(prem_analysis!$BH$1:$BS$23,ROWS(Data!$Q$3:U250),COLUMNS(Data!$Q$3:U250)),IF($Q$1=$P$6,INDEX(prem_analysis!$BU$1:$CF$67,ROWS(prem_analysis!$N$2:R249),COLUMNS(prem_analysis!$N$2:R249)),IF($Q$1=$P$4,INDEX(Table24[[#All],[Year]:[Details]],ROWS(prem_analysis!$M$420:Q667),COLUMNS(Data!$Q$3:U250)))))),"")</f>
        <v/>
      </c>
      <c r="W249" s="1" t="str">
        <f>IFERROR(IF($Q$1=$P$3,INDEX(prem_analysis!$P$2:$Q$441,ROWS(Data!$P$2:V249),COLUMNS(Data!$P$3:U250)),IF($Q$1=$P$5,INDEX(prem_analysis!$BH$1:$BS$23,ROWS(Data!$Q$3:V250),COLUMNS(Data!$Q$3:V250)),IF($Q$1=$P$6,INDEX(prem_analysis!$BU$1:$CF$67,ROWS(prem_analysis!$N$2:S249),COLUMNS(prem_analysis!$N$2:S249)),IF($Q$1=$P$4,INDEX(Table24[[#All],[Year]:[Details]],ROWS(prem_analysis!$M$420:R667),COLUMNS(Data!$Q$3:V250)))))),"")</f>
        <v/>
      </c>
      <c r="X249" s="1" t="str">
        <f>IFERROR(IF($Q$1=$P$3,INDEX(prem_analysis!$P$2:$Q$441,ROWS(Data!$P$2:W249),COLUMNS(Data!$P$3:V250)),IF($Q$1=$P$5,INDEX(prem_analysis!$BH$1:$BS$23,ROWS(Data!$Q$3:W250),COLUMNS(Data!$Q$3:W250)),IF($Q$1=$P$6,INDEX(prem_analysis!$BU$1:$CF$67,ROWS(prem_analysis!$N$2:T249),COLUMNS(prem_analysis!$N$2:T249)),IF($Q$1=$P$4,INDEX(Table24[[#All],[Year]:[Details]],ROWS(prem_analysis!$M$420:S667),COLUMNS(Data!$Q$3:W250)))))),"")</f>
        <v/>
      </c>
      <c r="Y249" s="1" t="str">
        <f>IFERROR(IF($Q$1=$P$3,INDEX(prem_analysis!$P$2:$Q$441,ROWS(Data!$P$2:X249),COLUMNS(Data!$P$3:W250)),IF($Q$1=$P$5,INDEX(prem_analysis!$BH$1:$BS$23,ROWS(Data!$Q$3:X250),COLUMNS(Data!$Q$3:X250)),IF($Q$1=$P$6,INDEX(prem_analysis!$BU$1:$CF$67,ROWS(prem_analysis!$N$2:U249),COLUMNS(prem_analysis!$N$2:U249)),IF($Q$1=$P$4,INDEX(Table24[[#All],[Year]:[Details]],ROWS(prem_analysis!$M$420:T667),COLUMNS(Data!$Q$3:X250)))))),"")</f>
        <v/>
      </c>
      <c r="Z249" s="1" t="str">
        <f>IFERROR(IF($Q$1=$P$3,INDEX(prem_analysis!$P$2:$Q$441,ROWS(Data!$P$2:Y249),COLUMNS(Data!$P$3:X250)),IF($Q$1=$P$5,INDEX(prem_analysis!$BH$1:$BS$23,ROWS(Data!$Q$3:Y250),COLUMNS(Data!$Q$3:Y250)),IF($Q$1=$P$6,INDEX(prem_analysis!$BU$1:$CF$67,ROWS(prem_analysis!$N$2:V249),COLUMNS(prem_analysis!$N$2:V249)),IF($Q$1=$P$4,INDEX(Table24[[#All],[Year]:[Details]],ROWS(prem_analysis!$M$420:U667),COLUMNS(Data!$Q$3:Y250)))))),"")</f>
        <v/>
      </c>
      <c r="AA249" s="1" t="str">
        <f>IFERROR(IF($Q$1=$P$3,INDEX(prem_analysis!$P$2:$Q$441,ROWS(Data!$P$2:Z249),COLUMNS(Data!$P$3:Y250)),IF($Q$1=$P$5,INDEX(prem_analysis!$BH$1:$BS$23,ROWS(Data!$Q$3:Z250),COLUMNS(Data!$Q$3:Z250)),IF($Q$1=$P$6,INDEX(prem_analysis!$BU$1:$CF$67,ROWS(prem_analysis!$N$2:W249),COLUMNS(prem_analysis!$N$2:W249)),IF($Q$1=$P$4,INDEX(Table24[[#All],[Year]:[Details]],ROWS(prem_analysis!$M$420:V667),COLUMNS(Data!$Q$3:Z250)))))),"")</f>
        <v/>
      </c>
      <c r="AB249" s="1" t="str">
        <f>IFERROR(IF($Q$1=$P$3,INDEX(prem_analysis!$P$2:$Q$441,ROWS(Data!$P$2:AA249),COLUMNS(Data!$P$3:Z250)),IF($Q$1=$P$5,INDEX(prem_analysis!$BH$1:$BS$23,ROWS(Data!$Q$3:AA250),COLUMNS(Data!$Q$3:AA250)),IF($Q$1=$P$6,INDEX(prem_analysis!$BU$1:$CF$67,ROWS(prem_analysis!$N$2:X249),COLUMNS(prem_analysis!$N$2:X249)),IF($Q$1=$P$4,INDEX(Table24[[#All],[Year]:[Details]],ROWS(prem_analysis!$M$420:W667),COLUMNS(Data!$Q$3:AA250)))))),"")</f>
        <v/>
      </c>
      <c r="AC249" s="1" t="str">
        <f>IFERROR(IF($Q$1=$P$3,INDEX(prem_analysis!$P$2:$Q$441,ROWS(Data!$P$2:AB249),COLUMNS(Data!$P$3:AA250)),IF($Q$1=$P$5,INDEX(prem_analysis!$BH$1:$BS$23,ROWS(Data!$Q$3:AB250),COLUMNS(Data!$Q$3:AB250)),IF($Q$1=$P$6,INDEX(prem_analysis!$BU$1:$CF$67,ROWS(prem_analysis!$N$2:Y249),COLUMNS(prem_analysis!$N$2:Y249)),IF($Q$1=$P$4,INDEX(Table24[[#All],[Year]:[Details]],ROWS(prem_analysis!$M$420:X667),COLUMNS(Data!$Q$3:AB250)))))),"")</f>
        <v/>
      </c>
    </row>
    <row r="250" spans="1:29" x14ac:dyDescent="0.2">
      <c r="A250" s="3">
        <v>2012</v>
      </c>
      <c r="B250" s="3">
        <v>9</v>
      </c>
      <c r="C250" s="4" t="s">
        <v>48</v>
      </c>
      <c r="D250" s="3">
        <v>38</v>
      </c>
      <c r="E250" s="3">
        <v>11</v>
      </c>
      <c r="F250" s="3">
        <v>13</v>
      </c>
      <c r="G250" s="3">
        <v>14</v>
      </c>
      <c r="H250" s="3">
        <v>47</v>
      </c>
      <c r="I250" s="3">
        <v>51</v>
      </c>
      <c r="J250" s="3">
        <v>-4</v>
      </c>
      <c r="K250" s="3">
        <v>46</v>
      </c>
      <c r="L250" s="5">
        <f>IF(Table24[[#This Row],['#]]=1,"Champion", IF(Table24[[#This Row],['#]]&gt;=18,"Relegated",Table24[[#This Row],['#]]))</f>
        <v>9</v>
      </c>
      <c r="M250" s="5" t="str">
        <f>IF(Table24[[#This Row],[Details]]=2,K249-Table24[[#This Row],[Pts]],IF(Table24[[#This Row],[Details]]=17,Table24[[#This Row],[Pts]]-K251,""))</f>
        <v/>
      </c>
      <c r="R250" s="1" t="str">
        <f>IFERROR(IF($Q$1=$P$3,INDEX(prem_analysis!$P$2:$Q$441,ROWS(Data!$P$2:Q250),COLUMNS(Data!$P$3:P251)),IF($Q$1=$P$5,INDEX(prem_analysis!$BH$1:$BS$23,ROWS(Data!$Q$3:Q251),COLUMNS(Data!$Q$3:Q251)),IF($Q$1=$P$6,INDEX(prem_analysis!$BU$1:$CF$67,ROWS(prem_analysis!$N$2:N250),COLUMNS(prem_analysis!$N$2:N250)),IF($Q$1=$P$4,INDEX(Table24[[#All],[Year]:[Details]],ROWS(prem_analysis!$M$420:M668),COLUMNS(Data!$Q$3:Q251)))))),"")</f>
        <v/>
      </c>
      <c r="S250" s="1" t="str">
        <f>IFERROR(IF($Q$1=$P$3,INDEX(prem_analysis!$P$2:$Q$441,ROWS(Data!$P$2:R250),COLUMNS(Data!$P$3:Q251)),IF($Q$1=$P$5,INDEX(prem_analysis!$BH$1:$BS$23,ROWS(Data!$Q$3:R251),COLUMNS(Data!$Q$3:R251)),IF($Q$1=$P$6,INDEX(prem_analysis!$BU$1:$CF$67,ROWS(prem_analysis!$N$2:O250),COLUMNS(prem_analysis!$N$2:O250)),IF($Q$1=$P$4,INDEX(Table24[[#All],[Year]:[Details]],ROWS(prem_analysis!$M$420:N668),COLUMNS(Data!$Q$3:R251)))))),"")</f>
        <v/>
      </c>
      <c r="T250" s="1" t="str">
        <f>IFERROR(IF($Q$1=$P$3,INDEX(prem_analysis!$P$2:$Q$441,ROWS(Data!$P$2:S250),COLUMNS(Data!$P$3:R251)),IF($Q$1=$P$5,INDEX(prem_analysis!$BH$1:$BS$23,ROWS(Data!$Q$3:S251),COLUMNS(Data!$Q$3:S251)),IF($Q$1=$P$6,INDEX(prem_analysis!$BU$1:$CF$67,ROWS(prem_analysis!$N$2:P250),COLUMNS(prem_analysis!$N$2:P250)),IF($Q$1=$P$4,INDEX(Table24[[#All],[Year]:[Details]],ROWS(prem_analysis!$M$420:O668),COLUMNS(Data!$Q$3:S251)))))),"")</f>
        <v/>
      </c>
      <c r="U250" s="1" t="str">
        <f>IFERROR(IF($Q$1=$P$3,INDEX(prem_analysis!$P$2:$Q$441,ROWS(Data!$P$2:T250),COLUMNS(Data!$P$3:S251)),IF($Q$1=$P$5,INDEX(prem_analysis!$BH$1:$BS$23,ROWS(Data!$Q$3:T251),COLUMNS(Data!$Q$3:T251)),IF($Q$1=$P$6,INDEX(prem_analysis!$BU$1:$CF$67,ROWS(prem_analysis!$N$2:Q250),COLUMNS(prem_analysis!$N$2:Q250)),IF($Q$1=$P$4,INDEX(Table24[[#All],[Year]:[Details]],ROWS(prem_analysis!$M$420:P668),COLUMNS(Data!$Q$3:T251)))))),"")</f>
        <v/>
      </c>
      <c r="V250" s="1" t="str">
        <f>IFERROR(IF($Q$1=$P$3,INDEX(prem_analysis!$P$2:$Q$441,ROWS(Data!$P$2:U250),COLUMNS(Data!$P$3:T251)),IF($Q$1=$P$5,INDEX(prem_analysis!$BH$1:$BS$23,ROWS(Data!$Q$3:U251),COLUMNS(Data!$Q$3:U251)),IF($Q$1=$P$6,INDEX(prem_analysis!$BU$1:$CF$67,ROWS(prem_analysis!$N$2:R250),COLUMNS(prem_analysis!$N$2:R250)),IF($Q$1=$P$4,INDEX(Table24[[#All],[Year]:[Details]],ROWS(prem_analysis!$M$420:Q668),COLUMNS(Data!$Q$3:U251)))))),"")</f>
        <v/>
      </c>
      <c r="W250" s="1" t="str">
        <f>IFERROR(IF($Q$1=$P$3,INDEX(prem_analysis!$P$2:$Q$441,ROWS(Data!$P$2:V250),COLUMNS(Data!$P$3:U251)),IF($Q$1=$P$5,INDEX(prem_analysis!$BH$1:$BS$23,ROWS(Data!$Q$3:V251),COLUMNS(Data!$Q$3:V251)),IF($Q$1=$P$6,INDEX(prem_analysis!$BU$1:$CF$67,ROWS(prem_analysis!$N$2:S250),COLUMNS(prem_analysis!$N$2:S250)),IF($Q$1=$P$4,INDEX(Table24[[#All],[Year]:[Details]],ROWS(prem_analysis!$M$420:R668),COLUMNS(Data!$Q$3:V251)))))),"")</f>
        <v/>
      </c>
      <c r="X250" s="1" t="str">
        <f>IFERROR(IF($Q$1=$P$3,INDEX(prem_analysis!$P$2:$Q$441,ROWS(Data!$P$2:W250),COLUMNS(Data!$P$3:V251)),IF($Q$1=$P$5,INDEX(prem_analysis!$BH$1:$BS$23,ROWS(Data!$Q$3:W251),COLUMNS(Data!$Q$3:W251)),IF($Q$1=$P$6,INDEX(prem_analysis!$BU$1:$CF$67,ROWS(prem_analysis!$N$2:T250),COLUMNS(prem_analysis!$N$2:T250)),IF($Q$1=$P$4,INDEX(Table24[[#All],[Year]:[Details]],ROWS(prem_analysis!$M$420:S668),COLUMNS(Data!$Q$3:W251)))))),"")</f>
        <v/>
      </c>
      <c r="Y250" s="1" t="str">
        <f>IFERROR(IF($Q$1=$P$3,INDEX(prem_analysis!$P$2:$Q$441,ROWS(Data!$P$2:X250),COLUMNS(Data!$P$3:W251)),IF($Q$1=$P$5,INDEX(prem_analysis!$BH$1:$BS$23,ROWS(Data!$Q$3:X251),COLUMNS(Data!$Q$3:X251)),IF($Q$1=$P$6,INDEX(prem_analysis!$BU$1:$CF$67,ROWS(prem_analysis!$N$2:U250),COLUMNS(prem_analysis!$N$2:U250)),IF($Q$1=$P$4,INDEX(Table24[[#All],[Year]:[Details]],ROWS(prem_analysis!$M$420:T668),COLUMNS(Data!$Q$3:X251)))))),"")</f>
        <v/>
      </c>
      <c r="Z250" s="1" t="str">
        <f>IFERROR(IF($Q$1=$P$3,INDEX(prem_analysis!$P$2:$Q$441,ROWS(Data!$P$2:Y250),COLUMNS(Data!$P$3:X251)),IF($Q$1=$P$5,INDEX(prem_analysis!$BH$1:$BS$23,ROWS(Data!$Q$3:Y251),COLUMNS(Data!$Q$3:Y251)),IF($Q$1=$P$6,INDEX(prem_analysis!$BU$1:$CF$67,ROWS(prem_analysis!$N$2:V250),COLUMNS(prem_analysis!$N$2:V250)),IF($Q$1=$P$4,INDEX(Table24[[#All],[Year]:[Details]],ROWS(prem_analysis!$M$420:U668),COLUMNS(Data!$Q$3:Y251)))))),"")</f>
        <v/>
      </c>
      <c r="AA250" s="1" t="str">
        <f>IFERROR(IF($Q$1=$P$3,INDEX(prem_analysis!$P$2:$Q$441,ROWS(Data!$P$2:Z250),COLUMNS(Data!$P$3:Y251)),IF($Q$1=$P$5,INDEX(prem_analysis!$BH$1:$BS$23,ROWS(Data!$Q$3:Z251),COLUMNS(Data!$Q$3:Z251)),IF($Q$1=$P$6,INDEX(prem_analysis!$BU$1:$CF$67,ROWS(prem_analysis!$N$2:W250),COLUMNS(prem_analysis!$N$2:W250)),IF($Q$1=$P$4,INDEX(Table24[[#All],[Year]:[Details]],ROWS(prem_analysis!$M$420:V668),COLUMNS(Data!$Q$3:Z251)))))),"")</f>
        <v/>
      </c>
      <c r="AB250" s="1" t="str">
        <f>IFERROR(IF($Q$1=$P$3,INDEX(prem_analysis!$P$2:$Q$441,ROWS(Data!$P$2:AA250),COLUMNS(Data!$P$3:Z251)),IF($Q$1=$P$5,INDEX(prem_analysis!$BH$1:$BS$23,ROWS(Data!$Q$3:AA251),COLUMNS(Data!$Q$3:AA251)),IF($Q$1=$P$6,INDEX(prem_analysis!$BU$1:$CF$67,ROWS(prem_analysis!$N$2:X250),COLUMNS(prem_analysis!$N$2:X250)),IF($Q$1=$P$4,INDEX(Table24[[#All],[Year]:[Details]],ROWS(prem_analysis!$M$420:W668),COLUMNS(Data!$Q$3:AA251)))))),"")</f>
        <v/>
      </c>
      <c r="AC250" s="1" t="str">
        <f>IFERROR(IF($Q$1=$P$3,INDEX(prem_analysis!$P$2:$Q$441,ROWS(Data!$P$2:AB250),COLUMNS(Data!$P$3:AA251)),IF($Q$1=$P$5,INDEX(prem_analysis!$BH$1:$BS$23,ROWS(Data!$Q$3:AB251),COLUMNS(Data!$Q$3:AB251)),IF($Q$1=$P$6,INDEX(prem_analysis!$BU$1:$CF$67,ROWS(prem_analysis!$N$2:Y250),COLUMNS(prem_analysis!$N$2:Y250)),IF($Q$1=$P$4,INDEX(Table24[[#All],[Year]:[Details]],ROWS(prem_analysis!$M$420:X668),COLUMNS(Data!$Q$3:AB251)))))),"")</f>
        <v/>
      </c>
    </row>
    <row r="251" spans="1:29" x14ac:dyDescent="0.2">
      <c r="A251" s="5">
        <v>2012</v>
      </c>
      <c r="B251" s="5">
        <v>10</v>
      </c>
      <c r="C251" s="6" t="s">
        <v>25</v>
      </c>
      <c r="D251" s="5">
        <v>38</v>
      </c>
      <c r="E251" s="5">
        <v>12</v>
      </c>
      <c r="F251" s="5">
        <v>10</v>
      </c>
      <c r="G251" s="5">
        <v>16</v>
      </c>
      <c r="H251" s="5">
        <v>45</v>
      </c>
      <c r="I251" s="5">
        <v>53</v>
      </c>
      <c r="J251" s="5">
        <v>-8</v>
      </c>
      <c r="K251" s="5">
        <v>46</v>
      </c>
      <c r="L251" s="5">
        <f>IF(Table24[[#This Row],['#]]=1,"Champion", IF(Table24[[#This Row],['#]]&gt;=18,"Relegated",Table24[[#This Row],['#]]))</f>
        <v>10</v>
      </c>
      <c r="M251" s="5" t="str">
        <f>IF(Table24[[#This Row],[Details]]=2,K250-Table24[[#This Row],[Pts]],IF(Table24[[#This Row],[Details]]=17,Table24[[#This Row],[Pts]]-K252,""))</f>
        <v/>
      </c>
      <c r="R251" s="1" t="str">
        <f>IFERROR(IF($Q$1=$P$3,INDEX(prem_analysis!$P$2:$Q$441,ROWS(Data!$P$2:Q251),COLUMNS(Data!$P$3:P252)),IF($Q$1=$P$5,INDEX(prem_analysis!$BH$1:$BS$23,ROWS(Data!$Q$3:Q252),COLUMNS(Data!$Q$3:Q252)),IF($Q$1=$P$6,INDEX(prem_analysis!$BU$1:$CF$67,ROWS(prem_analysis!$N$2:N251),COLUMNS(prem_analysis!$N$2:N251)),IF($Q$1=$P$4,INDEX(Table24[[#All],[Year]:[Details]],ROWS(prem_analysis!$M$420:M669),COLUMNS(Data!$Q$3:Q252)))))),"")</f>
        <v/>
      </c>
      <c r="S251" s="1" t="str">
        <f>IFERROR(IF($Q$1=$P$3,INDEX(prem_analysis!$P$2:$Q$441,ROWS(Data!$P$2:R251),COLUMNS(Data!$P$3:Q252)),IF($Q$1=$P$5,INDEX(prem_analysis!$BH$1:$BS$23,ROWS(Data!$Q$3:R252),COLUMNS(Data!$Q$3:R252)),IF($Q$1=$P$6,INDEX(prem_analysis!$BU$1:$CF$67,ROWS(prem_analysis!$N$2:O251),COLUMNS(prem_analysis!$N$2:O251)),IF($Q$1=$P$4,INDEX(Table24[[#All],[Year]:[Details]],ROWS(prem_analysis!$M$420:N669),COLUMNS(Data!$Q$3:R252)))))),"")</f>
        <v/>
      </c>
      <c r="T251" s="1" t="str">
        <f>IFERROR(IF($Q$1=$P$3,INDEX(prem_analysis!$P$2:$Q$441,ROWS(Data!$P$2:S251),COLUMNS(Data!$P$3:R252)),IF($Q$1=$P$5,INDEX(prem_analysis!$BH$1:$BS$23,ROWS(Data!$Q$3:S252),COLUMNS(Data!$Q$3:S252)),IF($Q$1=$P$6,INDEX(prem_analysis!$BU$1:$CF$67,ROWS(prem_analysis!$N$2:P251),COLUMNS(prem_analysis!$N$2:P251)),IF($Q$1=$P$4,INDEX(Table24[[#All],[Year]:[Details]],ROWS(prem_analysis!$M$420:O669),COLUMNS(Data!$Q$3:S252)))))),"")</f>
        <v/>
      </c>
      <c r="U251" s="1" t="str">
        <f>IFERROR(IF($Q$1=$P$3,INDEX(prem_analysis!$P$2:$Q$441,ROWS(Data!$P$2:T251),COLUMNS(Data!$P$3:S252)),IF($Q$1=$P$5,INDEX(prem_analysis!$BH$1:$BS$23,ROWS(Data!$Q$3:T252),COLUMNS(Data!$Q$3:T252)),IF($Q$1=$P$6,INDEX(prem_analysis!$BU$1:$CF$67,ROWS(prem_analysis!$N$2:Q251),COLUMNS(prem_analysis!$N$2:Q251)),IF($Q$1=$P$4,INDEX(Table24[[#All],[Year]:[Details]],ROWS(prem_analysis!$M$420:P669),COLUMNS(Data!$Q$3:T252)))))),"")</f>
        <v/>
      </c>
      <c r="V251" s="1" t="str">
        <f>IFERROR(IF($Q$1=$P$3,INDEX(prem_analysis!$P$2:$Q$441,ROWS(Data!$P$2:U251),COLUMNS(Data!$P$3:T252)),IF($Q$1=$P$5,INDEX(prem_analysis!$BH$1:$BS$23,ROWS(Data!$Q$3:U252),COLUMNS(Data!$Q$3:U252)),IF($Q$1=$P$6,INDEX(prem_analysis!$BU$1:$CF$67,ROWS(prem_analysis!$N$2:R251),COLUMNS(prem_analysis!$N$2:R251)),IF($Q$1=$P$4,INDEX(Table24[[#All],[Year]:[Details]],ROWS(prem_analysis!$M$420:Q669),COLUMNS(Data!$Q$3:U252)))))),"")</f>
        <v/>
      </c>
      <c r="W251" s="1" t="str">
        <f>IFERROR(IF($Q$1=$P$3,INDEX(prem_analysis!$P$2:$Q$441,ROWS(Data!$P$2:V251),COLUMNS(Data!$P$3:U252)),IF($Q$1=$P$5,INDEX(prem_analysis!$BH$1:$BS$23,ROWS(Data!$Q$3:V252),COLUMNS(Data!$Q$3:V252)),IF($Q$1=$P$6,INDEX(prem_analysis!$BU$1:$CF$67,ROWS(prem_analysis!$N$2:S251),COLUMNS(prem_analysis!$N$2:S251)),IF($Q$1=$P$4,INDEX(Table24[[#All],[Year]:[Details]],ROWS(prem_analysis!$M$420:R669),COLUMNS(Data!$Q$3:V252)))))),"")</f>
        <v/>
      </c>
      <c r="X251" s="1" t="str">
        <f>IFERROR(IF($Q$1=$P$3,INDEX(prem_analysis!$P$2:$Q$441,ROWS(Data!$P$2:W251),COLUMNS(Data!$P$3:V252)),IF($Q$1=$P$5,INDEX(prem_analysis!$BH$1:$BS$23,ROWS(Data!$Q$3:W252),COLUMNS(Data!$Q$3:W252)),IF($Q$1=$P$6,INDEX(prem_analysis!$BU$1:$CF$67,ROWS(prem_analysis!$N$2:T251),COLUMNS(prem_analysis!$N$2:T251)),IF($Q$1=$P$4,INDEX(Table24[[#All],[Year]:[Details]],ROWS(prem_analysis!$M$420:S669),COLUMNS(Data!$Q$3:W252)))))),"")</f>
        <v/>
      </c>
      <c r="Y251" s="1" t="str">
        <f>IFERROR(IF($Q$1=$P$3,INDEX(prem_analysis!$P$2:$Q$441,ROWS(Data!$P$2:X251),COLUMNS(Data!$P$3:W252)),IF($Q$1=$P$5,INDEX(prem_analysis!$BH$1:$BS$23,ROWS(Data!$Q$3:X252),COLUMNS(Data!$Q$3:X252)),IF($Q$1=$P$6,INDEX(prem_analysis!$BU$1:$CF$67,ROWS(prem_analysis!$N$2:U251),COLUMNS(prem_analysis!$N$2:U251)),IF($Q$1=$P$4,INDEX(Table24[[#All],[Year]:[Details]],ROWS(prem_analysis!$M$420:T669),COLUMNS(Data!$Q$3:X252)))))),"")</f>
        <v/>
      </c>
      <c r="Z251" s="1" t="str">
        <f>IFERROR(IF($Q$1=$P$3,INDEX(prem_analysis!$P$2:$Q$441,ROWS(Data!$P$2:Y251),COLUMNS(Data!$P$3:X252)),IF($Q$1=$P$5,INDEX(prem_analysis!$BH$1:$BS$23,ROWS(Data!$Q$3:Y252),COLUMNS(Data!$Q$3:Y252)),IF($Q$1=$P$6,INDEX(prem_analysis!$BU$1:$CF$67,ROWS(prem_analysis!$N$2:V251),COLUMNS(prem_analysis!$N$2:V251)),IF($Q$1=$P$4,INDEX(Table24[[#All],[Year]:[Details]],ROWS(prem_analysis!$M$420:U669),COLUMNS(Data!$Q$3:Y252)))))),"")</f>
        <v/>
      </c>
      <c r="AA251" s="1" t="str">
        <f>IFERROR(IF($Q$1=$P$3,INDEX(prem_analysis!$P$2:$Q$441,ROWS(Data!$P$2:Z251),COLUMNS(Data!$P$3:Y252)),IF($Q$1=$P$5,INDEX(prem_analysis!$BH$1:$BS$23,ROWS(Data!$Q$3:Z252),COLUMNS(Data!$Q$3:Z252)),IF($Q$1=$P$6,INDEX(prem_analysis!$BU$1:$CF$67,ROWS(prem_analysis!$N$2:W251),COLUMNS(prem_analysis!$N$2:W251)),IF($Q$1=$P$4,INDEX(Table24[[#All],[Year]:[Details]],ROWS(prem_analysis!$M$420:V669),COLUMNS(Data!$Q$3:Z252)))))),"")</f>
        <v/>
      </c>
      <c r="AB251" s="1" t="str">
        <f>IFERROR(IF($Q$1=$P$3,INDEX(prem_analysis!$P$2:$Q$441,ROWS(Data!$P$2:AA251),COLUMNS(Data!$P$3:Z252)),IF($Q$1=$P$5,INDEX(prem_analysis!$BH$1:$BS$23,ROWS(Data!$Q$3:AA252),COLUMNS(Data!$Q$3:AA252)),IF($Q$1=$P$6,INDEX(prem_analysis!$BU$1:$CF$67,ROWS(prem_analysis!$N$2:X251),COLUMNS(prem_analysis!$N$2:X251)),IF($Q$1=$P$4,INDEX(Table24[[#All],[Year]:[Details]],ROWS(prem_analysis!$M$420:W669),COLUMNS(Data!$Q$3:AA252)))))),"")</f>
        <v/>
      </c>
      <c r="AC251" s="1" t="str">
        <f>IFERROR(IF($Q$1=$P$3,INDEX(prem_analysis!$P$2:$Q$441,ROWS(Data!$P$2:AB251),COLUMNS(Data!$P$3:AA252)),IF($Q$1=$P$5,INDEX(prem_analysis!$BH$1:$BS$23,ROWS(Data!$Q$3:AB252),COLUMNS(Data!$Q$3:AB252)),IF($Q$1=$P$6,INDEX(prem_analysis!$BU$1:$CF$67,ROWS(prem_analysis!$N$2:Y251),COLUMNS(prem_analysis!$N$2:Y251)),IF($Q$1=$P$4,INDEX(Table24[[#All],[Year]:[Details]],ROWS(prem_analysis!$M$420:X669),COLUMNS(Data!$Q$3:AB252)))))),"")</f>
        <v/>
      </c>
    </row>
    <row r="252" spans="1:29" x14ac:dyDescent="0.2">
      <c r="A252" s="3">
        <v>2012</v>
      </c>
      <c r="B252" s="3">
        <v>11</v>
      </c>
      <c r="C252" s="4" t="s">
        <v>39</v>
      </c>
      <c r="D252" s="3">
        <v>38</v>
      </c>
      <c r="E252" s="3">
        <v>10</v>
      </c>
      <c r="F252" s="3">
        <v>14</v>
      </c>
      <c r="G252" s="3">
        <v>14</v>
      </c>
      <c r="H252" s="3">
        <v>41</v>
      </c>
      <c r="I252" s="3">
        <v>58</v>
      </c>
      <c r="J252" s="3">
        <v>-17</v>
      </c>
      <c r="K252" s="3">
        <v>44</v>
      </c>
      <c r="L252" s="5">
        <f>IF(Table24[[#This Row],['#]]=1,"Champion", IF(Table24[[#This Row],['#]]&gt;=18,"Relegated",Table24[[#This Row],['#]]))</f>
        <v>11</v>
      </c>
      <c r="M252" s="5" t="str">
        <f>IF(Table24[[#This Row],[Details]]=2,K251-Table24[[#This Row],[Pts]],IF(Table24[[#This Row],[Details]]=17,Table24[[#This Row],[Pts]]-K253,""))</f>
        <v/>
      </c>
      <c r="R252" s="1" t="str">
        <f>IFERROR(IF($Q$1=$P$3,INDEX(prem_analysis!$P$2:$Q$441,ROWS(Data!$P$2:Q252),COLUMNS(Data!$P$3:P253)),IF($Q$1=$P$5,INDEX(prem_analysis!$BH$1:$BS$23,ROWS(Data!$Q$3:Q253),COLUMNS(Data!$Q$3:Q253)),IF($Q$1=$P$6,INDEX(prem_analysis!$BU$1:$CF$67,ROWS(prem_analysis!$N$2:N252),COLUMNS(prem_analysis!$N$2:N252)),IF($Q$1=$P$4,INDEX(Table24[[#All],[Year]:[Details]],ROWS(prem_analysis!$M$420:M670),COLUMNS(Data!$Q$3:Q253)))))),"")</f>
        <v/>
      </c>
      <c r="S252" s="1" t="str">
        <f>IFERROR(IF($Q$1=$P$3,INDEX(prem_analysis!$P$2:$Q$441,ROWS(Data!$P$2:R252),COLUMNS(Data!$P$3:Q253)),IF($Q$1=$P$5,INDEX(prem_analysis!$BH$1:$BS$23,ROWS(Data!$Q$3:R253),COLUMNS(Data!$Q$3:R253)),IF($Q$1=$P$6,INDEX(prem_analysis!$BU$1:$CF$67,ROWS(prem_analysis!$N$2:O252),COLUMNS(prem_analysis!$N$2:O252)),IF($Q$1=$P$4,INDEX(Table24[[#All],[Year]:[Details]],ROWS(prem_analysis!$M$420:N670),COLUMNS(Data!$Q$3:R253)))))),"")</f>
        <v/>
      </c>
      <c r="T252" s="1" t="str">
        <f>IFERROR(IF($Q$1=$P$3,INDEX(prem_analysis!$P$2:$Q$441,ROWS(Data!$P$2:S252),COLUMNS(Data!$P$3:R253)),IF($Q$1=$P$5,INDEX(prem_analysis!$BH$1:$BS$23,ROWS(Data!$Q$3:S253),COLUMNS(Data!$Q$3:S253)),IF($Q$1=$P$6,INDEX(prem_analysis!$BU$1:$CF$67,ROWS(prem_analysis!$N$2:P252),COLUMNS(prem_analysis!$N$2:P252)),IF($Q$1=$P$4,INDEX(Table24[[#All],[Year]:[Details]],ROWS(prem_analysis!$M$420:O670),COLUMNS(Data!$Q$3:S253)))))),"")</f>
        <v/>
      </c>
      <c r="U252" s="1" t="str">
        <f>IFERROR(IF($Q$1=$P$3,INDEX(prem_analysis!$P$2:$Q$441,ROWS(Data!$P$2:T252),COLUMNS(Data!$P$3:S253)),IF($Q$1=$P$5,INDEX(prem_analysis!$BH$1:$BS$23,ROWS(Data!$Q$3:T253),COLUMNS(Data!$Q$3:T253)),IF($Q$1=$P$6,INDEX(prem_analysis!$BU$1:$CF$67,ROWS(prem_analysis!$N$2:Q252),COLUMNS(prem_analysis!$N$2:Q252)),IF($Q$1=$P$4,INDEX(Table24[[#All],[Year]:[Details]],ROWS(prem_analysis!$M$420:P670),COLUMNS(Data!$Q$3:T253)))))),"")</f>
        <v/>
      </c>
      <c r="V252" s="1" t="str">
        <f>IFERROR(IF($Q$1=$P$3,INDEX(prem_analysis!$P$2:$Q$441,ROWS(Data!$P$2:U252),COLUMNS(Data!$P$3:T253)),IF($Q$1=$P$5,INDEX(prem_analysis!$BH$1:$BS$23,ROWS(Data!$Q$3:U253),COLUMNS(Data!$Q$3:U253)),IF($Q$1=$P$6,INDEX(prem_analysis!$BU$1:$CF$67,ROWS(prem_analysis!$N$2:R252),COLUMNS(prem_analysis!$N$2:R252)),IF($Q$1=$P$4,INDEX(Table24[[#All],[Year]:[Details]],ROWS(prem_analysis!$M$420:Q670),COLUMNS(Data!$Q$3:U253)))))),"")</f>
        <v/>
      </c>
      <c r="W252" s="1" t="str">
        <f>IFERROR(IF($Q$1=$P$3,INDEX(prem_analysis!$P$2:$Q$441,ROWS(Data!$P$2:V252),COLUMNS(Data!$P$3:U253)),IF($Q$1=$P$5,INDEX(prem_analysis!$BH$1:$BS$23,ROWS(Data!$Q$3:V253),COLUMNS(Data!$Q$3:V253)),IF($Q$1=$P$6,INDEX(prem_analysis!$BU$1:$CF$67,ROWS(prem_analysis!$N$2:S252),COLUMNS(prem_analysis!$N$2:S252)),IF($Q$1=$P$4,INDEX(Table24[[#All],[Year]:[Details]],ROWS(prem_analysis!$M$420:R670),COLUMNS(Data!$Q$3:V253)))))),"")</f>
        <v/>
      </c>
      <c r="X252" s="1" t="str">
        <f>IFERROR(IF($Q$1=$P$3,INDEX(prem_analysis!$P$2:$Q$441,ROWS(Data!$P$2:W252),COLUMNS(Data!$P$3:V253)),IF($Q$1=$P$5,INDEX(prem_analysis!$BH$1:$BS$23,ROWS(Data!$Q$3:W253),COLUMNS(Data!$Q$3:W253)),IF($Q$1=$P$6,INDEX(prem_analysis!$BU$1:$CF$67,ROWS(prem_analysis!$N$2:T252),COLUMNS(prem_analysis!$N$2:T252)),IF($Q$1=$P$4,INDEX(Table24[[#All],[Year]:[Details]],ROWS(prem_analysis!$M$420:S670),COLUMNS(Data!$Q$3:W253)))))),"")</f>
        <v/>
      </c>
      <c r="Y252" s="1" t="str">
        <f>IFERROR(IF($Q$1=$P$3,INDEX(prem_analysis!$P$2:$Q$441,ROWS(Data!$P$2:X252),COLUMNS(Data!$P$3:W253)),IF($Q$1=$P$5,INDEX(prem_analysis!$BH$1:$BS$23,ROWS(Data!$Q$3:X253),COLUMNS(Data!$Q$3:X253)),IF($Q$1=$P$6,INDEX(prem_analysis!$BU$1:$CF$67,ROWS(prem_analysis!$N$2:U252),COLUMNS(prem_analysis!$N$2:U252)),IF($Q$1=$P$4,INDEX(Table24[[#All],[Year]:[Details]],ROWS(prem_analysis!$M$420:T670),COLUMNS(Data!$Q$3:X253)))))),"")</f>
        <v/>
      </c>
      <c r="Z252" s="1" t="str">
        <f>IFERROR(IF($Q$1=$P$3,INDEX(prem_analysis!$P$2:$Q$441,ROWS(Data!$P$2:Y252),COLUMNS(Data!$P$3:X253)),IF($Q$1=$P$5,INDEX(prem_analysis!$BH$1:$BS$23,ROWS(Data!$Q$3:Y253),COLUMNS(Data!$Q$3:Y253)),IF($Q$1=$P$6,INDEX(prem_analysis!$BU$1:$CF$67,ROWS(prem_analysis!$N$2:V252),COLUMNS(prem_analysis!$N$2:V252)),IF($Q$1=$P$4,INDEX(Table24[[#All],[Year]:[Details]],ROWS(prem_analysis!$M$420:U670),COLUMNS(Data!$Q$3:Y253)))))),"")</f>
        <v/>
      </c>
      <c r="AA252" s="1" t="str">
        <f>IFERROR(IF($Q$1=$P$3,INDEX(prem_analysis!$P$2:$Q$441,ROWS(Data!$P$2:Z252),COLUMNS(Data!$P$3:Y253)),IF($Q$1=$P$5,INDEX(prem_analysis!$BH$1:$BS$23,ROWS(Data!$Q$3:Z253),COLUMNS(Data!$Q$3:Z253)),IF($Q$1=$P$6,INDEX(prem_analysis!$BU$1:$CF$67,ROWS(prem_analysis!$N$2:W252),COLUMNS(prem_analysis!$N$2:W252)),IF($Q$1=$P$4,INDEX(Table24[[#All],[Year]:[Details]],ROWS(prem_analysis!$M$420:V670),COLUMNS(Data!$Q$3:Z253)))))),"")</f>
        <v/>
      </c>
      <c r="AB252" s="1" t="str">
        <f>IFERROR(IF($Q$1=$P$3,INDEX(prem_analysis!$P$2:$Q$441,ROWS(Data!$P$2:AA252),COLUMNS(Data!$P$3:Z253)),IF($Q$1=$P$5,INDEX(prem_analysis!$BH$1:$BS$23,ROWS(Data!$Q$3:AA253),COLUMNS(Data!$Q$3:AA253)),IF($Q$1=$P$6,INDEX(prem_analysis!$BU$1:$CF$67,ROWS(prem_analysis!$N$2:X252),COLUMNS(prem_analysis!$N$2:X252)),IF($Q$1=$P$4,INDEX(Table24[[#All],[Year]:[Details]],ROWS(prem_analysis!$M$420:W670),COLUMNS(Data!$Q$3:AA253)))))),"")</f>
        <v/>
      </c>
      <c r="AC252" s="1" t="str">
        <f>IFERROR(IF($Q$1=$P$3,INDEX(prem_analysis!$P$2:$Q$441,ROWS(Data!$P$2:AB252),COLUMNS(Data!$P$3:AA253)),IF($Q$1=$P$5,INDEX(prem_analysis!$BH$1:$BS$23,ROWS(Data!$Q$3:AB253),COLUMNS(Data!$Q$3:AB253)),IF($Q$1=$P$6,INDEX(prem_analysis!$BU$1:$CF$67,ROWS(prem_analysis!$N$2:Y252),COLUMNS(prem_analysis!$N$2:Y252)),IF($Q$1=$P$4,INDEX(Table24[[#All],[Year]:[Details]],ROWS(prem_analysis!$M$420:X670),COLUMNS(Data!$Q$3:AB253)))))),"")</f>
        <v/>
      </c>
    </row>
    <row r="253" spans="1:29" x14ac:dyDescent="0.2">
      <c r="A253" s="5">
        <v>2012</v>
      </c>
      <c r="B253" s="5">
        <v>12</v>
      </c>
      <c r="C253" s="6" t="s">
        <v>32</v>
      </c>
      <c r="D253" s="5">
        <v>38</v>
      </c>
      <c r="E253" s="5">
        <v>11</v>
      </c>
      <c r="F253" s="5">
        <v>10</v>
      </c>
      <c r="G253" s="5">
        <v>17</v>
      </c>
      <c r="H253" s="5">
        <v>50</v>
      </c>
      <c r="I253" s="5">
        <v>60</v>
      </c>
      <c r="J253" s="5">
        <v>-10</v>
      </c>
      <c r="K253" s="5">
        <v>43</v>
      </c>
      <c r="L253" s="5">
        <f>IF(Table24[[#This Row],['#]]=1,"Champion", IF(Table24[[#This Row],['#]]&gt;=18,"Relegated",Table24[[#This Row],['#]]))</f>
        <v>12</v>
      </c>
      <c r="M253" s="5" t="str">
        <f>IF(Table24[[#This Row],[Details]]=2,K252-Table24[[#This Row],[Pts]],IF(Table24[[#This Row],[Details]]=17,Table24[[#This Row],[Pts]]-K254,""))</f>
        <v/>
      </c>
      <c r="R253" s="1" t="str">
        <f>IFERROR(IF($Q$1=$P$3,INDEX(prem_analysis!$P$2:$Q$441,ROWS(Data!$P$2:Q253),COLUMNS(Data!$P$3:P254)),IF($Q$1=$P$5,INDEX(prem_analysis!$BH$1:$BS$23,ROWS(Data!$Q$3:Q254),COLUMNS(Data!$Q$3:Q254)),IF($Q$1=$P$6,INDEX(prem_analysis!$BU$1:$CF$67,ROWS(prem_analysis!$N$2:N253),COLUMNS(prem_analysis!$N$2:N253)),IF($Q$1=$P$4,INDEX(Table24[[#All],[Year]:[Details]],ROWS(prem_analysis!$M$420:M671),COLUMNS(Data!$Q$3:Q254)))))),"")</f>
        <v/>
      </c>
      <c r="S253" s="1" t="str">
        <f>IFERROR(IF($Q$1=$P$3,INDEX(prem_analysis!$P$2:$Q$441,ROWS(Data!$P$2:R253),COLUMNS(Data!$P$3:Q254)),IF($Q$1=$P$5,INDEX(prem_analysis!$BH$1:$BS$23,ROWS(Data!$Q$3:R254),COLUMNS(Data!$Q$3:R254)),IF($Q$1=$P$6,INDEX(prem_analysis!$BU$1:$CF$67,ROWS(prem_analysis!$N$2:O253),COLUMNS(prem_analysis!$N$2:O253)),IF($Q$1=$P$4,INDEX(Table24[[#All],[Year]:[Details]],ROWS(prem_analysis!$M$420:N671),COLUMNS(Data!$Q$3:R254)))))),"")</f>
        <v/>
      </c>
      <c r="T253" s="1" t="str">
        <f>IFERROR(IF($Q$1=$P$3,INDEX(prem_analysis!$P$2:$Q$441,ROWS(Data!$P$2:S253),COLUMNS(Data!$P$3:R254)),IF($Q$1=$P$5,INDEX(prem_analysis!$BH$1:$BS$23,ROWS(Data!$Q$3:S254),COLUMNS(Data!$Q$3:S254)),IF($Q$1=$P$6,INDEX(prem_analysis!$BU$1:$CF$67,ROWS(prem_analysis!$N$2:P253),COLUMNS(prem_analysis!$N$2:P253)),IF($Q$1=$P$4,INDEX(Table24[[#All],[Year]:[Details]],ROWS(prem_analysis!$M$420:O671),COLUMNS(Data!$Q$3:S254)))))),"")</f>
        <v/>
      </c>
      <c r="U253" s="1" t="str">
        <f>IFERROR(IF($Q$1=$P$3,INDEX(prem_analysis!$P$2:$Q$441,ROWS(Data!$P$2:T253),COLUMNS(Data!$P$3:S254)),IF($Q$1=$P$5,INDEX(prem_analysis!$BH$1:$BS$23,ROWS(Data!$Q$3:T254),COLUMNS(Data!$Q$3:T254)),IF($Q$1=$P$6,INDEX(prem_analysis!$BU$1:$CF$67,ROWS(prem_analysis!$N$2:Q253),COLUMNS(prem_analysis!$N$2:Q253)),IF($Q$1=$P$4,INDEX(Table24[[#All],[Year]:[Details]],ROWS(prem_analysis!$M$420:P671),COLUMNS(Data!$Q$3:T254)))))),"")</f>
        <v/>
      </c>
      <c r="V253" s="1" t="str">
        <f>IFERROR(IF($Q$1=$P$3,INDEX(prem_analysis!$P$2:$Q$441,ROWS(Data!$P$2:U253),COLUMNS(Data!$P$3:T254)),IF($Q$1=$P$5,INDEX(prem_analysis!$BH$1:$BS$23,ROWS(Data!$Q$3:U254),COLUMNS(Data!$Q$3:U254)),IF($Q$1=$P$6,INDEX(prem_analysis!$BU$1:$CF$67,ROWS(prem_analysis!$N$2:R253),COLUMNS(prem_analysis!$N$2:R253)),IF($Q$1=$P$4,INDEX(Table24[[#All],[Year]:[Details]],ROWS(prem_analysis!$M$420:Q671),COLUMNS(Data!$Q$3:U254)))))),"")</f>
        <v/>
      </c>
      <c r="W253" s="1" t="str">
        <f>IFERROR(IF($Q$1=$P$3,INDEX(prem_analysis!$P$2:$Q$441,ROWS(Data!$P$2:V253),COLUMNS(Data!$P$3:U254)),IF($Q$1=$P$5,INDEX(prem_analysis!$BH$1:$BS$23,ROWS(Data!$Q$3:V254),COLUMNS(Data!$Q$3:V254)),IF($Q$1=$P$6,INDEX(prem_analysis!$BU$1:$CF$67,ROWS(prem_analysis!$N$2:S253),COLUMNS(prem_analysis!$N$2:S253)),IF($Q$1=$P$4,INDEX(Table24[[#All],[Year]:[Details]],ROWS(prem_analysis!$M$420:R671),COLUMNS(Data!$Q$3:V254)))))),"")</f>
        <v/>
      </c>
      <c r="X253" s="1" t="str">
        <f>IFERROR(IF($Q$1=$P$3,INDEX(prem_analysis!$P$2:$Q$441,ROWS(Data!$P$2:W253),COLUMNS(Data!$P$3:V254)),IF($Q$1=$P$5,INDEX(prem_analysis!$BH$1:$BS$23,ROWS(Data!$Q$3:W254),COLUMNS(Data!$Q$3:W254)),IF($Q$1=$P$6,INDEX(prem_analysis!$BU$1:$CF$67,ROWS(prem_analysis!$N$2:T253),COLUMNS(prem_analysis!$N$2:T253)),IF($Q$1=$P$4,INDEX(Table24[[#All],[Year]:[Details]],ROWS(prem_analysis!$M$420:S671),COLUMNS(Data!$Q$3:W254)))))),"")</f>
        <v/>
      </c>
      <c r="Y253" s="1" t="str">
        <f>IFERROR(IF($Q$1=$P$3,INDEX(prem_analysis!$P$2:$Q$441,ROWS(Data!$P$2:X253),COLUMNS(Data!$P$3:W254)),IF($Q$1=$P$5,INDEX(prem_analysis!$BH$1:$BS$23,ROWS(Data!$Q$3:X254),COLUMNS(Data!$Q$3:X254)),IF($Q$1=$P$6,INDEX(prem_analysis!$BU$1:$CF$67,ROWS(prem_analysis!$N$2:U253),COLUMNS(prem_analysis!$N$2:U253)),IF($Q$1=$P$4,INDEX(Table24[[#All],[Year]:[Details]],ROWS(prem_analysis!$M$420:T671),COLUMNS(Data!$Q$3:X254)))))),"")</f>
        <v/>
      </c>
      <c r="Z253" s="1" t="str">
        <f>IFERROR(IF($Q$1=$P$3,INDEX(prem_analysis!$P$2:$Q$441,ROWS(Data!$P$2:Y253),COLUMNS(Data!$P$3:X254)),IF($Q$1=$P$5,INDEX(prem_analysis!$BH$1:$BS$23,ROWS(Data!$Q$3:Y254),COLUMNS(Data!$Q$3:Y254)),IF($Q$1=$P$6,INDEX(prem_analysis!$BU$1:$CF$67,ROWS(prem_analysis!$N$2:V253),COLUMNS(prem_analysis!$N$2:V253)),IF($Q$1=$P$4,INDEX(Table24[[#All],[Year]:[Details]],ROWS(prem_analysis!$M$420:U671),COLUMNS(Data!$Q$3:Y254)))))),"")</f>
        <v/>
      </c>
      <c r="AA253" s="1" t="str">
        <f>IFERROR(IF($Q$1=$P$3,INDEX(prem_analysis!$P$2:$Q$441,ROWS(Data!$P$2:Z253),COLUMNS(Data!$P$3:Y254)),IF($Q$1=$P$5,INDEX(prem_analysis!$BH$1:$BS$23,ROWS(Data!$Q$3:Z254),COLUMNS(Data!$Q$3:Z254)),IF($Q$1=$P$6,INDEX(prem_analysis!$BU$1:$CF$67,ROWS(prem_analysis!$N$2:W253),COLUMNS(prem_analysis!$N$2:W253)),IF($Q$1=$P$4,INDEX(Table24[[#All],[Year]:[Details]],ROWS(prem_analysis!$M$420:V671),COLUMNS(Data!$Q$3:Z254)))))),"")</f>
        <v/>
      </c>
      <c r="AB253" s="1" t="str">
        <f>IFERROR(IF($Q$1=$P$3,INDEX(prem_analysis!$P$2:$Q$441,ROWS(Data!$P$2:AA253),COLUMNS(Data!$P$3:Z254)),IF($Q$1=$P$5,INDEX(prem_analysis!$BH$1:$BS$23,ROWS(Data!$Q$3:AA254),COLUMNS(Data!$Q$3:AA254)),IF($Q$1=$P$6,INDEX(prem_analysis!$BU$1:$CF$67,ROWS(prem_analysis!$N$2:X253),COLUMNS(prem_analysis!$N$2:X253)),IF($Q$1=$P$4,INDEX(Table24[[#All],[Year]:[Details]],ROWS(prem_analysis!$M$420:W671),COLUMNS(Data!$Q$3:AA254)))))),"")</f>
        <v/>
      </c>
      <c r="AC253" s="1" t="str">
        <f>IFERROR(IF($Q$1=$P$3,INDEX(prem_analysis!$P$2:$Q$441,ROWS(Data!$P$2:AB253),COLUMNS(Data!$P$3:AA254)),IF($Q$1=$P$5,INDEX(prem_analysis!$BH$1:$BS$23,ROWS(Data!$Q$3:AB254),COLUMNS(Data!$Q$3:AB254)),IF($Q$1=$P$6,INDEX(prem_analysis!$BU$1:$CF$67,ROWS(prem_analysis!$N$2:Y253),COLUMNS(prem_analysis!$N$2:Y253)),IF($Q$1=$P$4,INDEX(Table24[[#All],[Year]:[Details]],ROWS(prem_analysis!$M$420:X671),COLUMNS(Data!$Q$3:AB254)))))),"")</f>
        <v/>
      </c>
    </row>
    <row r="254" spans="1:29" x14ac:dyDescent="0.2">
      <c r="A254" s="3">
        <v>2012</v>
      </c>
      <c r="B254" s="3">
        <v>13</v>
      </c>
      <c r="C254" s="4" t="s">
        <v>44</v>
      </c>
      <c r="D254" s="3">
        <v>38</v>
      </c>
      <c r="E254" s="3">
        <v>9</v>
      </c>
      <c r="F254" s="3">
        <v>15</v>
      </c>
      <c r="G254" s="3">
        <v>14</v>
      </c>
      <c r="H254" s="3">
        <v>34</v>
      </c>
      <c r="I254" s="3">
        <v>45</v>
      </c>
      <c r="J254" s="3">
        <v>-11</v>
      </c>
      <c r="K254" s="3">
        <v>42</v>
      </c>
      <c r="L254" s="5">
        <f>IF(Table24[[#This Row],['#]]=1,"Champion", IF(Table24[[#This Row],['#]]&gt;=18,"Relegated",Table24[[#This Row],['#]]))</f>
        <v>13</v>
      </c>
      <c r="M254" s="5" t="str">
        <f>IF(Table24[[#This Row],[Details]]=2,K253-Table24[[#This Row],[Pts]],IF(Table24[[#This Row],[Details]]=17,Table24[[#This Row],[Pts]]-K255,""))</f>
        <v/>
      </c>
      <c r="R254" s="1" t="str">
        <f>IFERROR(IF($Q$1=$P$3,INDEX(prem_analysis!$P$2:$Q$441,ROWS(Data!$P$2:Q254),COLUMNS(Data!$P$3:P255)),IF($Q$1=$P$5,INDEX(prem_analysis!$BH$1:$BS$23,ROWS(Data!$Q$3:Q255),COLUMNS(Data!$Q$3:Q255)),IF($Q$1=$P$6,INDEX(prem_analysis!$BU$1:$CF$67,ROWS(prem_analysis!$N$2:N254),COLUMNS(prem_analysis!$N$2:N254)),IF($Q$1=$P$4,INDEX(Table24[[#All],[Year]:[Details]],ROWS(prem_analysis!$M$420:M672),COLUMNS(Data!$Q$3:Q255)))))),"")</f>
        <v/>
      </c>
      <c r="S254" s="1" t="str">
        <f>IFERROR(IF($Q$1=$P$3,INDEX(prem_analysis!$P$2:$Q$441,ROWS(Data!$P$2:R254),COLUMNS(Data!$P$3:Q255)),IF($Q$1=$P$5,INDEX(prem_analysis!$BH$1:$BS$23,ROWS(Data!$Q$3:R255),COLUMNS(Data!$Q$3:R255)),IF($Q$1=$P$6,INDEX(prem_analysis!$BU$1:$CF$67,ROWS(prem_analysis!$N$2:O254),COLUMNS(prem_analysis!$N$2:O254)),IF($Q$1=$P$4,INDEX(Table24[[#All],[Year]:[Details]],ROWS(prem_analysis!$M$420:N672),COLUMNS(Data!$Q$3:R255)))))),"")</f>
        <v/>
      </c>
      <c r="T254" s="1" t="str">
        <f>IFERROR(IF($Q$1=$P$3,INDEX(prem_analysis!$P$2:$Q$441,ROWS(Data!$P$2:S254),COLUMNS(Data!$P$3:R255)),IF($Q$1=$P$5,INDEX(prem_analysis!$BH$1:$BS$23,ROWS(Data!$Q$3:S255),COLUMNS(Data!$Q$3:S255)),IF($Q$1=$P$6,INDEX(prem_analysis!$BU$1:$CF$67,ROWS(prem_analysis!$N$2:P254),COLUMNS(prem_analysis!$N$2:P254)),IF($Q$1=$P$4,INDEX(Table24[[#All],[Year]:[Details]],ROWS(prem_analysis!$M$420:O672),COLUMNS(Data!$Q$3:S255)))))),"")</f>
        <v/>
      </c>
      <c r="U254" s="1" t="str">
        <f>IFERROR(IF($Q$1=$P$3,INDEX(prem_analysis!$P$2:$Q$441,ROWS(Data!$P$2:T254),COLUMNS(Data!$P$3:S255)),IF($Q$1=$P$5,INDEX(prem_analysis!$BH$1:$BS$23,ROWS(Data!$Q$3:T255),COLUMNS(Data!$Q$3:T255)),IF($Q$1=$P$6,INDEX(prem_analysis!$BU$1:$CF$67,ROWS(prem_analysis!$N$2:Q254),COLUMNS(prem_analysis!$N$2:Q254)),IF($Q$1=$P$4,INDEX(Table24[[#All],[Year]:[Details]],ROWS(prem_analysis!$M$420:P672),COLUMNS(Data!$Q$3:T255)))))),"")</f>
        <v/>
      </c>
      <c r="V254" s="1" t="str">
        <f>IFERROR(IF($Q$1=$P$3,INDEX(prem_analysis!$P$2:$Q$441,ROWS(Data!$P$2:U254),COLUMNS(Data!$P$3:T255)),IF($Q$1=$P$5,INDEX(prem_analysis!$BH$1:$BS$23,ROWS(Data!$Q$3:U255),COLUMNS(Data!$Q$3:U255)),IF($Q$1=$P$6,INDEX(prem_analysis!$BU$1:$CF$67,ROWS(prem_analysis!$N$2:R254),COLUMNS(prem_analysis!$N$2:R254)),IF($Q$1=$P$4,INDEX(Table24[[#All],[Year]:[Details]],ROWS(prem_analysis!$M$420:Q672),COLUMNS(Data!$Q$3:U255)))))),"")</f>
        <v/>
      </c>
      <c r="W254" s="1" t="str">
        <f>IFERROR(IF($Q$1=$P$3,INDEX(prem_analysis!$P$2:$Q$441,ROWS(Data!$P$2:V254),COLUMNS(Data!$P$3:U255)),IF($Q$1=$P$5,INDEX(prem_analysis!$BH$1:$BS$23,ROWS(Data!$Q$3:V255),COLUMNS(Data!$Q$3:V255)),IF($Q$1=$P$6,INDEX(prem_analysis!$BU$1:$CF$67,ROWS(prem_analysis!$N$2:S254),COLUMNS(prem_analysis!$N$2:S254)),IF($Q$1=$P$4,INDEX(Table24[[#All],[Year]:[Details]],ROWS(prem_analysis!$M$420:R672),COLUMNS(Data!$Q$3:V255)))))),"")</f>
        <v/>
      </c>
      <c r="X254" s="1" t="str">
        <f>IFERROR(IF($Q$1=$P$3,INDEX(prem_analysis!$P$2:$Q$441,ROWS(Data!$P$2:W254),COLUMNS(Data!$P$3:V255)),IF($Q$1=$P$5,INDEX(prem_analysis!$BH$1:$BS$23,ROWS(Data!$Q$3:W255),COLUMNS(Data!$Q$3:W255)),IF($Q$1=$P$6,INDEX(prem_analysis!$BU$1:$CF$67,ROWS(prem_analysis!$N$2:T254),COLUMNS(prem_analysis!$N$2:T254)),IF($Q$1=$P$4,INDEX(Table24[[#All],[Year]:[Details]],ROWS(prem_analysis!$M$420:S672),COLUMNS(Data!$Q$3:W255)))))),"")</f>
        <v/>
      </c>
      <c r="Y254" s="1" t="str">
        <f>IFERROR(IF($Q$1=$P$3,INDEX(prem_analysis!$P$2:$Q$441,ROWS(Data!$P$2:X254),COLUMNS(Data!$P$3:W255)),IF($Q$1=$P$5,INDEX(prem_analysis!$BH$1:$BS$23,ROWS(Data!$Q$3:X255),COLUMNS(Data!$Q$3:X255)),IF($Q$1=$P$6,INDEX(prem_analysis!$BU$1:$CF$67,ROWS(prem_analysis!$N$2:U254),COLUMNS(prem_analysis!$N$2:U254)),IF($Q$1=$P$4,INDEX(Table24[[#All],[Year]:[Details]],ROWS(prem_analysis!$M$420:T672),COLUMNS(Data!$Q$3:X255)))))),"")</f>
        <v/>
      </c>
      <c r="Z254" s="1" t="str">
        <f>IFERROR(IF($Q$1=$P$3,INDEX(prem_analysis!$P$2:$Q$441,ROWS(Data!$P$2:Y254),COLUMNS(Data!$P$3:X255)),IF($Q$1=$P$5,INDEX(prem_analysis!$BH$1:$BS$23,ROWS(Data!$Q$3:Y255),COLUMNS(Data!$Q$3:Y255)),IF($Q$1=$P$6,INDEX(prem_analysis!$BU$1:$CF$67,ROWS(prem_analysis!$N$2:V254),COLUMNS(prem_analysis!$N$2:V254)),IF($Q$1=$P$4,INDEX(Table24[[#All],[Year]:[Details]],ROWS(prem_analysis!$M$420:U672),COLUMNS(Data!$Q$3:Y255)))))),"")</f>
        <v/>
      </c>
      <c r="AA254" s="1" t="str">
        <f>IFERROR(IF($Q$1=$P$3,INDEX(prem_analysis!$P$2:$Q$441,ROWS(Data!$P$2:Z254),COLUMNS(Data!$P$3:Y255)),IF($Q$1=$P$5,INDEX(prem_analysis!$BH$1:$BS$23,ROWS(Data!$Q$3:Z255),COLUMNS(Data!$Q$3:Z255)),IF($Q$1=$P$6,INDEX(prem_analysis!$BU$1:$CF$67,ROWS(prem_analysis!$N$2:W254),COLUMNS(prem_analysis!$N$2:W254)),IF($Q$1=$P$4,INDEX(Table24[[#All],[Year]:[Details]],ROWS(prem_analysis!$M$420:V672),COLUMNS(Data!$Q$3:Z255)))))),"")</f>
        <v/>
      </c>
      <c r="AB254" s="1" t="str">
        <f>IFERROR(IF($Q$1=$P$3,INDEX(prem_analysis!$P$2:$Q$441,ROWS(Data!$P$2:AA254),COLUMNS(Data!$P$3:Z255)),IF($Q$1=$P$5,INDEX(prem_analysis!$BH$1:$BS$23,ROWS(Data!$Q$3:AA255),COLUMNS(Data!$Q$3:AA255)),IF($Q$1=$P$6,INDEX(prem_analysis!$BU$1:$CF$67,ROWS(prem_analysis!$N$2:X254),COLUMNS(prem_analysis!$N$2:X254)),IF($Q$1=$P$4,INDEX(Table24[[#All],[Year]:[Details]],ROWS(prem_analysis!$M$420:W672),COLUMNS(Data!$Q$3:AA255)))))),"")</f>
        <v/>
      </c>
      <c r="AC254" s="1" t="str">
        <f>IFERROR(IF($Q$1=$P$3,INDEX(prem_analysis!$P$2:$Q$441,ROWS(Data!$P$2:AB254),COLUMNS(Data!$P$3:AA255)),IF($Q$1=$P$5,INDEX(prem_analysis!$BH$1:$BS$23,ROWS(Data!$Q$3:AB255),COLUMNS(Data!$Q$3:AB255)),IF($Q$1=$P$6,INDEX(prem_analysis!$BU$1:$CF$67,ROWS(prem_analysis!$N$2:Y254),COLUMNS(prem_analysis!$N$2:Y254)),IF($Q$1=$P$4,INDEX(Table24[[#All],[Year]:[Details]],ROWS(prem_analysis!$M$420:X672),COLUMNS(Data!$Q$3:AB255)))))),"")</f>
        <v/>
      </c>
    </row>
    <row r="255" spans="1:29" x14ac:dyDescent="0.2">
      <c r="A255" s="5">
        <v>2012</v>
      </c>
      <c r="B255" s="5">
        <v>14</v>
      </c>
      <c r="C255" s="6" t="s">
        <v>20</v>
      </c>
      <c r="D255" s="5">
        <v>38</v>
      </c>
      <c r="E255" s="5">
        <v>9</v>
      </c>
      <c r="F255" s="5">
        <v>14</v>
      </c>
      <c r="G255" s="5">
        <v>15</v>
      </c>
      <c r="H255" s="5">
        <v>49</v>
      </c>
      <c r="I255" s="5">
        <v>60</v>
      </c>
      <c r="J255" s="5">
        <v>-11</v>
      </c>
      <c r="K255" s="5">
        <v>41</v>
      </c>
      <c r="L255" s="5">
        <f>IF(Table24[[#This Row],['#]]=1,"Champion", IF(Table24[[#This Row],['#]]&gt;=18,"Relegated",Table24[[#This Row],['#]]))</f>
        <v>14</v>
      </c>
      <c r="M255" s="5" t="str">
        <f>IF(Table24[[#This Row],[Details]]=2,K254-Table24[[#This Row],[Pts]],IF(Table24[[#This Row],[Details]]=17,Table24[[#This Row],[Pts]]-K256,""))</f>
        <v/>
      </c>
      <c r="R255" s="1" t="str">
        <f>IFERROR(IF($Q$1=$P$3,INDEX(prem_analysis!$P$2:$Q$441,ROWS(Data!$P$2:Q255),COLUMNS(Data!$P$3:P256)),IF($Q$1=$P$5,INDEX(prem_analysis!$BH$1:$BS$23,ROWS(Data!$Q$3:Q256),COLUMNS(Data!$Q$3:Q256)),IF($Q$1=$P$6,INDEX(prem_analysis!$BU$1:$CF$67,ROWS(prem_analysis!$N$2:N255),COLUMNS(prem_analysis!$N$2:N255)),IF($Q$1=$P$4,INDEX(Table24[[#All],[Year]:[Details]],ROWS(prem_analysis!$M$420:M673),COLUMNS(Data!$Q$3:Q256)))))),"")</f>
        <v/>
      </c>
      <c r="S255" s="1" t="str">
        <f>IFERROR(IF($Q$1=$P$3,INDEX(prem_analysis!$P$2:$Q$441,ROWS(Data!$P$2:R255),COLUMNS(Data!$P$3:Q256)),IF($Q$1=$P$5,INDEX(prem_analysis!$BH$1:$BS$23,ROWS(Data!$Q$3:R256),COLUMNS(Data!$Q$3:R256)),IF($Q$1=$P$6,INDEX(prem_analysis!$BU$1:$CF$67,ROWS(prem_analysis!$N$2:O255),COLUMNS(prem_analysis!$N$2:O255)),IF($Q$1=$P$4,INDEX(Table24[[#All],[Year]:[Details]],ROWS(prem_analysis!$M$420:N673),COLUMNS(Data!$Q$3:R256)))))),"")</f>
        <v/>
      </c>
      <c r="T255" s="1" t="str">
        <f>IFERROR(IF($Q$1=$P$3,INDEX(prem_analysis!$P$2:$Q$441,ROWS(Data!$P$2:S255),COLUMNS(Data!$P$3:R256)),IF($Q$1=$P$5,INDEX(prem_analysis!$BH$1:$BS$23,ROWS(Data!$Q$3:S256),COLUMNS(Data!$Q$3:S256)),IF($Q$1=$P$6,INDEX(prem_analysis!$BU$1:$CF$67,ROWS(prem_analysis!$N$2:P255),COLUMNS(prem_analysis!$N$2:P255)),IF($Q$1=$P$4,INDEX(Table24[[#All],[Year]:[Details]],ROWS(prem_analysis!$M$420:O673),COLUMNS(Data!$Q$3:S256)))))),"")</f>
        <v/>
      </c>
      <c r="U255" s="1" t="str">
        <f>IFERROR(IF($Q$1=$P$3,INDEX(prem_analysis!$P$2:$Q$441,ROWS(Data!$P$2:T255),COLUMNS(Data!$P$3:S256)),IF($Q$1=$P$5,INDEX(prem_analysis!$BH$1:$BS$23,ROWS(Data!$Q$3:T256),COLUMNS(Data!$Q$3:T256)),IF($Q$1=$P$6,INDEX(prem_analysis!$BU$1:$CF$67,ROWS(prem_analysis!$N$2:Q255),COLUMNS(prem_analysis!$N$2:Q255)),IF($Q$1=$P$4,INDEX(Table24[[#All],[Year]:[Details]],ROWS(prem_analysis!$M$420:P673),COLUMNS(Data!$Q$3:T256)))))),"")</f>
        <v/>
      </c>
      <c r="V255" s="1" t="str">
        <f>IFERROR(IF($Q$1=$P$3,INDEX(prem_analysis!$P$2:$Q$441,ROWS(Data!$P$2:U255),COLUMNS(Data!$P$3:T256)),IF($Q$1=$P$5,INDEX(prem_analysis!$BH$1:$BS$23,ROWS(Data!$Q$3:U256),COLUMNS(Data!$Q$3:U256)),IF($Q$1=$P$6,INDEX(prem_analysis!$BU$1:$CF$67,ROWS(prem_analysis!$N$2:R255),COLUMNS(prem_analysis!$N$2:R255)),IF($Q$1=$P$4,INDEX(Table24[[#All],[Year]:[Details]],ROWS(prem_analysis!$M$420:Q673),COLUMNS(Data!$Q$3:U256)))))),"")</f>
        <v/>
      </c>
      <c r="W255" s="1" t="str">
        <f>IFERROR(IF($Q$1=$P$3,INDEX(prem_analysis!$P$2:$Q$441,ROWS(Data!$P$2:V255),COLUMNS(Data!$P$3:U256)),IF($Q$1=$P$5,INDEX(prem_analysis!$BH$1:$BS$23,ROWS(Data!$Q$3:V256),COLUMNS(Data!$Q$3:V256)),IF($Q$1=$P$6,INDEX(prem_analysis!$BU$1:$CF$67,ROWS(prem_analysis!$N$2:S255),COLUMNS(prem_analysis!$N$2:S255)),IF($Q$1=$P$4,INDEX(Table24[[#All],[Year]:[Details]],ROWS(prem_analysis!$M$420:R673),COLUMNS(Data!$Q$3:V256)))))),"")</f>
        <v/>
      </c>
      <c r="X255" s="1" t="str">
        <f>IFERROR(IF($Q$1=$P$3,INDEX(prem_analysis!$P$2:$Q$441,ROWS(Data!$P$2:W255),COLUMNS(Data!$P$3:V256)),IF($Q$1=$P$5,INDEX(prem_analysis!$BH$1:$BS$23,ROWS(Data!$Q$3:W256),COLUMNS(Data!$Q$3:W256)),IF($Q$1=$P$6,INDEX(prem_analysis!$BU$1:$CF$67,ROWS(prem_analysis!$N$2:T255),COLUMNS(prem_analysis!$N$2:T255)),IF($Q$1=$P$4,INDEX(Table24[[#All],[Year]:[Details]],ROWS(prem_analysis!$M$420:S673),COLUMNS(Data!$Q$3:W256)))))),"")</f>
        <v/>
      </c>
      <c r="Y255" s="1" t="str">
        <f>IFERROR(IF($Q$1=$P$3,INDEX(prem_analysis!$P$2:$Q$441,ROWS(Data!$P$2:X255),COLUMNS(Data!$P$3:W256)),IF($Q$1=$P$5,INDEX(prem_analysis!$BH$1:$BS$23,ROWS(Data!$Q$3:X256),COLUMNS(Data!$Q$3:X256)),IF($Q$1=$P$6,INDEX(prem_analysis!$BU$1:$CF$67,ROWS(prem_analysis!$N$2:U255),COLUMNS(prem_analysis!$N$2:U255)),IF($Q$1=$P$4,INDEX(Table24[[#All],[Year]:[Details]],ROWS(prem_analysis!$M$420:T673),COLUMNS(Data!$Q$3:X256)))))),"")</f>
        <v/>
      </c>
      <c r="Z255" s="1" t="str">
        <f>IFERROR(IF($Q$1=$P$3,INDEX(prem_analysis!$P$2:$Q$441,ROWS(Data!$P$2:Y255),COLUMNS(Data!$P$3:X256)),IF($Q$1=$P$5,INDEX(prem_analysis!$BH$1:$BS$23,ROWS(Data!$Q$3:Y256),COLUMNS(Data!$Q$3:Y256)),IF($Q$1=$P$6,INDEX(prem_analysis!$BU$1:$CF$67,ROWS(prem_analysis!$N$2:V255),COLUMNS(prem_analysis!$N$2:V255)),IF($Q$1=$P$4,INDEX(Table24[[#All],[Year]:[Details]],ROWS(prem_analysis!$M$420:U673),COLUMNS(Data!$Q$3:Y256)))))),"")</f>
        <v/>
      </c>
      <c r="AA255" s="1" t="str">
        <f>IFERROR(IF($Q$1=$P$3,INDEX(prem_analysis!$P$2:$Q$441,ROWS(Data!$P$2:Z255),COLUMNS(Data!$P$3:Y256)),IF($Q$1=$P$5,INDEX(prem_analysis!$BH$1:$BS$23,ROWS(Data!$Q$3:Z256),COLUMNS(Data!$Q$3:Z256)),IF($Q$1=$P$6,INDEX(prem_analysis!$BU$1:$CF$67,ROWS(prem_analysis!$N$2:W255),COLUMNS(prem_analysis!$N$2:W255)),IF($Q$1=$P$4,INDEX(Table24[[#All],[Year]:[Details]],ROWS(prem_analysis!$M$420:V673),COLUMNS(Data!$Q$3:Z256)))))),"")</f>
        <v/>
      </c>
      <c r="AB255" s="1" t="str">
        <f>IFERROR(IF($Q$1=$P$3,INDEX(prem_analysis!$P$2:$Q$441,ROWS(Data!$P$2:AA255),COLUMNS(Data!$P$3:Z256)),IF($Q$1=$P$5,INDEX(prem_analysis!$BH$1:$BS$23,ROWS(Data!$Q$3:AA256),COLUMNS(Data!$Q$3:AA256)),IF($Q$1=$P$6,INDEX(prem_analysis!$BU$1:$CF$67,ROWS(prem_analysis!$N$2:X255),COLUMNS(prem_analysis!$N$2:X255)),IF($Q$1=$P$4,INDEX(Table24[[#All],[Year]:[Details]],ROWS(prem_analysis!$M$420:W673),COLUMNS(Data!$Q$3:AA256)))))),"")</f>
        <v/>
      </c>
      <c r="AC255" s="1" t="str">
        <f>IFERROR(IF($Q$1=$P$3,INDEX(prem_analysis!$P$2:$Q$441,ROWS(Data!$P$2:AB255),COLUMNS(Data!$P$3:AA256)),IF($Q$1=$P$5,INDEX(prem_analysis!$BH$1:$BS$23,ROWS(Data!$Q$3:AB256),COLUMNS(Data!$Q$3:AB256)),IF($Q$1=$P$6,INDEX(prem_analysis!$BU$1:$CF$67,ROWS(prem_analysis!$N$2:Y255),COLUMNS(prem_analysis!$N$2:Y255)),IF($Q$1=$P$4,INDEX(Table24[[#All],[Year]:[Details]],ROWS(prem_analysis!$M$420:X673),COLUMNS(Data!$Q$3:AB256)))))),"")</f>
        <v/>
      </c>
    </row>
    <row r="256" spans="1:29" x14ac:dyDescent="0.2">
      <c r="A256" s="3">
        <v>2012</v>
      </c>
      <c r="B256" s="3">
        <v>15</v>
      </c>
      <c r="C256" s="4" t="s">
        <v>18</v>
      </c>
      <c r="D256" s="3">
        <v>38</v>
      </c>
      <c r="E256" s="3">
        <v>10</v>
      </c>
      <c r="F256" s="3">
        <v>11</v>
      </c>
      <c r="G256" s="3">
        <v>17</v>
      </c>
      <c r="H256" s="3">
        <v>47</v>
      </c>
      <c r="I256" s="3">
        <v>69</v>
      </c>
      <c r="J256" s="3">
        <v>-22</v>
      </c>
      <c r="K256" s="3">
        <v>41</v>
      </c>
      <c r="L256" s="5">
        <f>IF(Table24[[#This Row],['#]]=1,"Champion", IF(Table24[[#This Row],['#]]&gt;=18,"Relegated",Table24[[#This Row],['#]]))</f>
        <v>15</v>
      </c>
      <c r="M256" s="5" t="str">
        <f>IF(Table24[[#This Row],[Details]]=2,K255-Table24[[#This Row],[Pts]],IF(Table24[[#This Row],[Details]]=17,Table24[[#This Row],[Pts]]-K257,""))</f>
        <v/>
      </c>
      <c r="R256" s="1" t="str">
        <f>IFERROR(IF($Q$1=$P$3,INDEX(prem_analysis!$P$2:$Q$441,ROWS(Data!$P$2:Q256),COLUMNS(Data!$P$3:P257)),IF($Q$1=$P$5,INDEX(prem_analysis!$BH$1:$BS$23,ROWS(Data!$Q$3:Q257),COLUMNS(Data!$Q$3:Q257)),IF($Q$1=$P$6,INDEX(prem_analysis!$BU$1:$CF$67,ROWS(prem_analysis!$N$2:N256),COLUMNS(prem_analysis!$N$2:N256)),IF($Q$1=$P$4,INDEX(Table24[[#All],[Year]:[Details]],ROWS(prem_analysis!$M$420:M674),COLUMNS(Data!$Q$3:Q257)))))),"")</f>
        <v/>
      </c>
      <c r="S256" s="1" t="str">
        <f>IFERROR(IF($Q$1=$P$3,INDEX(prem_analysis!$P$2:$Q$441,ROWS(Data!$P$2:R256),COLUMNS(Data!$P$3:Q257)),IF($Q$1=$P$5,INDEX(prem_analysis!$BH$1:$BS$23,ROWS(Data!$Q$3:R257),COLUMNS(Data!$Q$3:R257)),IF($Q$1=$P$6,INDEX(prem_analysis!$BU$1:$CF$67,ROWS(prem_analysis!$N$2:O256),COLUMNS(prem_analysis!$N$2:O256)),IF($Q$1=$P$4,INDEX(Table24[[#All],[Year]:[Details]],ROWS(prem_analysis!$M$420:N674),COLUMNS(Data!$Q$3:R257)))))),"")</f>
        <v/>
      </c>
      <c r="T256" s="1" t="str">
        <f>IFERROR(IF($Q$1=$P$3,INDEX(prem_analysis!$P$2:$Q$441,ROWS(Data!$P$2:S256),COLUMNS(Data!$P$3:R257)),IF($Q$1=$P$5,INDEX(prem_analysis!$BH$1:$BS$23,ROWS(Data!$Q$3:S257),COLUMNS(Data!$Q$3:S257)),IF($Q$1=$P$6,INDEX(prem_analysis!$BU$1:$CF$67,ROWS(prem_analysis!$N$2:P256),COLUMNS(prem_analysis!$N$2:P256)),IF($Q$1=$P$4,INDEX(Table24[[#All],[Year]:[Details]],ROWS(prem_analysis!$M$420:O674),COLUMNS(Data!$Q$3:S257)))))),"")</f>
        <v/>
      </c>
      <c r="U256" s="1" t="str">
        <f>IFERROR(IF($Q$1=$P$3,INDEX(prem_analysis!$P$2:$Q$441,ROWS(Data!$P$2:T256),COLUMNS(Data!$P$3:S257)),IF($Q$1=$P$5,INDEX(prem_analysis!$BH$1:$BS$23,ROWS(Data!$Q$3:T257),COLUMNS(Data!$Q$3:T257)),IF($Q$1=$P$6,INDEX(prem_analysis!$BU$1:$CF$67,ROWS(prem_analysis!$N$2:Q256),COLUMNS(prem_analysis!$N$2:Q256)),IF($Q$1=$P$4,INDEX(Table24[[#All],[Year]:[Details]],ROWS(prem_analysis!$M$420:P674),COLUMNS(Data!$Q$3:T257)))))),"")</f>
        <v/>
      </c>
      <c r="V256" s="1" t="str">
        <f>IFERROR(IF($Q$1=$P$3,INDEX(prem_analysis!$P$2:$Q$441,ROWS(Data!$P$2:U256),COLUMNS(Data!$P$3:T257)),IF($Q$1=$P$5,INDEX(prem_analysis!$BH$1:$BS$23,ROWS(Data!$Q$3:U257),COLUMNS(Data!$Q$3:U257)),IF($Q$1=$P$6,INDEX(prem_analysis!$BU$1:$CF$67,ROWS(prem_analysis!$N$2:R256),COLUMNS(prem_analysis!$N$2:R256)),IF($Q$1=$P$4,INDEX(Table24[[#All],[Year]:[Details]],ROWS(prem_analysis!$M$420:Q674),COLUMNS(Data!$Q$3:U257)))))),"")</f>
        <v/>
      </c>
      <c r="W256" s="1" t="str">
        <f>IFERROR(IF($Q$1=$P$3,INDEX(prem_analysis!$P$2:$Q$441,ROWS(Data!$P$2:V256),COLUMNS(Data!$P$3:U257)),IF($Q$1=$P$5,INDEX(prem_analysis!$BH$1:$BS$23,ROWS(Data!$Q$3:V257),COLUMNS(Data!$Q$3:V257)),IF($Q$1=$P$6,INDEX(prem_analysis!$BU$1:$CF$67,ROWS(prem_analysis!$N$2:S256),COLUMNS(prem_analysis!$N$2:S256)),IF($Q$1=$P$4,INDEX(Table24[[#All],[Year]:[Details]],ROWS(prem_analysis!$M$420:R674),COLUMNS(Data!$Q$3:V257)))))),"")</f>
        <v/>
      </c>
      <c r="X256" s="1" t="str">
        <f>IFERROR(IF($Q$1=$P$3,INDEX(prem_analysis!$P$2:$Q$441,ROWS(Data!$P$2:W256),COLUMNS(Data!$P$3:V257)),IF($Q$1=$P$5,INDEX(prem_analysis!$BH$1:$BS$23,ROWS(Data!$Q$3:W257),COLUMNS(Data!$Q$3:W257)),IF($Q$1=$P$6,INDEX(prem_analysis!$BU$1:$CF$67,ROWS(prem_analysis!$N$2:T256),COLUMNS(prem_analysis!$N$2:T256)),IF($Q$1=$P$4,INDEX(Table24[[#All],[Year]:[Details]],ROWS(prem_analysis!$M$420:S674),COLUMNS(Data!$Q$3:W257)))))),"")</f>
        <v/>
      </c>
      <c r="Y256" s="1" t="str">
        <f>IFERROR(IF($Q$1=$P$3,INDEX(prem_analysis!$P$2:$Q$441,ROWS(Data!$P$2:X256),COLUMNS(Data!$P$3:W257)),IF($Q$1=$P$5,INDEX(prem_analysis!$BH$1:$BS$23,ROWS(Data!$Q$3:X257),COLUMNS(Data!$Q$3:X257)),IF($Q$1=$P$6,INDEX(prem_analysis!$BU$1:$CF$67,ROWS(prem_analysis!$N$2:U256),COLUMNS(prem_analysis!$N$2:U256)),IF($Q$1=$P$4,INDEX(Table24[[#All],[Year]:[Details]],ROWS(prem_analysis!$M$420:T674),COLUMNS(Data!$Q$3:X257)))))),"")</f>
        <v/>
      </c>
      <c r="Z256" s="1" t="str">
        <f>IFERROR(IF($Q$1=$P$3,INDEX(prem_analysis!$P$2:$Q$441,ROWS(Data!$P$2:Y256),COLUMNS(Data!$P$3:X257)),IF($Q$1=$P$5,INDEX(prem_analysis!$BH$1:$BS$23,ROWS(Data!$Q$3:Y257),COLUMNS(Data!$Q$3:Y257)),IF($Q$1=$P$6,INDEX(prem_analysis!$BU$1:$CF$67,ROWS(prem_analysis!$N$2:V256),COLUMNS(prem_analysis!$N$2:V256)),IF($Q$1=$P$4,INDEX(Table24[[#All],[Year]:[Details]],ROWS(prem_analysis!$M$420:U674),COLUMNS(Data!$Q$3:Y257)))))),"")</f>
        <v/>
      </c>
      <c r="AA256" s="1" t="str">
        <f>IFERROR(IF($Q$1=$P$3,INDEX(prem_analysis!$P$2:$Q$441,ROWS(Data!$P$2:Z256),COLUMNS(Data!$P$3:Y257)),IF($Q$1=$P$5,INDEX(prem_analysis!$BH$1:$BS$23,ROWS(Data!$Q$3:Z257),COLUMNS(Data!$Q$3:Z257)),IF($Q$1=$P$6,INDEX(prem_analysis!$BU$1:$CF$67,ROWS(prem_analysis!$N$2:W256),COLUMNS(prem_analysis!$N$2:W256)),IF($Q$1=$P$4,INDEX(Table24[[#All],[Year]:[Details]],ROWS(prem_analysis!$M$420:V674),COLUMNS(Data!$Q$3:Z257)))))),"")</f>
        <v/>
      </c>
      <c r="AB256" s="1" t="str">
        <f>IFERROR(IF($Q$1=$P$3,INDEX(prem_analysis!$P$2:$Q$441,ROWS(Data!$P$2:AA256),COLUMNS(Data!$P$3:Z257)),IF($Q$1=$P$5,INDEX(prem_analysis!$BH$1:$BS$23,ROWS(Data!$Q$3:AA257),COLUMNS(Data!$Q$3:AA257)),IF($Q$1=$P$6,INDEX(prem_analysis!$BU$1:$CF$67,ROWS(prem_analysis!$N$2:X256),COLUMNS(prem_analysis!$N$2:X256)),IF($Q$1=$P$4,INDEX(Table24[[#All],[Year]:[Details]],ROWS(prem_analysis!$M$420:W674),COLUMNS(Data!$Q$3:AA257)))))),"")</f>
        <v/>
      </c>
      <c r="AC256" s="1" t="str">
        <f>IFERROR(IF($Q$1=$P$3,INDEX(prem_analysis!$P$2:$Q$441,ROWS(Data!$P$2:AB256),COLUMNS(Data!$P$3:AA257)),IF($Q$1=$P$5,INDEX(prem_analysis!$BH$1:$BS$23,ROWS(Data!$Q$3:AB257),COLUMNS(Data!$Q$3:AB257)),IF($Q$1=$P$6,INDEX(prem_analysis!$BU$1:$CF$67,ROWS(prem_analysis!$N$2:Y256),COLUMNS(prem_analysis!$N$2:Y256)),IF($Q$1=$P$4,INDEX(Table24[[#All],[Year]:[Details]],ROWS(prem_analysis!$M$420:X674),COLUMNS(Data!$Q$3:AB257)))))),"")</f>
        <v/>
      </c>
    </row>
    <row r="257" spans="1:29" x14ac:dyDescent="0.2">
      <c r="A257" s="5">
        <v>2012</v>
      </c>
      <c r="B257" s="5">
        <v>16</v>
      </c>
      <c r="C257" s="6" t="s">
        <v>21</v>
      </c>
      <c r="D257" s="5">
        <v>38</v>
      </c>
      <c r="E257" s="5">
        <v>11</v>
      </c>
      <c r="F257" s="5">
        <v>8</v>
      </c>
      <c r="G257" s="5">
        <v>19</v>
      </c>
      <c r="H257" s="5">
        <v>45</v>
      </c>
      <c r="I257" s="5">
        <v>68</v>
      </c>
      <c r="J257" s="5">
        <v>-23</v>
      </c>
      <c r="K257" s="5">
        <v>41</v>
      </c>
      <c r="L257" s="5">
        <f>IF(Table24[[#This Row],['#]]=1,"Champion", IF(Table24[[#This Row],['#]]&gt;=18,"Relegated",Table24[[#This Row],['#]]))</f>
        <v>16</v>
      </c>
      <c r="M257" s="5" t="str">
        <f>IF(Table24[[#This Row],[Details]]=2,K256-Table24[[#This Row],[Pts]],IF(Table24[[#This Row],[Details]]=17,Table24[[#This Row],[Pts]]-K258,""))</f>
        <v/>
      </c>
      <c r="R257" s="1" t="str">
        <f>IFERROR(IF($Q$1=$P$3,INDEX(prem_analysis!$P$2:$Q$441,ROWS(Data!$P$2:Q257),COLUMNS(Data!$P$3:P258)),IF($Q$1=$P$5,INDEX(prem_analysis!$BH$1:$BS$23,ROWS(Data!$Q$3:Q258),COLUMNS(Data!$Q$3:Q258)),IF($Q$1=$P$6,INDEX(prem_analysis!$BU$1:$CF$67,ROWS(prem_analysis!$N$2:N257),COLUMNS(prem_analysis!$N$2:N257)),IF($Q$1=$P$4,INDEX(Table24[[#All],[Year]:[Details]],ROWS(prem_analysis!$M$420:M675),COLUMNS(Data!$Q$3:Q258)))))),"")</f>
        <v/>
      </c>
      <c r="S257" s="1" t="str">
        <f>IFERROR(IF($Q$1=$P$3,INDEX(prem_analysis!$P$2:$Q$441,ROWS(Data!$P$2:R257),COLUMNS(Data!$P$3:Q258)),IF($Q$1=$P$5,INDEX(prem_analysis!$BH$1:$BS$23,ROWS(Data!$Q$3:R258),COLUMNS(Data!$Q$3:R258)),IF($Q$1=$P$6,INDEX(prem_analysis!$BU$1:$CF$67,ROWS(prem_analysis!$N$2:O257),COLUMNS(prem_analysis!$N$2:O257)),IF($Q$1=$P$4,INDEX(Table24[[#All],[Year]:[Details]],ROWS(prem_analysis!$M$420:N675),COLUMNS(Data!$Q$3:R258)))))),"")</f>
        <v/>
      </c>
      <c r="T257" s="1" t="str">
        <f>IFERROR(IF($Q$1=$P$3,INDEX(prem_analysis!$P$2:$Q$441,ROWS(Data!$P$2:S257),COLUMNS(Data!$P$3:R258)),IF($Q$1=$P$5,INDEX(prem_analysis!$BH$1:$BS$23,ROWS(Data!$Q$3:S258),COLUMNS(Data!$Q$3:S258)),IF($Q$1=$P$6,INDEX(prem_analysis!$BU$1:$CF$67,ROWS(prem_analysis!$N$2:P257),COLUMNS(prem_analysis!$N$2:P257)),IF($Q$1=$P$4,INDEX(Table24[[#All],[Year]:[Details]],ROWS(prem_analysis!$M$420:O675),COLUMNS(Data!$Q$3:S258)))))),"")</f>
        <v/>
      </c>
      <c r="U257" s="1" t="str">
        <f>IFERROR(IF($Q$1=$P$3,INDEX(prem_analysis!$P$2:$Q$441,ROWS(Data!$P$2:T257),COLUMNS(Data!$P$3:S258)),IF($Q$1=$P$5,INDEX(prem_analysis!$BH$1:$BS$23,ROWS(Data!$Q$3:T258),COLUMNS(Data!$Q$3:T258)),IF($Q$1=$P$6,INDEX(prem_analysis!$BU$1:$CF$67,ROWS(prem_analysis!$N$2:Q257),COLUMNS(prem_analysis!$N$2:Q257)),IF($Q$1=$P$4,INDEX(Table24[[#All],[Year]:[Details]],ROWS(prem_analysis!$M$420:P675),COLUMNS(Data!$Q$3:T258)))))),"")</f>
        <v/>
      </c>
      <c r="V257" s="1" t="str">
        <f>IFERROR(IF($Q$1=$P$3,INDEX(prem_analysis!$P$2:$Q$441,ROWS(Data!$P$2:U257),COLUMNS(Data!$P$3:T258)),IF($Q$1=$P$5,INDEX(prem_analysis!$BH$1:$BS$23,ROWS(Data!$Q$3:U258),COLUMNS(Data!$Q$3:U258)),IF($Q$1=$P$6,INDEX(prem_analysis!$BU$1:$CF$67,ROWS(prem_analysis!$N$2:R257),COLUMNS(prem_analysis!$N$2:R257)),IF($Q$1=$P$4,INDEX(Table24[[#All],[Year]:[Details]],ROWS(prem_analysis!$M$420:Q675),COLUMNS(Data!$Q$3:U258)))))),"")</f>
        <v/>
      </c>
      <c r="W257" s="1" t="str">
        <f>IFERROR(IF($Q$1=$P$3,INDEX(prem_analysis!$P$2:$Q$441,ROWS(Data!$P$2:V257),COLUMNS(Data!$P$3:U258)),IF($Q$1=$P$5,INDEX(prem_analysis!$BH$1:$BS$23,ROWS(Data!$Q$3:V258),COLUMNS(Data!$Q$3:V258)),IF($Q$1=$P$6,INDEX(prem_analysis!$BU$1:$CF$67,ROWS(prem_analysis!$N$2:S257),COLUMNS(prem_analysis!$N$2:S257)),IF($Q$1=$P$4,INDEX(Table24[[#All],[Year]:[Details]],ROWS(prem_analysis!$M$420:R675),COLUMNS(Data!$Q$3:V258)))))),"")</f>
        <v/>
      </c>
      <c r="X257" s="1" t="str">
        <f>IFERROR(IF($Q$1=$P$3,INDEX(prem_analysis!$P$2:$Q$441,ROWS(Data!$P$2:W257),COLUMNS(Data!$P$3:V258)),IF($Q$1=$P$5,INDEX(prem_analysis!$BH$1:$BS$23,ROWS(Data!$Q$3:W258),COLUMNS(Data!$Q$3:W258)),IF($Q$1=$P$6,INDEX(prem_analysis!$BU$1:$CF$67,ROWS(prem_analysis!$N$2:T257),COLUMNS(prem_analysis!$N$2:T257)),IF($Q$1=$P$4,INDEX(Table24[[#All],[Year]:[Details]],ROWS(prem_analysis!$M$420:S675),COLUMNS(Data!$Q$3:W258)))))),"")</f>
        <v/>
      </c>
      <c r="Y257" s="1" t="str">
        <f>IFERROR(IF($Q$1=$P$3,INDEX(prem_analysis!$P$2:$Q$441,ROWS(Data!$P$2:X257),COLUMNS(Data!$P$3:W258)),IF($Q$1=$P$5,INDEX(prem_analysis!$BH$1:$BS$23,ROWS(Data!$Q$3:X258),COLUMNS(Data!$Q$3:X258)),IF($Q$1=$P$6,INDEX(prem_analysis!$BU$1:$CF$67,ROWS(prem_analysis!$N$2:U257),COLUMNS(prem_analysis!$N$2:U257)),IF($Q$1=$P$4,INDEX(Table24[[#All],[Year]:[Details]],ROWS(prem_analysis!$M$420:T675),COLUMNS(Data!$Q$3:X258)))))),"")</f>
        <v/>
      </c>
      <c r="Z257" s="1" t="str">
        <f>IFERROR(IF($Q$1=$P$3,INDEX(prem_analysis!$P$2:$Q$441,ROWS(Data!$P$2:Y257),COLUMNS(Data!$P$3:X258)),IF($Q$1=$P$5,INDEX(prem_analysis!$BH$1:$BS$23,ROWS(Data!$Q$3:Y258),COLUMNS(Data!$Q$3:Y258)),IF($Q$1=$P$6,INDEX(prem_analysis!$BU$1:$CF$67,ROWS(prem_analysis!$N$2:V257),COLUMNS(prem_analysis!$N$2:V257)),IF($Q$1=$P$4,INDEX(Table24[[#All],[Year]:[Details]],ROWS(prem_analysis!$M$420:U675),COLUMNS(Data!$Q$3:Y258)))))),"")</f>
        <v/>
      </c>
      <c r="AA257" s="1" t="str">
        <f>IFERROR(IF($Q$1=$P$3,INDEX(prem_analysis!$P$2:$Q$441,ROWS(Data!$P$2:Z257),COLUMNS(Data!$P$3:Y258)),IF($Q$1=$P$5,INDEX(prem_analysis!$BH$1:$BS$23,ROWS(Data!$Q$3:Z258),COLUMNS(Data!$Q$3:Z258)),IF($Q$1=$P$6,INDEX(prem_analysis!$BU$1:$CF$67,ROWS(prem_analysis!$N$2:W257),COLUMNS(prem_analysis!$N$2:W257)),IF($Q$1=$P$4,INDEX(Table24[[#All],[Year]:[Details]],ROWS(prem_analysis!$M$420:V675),COLUMNS(Data!$Q$3:Z258)))))),"")</f>
        <v/>
      </c>
      <c r="AB257" s="1" t="str">
        <f>IFERROR(IF($Q$1=$P$3,INDEX(prem_analysis!$P$2:$Q$441,ROWS(Data!$P$2:AA257),COLUMNS(Data!$P$3:Z258)),IF($Q$1=$P$5,INDEX(prem_analysis!$BH$1:$BS$23,ROWS(Data!$Q$3:AA258),COLUMNS(Data!$Q$3:AA258)),IF($Q$1=$P$6,INDEX(prem_analysis!$BU$1:$CF$67,ROWS(prem_analysis!$N$2:X257),COLUMNS(prem_analysis!$N$2:X257)),IF($Q$1=$P$4,INDEX(Table24[[#All],[Year]:[Details]],ROWS(prem_analysis!$M$420:W675),COLUMNS(Data!$Q$3:AA258)))))),"")</f>
        <v/>
      </c>
      <c r="AC257" s="1" t="str">
        <f>IFERROR(IF($Q$1=$P$3,INDEX(prem_analysis!$P$2:$Q$441,ROWS(Data!$P$2:AB257),COLUMNS(Data!$P$3:AA258)),IF($Q$1=$P$5,INDEX(prem_analysis!$BH$1:$BS$23,ROWS(Data!$Q$3:AB258),COLUMNS(Data!$Q$3:AB258)),IF($Q$1=$P$6,INDEX(prem_analysis!$BU$1:$CF$67,ROWS(prem_analysis!$N$2:Y257),COLUMNS(prem_analysis!$N$2:Y257)),IF($Q$1=$P$4,INDEX(Table24[[#All],[Year]:[Details]],ROWS(prem_analysis!$M$420:X675),COLUMNS(Data!$Q$3:AB258)))))),"")</f>
        <v/>
      </c>
    </row>
    <row r="258" spans="1:29" x14ac:dyDescent="0.2">
      <c r="A258" s="3">
        <v>2012</v>
      </c>
      <c r="B258" s="3">
        <v>17</v>
      </c>
      <c r="C258" s="4" t="s">
        <v>17</v>
      </c>
      <c r="D258" s="3">
        <v>38</v>
      </c>
      <c r="E258" s="3">
        <v>9</v>
      </c>
      <c r="F258" s="3">
        <v>12</v>
      </c>
      <c r="G258" s="3">
        <v>17</v>
      </c>
      <c r="H258" s="3">
        <v>41</v>
      </c>
      <c r="I258" s="3">
        <v>54</v>
      </c>
      <c r="J258" s="3">
        <v>-13</v>
      </c>
      <c r="K258" s="3">
        <v>39</v>
      </c>
      <c r="L258" s="5">
        <f>IF(Table24[[#This Row],['#]]=1,"Champion", IF(Table24[[#This Row],['#]]&gt;=18,"Relegated",Table24[[#This Row],['#]]))</f>
        <v>17</v>
      </c>
      <c r="M258" s="5">
        <f>IF(Table24[[#This Row],[Details]]=2,K257-Table24[[#This Row],[Pts]],IF(Table24[[#This Row],[Details]]=17,Table24[[#This Row],[Pts]]-K259,""))</f>
        <v>3</v>
      </c>
      <c r="R258" s="1" t="str">
        <f>IFERROR(IF($Q$1=$P$3,INDEX(prem_analysis!$P$2:$Q$441,ROWS(Data!$P$2:Q258),COLUMNS(Data!$P$3:P259)),IF($Q$1=$P$5,INDEX(prem_analysis!$BH$1:$BS$23,ROWS(Data!$Q$3:Q259),COLUMNS(Data!$Q$3:Q259)),IF($Q$1=$P$6,INDEX(prem_analysis!$BU$1:$CF$67,ROWS(prem_analysis!$N$2:N258),COLUMNS(prem_analysis!$N$2:N258)),IF($Q$1=$P$4,INDEX(Table24[[#All],[Year]:[Details]],ROWS(prem_analysis!$M$420:M676),COLUMNS(Data!$Q$3:Q259)))))),"")</f>
        <v/>
      </c>
      <c r="S258" s="1" t="str">
        <f>IFERROR(IF($Q$1=$P$3,INDEX(prem_analysis!$P$2:$Q$441,ROWS(Data!$P$2:R258),COLUMNS(Data!$P$3:Q259)),IF($Q$1=$P$5,INDEX(prem_analysis!$BH$1:$BS$23,ROWS(Data!$Q$3:R259),COLUMNS(Data!$Q$3:R259)),IF($Q$1=$P$6,INDEX(prem_analysis!$BU$1:$CF$67,ROWS(prem_analysis!$N$2:O258),COLUMNS(prem_analysis!$N$2:O258)),IF($Q$1=$P$4,INDEX(Table24[[#All],[Year]:[Details]],ROWS(prem_analysis!$M$420:N676),COLUMNS(Data!$Q$3:R259)))))),"")</f>
        <v/>
      </c>
      <c r="T258" s="1" t="str">
        <f>IFERROR(IF($Q$1=$P$3,INDEX(prem_analysis!$P$2:$Q$441,ROWS(Data!$P$2:S258),COLUMNS(Data!$P$3:R259)),IF($Q$1=$P$5,INDEX(prem_analysis!$BH$1:$BS$23,ROWS(Data!$Q$3:S259),COLUMNS(Data!$Q$3:S259)),IF($Q$1=$P$6,INDEX(prem_analysis!$BU$1:$CF$67,ROWS(prem_analysis!$N$2:P258),COLUMNS(prem_analysis!$N$2:P258)),IF($Q$1=$P$4,INDEX(Table24[[#All],[Year]:[Details]],ROWS(prem_analysis!$M$420:O676),COLUMNS(Data!$Q$3:S259)))))),"")</f>
        <v/>
      </c>
      <c r="U258" s="1" t="str">
        <f>IFERROR(IF($Q$1=$P$3,INDEX(prem_analysis!$P$2:$Q$441,ROWS(Data!$P$2:T258),COLUMNS(Data!$P$3:S259)),IF($Q$1=$P$5,INDEX(prem_analysis!$BH$1:$BS$23,ROWS(Data!$Q$3:T259),COLUMNS(Data!$Q$3:T259)),IF($Q$1=$P$6,INDEX(prem_analysis!$BU$1:$CF$67,ROWS(prem_analysis!$N$2:Q258),COLUMNS(prem_analysis!$N$2:Q258)),IF($Q$1=$P$4,INDEX(Table24[[#All],[Year]:[Details]],ROWS(prem_analysis!$M$420:P676),COLUMNS(Data!$Q$3:T259)))))),"")</f>
        <v/>
      </c>
      <c r="V258" s="1" t="str">
        <f>IFERROR(IF($Q$1=$P$3,INDEX(prem_analysis!$P$2:$Q$441,ROWS(Data!$P$2:U258),COLUMNS(Data!$P$3:T259)),IF($Q$1=$P$5,INDEX(prem_analysis!$BH$1:$BS$23,ROWS(Data!$Q$3:U259),COLUMNS(Data!$Q$3:U259)),IF($Q$1=$P$6,INDEX(prem_analysis!$BU$1:$CF$67,ROWS(prem_analysis!$N$2:R258),COLUMNS(prem_analysis!$N$2:R258)),IF($Q$1=$P$4,INDEX(Table24[[#All],[Year]:[Details]],ROWS(prem_analysis!$M$420:Q676),COLUMNS(Data!$Q$3:U259)))))),"")</f>
        <v/>
      </c>
      <c r="W258" s="1" t="str">
        <f>IFERROR(IF($Q$1=$P$3,INDEX(prem_analysis!$P$2:$Q$441,ROWS(Data!$P$2:V258),COLUMNS(Data!$P$3:U259)),IF($Q$1=$P$5,INDEX(prem_analysis!$BH$1:$BS$23,ROWS(Data!$Q$3:V259),COLUMNS(Data!$Q$3:V259)),IF($Q$1=$P$6,INDEX(prem_analysis!$BU$1:$CF$67,ROWS(prem_analysis!$N$2:S258),COLUMNS(prem_analysis!$N$2:S258)),IF($Q$1=$P$4,INDEX(Table24[[#All],[Year]:[Details]],ROWS(prem_analysis!$M$420:R676),COLUMNS(Data!$Q$3:V259)))))),"")</f>
        <v/>
      </c>
      <c r="X258" s="1" t="str">
        <f>IFERROR(IF($Q$1=$P$3,INDEX(prem_analysis!$P$2:$Q$441,ROWS(Data!$P$2:W258),COLUMNS(Data!$P$3:V259)),IF($Q$1=$P$5,INDEX(prem_analysis!$BH$1:$BS$23,ROWS(Data!$Q$3:W259),COLUMNS(Data!$Q$3:W259)),IF($Q$1=$P$6,INDEX(prem_analysis!$BU$1:$CF$67,ROWS(prem_analysis!$N$2:T258),COLUMNS(prem_analysis!$N$2:T258)),IF($Q$1=$P$4,INDEX(Table24[[#All],[Year]:[Details]],ROWS(prem_analysis!$M$420:S676),COLUMNS(Data!$Q$3:W259)))))),"")</f>
        <v/>
      </c>
      <c r="Y258" s="1" t="str">
        <f>IFERROR(IF($Q$1=$P$3,INDEX(prem_analysis!$P$2:$Q$441,ROWS(Data!$P$2:X258),COLUMNS(Data!$P$3:W259)),IF($Q$1=$P$5,INDEX(prem_analysis!$BH$1:$BS$23,ROWS(Data!$Q$3:X259),COLUMNS(Data!$Q$3:X259)),IF($Q$1=$P$6,INDEX(prem_analysis!$BU$1:$CF$67,ROWS(prem_analysis!$N$2:U258),COLUMNS(prem_analysis!$N$2:U258)),IF($Q$1=$P$4,INDEX(Table24[[#All],[Year]:[Details]],ROWS(prem_analysis!$M$420:T676),COLUMNS(Data!$Q$3:X259)))))),"")</f>
        <v/>
      </c>
      <c r="Z258" s="1" t="str">
        <f>IFERROR(IF($Q$1=$P$3,INDEX(prem_analysis!$P$2:$Q$441,ROWS(Data!$P$2:Y258),COLUMNS(Data!$P$3:X259)),IF($Q$1=$P$5,INDEX(prem_analysis!$BH$1:$BS$23,ROWS(Data!$Q$3:Y259),COLUMNS(Data!$Q$3:Y259)),IF($Q$1=$P$6,INDEX(prem_analysis!$BU$1:$CF$67,ROWS(prem_analysis!$N$2:V258),COLUMNS(prem_analysis!$N$2:V258)),IF($Q$1=$P$4,INDEX(Table24[[#All],[Year]:[Details]],ROWS(prem_analysis!$M$420:U676),COLUMNS(Data!$Q$3:Y259)))))),"")</f>
        <v/>
      </c>
      <c r="AA258" s="1" t="str">
        <f>IFERROR(IF($Q$1=$P$3,INDEX(prem_analysis!$P$2:$Q$441,ROWS(Data!$P$2:Z258),COLUMNS(Data!$P$3:Y259)),IF($Q$1=$P$5,INDEX(prem_analysis!$BH$1:$BS$23,ROWS(Data!$Q$3:Z259),COLUMNS(Data!$Q$3:Z259)),IF($Q$1=$P$6,INDEX(prem_analysis!$BU$1:$CF$67,ROWS(prem_analysis!$N$2:W258),COLUMNS(prem_analysis!$N$2:W258)),IF($Q$1=$P$4,INDEX(Table24[[#All],[Year]:[Details]],ROWS(prem_analysis!$M$420:V676),COLUMNS(Data!$Q$3:Z259)))))),"")</f>
        <v/>
      </c>
      <c r="AB258" s="1" t="str">
        <f>IFERROR(IF($Q$1=$P$3,INDEX(prem_analysis!$P$2:$Q$441,ROWS(Data!$P$2:AA258),COLUMNS(Data!$P$3:Z259)),IF($Q$1=$P$5,INDEX(prem_analysis!$BH$1:$BS$23,ROWS(Data!$Q$3:AA259),COLUMNS(Data!$Q$3:AA259)),IF($Q$1=$P$6,INDEX(prem_analysis!$BU$1:$CF$67,ROWS(prem_analysis!$N$2:X258),COLUMNS(prem_analysis!$N$2:X258)),IF($Q$1=$P$4,INDEX(Table24[[#All],[Year]:[Details]],ROWS(prem_analysis!$M$420:W676),COLUMNS(Data!$Q$3:AA259)))))),"")</f>
        <v/>
      </c>
      <c r="AC258" s="1" t="str">
        <f>IFERROR(IF($Q$1=$P$3,INDEX(prem_analysis!$P$2:$Q$441,ROWS(Data!$P$2:AB258),COLUMNS(Data!$P$3:AA259)),IF($Q$1=$P$5,INDEX(prem_analysis!$BH$1:$BS$23,ROWS(Data!$Q$3:AB259),COLUMNS(Data!$Q$3:AB259)),IF($Q$1=$P$6,INDEX(prem_analysis!$BU$1:$CF$67,ROWS(prem_analysis!$N$2:Y258),COLUMNS(prem_analysis!$N$2:Y258)),IF($Q$1=$P$4,INDEX(Table24[[#All],[Year]:[Details]],ROWS(prem_analysis!$M$420:X676),COLUMNS(Data!$Q$3:AB259)))))),"")</f>
        <v/>
      </c>
    </row>
    <row r="259" spans="1:29" x14ac:dyDescent="0.2">
      <c r="A259" s="5">
        <v>2012</v>
      </c>
      <c r="B259" s="5">
        <v>18</v>
      </c>
      <c r="C259" s="6" t="s">
        <v>40</v>
      </c>
      <c r="D259" s="5">
        <v>38</v>
      </c>
      <c r="E259" s="5">
        <v>9</v>
      </c>
      <c r="F259" s="5">
        <v>9</v>
      </c>
      <c r="G259" s="5">
        <v>20</v>
      </c>
      <c r="H259" s="5">
        <v>47</v>
      </c>
      <c r="I259" s="5">
        <v>73</v>
      </c>
      <c r="J259" s="5">
        <v>-26</v>
      </c>
      <c r="K259" s="5">
        <v>36</v>
      </c>
      <c r="L259" s="5" t="str">
        <f>IF(Table24[[#This Row],['#]]=1,"Champion", IF(Table24[[#This Row],['#]]&gt;=18,"Relegated",Table24[[#This Row],['#]]))</f>
        <v>Relegated</v>
      </c>
      <c r="M259" s="5" t="str">
        <f>IF(Table24[[#This Row],[Details]]=2,K258-Table24[[#This Row],[Pts]],IF(Table24[[#This Row],[Details]]=17,Table24[[#This Row],[Pts]]-K260,""))</f>
        <v/>
      </c>
      <c r="R259" s="1" t="str">
        <f>IFERROR(IF($Q$1=$P$3,INDEX(prem_analysis!$P$2:$Q$441,ROWS(Data!$P$2:Q259),COLUMNS(Data!$P$3:P260)),IF($Q$1=$P$5,INDEX(prem_analysis!$BH$1:$BS$23,ROWS(Data!$Q$3:Q260),COLUMNS(Data!$Q$3:Q260)),IF($Q$1=$P$6,INDEX(prem_analysis!$BU$1:$CF$67,ROWS(prem_analysis!$N$2:N259),COLUMNS(prem_analysis!$N$2:N259)),IF($Q$1=$P$4,INDEX(Table24[[#All],[Year]:[Details]],ROWS(prem_analysis!$M$420:M677),COLUMNS(Data!$Q$3:Q260)))))),"")</f>
        <v/>
      </c>
      <c r="S259" s="1" t="str">
        <f>IFERROR(IF($Q$1=$P$3,INDEX(prem_analysis!$P$2:$Q$441,ROWS(Data!$P$2:R259),COLUMNS(Data!$P$3:Q260)),IF($Q$1=$P$5,INDEX(prem_analysis!$BH$1:$BS$23,ROWS(Data!$Q$3:R260),COLUMNS(Data!$Q$3:R260)),IF($Q$1=$P$6,INDEX(prem_analysis!$BU$1:$CF$67,ROWS(prem_analysis!$N$2:O259),COLUMNS(prem_analysis!$N$2:O259)),IF($Q$1=$P$4,INDEX(Table24[[#All],[Year]:[Details]],ROWS(prem_analysis!$M$420:N677),COLUMNS(Data!$Q$3:R260)))))),"")</f>
        <v/>
      </c>
      <c r="T259" s="1" t="str">
        <f>IFERROR(IF($Q$1=$P$3,INDEX(prem_analysis!$P$2:$Q$441,ROWS(Data!$P$2:S259),COLUMNS(Data!$P$3:R260)),IF($Q$1=$P$5,INDEX(prem_analysis!$BH$1:$BS$23,ROWS(Data!$Q$3:S260),COLUMNS(Data!$Q$3:S260)),IF($Q$1=$P$6,INDEX(prem_analysis!$BU$1:$CF$67,ROWS(prem_analysis!$N$2:P259),COLUMNS(prem_analysis!$N$2:P259)),IF($Q$1=$P$4,INDEX(Table24[[#All],[Year]:[Details]],ROWS(prem_analysis!$M$420:O677),COLUMNS(Data!$Q$3:S260)))))),"")</f>
        <v/>
      </c>
      <c r="U259" s="1" t="str">
        <f>IFERROR(IF($Q$1=$P$3,INDEX(prem_analysis!$P$2:$Q$441,ROWS(Data!$P$2:T259),COLUMNS(Data!$P$3:S260)),IF($Q$1=$P$5,INDEX(prem_analysis!$BH$1:$BS$23,ROWS(Data!$Q$3:T260),COLUMNS(Data!$Q$3:T260)),IF($Q$1=$P$6,INDEX(prem_analysis!$BU$1:$CF$67,ROWS(prem_analysis!$N$2:Q259),COLUMNS(prem_analysis!$N$2:Q259)),IF($Q$1=$P$4,INDEX(Table24[[#All],[Year]:[Details]],ROWS(prem_analysis!$M$420:P677),COLUMNS(Data!$Q$3:T260)))))),"")</f>
        <v/>
      </c>
      <c r="V259" s="1" t="str">
        <f>IFERROR(IF($Q$1=$P$3,INDEX(prem_analysis!$P$2:$Q$441,ROWS(Data!$P$2:U259),COLUMNS(Data!$P$3:T260)),IF($Q$1=$P$5,INDEX(prem_analysis!$BH$1:$BS$23,ROWS(Data!$Q$3:U260),COLUMNS(Data!$Q$3:U260)),IF($Q$1=$P$6,INDEX(prem_analysis!$BU$1:$CF$67,ROWS(prem_analysis!$N$2:R259),COLUMNS(prem_analysis!$N$2:R259)),IF($Q$1=$P$4,INDEX(Table24[[#All],[Year]:[Details]],ROWS(prem_analysis!$M$420:Q677),COLUMNS(Data!$Q$3:U260)))))),"")</f>
        <v/>
      </c>
      <c r="W259" s="1" t="str">
        <f>IFERROR(IF($Q$1=$P$3,INDEX(prem_analysis!$P$2:$Q$441,ROWS(Data!$P$2:V259),COLUMNS(Data!$P$3:U260)),IF($Q$1=$P$5,INDEX(prem_analysis!$BH$1:$BS$23,ROWS(Data!$Q$3:V260),COLUMNS(Data!$Q$3:V260)),IF($Q$1=$P$6,INDEX(prem_analysis!$BU$1:$CF$67,ROWS(prem_analysis!$N$2:S259),COLUMNS(prem_analysis!$N$2:S259)),IF($Q$1=$P$4,INDEX(Table24[[#All],[Year]:[Details]],ROWS(prem_analysis!$M$420:R677),COLUMNS(Data!$Q$3:V260)))))),"")</f>
        <v/>
      </c>
      <c r="X259" s="1" t="str">
        <f>IFERROR(IF($Q$1=$P$3,INDEX(prem_analysis!$P$2:$Q$441,ROWS(Data!$P$2:W259),COLUMNS(Data!$P$3:V260)),IF($Q$1=$P$5,INDEX(prem_analysis!$BH$1:$BS$23,ROWS(Data!$Q$3:W260),COLUMNS(Data!$Q$3:W260)),IF($Q$1=$P$6,INDEX(prem_analysis!$BU$1:$CF$67,ROWS(prem_analysis!$N$2:T259),COLUMNS(prem_analysis!$N$2:T259)),IF($Q$1=$P$4,INDEX(Table24[[#All],[Year]:[Details]],ROWS(prem_analysis!$M$420:S677),COLUMNS(Data!$Q$3:W260)))))),"")</f>
        <v/>
      </c>
      <c r="Y259" s="1" t="str">
        <f>IFERROR(IF($Q$1=$P$3,INDEX(prem_analysis!$P$2:$Q$441,ROWS(Data!$P$2:X259),COLUMNS(Data!$P$3:W260)),IF($Q$1=$P$5,INDEX(prem_analysis!$BH$1:$BS$23,ROWS(Data!$Q$3:X260),COLUMNS(Data!$Q$3:X260)),IF($Q$1=$P$6,INDEX(prem_analysis!$BU$1:$CF$67,ROWS(prem_analysis!$N$2:U259),COLUMNS(prem_analysis!$N$2:U259)),IF($Q$1=$P$4,INDEX(Table24[[#All],[Year]:[Details]],ROWS(prem_analysis!$M$420:T677),COLUMNS(Data!$Q$3:X260)))))),"")</f>
        <v/>
      </c>
      <c r="Z259" s="1" t="str">
        <f>IFERROR(IF($Q$1=$P$3,INDEX(prem_analysis!$P$2:$Q$441,ROWS(Data!$P$2:Y259),COLUMNS(Data!$P$3:X260)),IF($Q$1=$P$5,INDEX(prem_analysis!$BH$1:$BS$23,ROWS(Data!$Q$3:Y260),COLUMNS(Data!$Q$3:Y260)),IF($Q$1=$P$6,INDEX(prem_analysis!$BU$1:$CF$67,ROWS(prem_analysis!$N$2:V259),COLUMNS(prem_analysis!$N$2:V259)),IF($Q$1=$P$4,INDEX(Table24[[#All],[Year]:[Details]],ROWS(prem_analysis!$M$420:U677),COLUMNS(Data!$Q$3:Y260)))))),"")</f>
        <v/>
      </c>
      <c r="AA259" s="1" t="str">
        <f>IFERROR(IF($Q$1=$P$3,INDEX(prem_analysis!$P$2:$Q$441,ROWS(Data!$P$2:Z259),COLUMNS(Data!$P$3:Y260)),IF($Q$1=$P$5,INDEX(prem_analysis!$BH$1:$BS$23,ROWS(Data!$Q$3:Z260),COLUMNS(Data!$Q$3:Z260)),IF($Q$1=$P$6,INDEX(prem_analysis!$BU$1:$CF$67,ROWS(prem_analysis!$N$2:W259),COLUMNS(prem_analysis!$N$2:W259)),IF($Q$1=$P$4,INDEX(Table24[[#All],[Year]:[Details]],ROWS(prem_analysis!$M$420:V677),COLUMNS(Data!$Q$3:Z260)))))),"")</f>
        <v/>
      </c>
      <c r="AB259" s="1" t="str">
        <f>IFERROR(IF($Q$1=$P$3,INDEX(prem_analysis!$P$2:$Q$441,ROWS(Data!$P$2:AA259),COLUMNS(Data!$P$3:Z260)),IF($Q$1=$P$5,INDEX(prem_analysis!$BH$1:$BS$23,ROWS(Data!$Q$3:AA260),COLUMNS(Data!$Q$3:AA260)),IF($Q$1=$P$6,INDEX(prem_analysis!$BU$1:$CF$67,ROWS(prem_analysis!$N$2:X259),COLUMNS(prem_analysis!$N$2:X259)),IF($Q$1=$P$4,INDEX(Table24[[#All],[Year]:[Details]],ROWS(prem_analysis!$M$420:W677),COLUMNS(Data!$Q$3:AA260)))))),"")</f>
        <v/>
      </c>
      <c r="AC259" s="1" t="str">
        <f>IFERROR(IF($Q$1=$P$3,INDEX(prem_analysis!$P$2:$Q$441,ROWS(Data!$P$2:AB259),COLUMNS(Data!$P$3:AA260)),IF($Q$1=$P$5,INDEX(prem_analysis!$BH$1:$BS$23,ROWS(Data!$Q$3:AB260),COLUMNS(Data!$Q$3:AB260)),IF($Q$1=$P$6,INDEX(prem_analysis!$BU$1:$CF$67,ROWS(prem_analysis!$N$2:Y259),COLUMNS(prem_analysis!$N$2:Y259)),IF($Q$1=$P$4,INDEX(Table24[[#All],[Year]:[Details]],ROWS(prem_analysis!$M$420:X677),COLUMNS(Data!$Q$3:AB260)))))),"")</f>
        <v/>
      </c>
    </row>
    <row r="260" spans="1:29" x14ac:dyDescent="0.2">
      <c r="A260" s="3">
        <v>2012</v>
      </c>
      <c r="B260" s="3">
        <v>19</v>
      </c>
      <c r="C260" s="4" t="s">
        <v>41</v>
      </c>
      <c r="D260" s="3">
        <v>38</v>
      </c>
      <c r="E260" s="3">
        <v>6</v>
      </c>
      <c r="F260" s="3">
        <v>10</v>
      </c>
      <c r="G260" s="3">
        <v>22</v>
      </c>
      <c r="H260" s="3">
        <v>43</v>
      </c>
      <c r="I260" s="3">
        <v>73</v>
      </c>
      <c r="J260" s="3">
        <v>-30</v>
      </c>
      <c r="K260" s="3">
        <v>28</v>
      </c>
      <c r="L260" s="5" t="str">
        <f>IF(Table24[[#This Row],['#]]=1,"Champion", IF(Table24[[#This Row],['#]]&gt;=18,"Relegated",Table24[[#This Row],['#]]))</f>
        <v>Relegated</v>
      </c>
      <c r="M260" s="5" t="str">
        <f>IF(Table24[[#This Row],[Details]]=2,K259-Table24[[#This Row],[Pts]],IF(Table24[[#This Row],[Details]]=17,Table24[[#This Row],[Pts]]-K261,""))</f>
        <v/>
      </c>
      <c r="R260" s="1" t="str">
        <f>IFERROR(IF($Q$1=$P$3,INDEX(prem_analysis!$P$2:$Q$441,ROWS(Data!$P$2:Q260),COLUMNS(Data!$P$3:P261)),IF($Q$1=$P$5,INDEX(prem_analysis!$BH$1:$BS$23,ROWS(Data!$Q$3:Q261),COLUMNS(Data!$Q$3:Q261)),IF($Q$1=$P$6,INDEX(prem_analysis!$BU$1:$CF$67,ROWS(prem_analysis!$N$2:N260),COLUMNS(prem_analysis!$N$2:N260)),IF($Q$1=$P$4,INDEX(Table24[[#All],[Year]:[Details]],ROWS(prem_analysis!$M$420:M678),COLUMNS(Data!$Q$3:Q261)))))),"")</f>
        <v/>
      </c>
      <c r="S260" s="1" t="str">
        <f>IFERROR(IF($Q$1=$P$3,INDEX(prem_analysis!$P$2:$Q$441,ROWS(Data!$P$2:R260),COLUMNS(Data!$P$3:Q261)),IF($Q$1=$P$5,INDEX(prem_analysis!$BH$1:$BS$23,ROWS(Data!$Q$3:R261),COLUMNS(Data!$Q$3:R261)),IF($Q$1=$P$6,INDEX(prem_analysis!$BU$1:$CF$67,ROWS(prem_analysis!$N$2:O260),COLUMNS(prem_analysis!$N$2:O260)),IF($Q$1=$P$4,INDEX(Table24[[#All],[Year]:[Details]],ROWS(prem_analysis!$M$420:N678),COLUMNS(Data!$Q$3:R261)))))),"")</f>
        <v/>
      </c>
      <c r="T260" s="1" t="str">
        <f>IFERROR(IF($Q$1=$P$3,INDEX(prem_analysis!$P$2:$Q$441,ROWS(Data!$P$2:S260),COLUMNS(Data!$P$3:R261)),IF($Q$1=$P$5,INDEX(prem_analysis!$BH$1:$BS$23,ROWS(Data!$Q$3:S261),COLUMNS(Data!$Q$3:S261)),IF($Q$1=$P$6,INDEX(prem_analysis!$BU$1:$CF$67,ROWS(prem_analysis!$N$2:P260),COLUMNS(prem_analysis!$N$2:P260)),IF($Q$1=$P$4,INDEX(Table24[[#All],[Year]:[Details]],ROWS(prem_analysis!$M$420:O678),COLUMNS(Data!$Q$3:S261)))))),"")</f>
        <v/>
      </c>
      <c r="U260" s="1" t="str">
        <f>IFERROR(IF($Q$1=$P$3,INDEX(prem_analysis!$P$2:$Q$441,ROWS(Data!$P$2:T260),COLUMNS(Data!$P$3:S261)),IF($Q$1=$P$5,INDEX(prem_analysis!$BH$1:$BS$23,ROWS(Data!$Q$3:T261),COLUMNS(Data!$Q$3:T261)),IF($Q$1=$P$6,INDEX(prem_analysis!$BU$1:$CF$67,ROWS(prem_analysis!$N$2:Q260),COLUMNS(prem_analysis!$N$2:Q260)),IF($Q$1=$P$4,INDEX(Table24[[#All],[Year]:[Details]],ROWS(prem_analysis!$M$420:P678),COLUMNS(Data!$Q$3:T261)))))),"")</f>
        <v/>
      </c>
      <c r="V260" s="1" t="str">
        <f>IFERROR(IF($Q$1=$P$3,INDEX(prem_analysis!$P$2:$Q$441,ROWS(Data!$P$2:U260),COLUMNS(Data!$P$3:T261)),IF($Q$1=$P$5,INDEX(prem_analysis!$BH$1:$BS$23,ROWS(Data!$Q$3:U261),COLUMNS(Data!$Q$3:U261)),IF($Q$1=$P$6,INDEX(prem_analysis!$BU$1:$CF$67,ROWS(prem_analysis!$N$2:R260),COLUMNS(prem_analysis!$N$2:R260)),IF($Q$1=$P$4,INDEX(Table24[[#All],[Year]:[Details]],ROWS(prem_analysis!$M$420:Q678),COLUMNS(Data!$Q$3:U261)))))),"")</f>
        <v/>
      </c>
      <c r="W260" s="1" t="str">
        <f>IFERROR(IF($Q$1=$P$3,INDEX(prem_analysis!$P$2:$Q$441,ROWS(Data!$P$2:V260),COLUMNS(Data!$P$3:U261)),IF($Q$1=$P$5,INDEX(prem_analysis!$BH$1:$BS$23,ROWS(Data!$Q$3:V261),COLUMNS(Data!$Q$3:V261)),IF($Q$1=$P$6,INDEX(prem_analysis!$BU$1:$CF$67,ROWS(prem_analysis!$N$2:S260),COLUMNS(prem_analysis!$N$2:S260)),IF($Q$1=$P$4,INDEX(Table24[[#All],[Year]:[Details]],ROWS(prem_analysis!$M$420:R678),COLUMNS(Data!$Q$3:V261)))))),"")</f>
        <v/>
      </c>
      <c r="X260" s="1" t="str">
        <f>IFERROR(IF($Q$1=$P$3,INDEX(prem_analysis!$P$2:$Q$441,ROWS(Data!$P$2:W260),COLUMNS(Data!$P$3:V261)),IF($Q$1=$P$5,INDEX(prem_analysis!$BH$1:$BS$23,ROWS(Data!$Q$3:W261),COLUMNS(Data!$Q$3:W261)),IF($Q$1=$P$6,INDEX(prem_analysis!$BU$1:$CF$67,ROWS(prem_analysis!$N$2:T260),COLUMNS(prem_analysis!$N$2:T260)),IF($Q$1=$P$4,INDEX(Table24[[#All],[Year]:[Details]],ROWS(prem_analysis!$M$420:S678),COLUMNS(Data!$Q$3:W261)))))),"")</f>
        <v/>
      </c>
      <c r="Y260" s="1" t="str">
        <f>IFERROR(IF($Q$1=$P$3,INDEX(prem_analysis!$P$2:$Q$441,ROWS(Data!$P$2:X260),COLUMNS(Data!$P$3:W261)),IF($Q$1=$P$5,INDEX(prem_analysis!$BH$1:$BS$23,ROWS(Data!$Q$3:X261),COLUMNS(Data!$Q$3:X261)),IF($Q$1=$P$6,INDEX(prem_analysis!$BU$1:$CF$67,ROWS(prem_analysis!$N$2:U260),COLUMNS(prem_analysis!$N$2:U260)),IF($Q$1=$P$4,INDEX(Table24[[#All],[Year]:[Details]],ROWS(prem_analysis!$M$420:T678),COLUMNS(Data!$Q$3:X261)))))),"")</f>
        <v/>
      </c>
      <c r="Z260" s="1" t="str">
        <f>IFERROR(IF($Q$1=$P$3,INDEX(prem_analysis!$P$2:$Q$441,ROWS(Data!$P$2:Y260),COLUMNS(Data!$P$3:X261)),IF($Q$1=$P$5,INDEX(prem_analysis!$BH$1:$BS$23,ROWS(Data!$Q$3:Y261),COLUMNS(Data!$Q$3:Y261)),IF($Q$1=$P$6,INDEX(prem_analysis!$BU$1:$CF$67,ROWS(prem_analysis!$N$2:V260),COLUMNS(prem_analysis!$N$2:V260)),IF($Q$1=$P$4,INDEX(Table24[[#All],[Year]:[Details]],ROWS(prem_analysis!$M$420:U678),COLUMNS(Data!$Q$3:Y261)))))),"")</f>
        <v/>
      </c>
      <c r="AA260" s="1" t="str">
        <f>IFERROR(IF($Q$1=$P$3,INDEX(prem_analysis!$P$2:$Q$441,ROWS(Data!$P$2:Z260),COLUMNS(Data!$P$3:Y261)),IF($Q$1=$P$5,INDEX(prem_analysis!$BH$1:$BS$23,ROWS(Data!$Q$3:Z261),COLUMNS(Data!$Q$3:Z261)),IF($Q$1=$P$6,INDEX(prem_analysis!$BU$1:$CF$67,ROWS(prem_analysis!$N$2:W260),COLUMNS(prem_analysis!$N$2:W260)),IF($Q$1=$P$4,INDEX(Table24[[#All],[Year]:[Details]],ROWS(prem_analysis!$M$420:V678),COLUMNS(Data!$Q$3:Z261)))))),"")</f>
        <v/>
      </c>
      <c r="AB260" s="1" t="str">
        <f>IFERROR(IF($Q$1=$P$3,INDEX(prem_analysis!$P$2:$Q$441,ROWS(Data!$P$2:AA260),COLUMNS(Data!$P$3:Z261)),IF($Q$1=$P$5,INDEX(prem_analysis!$BH$1:$BS$23,ROWS(Data!$Q$3:AA261),COLUMNS(Data!$Q$3:AA261)),IF($Q$1=$P$6,INDEX(prem_analysis!$BU$1:$CF$67,ROWS(prem_analysis!$N$2:X260),COLUMNS(prem_analysis!$N$2:X260)),IF($Q$1=$P$4,INDEX(Table24[[#All],[Year]:[Details]],ROWS(prem_analysis!$M$420:W678),COLUMNS(Data!$Q$3:AA261)))))),"")</f>
        <v/>
      </c>
      <c r="AC260" s="1" t="str">
        <f>IFERROR(IF($Q$1=$P$3,INDEX(prem_analysis!$P$2:$Q$441,ROWS(Data!$P$2:AB260),COLUMNS(Data!$P$3:AA261)),IF($Q$1=$P$5,INDEX(prem_analysis!$BH$1:$BS$23,ROWS(Data!$Q$3:AB261),COLUMNS(Data!$Q$3:AB261)),IF($Q$1=$P$6,INDEX(prem_analysis!$BU$1:$CF$67,ROWS(prem_analysis!$N$2:Y260),COLUMNS(prem_analysis!$N$2:Y260)),IF($Q$1=$P$4,INDEX(Table24[[#All],[Year]:[Details]],ROWS(prem_analysis!$M$420:X678),COLUMNS(Data!$Q$3:AB261)))))),"")</f>
        <v/>
      </c>
    </row>
    <row r="261" spans="1:29" x14ac:dyDescent="0.2">
      <c r="A261" s="5">
        <v>2012</v>
      </c>
      <c r="B261" s="5">
        <v>20</v>
      </c>
      <c r="C261" s="6" t="s">
        <v>49</v>
      </c>
      <c r="D261" s="5">
        <v>38</v>
      </c>
      <c r="E261" s="5">
        <v>4</v>
      </c>
      <c r="F261" s="5">
        <v>13</v>
      </c>
      <c r="G261" s="5">
        <v>21</v>
      </c>
      <c r="H261" s="5">
        <v>30</v>
      </c>
      <c r="I261" s="5">
        <v>60</v>
      </c>
      <c r="J261" s="5">
        <v>-30</v>
      </c>
      <c r="K261" s="5">
        <v>25</v>
      </c>
      <c r="L261" s="5" t="str">
        <f>IF(Table24[[#This Row],['#]]=1,"Champion", IF(Table24[[#This Row],['#]]&gt;=18,"Relegated",Table24[[#This Row],['#]]))</f>
        <v>Relegated</v>
      </c>
      <c r="M261" s="5" t="str">
        <f>IF(Table24[[#This Row],[Details]]=2,K260-Table24[[#This Row],[Pts]],IF(Table24[[#This Row],[Details]]=17,Table24[[#This Row],[Pts]]-K262,""))</f>
        <v/>
      </c>
      <c r="R261" s="1" t="str">
        <f>IFERROR(IF($Q$1=$P$3,INDEX(prem_analysis!$P$2:$Q$441,ROWS(Data!$P$2:Q261),COLUMNS(Data!$P$3:P262)),IF($Q$1=$P$5,INDEX(prem_analysis!$BH$1:$BS$23,ROWS(Data!$Q$3:Q262),COLUMNS(Data!$Q$3:Q262)),IF($Q$1=$P$6,INDEX(prem_analysis!$BU$1:$CF$67,ROWS(prem_analysis!$N$2:N261),COLUMNS(prem_analysis!$N$2:N261)),IF($Q$1=$P$4,INDEX(Table24[[#All],[Year]:[Details]],ROWS(prem_analysis!$M$420:M679),COLUMNS(Data!$Q$3:Q262)))))),"")</f>
        <v/>
      </c>
      <c r="S261" s="1" t="str">
        <f>IFERROR(IF($Q$1=$P$3,INDEX(prem_analysis!$P$2:$Q$441,ROWS(Data!$P$2:R261),COLUMNS(Data!$P$3:Q262)),IF($Q$1=$P$5,INDEX(prem_analysis!$BH$1:$BS$23,ROWS(Data!$Q$3:R262),COLUMNS(Data!$Q$3:R262)),IF($Q$1=$P$6,INDEX(prem_analysis!$BU$1:$CF$67,ROWS(prem_analysis!$N$2:O261),COLUMNS(prem_analysis!$N$2:O261)),IF($Q$1=$P$4,INDEX(Table24[[#All],[Year]:[Details]],ROWS(prem_analysis!$M$420:N679),COLUMNS(Data!$Q$3:R262)))))),"")</f>
        <v/>
      </c>
      <c r="T261" s="1" t="str">
        <f>IFERROR(IF($Q$1=$P$3,INDEX(prem_analysis!$P$2:$Q$441,ROWS(Data!$P$2:S261),COLUMNS(Data!$P$3:R262)),IF($Q$1=$P$5,INDEX(prem_analysis!$BH$1:$BS$23,ROWS(Data!$Q$3:S262),COLUMNS(Data!$Q$3:S262)),IF($Q$1=$P$6,INDEX(prem_analysis!$BU$1:$CF$67,ROWS(prem_analysis!$N$2:P261),COLUMNS(prem_analysis!$N$2:P261)),IF($Q$1=$P$4,INDEX(Table24[[#All],[Year]:[Details]],ROWS(prem_analysis!$M$420:O679),COLUMNS(Data!$Q$3:S262)))))),"")</f>
        <v/>
      </c>
      <c r="U261" s="1" t="str">
        <f>IFERROR(IF($Q$1=$P$3,INDEX(prem_analysis!$P$2:$Q$441,ROWS(Data!$P$2:T261),COLUMNS(Data!$P$3:S262)),IF($Q$1=$P$5,INDEX(prem_analysis!$BH$1:$BS$23,ROWS(Data!$Q$3:T262),COLUMNS(Data!$Q$3:T262)),IF($Q$1=$P$6,INDEX(prem_analysis!$BU$1:$CF$67,ROWS(prem_analysis!$N$2:Q261),COLUMNS(prem_analysis!$N$2:Q261)),IF($Q$1=$P$4,INDEX(Table24[[#All],[Year]:[Details]],ROWS(prem_analysis!$M$420:P679),COLUMNS(Data!$Q$3:T262)))))),"")</f>
        <v/>
      </c>
      <c r="V261" s="1" t="str">
        <f>IFERROR(IF($Q$1=$P$3,INDEX(prem_analysis!$P$2:$Q$441,ROWS(Data!$P$2:U261),COLUMNS(Data!$P$3:T262)),IF($Q$1=$P$5,INDEX(prem_analysis!$BH$1:$BS$23,ROWS(Data!$Q$3:U262),COLUMNS(Data!$Q$3:U262)),IF($Q$1=$P$6,INDEX(prem_analysis!$BU$1:$CF$67,ROWS(prem_analysis!$N$2:R261),COLUMNS(prem_analysis!$N$2:R261)),IF($Q$1=$P$4,INDEX(Table24[[#All],[Year]:[Details]],ROWS(prem_analysis!$M$420:Q679),COLUMNS(Data!$Q$3:U262)))))),"")</f>
        <v/>
      </c>
      <c r="W261" s="1" t="str">
        <f>IFERROR(IF($Q$1=$P$3,INDEX(prem_analysis!$P$2:$Q$441,ROWS(Data!$P$2:V261),COLUMNS(Data!$P$3:U262)),IF($Q$1=$P$5,INDEX(prem_analysis!$BH$1:$BS$23,ROWS(Data!$Q$3:V262),COLUMNS(Data!$Q$3:V262)),IF($Q$1=$P$6,INDEX(prem_analysis!$BU$1:$CF$67,ROWS(prem_analysis!$N$2:S261),COLUMNS(prem_analysis!$N$2:S261)),IF($Q$1=$P$4,INDEX(Table24[[#All],[Year]:[Details]],ROWS(prem_analysis!$M$420:R679),COLUMNS(Data!$Q$3:V262)))))),"")</f>
        <v/>
      </c>
      <c r="X261" s="1" t="str">
        <f>IFERROR(IF($Q$1=$P$3,INDEX(prem_analysis!$P$2:$Q$441,ROWS(Data!$P$2:W261),COLUMNS(Data!$P$3:V262)),IF($Q$1=$P$5,INDEX(prem_analysis!$BH$1:$BS$23,ROWS(Data!$Q$3:W262),COLUMNS(Data!$Q$3:W262)),IF($Q$1=$P$6,INDEX(prem_analysis!$BU$1:$CF$67,ROWS(prem_analysis!$N$2:T261),COLUMNS(prem_analysis!$N$2:T261)),IF($Q$1=$P$4,INDEX(Table24[[#All],[Year]:[Details]],ROWS(prem_analysis!$M$420:S679),COLUMNS(Data!$Q$3:W262)))))),"")</f>
        <v/>
      </c>
      <c r="Y261" s="1" t="str">
        <f>IFERROR(IF($Q$1=$P$3,INDEX(prem_analysis!$P$2:$Q$441,ROWS(Data!$P$2:X261),COLUMNS(Data!$P$3:W262)),IF($Q$1=$P$5,INDEX(prem_analysis!$BH$1:$BS$23,ROWS(Data!$Q$3:X262),COLUMNS(Data!$Q$3:X262)),IF($Q$1=$P$6,INDEX(prem_analysis!$BU$1:$CF$67,ROWS(prem_analysis!$N$2:U261),COLUMNS(prem_analysis!$N$2:U261)),IF($Q$1=$P$4,INDEX(Table24[[#All],[Year]:[Details]],ROWS(prem_analysis!$M$420:T679),COLUMNS(Data!$Q$3:X262)))))),"")</f>
        <v/>
      </c>
      <c r="Z261" s="1" t="str">
        <f>IFERROR(IF($Q$1=$P$3,INDEX(prem_analysis!$P$2:$Q$441,ROWS(Data!$P$2:Y261),COLUMNS(Data!$P$3:X262)),IF($Q$1=$P$5,INDEX(prem_analysis!$BH$1:$BS$23,ROWS(Data!$Q$3:Y262),COLUMNS(Data!$Q$3:Y262)),IF($Q$1=$P$6,INDEX(prem_analysis!$BU$1:$CF$67,ROWS(prem_analysis!$N$2:V261),COLUMNS(prem_analysis!$N$2:V261)),IF($Q$1=$P$4,INDEX(Table24[[#All],[Year]:[Details]],ROWS(prem_analysis!$M$420:U679),COLUMNS(Data!$Q$3:Y262)))))),"")</f>
        <v/>
      </c>
      <c r="AA261" s="1" t="str">
        <f>IFERROR(IF($Q$1=$P$3,INDEX(prem_analysis!$P$2:$Q$441,ROWS(Data!$P$2:Z261),COLUMNS(Data!$P$3:Y262)),IF($Q$1=$P$5,INDEX(prem_analysis!$BH$1:$BS$23,ROWS(Data!$Q$3:Z262),COLUMNS(Data!$Q$3:Z262)),IF($Q$1=$P$6,INDEX(prem_analysis!$BU$1:$CF$67,ROWS(prem_analysis!$N$2:W261),COLUMNS(prem_analysis!$N$2:W261)),IF($Q$1=$P$4,INDEX(Table24[[#All],[Year]:[Details]],ROWS(prem_analysis!$M$420:V679),COLUMNS(Data!$Q$3:Z262)))))),"")</f>
        <v/>
      </c>
      <c r="AB261" s="1" t="str">
        <f>IFERROR(IF($Q$1=$P$3,INDEX(prem_analysis!$P$2:$Q$441,ROWS(Data!$P$2:AA261),COLUMNS(Data!$P$3:Z262)),IF($Q$1=$P$5,INDEX(prem_analysis!$BH$1:$BS$23,ROWS(Data!$Q$3:AA262),COLUMNS(Data!$Q$3:AA262)),IF($Q$1=$P$6,INDEX(prem_analysis!$BU$1:$CF$67,ROWS(prem_analysis!$N$2:X261),COLUMNS(prem_analysis!$N$2:X261)),IF($Q$1=$P$4,INDEX(Table24[[#All],[Year]:[Details]],ROWS(prem_analysis!$M$420:W679),COLUMNS(Data!$Q$3:AA262)))))),"")</f>
        <v/>
      </c>
      <c r="AC261" s="1" t="str">
        <f>IFERROR(IF($Q$1=$P$3,INDEX(prem_analysis!$P$2:$Q$441,ROWS(Data!$P$2:AB261),COLUMNS(Data!$P$3:AA262)),IF($Q$1=$P$5,INDEX(prem_analysis!$BH$1:$BS$23,ROWS(Data!$Q$3:AB262),COLUMNS(Data!$Q$3:AB262)),IF($Q$1=$P$6,INDEX(prem_analysis!$BU$1:$CF$67,ROWS(prem_analysis!$N$2:Y261),COLUMNS(prem_analysis!$N$2:Y261)),IF($Q$1=$P$4,INDEX(Table24[[#All],[Year]:[Details]],ROWS(prem_analysis!$M$420:X679),COLUMNS(Data!$Q$3:AB262)))))),"")</f>
        <v/>
      </c>
    </row>
    <row r="262" spans="1:29" x14ac:dyDescent="0.2">
      <c r="A262" s="3">
        <v>2013</v>
      </c>
      <c r="B262" s="3">
        <v>1</v>
      </c>
      <c r="C262" s="4" t="s">
        <v>28</v>
      </c>
      <c r="D262" s="3">
        <v>38</v>
      </c>
      <c r="E262" s="3">
        <v>27</v>
      </c>
      <c r="F262" s="3">
        <v>5</v>
      </c>
      <c r="G262" s="3">
        <v>6</v>
      </c>
      <c r="H262" s="3">
        <v>102</v>
      </c>
      <c r="I262" s="3">
        <v>37</v>
      </c>
      <c r="J262" s="3">
        <v>65</v>
      </c>
      <c r="K262" s="3">
        <v>86</v>
      </c>
      <c r="L262" s="5" t="str">
        <f>IF(Table24[[#This Row],['#]]=1,"Champion", IF(Table24[[#This Row],['#]]&gt;=18,"Relegated",Table24[[#This Row],['#]]))</f>
        <v>Champion</v>
      </c>
      <c r="M262" s="5" t="str">
        <f>IF(Table24[[#This Row],[Details]]=2,K261-Table24[[#This Row],[Pts]],IF(Table24[[#This Row],[Details]]=17,Table24[[#This Row],[Pts]]-K263,""))</f>
        <v/>
      </c>
      <c r="R262" s="1" t="str">
        <f>IFERROR(IF($Q$1=$P$3,INDEX(prem_analysis!$P$2:$Q$441,ROWS(Data!$P$2:Q262),COLUMNS(Data!$P$3:P263)),IF($Q$1=$P$5,INDEX(prem_analysis!$BH$1:$BS$23,ROWS(Data!$Q$3:Q263),COLUMNS(Data!$Q$3:Q263)),IF($Q$1=$P$6,INDEX(prem_analysis!$BU$1:$CF$67,ROWS(prem_analysis!$N$2:N262),COLUMNS(prem_analysis!$N$2:N262)),IF($Q$1=$P$4,INDEX(Table24[[#All],[Year]:[Details]],ROWS(prem_analysis!$M$420:M680),COLUMNS(Data!$Q$3:Q263)))))),"")</f>
        <v/>
      </c>
      <c r="S262" s="1" t="str">
        <f>IFERROR(IF($Q$1=$P$3,INDEX(prem_analysis!$P$2:$Q$441,ROWS(Data!$P$2:R262),COLUMNS(Data!$P$3:Q263)),IF($Q$1=$P$5,INDEX(prem_analysis!$BH$1:$BS$23,ROWS(Data!$Q$3:R263),COLUMNS(Data!$Q$3:R263)),IF($Q$1=$P$6,INDEX(prem_analysis!$BU$1:$CF$67,ROWS(prem_analysis!$N$2:O262),COLUMNS(prem_analysis!$N$2:O262)),IF($Q$1=$P$4,INDEX(Table24[[#All],[Year]:[Details]],ROWS(prem_analysis!$M$420:N680),COLUMNS(Data!$Q$3:R263)))))),"")</f>
        <v/>
      </c>
      <c r="T262" s="1" t="str">
        <f>IFERROR(IF($Q$1=$P$3,INDEX(prem_analysis!$P$2:$Q$441,ROWS(Data!$P$2:S262),COLUMNS(Data!$P$3:R263)),IF($Q$1=$P$5,INDEX(prem_analysis!$BH$1:$BS$23,ROWS(Data!$Q$3:S263),COLUMNS(Data!$Q$3:S263)),IF($Q$1=$P$6,INDEX(prem_analysis!$BU$1:$CF$67,ROWS(prem_analysis!$N$2:P262),COLUMNS(prem_analysis!$N$2:P262)),IF($Q$1=$P$4,INDEX(Table24[[#All],[Year]:[Details]],ROWS(prem_analysis!$M$420:O680),COLUMNS(Data!$Q$3:S263)))))),"")</f>
        <v/>
      </c>
      <c r="U262" s="1" t="str">
        <f>IFERROR(IF($Q$1=$P$3,INDEX(prem_analysis!$P$2:$Q$441,ROWS(Data!$P$2:T262),COLUMNS(Data!$P$3:S263)),IF($Q$1=$P$5,INDEX(prem_analysis!$BH$1:$BS$23,ROWS(Data!$Q$3:T263),COLUMNS(Data!$Q$3:T263)),IF($Q$1=$P$6,INDEX(prem_analysis!$BU$1:$CF$67,ROWS(prem_analysis!$N$2:Q262),COLUMNS(prem_analysis!$N$2:Q262)),IF($Q$1=$P$4,INDEX(Table24[[#All],[Year]:[Details]],ROWS(prem_analysis!$M$420:P680),COLUMNS(Data!$Q$3:T263)))))),"")</f>
        <v/>
      </c>
      <c r="V262" s="1" t="str">
        <f>IFERROR(IF($Q$1=$P$3,INDEX(prem_analysis!$P$2:$Q$441,ROWS(Data!$P$2:U262),COLUMNS(Data!$P$3:T263)),IF($Q$1=$P$5,INDEX(prem_analysis!$BH$1:$BS$23,ROWS(Data!$Q$3:U263),COLUMNS(Data!$Q$3:U263)),IF($Q$1=$P$6,INDEX(prem_analysis!$BU$1:$CF$67,ROWS(prem_analysis!$N$2:R262),COLUMNS(prem_analysis!$N$2:R262)),IF($Q$1=$P$4,INDEX(Table24[[#All],[Year]:[Details]],ROWS(prem_analysis!$M$420:Q680),COLUMNS(Data!$Q$3:U263)))))),"")</f>
        <v/>
      </c>
      <c r="W262" s="1" t="str">
        <f>IFERROR(IF($Q$1=$P$3,INDEX(prem_analysis!$P$2:$Q$441,ROWS(Data!$P$2:V262),COLUMNS(Data!$P$3:U263)),IF($Q$1=$P$5,INDEX(prem_analysis!$BH$1:$BS$23,ROWS(Data!$Q$3:V263),COLUMNS(Data!$Q$3:V263)),IF($Q$1=$P$6,INDEX(prem_analysis!$BU$1:$CF$67,ROWS(prem_analysis!$N$2:S262),COLUMNS(prem_analysis!$N$2:S262)),IF($Q$1=$P$4,INDEX(Table24[[#All],[Year]:[Details]],ROWS(prem_analysis!$M$420:R680),COLUMNS(Data!$Q$3:V263)))))),"")</f>
        <v/>
      </c>
      <c r="X262" s="1" t="str">
        <f>IFERROR(IF($Q$1=$P$3,INDEX(prem_analysis!$P$2:$Q$441,ROWS(Data!$P$2:W262),COLUMNS(Data!$P$3:V263)),IF($Q$1=$P$5,INDEX(prem_analysis!$BH$1:$BS$23,ROWS(Data!$Q$3:W263),COLUMNS(Data!$Q$3:W263)),IF($Q$1=$P$6,INDEX(prem_analysis!$BU$1:$CF$67,ROWS(prem_analysis!$N$2:T262),COLUMNS(prem_analysis!$N$2:T262)),IF($Q$1=$P$4,INDEX(Table24[[#All],[Year]:[Details]],ROWS(prem_analysis!$M$420:S680),COLUMNS(Data!$Q$3:W263)))))),"")</f>
        <v/>
      </c>
      <c r="Y262" s="1" t="str">
        <f>IFERROR(IF($Q$1=$P$3,INDEX(prem_analysis!$P$2:$Q$441,ROWS(Data!$P$2:X262),COLUMNS(Data!$P$3:W263)),IF($Q$1=$P$5,INDEX(prem_analysis!$BH$1:$BS$23,ROWS(Data!$Q$3:X263),COLUMNS(Data!$Q$3:X263)),IF($Q$1=$P$6,INDEX(prem_analysis!$BU$1:$CF$67,ROWS(prem_analysis!$N$2:U262),COLUMNS(prem_analysis!$N$2:U262)),IF($Q$1=$P$4,INDEX(Table24[[#All],[Year]:[Details]],ROWS(prem_analysis!$M$420:T680),COLUMNS(Data!$Q$3:X263)))))),"")</f>
        <v/>
      </c>
      <c r="Z262" s="1" t="str">
        <f>IFERROR(IF($Q$1=$P$3,INDEX(prem_analysis!$P$2:$Q$441,ROWS(Data!$P$2:Y262),COLUMNS(Data!$P$3:X263)),IF($Q$1=$P$5,INDEX(prem_analysis!$BH$1:$BS$23,ROWS(Data!$Q$3:Y263),COLUMNS(Data!$Q$3:Y263)),IF($Q$1=$P$6,INDEX(prem_analysis!$BU$1:$CF$67,ROWS(prem_analysis!$N$2:V262),COLUMNS(prem_analysis!$N$2:V262)),IF($Q$1=$P$4,INDEX(Table24[[#All],[Year]:[Details]],ROWS(prem_analysis!$M$420:U680),COLUMNS(Data!$Q$3:Y263)))))),"")</f>
        <v/>
      </c>
      <c r="AA262" s="1" t="str">
        <f>IFERROR(IF($Q$1=$P$3,INDEX(prem_analysis!$P$2:$Q$441,ROWS(Data!$P$2:Z262),COLUMNS(Data!$P$3:Y263)),IF($Q$1=$P$5,INDEX(prem_analysis!$BH$1:$BS$23,ROWS(Data!$Q$3:Z263),COLUMNS(Data!$Q$3:Z263)),IF($Q$1=$P$6,INDEX(prem_analysis!$BU$1:$CF$67,ROWS(prem_analysis!$N$2:W262),COLUMNS(prem_analysis!$N$2:W262)),IF($Q$1=$P$4,INDEX(Table24[[#All],[Year]:[Details]],ROWS(prem_analysis!$M$420:V680),COLUMNS(Data!$Q$3:Z263)))))),"")</f>
        <v/>
      </c>
      <c r="AB262" s="1" t="str">
        <f>IFERROR(IF($Q$1=$P$3,INDEX(prem_analysis!$P$2:$Q$441,ROWS(Data!$P$2:AA262),COLUMNS(Data!$P$3:Z263)),IF($Q$1=$P$5,INDEX(prem_analysis!$BH$1:$BS$23,ROWS(Data!$Q$3:AA263),COLUMNS(Data!$Q$3:AA263)),IF($Q$1=$P$6,INDEX(prem_analysis!$BU$1:$CF$67,ROWS(prem_analysis!$N$2:X262),COLUMNS(prem_analysis!$N$2:X262)),IF($Q$1=$P$4,INDEX(Table24[[#All],[Year]:[Details]],ROWS(prem_analysis!$M$420:W680),COLUMNS(Data!$Q$3:AA263)))))),"")</f>
        <v/>
      </c>
      <c r="AC262" s="1" t="str">
        <f>IFERROR(IF($Q$1=$P$3,INDEX(prem_analysis!$P$2:$Q$441,ROWS(Data!$P$2:AB262),COLUMNS(Data!$P$3:AA263)),IF($Q$1=$P$5,INDEX(prem_analysis!$BH$1:$BS$23,ROWS(Data!$Q$3:AB263),COLUMNS(Data!$Q$3:AB263)),IF($Q$1=$P$6,INDEX(prem_analysis!$BU$1:$CF$67,ROWS(prem_analysis!$N$2:Y262),COLUMNS(prem_analysis!$N$2:Y262)),IF($Q$1=$P$4,INDEX(Table24[[#All],[Year]:[Details]],ROWS(prem_analysis!$M$420:X680),COLUMNS(Data!$Q$3:AB263)))))),"")</f>
        <v/>
      </c>
    </row>
    <row r="263" spans="1:29" x14ac:dyDescent="0.2">
      <c r="A263" s="5">
        <v>2013</v>
      </c>
      <c r="B263" s="5">
        <v>2</v>
      </c>
      <c r="C263" s="4" t="s">
        <v>13</v>
      </c>
      <c r="D263" s="5">
        <v>38</v>
      </c>
      <c r="E263" s="5">
        <v>26</v>
      </c>
      <c r="F263" s="5">
        <v>6</v>
      </c>
      <c r="G263" s="5">
        <v>6</v>
      </c>
      <c r="H263" s="5">
        <v>101</v>
      </c>
      <c r="I263" s="5">
        <v>50</v>
      </c>
      <c r="J263" s="5">
        <v>51</v>
      </c>
      <c r="K263" s="5">
        <v>84</v>
      </c>
      <c r="L263" s="5">
        <f>IF(Table24[[#This Row],['#]]=1,"Champion", IF(Table24[[#This Row],['#]]&gt;=18,"Relegated",Table24[[#This Row],['#]]))</f>
        <v>2</v>
      </c>
      <c r="M263" s="5">
        <f>IF(Table24[[#This Row],[Details]]=2,K262-Table24[[#This Row],[Pts]],IF(Table24[[#This Row],[Details]]=17,Table24[[#This Row],[Pts]]-K264,""))</f>
        <v>2</v>
      </c>
      <c r="R263" s="1" t="str">
        <f>IFERROR(IF($Q$1=$P$3,INDEX(prem_analysis!$P$2:$Q$441,ROWS(Data!$P$2:Q263),COLUMNS(Data!$P$3:P264)),IF($Q$1=$P$5,INDEX(prem_analysis!$BH$1:$BS$23,ROWS(Data!$Q$3:Q264),COLUMNS(Data!$Q$3:Q264)),IF($Q$1=$P$6,INDEX(prem_analysis!$BU$1:$CF$67,ROWS(prem_analysis!$N$2:N263),COLUMNS(prem_analysis!$N$2:N263)),IF($Q$1=$P$4,INDEX(Table24[[#All],[Year]:[Details]],ROWS(prem_analysis!$M$420:M681),COLUMNS(Data!$Q$3:Q264)))))),"")</f>
        <v/>
      </c>
      <c r="S263" s="1" t="str">
        <f>IFERROR(IF($Q$1=$P$3,INDEX(prem_analysis!$P$2:$Q$441,ROWS(Data!$P$2:R263),COLUMNS(Data!$P$3:Q264)),IF($Q$1=$P$5,INDEX(prem_analysis!$BH$1:$BS$23,ROWS(Data!$Q$3:R264),COLUMNS(Data!$Q$3:R264)),IF($Q$1=$P$6,INDEX(prem_analysis!$BU$1:$CF$67,ROWS(prem_analysis!$N$2:O263),COLUMNS(prem_analysis!$N$2:O263)),IF($Q$1=$P$4,INDEX(Table24[[#All],[Year]:[Details]],ROWS(prem_analysis!$M$420:N681),COLUMNS(Data!$Q$3:R264)))))),"")</f>
        <v/>
      </c>
      <c r="T263" s="1" t="str">
        <f>IFERROR(IF($Q$1=$P$3,INDEX(prem_analysis!$P$2:$Q$441,ROWS(Data!$P$2:S263),COLUMNS(Data!$P$3:R264)),IF($Q$1=$P$5,INDEX(prem_analysis!$BH$1:$BS$23,ROWS(Data!$Q$3:S264),COLUMNS(Data!$Q$3:S264)),IF($Q$1=$P$6,INDEX(prem_analysis!$BU$1:$CF$67,ROWS(prem_analysis!$N$2:P263),COLUMNS(prem_analysis!$N$2:P263)),IF($Q$1=$P$4,INDEX(Table24[[#All],[Year]:[Details]],ROWS(prem_analysis!$M$420:O681),COLUMNS(Data!$Q$3:S264)))))),"")</f>
        <v/>
      </c>
      <c r="U263" s="1" t="str">
        <f>IFERROR(IF($Q$1=$P$3,INDEX(prem_analysis!$P$2:$Q$441,ROWS(Data!$P$2:T263),COLUMNS(Data!$P$3:S264)),IF($Q$1=$P$5,INDEX(prem_analysis!$BH$1:$BS$23,ROWS(Data!$Q$3:T264),COLUMNS(Data!$Q$3:T264)),IF($Q$1=$P$6,INDEX(prem_analysis!$BU$1:$CF$67,ROWS(prem_analysis!$N$2:Q263),COLUMNS(prem_analysis!$N$2:Q263)),IF($Q$1=$P$4,INDEX(Table24[[#All],[Year]:[Details]],ROWS(prem_analysis!$M$420:P681),COLUMNS(Data!$Q$3:T264)))))),"")</f>
        <v/>
      </c>
      <c r="V263" s="1" t="str">
        <f>IFERROR(IF($Q$1=$P$3,INDEX(prem_analysis!$P$2:$Q$441,ROWS(Data!$P$2:U263),COLUMNS(Data!$P$3:T264)),IF($Q$1=$P$5,INDEX(prem_analysis!$BH$1:$BS$23,ROWS(Data!$Q$3:U264),COLUMNS(Data!$Q$3:U264)),IF($Q$1=$P$6,INDEX(prem_analysis!$BU$1:$CF$67,ROWS(prem_analysis!$N$2:R263),COLUMNS(prem_analysis!$N$2:R263)),IF($Q$1=$P$4,INDEX(Table24[[#All],[Year]:[Details]],ROWS(prem_analysis!$M$420:Q681),COLUMNS(Data!$Q$3:U264)))))),"")</f>
        <v/>
      </c>
      <c r="W263" s="1" t="str">
        <f>IFERROR(IF($Q$1=$P$3,INDEX(prem_analysis!$P$2:$Q$441,ROWS(Data!$P$2:V263),COLUMNS(Data!$P$3:U264)),IF($Q$1=$P$5,INDEX(prem_analysis!$BH$1:$BS$23,ROWS(Data!$Q$3:V264),COLUMNS(Data!$Q$3:V264)),IF($Q$1=$P$6,INDEX(prem_analysis!$BU$1:$CF$67,ROWS(prem_analysis!$N$2:S263),COLUMNS(prem_analysis!$N$2:S263)),IF($Q$1=$P$4,INDEX(Table24[[#All],[Year]:[Details]],ROWS(prem_analysis!$M$420:R681),COLUMNS(Data!$Q$3:V264)))))),"")</f>
        <v/>
      </c>
      <c r="X263" s="1" t="str">
        <f>IFERROR(IF($Q$1=$P$3,INDEX(prem_analysis!$P$2:$Q$441,ROWS(Data!$P$2:W263),COLUMNS(Data!$P$3:V264)),IF($Q$1=$P$5,INDEX(prem_analysis!$BH$1:$BS$23,ROWS(Data!$Q$3:W264),COLUMNS(Data!$Q$3:W264)),IF($Q$1=$P$6,INDEX(prem_analysis!$BU$1:$CF$67,ROWS(prem_analysis!$N$2:T263),COLUMNS(prem_analysis!$N$2:T263)),IF($Q$1=$P$4,INDEX(Table24[[#All],[Year]:[Details]],ROWS(prem_analysis!$M$420:S681),COLUMNS(Data!$Q$3:W264)))))),"")</f>
        <v/>
      </c>
      <c r="Y263" s="1" t="str">
        <f>IFERROR(IF($Q$1=$P$3,INDEX(prem_analysis!$P$2:$Q$441,ROWS(Data!$P$2:X263),COLUMNS(Data!$P$3:W264)),IF($Q$1=$P$5,INDEX(prem_analysis!$BH$1:$BS$23,ROWS(Data!$Q$3:X264),COLUMNS(Data!$Q$3:X264)),IF($Q$1=$P$6,INDEX(prem_analysis!$BU$1:$CF$67,ROWS(prem_analysis!$N$2:U263),COLUMNS(prem_analysis!$N$2:U263)),IF($Q$1=$P$4,INDEX(Table24[[#All],[Year]:[Details]],ROWS(prem_analysis!$M$420:T681),COLUMNS(Data!$Q$3:X264)))))),"")</f>
        <v/>
      </c>
      <c r="Z263" s="1" t="str">
        <f>IFERROR(IF($Q$1=$P$3,INDEX(prem_analysis!$P$2:$Q$441,ROWS(Data!$P$2:Y263),COLUMNS(Data!$P$3:X264)),IF($Q$1=$P$5,INDEX(prem_analysis!$BH$1:$BS$23,ROWS(Data!$Q$3:Y264),COLUMNS(Data!$Q$3:Y264)),IF($Q$1=$P$6,INDEX(prem_analysis!$BU$1:$CF$67,ROWS(prem_analysis!$N$2:V263),COLUMNS(prem_analysis!$N$2:V263)),IF($Q$1=$P$4,INDEX(Table24[[#All],[Year]:[Details]],ROWS(prem_analysis!$M$420:U681),COLUMNS(Data!$Q$3:Y264)))))),"")</f>
        <v/>
      </c>
      <c r="AA263" s="1" t="str">
        <f>IFERROR(IF($Q$1=$P$3,INDEX(prem_analysis!$P$2:$Q$441,ROWS(Data!$P$2:Z263),COLUMNS(Data!$P$3:Y264)),IF($Q$1=$P$5,INDEX(prem_analysis!$BH$1:$BS$23,ROWS(Data!$Q$3:Z264),COLUMNS(Data!$Q$3:Z264)),IF($Q$1=$P$6,INDEX(prem_analysis!$BU$1:$CF$67,ROWS(prem_analysis!$N$2:W263),COLUMNS(prem_analysis!$N$2:W263)),IF($Q$1=$P$4,INDEX(Table24[[#All],[Year]:[Details]],ROWS(prem_analysis!$M$420:V681),COLUMNS(Data!$Q$3:Z264)))))),"")</f>
        <v/>
      </c>
      <c r="AB263" s="1" t="str">
        <f>IFERROR(IF($Q$1=$P$3,INDEX(prem_analysis!$P$2:$Q$441,ROWS(Data!$P$2:AA263),COLUMNS(Data!$P$3:Z264)),IF($Q$1=$P$5,INDEX(prem_analysis!$BH$1:$BS$23,ROWS(Data!$Q$3:AA264),COLUMNS(Data!$Q$3:AA264)),IF($Q$1=$P$6,INDEX(prem_analysis!$BU$1:$CF$67,ROWS(prem_analysis!$N$2:X263),COLUMNS(prem_analysis!$N$2:X263)),IF($Q$1=$P$4,INDEX(Table24[[#All],[Year]:[Details]],ROWS(prem_analysis!$M$420:W681),COLUMNS(Data!$Q$3:AA264)))))),"")</f>
        <v/>
      </c>
      <c r="AC263" s="1" t="str">
        <f>IFERROR(IF($Q$1=$P$3,INDEX(prem_analysis!$P$2:$Q$441,ROWS(Data!$P$2:AB263),COLUMNS(Data!$P$3:AA264)),IF($Q$1=$P$5,INDEX(prem_analysis!$BH$1:$BS$23,ROWS(Data!$Q$3:AB264),COLUMNS(Data!$Q$3:AB264)),IF($Q$1=$P$6,INDEX(prem_analysis!$BU$1:$CF$67,ROWS(prem_analysis!$N$2:Y263),COLUMNS(prem_analysis!$N$2:Y263)),IF($Q$1=$P$4,INDEX(Table24[[#All],[Year]:[Details]],ROWS(prem_analysis!$M$420:X681),COLUMNS(Data!$Q$3:AB264)))))),"")</f>
        <v/>
      </c>
    </row>
    <row r="264" spans="1:29" x14ac:dyDescent="0.2">
      <c r="A264" s="3">
        <v>2013</v>
      </c>
      <c r="B264" s="3">
        <v>3</v>
      </c>
      <c r="C264" s="4" t="s">
        <v>16</v>
      </c>
      <c r="D264" s="3">
        <v>38</v>
      </c>
      <c r="E264" s="3">
        <v>25</v>
      </c>
      <c r="F264" s="3">
        <v>7</v>
      </c>
      <c r="G264" s="3">
        <v>6</v>
      </c>
      <c r="H264" s="3">
        <v>71</v>
      </c>
      <c r="I264" s="3">
        <v>27</v>
      </c>
      <c r="J264" s="3">
        <v>44</v>
      </c>
      <c r="K264" s="3">
        <v>82</v>
      </c>
      <c r="L264" s="5">
        <f>IF(Table24[[#This Row],['#]]=1,"Champion", IF(Table24[[#This Row],['#]]&gt;=18,"Relegated",Table24[[#This Row],['#]]))</f>
        <v>3</v>
      </c>
      <c r="M264" s="5" t="str">
        <f>IF(Table24[[#This Row],[Details]]=2,K263-Table24[[#This Row],[Pts]],IF(Table24[[#This Row],[Details]]=17,Table24[[#This Row],[Pts]]-K265,""))</f>
        <v/>
      </c>
      <c r="R264" s="1" t="str">
        <f>IFERROR(IF($Q$1=$P$3,INDEX(prem_analysis!$P$2:$Q$441,ROWS(Data!$P$2:Q264),COLUMNS(Data!$P$3:P265)),IF($Q$1=$P$5,INDEX(prem_analysis!$BH$1:$BS$23,ROWS(Data!$Q$3:Q265),COLUMNS(Data!$Q$3:Q265)),IF($Q$1=$P$6,INDEX(prem_analysis!$BU$1:$CF$67,ROWS(prem_analysis!$N$2:N264),COLUMNS(prem_analysis!$N$2:N264)),IF($Q$1=$P$4,INDEX(Table24[[#All],[Year]:[Details]],ROWS(prem_analysis!$M$420:M682),COLUMNS(Data!$Q$3:Q265)))))),"")</f>
        <v/>
      </c>
      <c r="S264" s="1" t="str">
        <f>IFERROR(IF($Q$1=$P$3,INDEX(prem_analysis!$P$2:$Q$441,ROWS(Data!$P$2:R264),COLUMNS(Data!$P$3:Q265)),IF($Q$1=$P$5,INDEX(prem_analysis!$BH$1:$BS$23,ROWS(Data!$Q$3:R265),COLUMNS(Data!$Q$3:R265)),IF($Q$1=$P$6,INDEX(prem_analysis!$BU$1:$CF$67,ROWS(prem_analysis!$N$2:O264),COLUMNS(prem_analysis!$N$2:O264)),IF($Q$1=$P$4,INDEX(Table24[[#All],[Year]:[Details]],ROWS(prem_analysis!$M$420:N682),COLUMNS(Data!$Q$3:R265)))))),"")</f>
        <v/>
      </c>
      <c r="T264" s="1" t="str">
        <f>IFERROR(IF($Q$1=$P$3,INDEX(prem_analysis!$P$2:$Q$441,ROWS(Data!$P$2:S264),COLUMNS(Data!$P$3:R265)),IF($Q$1=$P$5,INDEX(prem_analysis!$BH$1:$BS$23,ROWS(Data!$Q$3:S265),COLUMNS(Data!$Q$3:S265)),IF($Q$1=$P$6,INDEX(prem_analysis!$BU$1:$CF$67,ROWS(prem_analysis!$N$2:P264),COLUMNS(prem_analysis!$N$2:P264)),IF($Q$1=$P$4,INDEX(Table24[[#All],[Year]:[Details]],ROWS(prem_analysis!$M$420:O682),COLUMNS(Data!$Q$3:S265)))))),"")</f>
        <v/>
      </c>
      <c r="U264" s="1" t="str">
        <f>IFERROR(IF($Q$1=$P$3,INDEX(prem_analysis!$P$2:$Q$441,ROWS(Data!$P$2:T264),COLUMNS(Data!$P$3:S265)),IF($Q$1=$P$5,INDEX(prem_analysis!$BH$1:$BS$23,ROWS(Data!$Q$3:T265),COLUMNS(Data!$Q$3:T265)),IF($Q$1=$P$6,INDEX(prem_analysis!$BU$1:$CF$67,ROWS(prem_analysis!$N$2:Q264),COLUMNS(prem_analysis!$N$2:Q264)),IF($Q$1=$P$4,INDEX(Table24[[#All],[Year]:[Details]],ROWS(prem_analysis!$M$420:P682),COLUMNS(Data!$Q$3:T265)))))),"")</f>
        <v/>
      </c>
      <c r="V264" s="1" t="str">
        <f>IFERROR(IF($Q$1=$P$3,INDEX(prem_analysis!$P$2:$Q$441,ROWS(Data!$P$2:U264),COLUMNS(Data!$P$3:T265)),IF($Q$1=$P$5,INDEX(prem_analysis!$BH$1:$BS$23,ROWS(Data!$Q$3:U265),COLUMNS(Data!$Q$3:U265)),IF($Q$1=$P$6,INDEX(prem_analysis!$BU$1:$CF$67,ROWS(prem_analysis!$N$2:R264),COLUMNS(prem_analysis!$N$2:R264)),IF($Q$1=$P$4,INDEX(Table24[[#All],[Year]:[Details]],ROWS(prem_analysis!$M$420:Q682),COLUMNS(Data!$Q$3:U265)))))),"")</f>
        <v/>
      </c>
      <c r="W264" s="1" t="str">
        <f>IFERROR(IF($Q$1=$P$3,INDEX(prem_analysis!$P$2:$Q$441,ROWS(Data!$P$2:V264),COLUMNS(Data!$P$3:U265)),IF($Q$1=$P$5,INDEX(prem_analysis!$BH$1:$BS$23,ROWS(Data!$Q$3:V265),COLUMNS(Data!$Q$3:V265)),IF($Q$1=$P$6,INDEX(prem_analysis!$BU$1:$CF$67,ROWS(prem_analysis!$N$2:S264),COLUMNS(prem_analysis!$N$2:S264)),IF($Q$1=$P$4,INDEX(Table24[[#All],[Year]:[Details]],ROWS(prem_analysis!$M$420:R682),COLUMNS(Data!$Q$3:V265)))))),"")</f>
        <v/>
      </c>
      <c r="X264" s="1" t="str">
        <f>IFERROR(IF($Q$1=$P$3,INDEX(prem_analysis!$P$2:$Q$441,ROWS(Data!$P$2:W264),COLUMNS(Data!$P$3:V265)),IF($Q$1=$P$5,INDEX(prem_analysis!$BH$1:$BS$23,ROWS(Data!$Q$3:W265),COLUMNS(Data!$Q$3:W265)),IF($Q$1=$P$6,INDEX(prem_analysis!$BU$1:$CF$67,ROWS(prem_analysis!$N$2:T264),COLUMNS(prem_analysis!$N$2:T264)),IF($Q$1=$P$4,INDEX(Table24[[#All],[Year]:[Details]],ROWS(prem_analysis!$M$420:S682),COLUMNS(Data!$Q$3:W265)))))),"")</f>
        <v/>
      </c>
      <c r="Y264" s="1" t="str">
        <f>IFERROR(IF($Q$1=$P$3,INDEX(prem_analysis!$P$2:$Q$441,ROWS(Data!$P$2:X264),COLUMNS(Data!$P$3:W265)),IF($Q$1=$P$5,INDEX(prem_analysis!$BH$1:$BS$23,ROWS(Data!$Q$3:X265),COLUMNS(Data!$Q$3:X265)),IF($Q$1=$P$6,INDEX(prem_analysis!$BU$1:$CF$67,ROWS(prem_analysis!$N$2:U264),COLUMNS(prem_analysis!$N$2:U264)),IF($Q$1=$P$4,INDEX(Table24[[#All],[Year]:[Details]],ROWS(prem_analysis!$M$420:T682),COLUMNS(Data!$Q$3:X265)))))),"")</f>
        <v/>
      </c>
      <c r="Z264" s="1" t="str">
        <f>IFERROR(IF($Q$1=$P$3,INDEX(prem_analysis!$P$2:$Q$441,ROWS(Data!$P$2:Y264),COLUMNS(Data!$P$3:X265)),IF($Q$1=$P$5,INDEX(prem_analysis!$BH$1:$BS$23,ROWS(Data!$Q$3:Y265),COLUMNS(Data!$Q$3:Y265)),IF($Q$1=$P$6,INDEX(prem_analysis!$BU$1:$CF$67,ROWS(prem_analysis!$N$2:V264),COLUMNS(prem_analysis!$N$2:V264)),IF($Q$1=$P$4,INDEX(Table24[[#All],[Year]:[Details]],ROWS(prem_analysis!$M$420:U682),COLUMNS(Data!$Q$3:Y265)))))),"")</f>
        <v/>
      </c>
      <c r="AA264" s="1" t="str">
        <f>IFERROR(IF($Q$1=$P$3,INDEX(prem_analysis!$P$2:$Q$441,ROWS(Data!$P$2:Z264),COLUMNS(Data!$P$3:Y265)),IF($Q$1=$P$5,INDEX(prem_analysis!$BH$1:$BS$23,ROWS(Data!$Q$3:Z265),COLUMNS(Data!$Q$3:Z265)),IF($Q$1=$P$6,INDEX(prem_analysis!$BU$1:$CF$67,ROWS(prem_analysis!$N$2:W264),COLUMNS(prem_analysis!$N$2:W264)),IF($Q$1=$P$4,INDEX(Table24[[#All],[Year]:[Details]],ROWS(prem_analysis!$M$420:V682),COLUMNS(Data!$Q$3:Z265)))))),"")</f>
        <v/>
      </c>
      <c r="AB264" s="1" t="str">
        <f>IFERROR(IF($Q$1=$P$3,INDEX(prem_analysis!$P$2:$Q$441,ROWS(Data!$P$2:AA264),COLUMNS(Data!$P$3:Z265)),IF($Q$1=$P$5,INDEX(prem_analysis!$BH$1:$BS$23,ROWS(Data!$Q$3:AA265),COLUMNS(Data!$Q$3:AA265)),IF($Q$1=$P$6,INDEX(prem_analysis!$BU$1:$CF$67,ROWS(prem_analysis!$N$2:X264),COLUMNS(prem_analysis!$N$2:X264)),IF($Q$1=$P$4,INDEX(Table24[[#All],[Year]:[Details]],ROWS(prem_analysis!$M$420:W682),COLUMNS(Data!$Q$3:AA265)))))),"")</f>
        <v/>
      </c>
      <c r="AC264" s="1" t="str">
        <f>IFERROR(IF($Q$1=$P$3,INDEX(prem_analysis!$P$2:$Q$441,ROWS(Data!$P$2:AB264),COLUMNS(Data!$P$3:AA265)),IF($Q$1=$P$5,INDEX(prem_analysis!$BH$1:$BS$23,ROWS(Data!$Q$3:AB265),COLUMNS(Data!$Q$3:AB265)),IF($Q$1=$P$6,INDEX(prem_analysis!$BU$1:$CF$67,ROWS(prem_analysis!$N$2:Y264),COLUMNS(prem_analysis!$N$2:Y264)),IF($Q$1=$P$4,INDEX(Table24[[#All],[Year]:[Details]],ROWS(prem_analysis!$M$420:X682),COLUMNS(Data!$Q$3:AB265)))))),"")</f>
        <v/>
      </c>
    </row>
    <row r="265" spans="1:29" x14ac:dyDescent="0.2">
      <c r="A265" s="5">
        <v>2013</v>
      </c>
      <c r="B265" s="5">
        <v>4</v>
      </c>
      <c r="C265" s="6" t="s">
        <v>12</v>
      </c>
      <c r="D265" s="5">
        <v>38</v>
      </c>
      <c r="E265" s="5">
        <v>24</v>
      </c>
      <c r="F265" s="5">
        <v>7</v>
      </c>
      <c r="G265" s="5">
        <v>7</v>
      </c>
      <c r="H265" s="5">
        <v>68</v>
      </c>
      <c r="I265" s="5">
        <v>41</v>
      </c>
      <c r="J265" s="5">
        <v>27</v>
      </c>
      <c r="K265" s="5">
        <v>79</v>
      </c>
      <c r="L265" s="5">
        <f>IF(Table24[[#This Row],['#]]=1,"Champion", IF(Table24[[#This Row],['#]]&gt;=18,"Relegated",Table24[[#This Row],['#]]))</f>
        <v>4</v>
      </c>
      <c r="M265" s="5" t="str">
        <f>IF(Table24[[#This Row],[Details]]=2,K264-Table24[[#This Row],[Pts]],IF(Table24[[#This Row],[Details]]=17,Table24[[#This Row],[Pts]]-K266,""))</f>
        <v/>
      </c>
      <c r="R265" s="1" t="str">
        <f>IFERROR(IF($Q$1=$P$3,INDEX(prem_analysis!$P$2:$Q$441,ROWS(Data!$P$2:Q265),COLUMNS(Data!$P$3:P266)),IF($Q$1=$P$5,INDEX(prem_analysis!$BH$1:$BS$23,ROWS(Data!$Q$3:Q266),COLUMNS(Data!$Q$3:Q266)),IF($Q$1=$P$6,INDEX(prem_analysis!$BU$1:$CF$67,ROWS(prem_analysis!$N$2:N265),COLUMNS(prem_analysis!$N$2:N265)),IF($Q$1=$P$4,INDEX(Table24[[#All],[Year]:[Details]],ROWS(prem_analysis!$M$420:M683),COLUMNS(Data!$Q$3:Q266)))))),"")</f>
        <v/>
      </c>
      <c r="S265" s="1" t="str">
        <f>IFERROR(IF($Q$1=$P$3,INDEX(prem_analysis!$P$2:$Q$441,ROWS(Data!$P$2:R265),COLUMNS(Data!$P$3:Q266)),IF($Q$1=$P$5,INDEX(prem_analysis!$BH$1:$BS$23,ROWS(Data!$Q$3:R266),COLUMNS(Data!$Q$3:R266)),IF($Q$1=$P$6,INDEX(prem_analysis!$BU$1:$CF$67,ROWS(prem_analysis!$N$2:O265),COLUMNS(prem_analysis!$N$2:O265)),IF($Q$1=$P$4,INDEX(Table24[[#All],[Year]:[Details]],ROWS(prem_analysis!$M$420:N683),COLUMNS(Data!$Q$3:R266)))))),"")</f>
        <v/>
      </c>
      <c r="T265" s="1" t="str">
        <f>IFERROR(IF($Q$1=$P$3,INDEX(prem_analysis!$P$2:$Q$441,ROWS(Data!$P$2:S265),COLUMNS(Data!$P$3:R266)),IF($Q$1=$P$5,INDEX(prem_analysis!$BH$1:$BS$23,ROWS(Data!$Q$3:S266),COLUMNS(Data!$Q$3:S266)),IF($Q$1=$P$6,INDEX(prem_analysis!$BU$1:$CF$67,ROWS(prem_analysis!$N$2:P265),COLUMNS(prem_analysis!$N$2:P265)),IF($Q$1=$P$4,INDEX(Table24[[#All],[Year]:[Details]],ROWS(prem_analysis!$M$420:O683),COLUMNS(Data!$Q$3:S266)))))),"")</f>
        <v/>
      </c>
      <c r="U265" s="1" t="str">
        <f>IFERROR(IF($Q$1=$P$3,INDEX(prem_analysis!$P$2:$Q$441,ROWS(Data!$P$2:T265),COLUMNS(Data!$P$3:S266)),IF($Q$1=$P$5,INDEX(prem_analysis!$BH$1:$BS$23,ROWS(Data!$Q$3:T266),COLUMNS(Data!$Q$3:T266)),IF($Q$1=$P$6,INDEX(prem_analysis!$BU$1:$CF$67,ROWS(prem_analysis!$N$2:Q265),COLUMNS(prem_analysis!$N$2:Q265)),IF($Q$1=$P$4,INDEX(Table24[[#All],[Year]:[Details]],ROWS(prem_analysis!$M$420:P683),COLUMNS(Data!$Q$3:T266)))))),"")</f>
        <v/>
      </c>
      <c r="V265" s="1" t="str">
        <f>IFERROR(IF($Q$1=$P$3,INDEX(prem_analysis!$P$2:$Q$441,ROWS(Data!$P$2:U265),COLUMNS(Data!$P$3:T266)),IF($Q$1=$P$5,INDEX(prem_analysis!$BH$1:$BS$23,ROWS(Data!$Q$3:U266),COLUMNS(Data!$Q$3:U266)),IF($Q$1=$P$6,INDEX(prem_analysis!$BU$1:$CF$67,ROWS(prem_analysis!$N$2:R265),COLUMNS(prem_analysis!$N$2:R265)),IF($Q$1=$P$4,INDEX(Table24[[#All],[Year]:[Details]],ROWS(prem_analysis!$M$420:Q683),COLUMNS(Data!$Q$3:U266)))))),"")</f>
        <v/>
      </c>
      <c r="W265" s="1" t="str">
        <f>IFERROR(IF($Q$1=$P$3,INDEX(prem_analysis!$P$2:$Q$441,ROWS(Data!$P$2:V265),COLUMNS(Data!$P$3:U266)),IF($Q$1=$P$5,INDEX(prem_analysis!$BH$1:$BS$23,ROWS(Data!$Q$3:V266),COLUMNS(Data!$Q$3:V266)),IF($Q$1=$P$6,INDEX(prem_analysis!$BU$1:$CF$67,ROWS(prem_analysis!$N$2:S265),COLUMNS(prem_analysis!$N$2:S265)),IF($Q$1=$P$4,INDEX(Table24[[#All],[Year]:[Details]],ROWS(prem_analysis!$M$420:R683),COLUMNS(Data!$Q$3:V266)))))),"")</f>
        <v/>
      </c>
      <c r="X265" s="1" t="str">
        <f>IFERROR(IF($Q$1=$P$3,INDEX(prem_analysis!$P$2:$Q$441,ROWS(Data!$P$2:W265),COLUMNS(Data!$P$3:V266)),IF($Q$1=$P$5,INDEX(prem_analysis!$BH$1:$BS$23,ROWS(Data!$Q$3:W266),COLUMNS(Data!$Q$3:W266)),IF($Q$1=$P$6,INDEX(prem_analysis!$BU$1:$CF$67,ROWS(prem_analysis!$N$2:T265),COLUMNS(prem_analysis!$N$2:T265)),IF($Q$1=$P$4,INDEX(Table24[[#All],[Year]:[Details]],ROWS(prem_analysis!$M$420:S683),COLUMNS(Data!$Q$3:W266)))))),"")</f>
        <v/>
      </c>
      <c r="Y265" s="1" t="str">
        <f>IFERROR(IF($Q$1=$P$3,INDEX(prem_analysis!$P$2:$Q$441,ROWS(Data!$P$2:X265),COLUMNS(Data!$P$3:W266)),IF($Q$1=$P$5,INDEX(prem_analysis!$BH$1:$BS$23,ROWS(Data!$Q$3:X266),COLUMNS(Data!$Q$3:X266)),IF($Q$1=$P$6,INDEX(prem_analysis!$BU$1:$CF$67,ROWS(prem_analysis!$N$2:U265),COLUMNS(prem_analysis!$N$2:U265)),IF($Q$1=$P$4,INDEX(Table24[[#All],[Year]:[Details]],ROWS(prem_analysis!$M$420:T683),COLUMNS(Data!$Q$3:X266)))))),"")</f>
        <v/>
      </c>
      <c r="Z265" s="1" t="str">
        <f>IFERROR(IF($Q$1=$P$3,INDEX(prem_analysis!$P$2:$Q$441,ROWS(Data!$P$2:Y265),COLUMNS(Data!$P$3:X266)),IF($Q$1=$P$5,INDEX(prem_analysis!$BH$1:$BS$23,ROWS(Data!$Q$3:Y266),COLUMNS(Data!$Q$3:Y266)),IF($Q$1=$P$6,INDEX(prem_analysis!$BU$1:$CF$67,ROWS(prem_analysis!$N$2:V265),COLUMNS(prem_analysis!$N$2:V265)),IF($Q$1=$P$4,INDEX(Table24[[#All],[Year]:[Details]],ROWS(prem_analysis!$M$420:U683),COLUMNS(Data!$Q$3:Y266)))))),"")</f>
        <v/>
      </c>
      <c r="AA265" s="1" t="str">
        <f>IFERROR(IF($Q$1=$P$3,INDEX(prem_analysis!$P$2:$Q$441,ROWS(Data!$P$2:Z265),COLUMNS(Data!$P$3:Y266)),IF($Q$1=$P$5,INDEX(prem_analysis!$BH$1:$BS$23,ROWS(Data!$Q$3:Z266),COLUMNS(Data!$Q$3:Z266)),IF($Q$1=$P$6,INDEX(prem_analysis!$BU$1:$CF$67,ROWS(prem_analysis!$N$2:W265),COLUMNS(prem_analysis!$N$2:W265)),IF($Q$1=$P$4,INDEX(Table24[[#All],[Year]:[Details]],ROWS(prem_analysis!$M$420:V683),COLUMNS(Data!$Q$3:Z266)))))),"")</f>
        <v/>
      </c>
      <c r="AB265" s="1" t="str">
        <f>IFERROR(IF($Q$1=$P$3,INDEX(prem_analysis!$P$2:$Q$441,ROWS(Data!$P$2:AA265),COLUMNS(Data!$P$3:Z266)),IF($Q$1=$P$5,INDEX(prem_analysis!$BH$1:$BS$23,ROWS(Data!$Q$3:AA266),COLUMNS(Data!$Q$3:AA266)),IF($Q$1=$P$6,INDEX(prem_analysis!$BU$1:$CF$67,ROWS(prem_analysis!$N$2:X265),COLUMNS(prem_analysis!$N$2:X265)),IF($Q$1=$P$4,INDEX(Table24[[#All],[Year]:[Details]],ROWS(prem_analysis!$M$420:W683),COLUMNS(Data!$Q$3:AA266)))))),"")</f>
        <v/>
      </c>
      <c r="AC265" s="1" t="str">
        <f>IFERROR(IF($Q$1=$P$3,INDEX(prem_analysis!$P$2:$Q$441,ROWS(Data!$P$2:AB265),COLUMNS(Data!$P$3:AA266)),IF($Q$1=$P$5,INDEX(prem_analysis!$BH$1:$BS$23,ROWS(Data!$Q$3:AB266),COLUMNS(Data!$Q$3:AB266)),IF($Q$1=$P$6,INDEX(prem_analysis!$BU$1:$CF$67,ROWS(prem_analysis!$N$2:Y265),COLUMNS(prem_analysis!$N$2:Y265)),IF($Q$1=$P$4,INDEX(Table24[[#All],[Year]:[Details]],ROWS(prem_analysis!$M$420:X683),COLUMNS(Data!$Q$3:AB266)))))),"")</f>
        <v/>
      </c>
    </row>
    <row r="266" spans="1:29" x14ac:dyDescent="0.2">
      <c r="A266" s="3">
        <v>2013</v>
      </c>
      <c r="B266" s="3">
        <v>5</v>
      </c>
      <c r="C266" s="4" t="s">
        <v>26</v>
      </c>
      <c r="D266" s="3">
        <v>38</v>
      </c>
      <c r="E266" s="3">
        <v>21</v>
      </c>
      <c r="F266" s="3">
        <v>9</v>
      </c>
      <c r="G266" s="3">
        <v>8</v>
      </c>
      <c r="H266" s="3">
        <v>61</v>
      </c>
      <c r="I266" s="3">
        <v>39</v>
      </c>
      <c r="J266" s="3">
        <v>22</v>
      </c>
      <c r="K266" s="3">
        <v>72</v>
      </c>
      <c r="L266" s="5">
        <f>IF(Table24[[#This Row],['#]]=1,"Champion", IF(Table24[[#This Row],['#]]&gt;=18,"Relegated",Table24[[#This Row],['#]]))</f>
        <v>5</v>
      </c>
      <c r="M266" s="5" t="str">
        <f>IF(Table24[[#This Row],[Details]]=2,K265-Table24[[#This Row],[Pts]],IF(Table24[[#This Row],[Details]]=17,Table24[[#This Row],[Pts]]-K267,""))</f>
        <v/>
      </c>
      <c r="R266" s="1" t="str">
        <f>IFERROR(IF($Q$1=$P$3,INDEX(prem_analysis!$P$2:$Q$441,ROWS(Data!$P$2:Q266),COLUMNS(Data!$P$3:P267)),IF($Q$1=$P$5,INDEX(prem_analysis!$BH$1:$BS$23,ROWS(Data!$Q$3:Q267),COLUMNS(Data!$Q$3:Q267)),IF($Q$1=$P$6,INDEX(prem_analysis!$BU$1:$CF$67,ROWS(prem_analysis!$N$2:N266),COLUMNS(prem_analysis!$N$2:N266)),IF($Q$1=$P$4,INDEX(Table24[[#All],[Year]:[Details]],ROWS(prem_analysis!$M$420:M684),COLUMNS(Data!$Q$3:Q267)))))),"")</f>
        <v/>
      </c>
      <c r="S266" s="1" t="str">
        <f>IFERROR(IF($Q$1=$P$3,INDEX(prem_analysis!$P$2:$Q$441,ROWS(Data!$P$2:R266),COLUMNS(Data!$P$3:Q267)),IF($Q$1=$P$5,INDEX(prem_analysis!$BH$1:$BS$23,ROWS(Data!$Q$3:R267),COLUMNS(Data!$Q$3:R267)),IF($Q$1=$P$6,INDEX(prem_analysis!$BU$1:$CF$67,ROWS(prem_analysis!$N$2:O266),COLUMNS(prem_analysis!$N$2:O266)),IF($Q$1=$P$4,INDEX(Table24[[#All],[Year]:[Details]],ROWS(prem_analysis!$M$420:N684),COLUMNS(Data!$Q$3:R267)))))),"")</f>
        <v/>
      </c>
      <c r="T266" s="1" t="str">
        <f>IFERROR(IF($Q$1=$P$3,INDEX(prem_analysis!$P$2:$Q$441,ROWS(Data!$P$2:S266),COLUMNS(Data!$P$3:R267)),IF($Q$1=$P$5,INDEX(prem_analysis!$BH$1:$BS$23,ROWS(Data!$Q$3:S267),COLUMNS(Data!$Q$3:S267)),IF($Q$1=$P$6,INDEX(prem_analysis!$BU$1:$CF$67,ROWS(prem_analysis!$N$2:P266),COLUMNS(prem_analysis!$N$2:P266)),IF($Q$1=$P$4,INDEX(Table24[[#All],[Year]:[Details]],ROWS(prem_analysis!$M$420:O684),COLUMNS(Data!$Q$3:S267)))))),"")</f>
        <v/>
      </c>
      <c r="U266" s="1" t="str">
        <f>IFERROR(IF($Q$1=$P$3,INDEX(prem_analysis!$P$2:$Q$441,ROWS(Data!$P$2:T266),COLUMNS(Data!$P$3:S267)),IF($Q$1=$P$5,INDEX(prem_analysis!$BH$1:$BS$23,ROWS(Data!$Q$3:T267),COLUMNS(Data!$Q$3:T267)),IF($Q$1=$P$6,INDEX(prem_analysis!$BU$1:$CF$67,ROWS(prem_analysis!$N$2:Q266),COLUMNS(prem_analysis!$N$2:Q266)),IF($Q$1=$P$4,INDEX(Table24[[#All],[Year]:[Details]],ROWS(prem_analysis!$M$420:P684),COLUMNS(Data!$Q$3:T267)))))),"")</f>
        <v/>
      </c>
      <c r="V266" s="1" t="str">
        <f>IFERROR(IF($Q$1=$P$3,INDEX(prem_analysis!$P$2:$Q$441,ROWS(Data!$P$2:U266),COLUMNS(Data!$P$3:T267)),IF($Q$1=$P$5,INDEX(prem_analysis!$BH$1:$BS$23,ROWS(Data!$Q$3:U267),COLUMNS(Data!$Q$3:U267)),IF($Q$1=$P$6,INDEX(prem_analysis!$BU$1:$CF$67,ROWS(prem_analysis!$N$2:R266),COLUMNS(prem_analysis!$N$2:R266)),IF($Q$1=$P$4,INDEX(Table24[[#All],[Year]:[Details]],ROWS(prem_analysis!$M$420:Q684),COLUMNS(Data!$Q$3:U267)))))),"")</f>
        <v/>
      </c>
      <c r="W266" s="1" t="str">
        <f>IFERROR(IF($Q$1=$P$3,INDEX(prem_analysis!$P$2:$Q$441,ROWS(Data!$P$2:V266),COLUMNS(Data!$P$3:U267)),IF($Q$1=$P$5,INDEX(prem_analysis!$BH$1:$BS$23,ROWS(Data!$Q$3:V267),COLUMNS(Data!$Q$3:V267)),IF($Q$1=$P$6,INDEX(prem_analysis!$BU$1:$CF$67,ROWS(prem_analysis!$N$2:S266),COLUMNS(prem_analysis!$N$2:S266)),IF($Q$1=$P$4,INDEX(Table24[[#All],[Year]:[Details]],ROWS(prem_analysis!$M$420:R684),COLUMNS(Data!$Q$3:V267)))))),"")</f>
        <v/>
      </c>
      <c r="X266" s="1" t="str">
        <f>IFERROR(IF($Q$1=$P$3,INDEX(prem_analysis!$P$2:$Q$441,ROWS(Data!$P$2:W266),COLUMNS(Data!$P$3:V267)),IF($Q$1=$P$5,INDEX(prem_analysis!$BH$1:$BS$23,ROWS(Data!$Q$3:W267),COLUMNS(Data!$Q$3:W267)),IF($Q$1=$P$6,INDEX(prem_analysis!$BU$1:$CF$67,ROWS(prem_analysis!$N$2:T266),COLUMNS(prem_analysis!$N$2:T266)),IF($Q$1=$P$4,INDEX(Table24[[#All],[Year]:[Details]],ROWS(prem_analysis!$M$420:S684),COLUMNS(Data!$Q$3:W267)))))),"")</f>
        <v/>
      </c>
      <c r="Y266" s="1" t="str">
        <f>IFERROR(IF($Q$1=$P$3,INDEX(prem_analysis!$P$2:$Q$441,ROWS(Data!$P$2:X266),COLUMNS(Data!$P$3:W267)),IF($Q$1=$P$5,INDEX(prem_analysis!$BH$1:$BS$23,ROWS(Data!$Q$3:X267),COLUMNS(Data!$Q$3:X267)),IF($Q$1=$P$6,INDEX(prem_analysis!$BU$1:$CF$67,ROWS(prem_analysis!$N$2:U266),COLUMNS(prem_analysis!$N$2:U266)),IF($Q$1=$P$4,INDEX(Table24[[#All],[Year]:[Details]],ROWS(prem_analysis!$M$420:T684),COLUMNS(Data!$Q$3:X267)))))),"")</f>
        <v/>
      </c>
      <c r="Z266" s="1" t="str">
        <f>IFERROR(IF($Q$1=$P$3,INDEX(prem_analysis!$P$2:$Q$441,ROWS(Data!$P$2:Y266),COLUMNS(Data!$P$3:X267)),IF($Q$1=$P$5,INDEX(prem_analysis!$BH$1:$BS$23,ROWS(Data!$Q$3:Y267),COLUMNS(Data!$Q$3:Y267)),IF($Q$1=$P$6,INDEX(prem_analysis!$BU$1:$CF$67,ROWS(prem_analysis!$N$2:V266),COLUMNS(prem_analysis!$N$2:V266)),IF($Q$1=$P$4,INDEX(Table24[[#All],[Year]:[Details]],ROWS(prem_analysis!$M$420:U684),COLUMNS(Data!$Q$3:Y267)))))),"")</f>
        <v/>
      </c>
      <c r="AA266" s="1" t="str">
        <f>IFERROR(IF($Q$1=$P$3,INDEX(prem_analysis!$P$2:$Q$441,ROWS(Data!$P$2:Z266),COLUMNS(Data!$P$3:Y267)),IF($Q$1=$P$5,INDEX(prem_analysis!$BH$1:$BS$23,ROWS(Data!$Q$3:Z267),COLUMNS(Data!$Q$3:Z267)),IF($Q$1=$P$6,INDEX(prem_analysis!$BU$1:$CF$67,ROWS(prem_analysis!$N$2:W266),COLUMNS(prem_analysis!$N$2:W266)),IF($Q$1=$P$4,INDEX(Table24[[#All],[Year]:[Details]],ROWS(prem_analysis!$M$420:V684),COLUMNS(Data!$Q$3:Z267)))))),"")</f>
        <v/>
      </c>
      <c r="AB266" s="1" t="str">
        <f>IFERROR(IF($Q$1=$P$3,INDEX(prem_analysis!$P$2:$Q$441,ROWS(Data!$P$2:AA266),COLUMNS(Data!$P$3:Z267)),IF($Q$1=$P$5,INDEX(prem_analysis!$BH$1:$BS$23,ROWS(Data!$Q$3:AA267),COLUMNS(Data!$Q$3:AA267)),IF($Q$1=$P$6,INDEX(prem_analysis!$BU$1:$CF$67,ROWS(prem_analysis!$N$2:X266),COLUMNS(prem_analysis!$N$2:X266)),IF($Q$1=$P$4,INDEX(Table24[[#All],[Year]:[Details]],ROWS(prem_analysis!$M$420:W684),COLUMNS(Data!$Q$3:AA267)))))),"")</f>
        <v/>
      </c>
      <c r="AC266" s="1" t="str">
        <f>IFERROR(IF($Q$1=$P$3,INDEX(prem_analysis!$P$2:$Q$441,ROWS(Data!$P$2:AB266),COLUMNS(Data!$P$3:AA267)),IF($Q$1=$P$5,INDEX(prem_analysis!$BH$1:$BS$23,ROWS(Data!$Q$3:AB267),COLUMNS(Data!$Q$3:AB267)),IF($Q$1=$P$6,INDEX(prem_analysis!$BU$1:$CF$67,ROWS(prem_analysis!$N$2:Y266),COLUMNS(prem_analysis!$N$2:Y266)),IF($Q$1=$P$4,INDEX(Table24[[#All],[Year]:[Details]],ROWS(prem_analysis!$M$420:X684),COLUMNS(Data!$Q$3:AB267)))))),"")</f>
        <v/>
      </c>
    </row>
    <row r="267" spans="1:29" x14ac:dyDescent="0.2">
      <c r="A267" s="5">
        <v>2013</v>
      </c>
      <c r="B267" s="5">
        <v>6</v>
      </c>
      <c r="C267" s="6" t="s">
        <v>22</v>
      </c>
      <c r="D267" s="5">
        <v>38</v>
      </c>
      <c r="E267" s="5">
        <v>21</v>
      </c>
      <c r="F267" s="5">
        <v>6</v>
      </c>
      <c r="G267" s="5">
        <v>11</v>
      </c>
      <c r="H267" s="5">
        <v>55</v>
      </c>
      <c r="I267" s="5">
        <v>51</v>
      </c>
      <c r="J267" s="5">
        <v>4</v>
      </c>
      <c r="K267" s="5">
        <v>69</v>
      </c>
      <c r="L267" s="5">
        <f>IF(Table24[[#This Row],['#]]=1,"Champion", IF(Table24[[#This Row],['#]]&gt;=18,"Relegated",Table24[[#This Row],['#]]))</f>
        <v>6</v>
      </c>
      <c r="M267" s="5" t="str">
        <f>IF(Table24[[#This Row],[Details]]=2,K266-Table24[[#This Row],[Pts]],IF(Table24[[#This Row],[Details]]=17,Table24[[#This Row],[Pts]]-K268,""))</f>
        <v/>
      </c>
      <c r="R267" s="1" t="str">
        <f>IFERROR(IF($Q$1=$P$3,INDEX(prem_analysis!$P$2:$Q$441,ROWS(Data!$P$2:Q267),COLUMNS(Data!$P$3:P268)),IF($Q$1=$P$5,INDEX(prem_analysis!$BH$1:$BS$23,ROWS(Data!$Q$3:Q268),COLUMNS(Data!$Q$3:Q268)),IF($Q$1=$P$6,INDEX(prem_analysis!$BU$1:$CF$67,ROWS(prem_analysis!$N$2:N267),COLUMNS(prem_analysis!$N$2:N267)),IF($Q$1=$P$4,INDEX(Table24[[#All],[Year]:[Details]],ROWS(prem_analysis!$M$420:M685),COLUMNS(Data!$Q$3:Q268)))))),"")</f>
        <v/>
      </c>
      <c r="S267" s="1" t="str">
        <f>IFERROR(IF($Q$1=$P$3,INDEX(prem_analysis!$P$2:$Q$441,ROWS(Data!$P$2:R267),COLUMNS(Data!$P$3:Q268)),IF($Q$1=$P$5,INDEX(prem_analysis!$BH$1:$BS$23,ROWS(Data!$Q$3:R268),COLUMNS(Data!$Q$3:R268)),IF($Q$1=$P$6,INDEX(prem_analysis!$BU$1:$CF$67,ROWS(prem_analysis!$N$2:O267),COLUMNS(prem_analysis!$N$2:O267)),IF($Q$1=$P$4,INDEX(Table24[[#All],[Year]:[Details]],ROWS(prem_analysis!$M$420:N685),COLUMNS(Data!$Q$3:R268)))))),"")</f>
        <v/>
      </c>
      <c r="T267" s="1" t="str">
        <f>IFERROR(IF($Q$1=$P$3,INDEX(prem_analysis!$P$2:$Q$441,ROWS(Data!$P$2:S267),COLUMNS(Data!$P$3:R268)),IF($Q$1=$P$5,INDEX(prem_analysis!$BH$1:$BS$23,ROWS(Data!$Q$3:S268),COLUMNS(Data!$Q$3:S268)),IF($Q$1=$P$6,INDEX(prem_analysis!$BU$1:$CF$67,ROWS(prem_analysis!$N$2:P267),COLUMNS(prem_analysis!$N$2:P267)),IF($Q$1=$P$4,INDEX(Table24[[#All],[Year]:[Details]],ROWS(prem_analysis!$M$420:O685),COLUMNS(Data!$Q$3:S268)))))),"")</f>
        <v/>
      </c>
      <c r="U267" s="1" t="str">
        <f>IFERROR(IF($Q$1=$P$3,INDEX(prem_analysis!$P$2:$Q$441,ROWS(Data!$P$2:T267),COLUMNS(Data!$P$3:S268)),IF($Q$1=$P$5,INDEX(prem_analysis!$BH$1:$BS$23,ROWS(Data!$Q$3:T268),COLUMNS(Data!$Q$3:T268)),IF($Q$1=$P$6,INDEX(prem_analysis!$BU$1:$CF$67,ROWS(prem_analysis!$N$2:Q267),COLUMNS(prem_analysis!$N$2:Q267)),IF($Q$1=$P$4,INDEX(Table24[[#All],[Year]:[Details]],ROWS(prem_analysis!$M$420:P685),COLUMNS(Data!$Q$3:T268)))))),"")</f>
        <v/>
      </c>
      <c r="V267" s="1" t="str">
        <f>IFERROR(IF($Q$1=$P$3,INDEX(prem_analysis!$P$2:$Q$441,ROWS(Data!$P$2:U267),COLUMNS(Data!$P$3:T268)),IF($Q$1=$P$5,INDEX(prem_analysis!$BH$1:$BS$23,ROWS(Data!$Q$3:U268),COLUMNS(Data!$Q$3:U268)),IF($Q$1=$P$6,INDEX(prem_analysis!$BU$1:$CF$67,ROWS(prem_analysis!$N$2:R267),COLUMNS(prem_analysis!$N$2:R267)),IF($Q$1=$P$4,INDEX(Table24[[#All],[Year]:[Details]],ROWS(prem_analysis!$M$420:Q685),COLUMNS(Data!$Q$3:U268)))))),"")</f>
        <v/>
      </c>
      <c r="W267" s="1" t="str">
        <f>IFERROR(IF($Q$1=$P$3,INDEX(prem_analysis!$P$2:$Q$441,ROWS(Data!$P$2:V267),COLUMNS(Data!$P$3:U268)),IF($Q$1=$P$5,INDEX(prem_analysis!$BH$1:$BS$23,ROWS(Data!$Q$3:V268),COLUMNS(Data!$Q$3:V268)),IF($Q$1=$P$6,INDEX(prem_analysis!$BU$1:$CF$67,ROWS(prem_analysis!$N$2:S267),COLUMNS(prem_analysis!$N$2:S267)),IF($Q$1=$P$4,INDEX(Table24[[#All],[Year]:[Details]],ROWS(prem_analysis!$M$420:R685),COLUMNS(Data!$Q$3:V268)))))),"")</f>
        <v/>
      </c>
      <c r="X267" s="1" t="str">
        <f>IFERROR(IF($Q$1=$P$3,INDEX(prem_analysis!$P$2:$Q$441,ROWS(Data!$P$2:W267),COLUMNS(Data!$P$3:V268)),IF($Q$1=$P$5,INDEX(prem_analysis!$BH$1:$BS$23,ROWS(Data!$Q$3:W268),COLUMNS(Data!$Q$3:W268)),IF($Q$1=$P$6,INDEX(prem_analysis!$BU$1:$CF$67,ROWS(prem_analysis!$N$2:T267),COLUMNS(prem_analysis!$N$2:T267)),IF($Q$1=$P$4,INDEX(Table24[[#All],[Year]:[Details]],ROWS(prem_analysis!$M$420:S685),COLUMNS(Data!$Q$3:W268)))))),"")</f>
        <v/>
      </c>
      <c r="Y267" s="1" t="str">
        <f>IFERROR(IF($Q$1=$P$3,INDEX(prem_analysis!$P$2:$Q$441,ROWS(Data!$P$2:X267),COLUMNS(Data!$P$3:W268)),IF($Q$1=$P$5,INDEX(prem_analysis!$BH$1:$BS$23,ROWS(Data!$Q$3:X268),COLUMNS(Data!$Q$3:X268)),IF($Q$1=$P$6,INDEX(prem_analysis!$BU$1:$CF$67,ROWS(prem_analysis!$N$2:U267),COLUMNS(prem_analysis!$N$2:U267)),IF($Q$1=$P$4,INDEX(Table24[[#All],[Year]:[Details]],ROWS(prem_analysis!$M$420:T685),COLUMNS(Data!$Q$3:X268)))))),"")</f>
        <v/>
      </c>
      <c r="Z267" s="1" t="str">
        <f>IFERROR(IF($Q$1=$P$3,INDEX(prem_analysis!$P$2:$Q$441,ROWS(Data!$P$2:Y267),COLUMNS(Data!$P$3:X268)),IF($Q$1=$P$5,INDEX(prem_analysis!$BH$1:$BS$23,ROWS(Data!$Q$3:Y268),COLUMNS(Data!$Q$3:Y268)),IF($Q$1=$P$6,INDEX(prem_analysis!$BU$1:$CF$67,ROWS(prem_analysis!$N$2:V267),COLUMNS(prem_analysis!$N$2:V267)),IF($Q$1=$P$4,INDEX(Table24[[#All],[Year]:[Details]],ROWS(prem_analysis!$M$420:U685),COLUMNS(Data!$Q$3:Y268)))))),"")</f>
        <v/>
      </c>
      <c r="AA267" s="1" t="str">
        <f>IFERROR(IF($Q$1=$P$3,INDEX(prem_analysis!$P$2:$Q$441,ROWS(Data!$P$2:Z267),COLUMNS(Data!$P$3:Y268)),IF($Q$1=$P$5,INDEX(prem_analysis!$BH$1:$BS$23,ROWS(Data!$Q$3:Z268),COLUMNS(Data!$Q$3:Z268)),IF($Q$1=$P$6,INDEX(prem_analysis!$BU$1:$CF$67,ROWS(prem_analysis!$N$2:W267),COLUMNS(prem_analysis!$N$2:W267)),IF($Q$1=$P$4,INDEX(Table24[[#All],[Year]:[Details]],ROWS(prem_analysis!$M$420:V685),COLUMNS(Data!$Q$3:Z268)))))),"")</f>
        <v/>
      </c>
      <c r="AB267" s="1" t="str">
        <f>IFERROR(IF($Q$1=$P$3,INDEX(prem_analysis!$P$2:$Q$441,ROWS(Data!$P$2:AA267),COLUMNS(Data!$P$3:Z268)),IF($Q$1=$P$5,INDEX(prem_analysis!$BH$1:$BS$23,ROWS(Data!$Q$3:AA268),COLUMNS(Data!$Q$3:AA268)),IF($Q$1=$P$6,INDEX(prem_analysis!$BU$1:$CF$67,ROWS(prem_analysis!$N$2:X267),COLUMNS(prem_analysis!$N$2:X267)),IF($Q$1=$P$4,INDEX(Table24[[#All],[Year]:[Details]],ROWS(prem_analysis!$M$420:W685),COLUMNS(Data!$Q$3:AA268)))))),"")</f>
        <v/>
      </c>
      <c r="AC267" s="1" t="str">
        <f>IFERROR(IF($Q$1=$P$3,INDEX(prem_analysis!$P$2:$Q$441,ROWS(Data!$P$2:AB267),COLUMNS(Data!$P$3:AA268)),IF($Q$1=$P$5,INDEX(prem_analysis!$BH$1:$BS$23,ROWS(Data!$Q$3:AB268),COLUMNS(Data!$Q$3:AB268)),IF($Q$1=$P$6,INDEX(prem_analysis!$BU$1:$CF$67,ROWS(prem_analysis!$N$2:Y267),COLUMNS(prem_analysis!$N$2:Y267)),IF($Q$1=$P$4,INDEX(Table24[[#All],[Year]:[Details]],ROWS(prem_analysis!$M$420:X685),COLUMNS(Data!$Q$3:AB268)))))),"")</f>
        <v/>
      </c>
    </row>
    <row r="268" spans="1:29" x14ac:dyDescent="0.2">
      <c r="A268" s="3">
        <v>2013</v>
      </c>
      <c r="B268" s="3">
        <v>7</v>
      </c>
      <c r="C268" s="4" t="s">
        <v>11</v>
      </c>
      <c r="D268" s="3">
        <v>38</v>
      </c>
      <c r="E268" s="3">
        <v>19</v>
      </c>
      <c r="F268" s="3">
        <v>7</v>
      </c>
      <c r="G268" s="3">
        <v>12</v>
      </c>
      <c r="H268" s="3">
        <v>64</v>
      </c>
      <c r="I268" s="3">
        <v>43</v>
      </c>
      <c r="J268" s="3">
        <v>21</v>
      </c>
      <c r="K268" s="3">
        <v>64</v>
      </c>
      <c r="L268" s="5">
        <f>IF(Table24[[#This Row],['#]]=1,"Champion", IF(Table24[[#This Row],['#]]&gt;=18,"Relegated",Table24[[#This Row],['#]]))</f>
        <v>7</v>
      </c>
      <c r="M268" s="5" t="str">
        <f>IF(Table24[[#This Row],[Details]]=2,K267-Table24[[#This Row],[Pts]],IF(Table24[[#This Row],[Details]]=17,Table24[[#This Row],[Pts]]-K269,""))</f>
        <v/>
      </c>
      <c r="R268" s="1" t="str">
        <f>IFERROR(IF($Q$1=$P$3,INDEX(prem_analysis!$P$2:$Q$441,ROWS(Data!$P$2:Q268),COLUMNS(Data!$P$3:P269)),IF($Q$1=$P$5,INDEX(prem_analysis!$BH$1:$BS$23,ROWS(Data!$Q$3:Q269),COLUMNS(Data!$Q$3:Q269)),IF($Q$1=$P$6,INDEX(prem_analysis!$BU$1:$CF$67,ROWS(prem_analysis!$N$2:N268),COLUMNS(prem_analysis!$N$2:N268)),IF($Q$1=$P$4,INDEX(Table24[[#All],[Year]:[Details]],ROWS(prem_analysis!$M$420:M686),COLUMNS(Data!$Q$3:Q269)))))),"")</f>
        <v/>
      </c>
      <c r="S268" s="1" t="str">
        <f>IFERROR(IF($Q$1=$P$3,INDEX(prem_analysis!$P$2:$Q$441,ROWS(Data!$P$2:R268),COLUMNS(Data!$P$3:Q269)),IF($Q$1=$P$5,INDEX(prem_analysis!$BH$1:$BS$23,ROWS(Data!$Q$3:R269),COLUMNS(Data!$Q$3:R269)),IF($Q$1=$P$6,INDEX(prem_analysis!$BU$1:$CF$67,ROWS(prem_analysis!$N$2:O268),COLUMNS(prem_analysis!$N$2:O268)),IF($Q$1=$P$4,INDEX(Table24[[#All],[Year]:[Details]],ROWS(prem_analysis!$M$420:N686),COLUMNS(Data!$Q$3:R269)))))),"")</f>
        <v/>
      </c>
      <c r="T268" s="1" t="str">
        <f>IFERROR(IF($Q$1=$P$3,INDEX(prem_analysis!$P$2:$Q$441,ROWS(Data!$P$2:S268),COLUMNS(Data!$P$3:R269)),IF($Q$1=$P$5,INDEX(prem_analysis!$BH$1:$BS$23,ROWS(Data!$Q$3:S269),COLUMNS(Data!$Q$3:S269)),IF($Q$1=$P$6,INDEX(prem_analysis!$BU$1:$CF$67,ROWS(prem_analysis!$N$2:P268),COLUMNS(prem_analysis!$N$2:P268)),IF($Q$1=$P$4,INDEX(Table24[[#All],[Year]:[Details]],ROWS(prem_analysis!$M$420:O686),COLUMNS(Data!$Q$3:S269)))))),"")</f>
        <v/>
      </c>
      <c r="U268" s="1" t="str">
        <f>IFERROR(IF($Q$1=$P$3,INDEX(prem_analysis!$P$2:$Q$441,ROWS(Data!$P$2:T268),COLUMNS(Data!$P$3:S269)),IF($Q$1=$P$5,INDEX(prem_analysis!$BH$1:$BS$23,ROWS(Data!$Q$3:T269),COLUMNS(Data!$Q$3:T269)),IF($Q$1=$P$6,INDEX(prem_analysis!$BU$1:$CF$67,ROWS(prem_analysis!$N$2:Q268),COLUMNS(prem_analysis!$N$2:Q268)),IF($Q$1=$P$4,INDEX(Table24[[#All],[Year]:[Details]],ROWS(prem_analysis!$M$420:P686),COLUMNS(Data!$Q$3:T269)))))),"")</f>
        <v/>
      </c>
      <c r="V268" s="1" t="str">
        <f>IFERROR(IF($Q$1=$P$3,INDEX(prem_analysis!$P$2:$Q$441,ROWS(Data!$P$2:U268),COLUMNS(Data!$P$3:T269)),IF($Q$1=$P$5,INDEX(prem_analysis!$BH$1:$BS$23,ROWS(Data!$Q$3:U269),COLUMNS(Data!$Q$3:U269)),IF($Q$1=$P$6,INDEX(prem_analysis!$BU$1:$CF$67,ROWS(prem_analysis!$N$2:R268),COLUMNS(prem_analysis!$N$2:R268)),IF($Q$1=$P$4,INDEX(Table24[[#All],[Year]:[Details]],ROWS(prem_analysis!$M$420:Q686),COLUMNS(Data!$Q$3:U269)))))),"")</f>
        <v/>
      </c>
      <c r="W268" s="1" t="str">
        <f>IFERROR(IF($Q$1=$P$3,INDEX(prem_analysis!$P$2:$Q$441,ROWS(Data!$P$2:V268),COLUMNS(Data!$P$3:U269)),IF($Q$1=$P$5,INDEX(prem_analysis!$BH$1:$BS$23,ROWS(Data!$Q$3:V269),COLUMNS(Data!$Q$3:V269)),IF($Q$1=$P$6,INDEX(prem_analysis!$BU$1:$CF$67,ROWS(prem_analysis!$N$2:S268),COLUMNS(prem_analysis!$N$2:S268)),IF($Q$1=$P$4,INDEX(Table24[[#All],[Year]:[Details]],ROWS(prem_analysis!$M$420:R686),COLUMNS(Data!$Q$3:V269)))))),"")</f>
        <v/>
      </c>
      <c r="X268" s="1" t="str">
        <f>IFERROR(IF($Q$1=$P$3,INDEX(prem_analysis!$P$2:$Q$441,ROWS(Data!$P$2:W268),COLUMNS(Data!$P$3:V269)),IF($Q$1=$P$5,INDEX(prem_analysis!$BH$1:$BS$23,ROWS(Data!$Q$3:W269),COLUMNS(Data!$Q$3:W269)),IF($Q$1=$P$6,INDEX(prem_analysis!$BU$1:$CF$67,ROWS(prem_analysis!$N$2:T268),COLUMNS(prem_analysis!$N$2:T268)),IF($Q$1=$P$4,INDEX(Table24[[#All],[Year]:[Details]],ROWS(prem_analysis!$M$420:S686),COLUMNS(Data!$Q$3:W269)))))),"")</f>
        <v/>
      </c>
      <c r="Y268" s="1" t="str">
        <f>IFERROR(IF($Q$1=$P$3,INDEX(prem_analysis!$P$2:$Q$441,ROWS(Data!$P$2:X268),COLUMNS(Data!$P$3:W269)),IF($Q$1=$P$5,INDEX(prem_analysis!$BH$1:$BS$23,ROWS(Data!$Q$3:X269),COLUMNS(Data!$Q$3:X269)),IF($Q$1=$P$6,INDEX(prem_analysis!$BU$1:$CF$67,ROWS(prem_analysis!$N$2:U268),COLUMNS(prem_analysis!$N$2:U268)),IF($Q$1=$P$4,INDEX(Table24[[#All],[Year]:[Details]],ROWS(prem_analysis!$M$420:T686),COLUMNS(Data!$Q$3:X269)))))),"")</f>
        <v/>
      </c>
      <c r="Z268" s="1" t="str">
        <f>IFERROR(IF($Q$1=$P$3,INDEX(prem_analysis!$P$2:$Q$441,ROWS(Data!$P$2:Y268),COLUMNS(Data!$P$3:X269)),IF($Q$1=$P$5,INDEX(prem_analysis!$BH$1:$BS$23,ROWS(Data!$Q$3:Y269),COLUMNS(Data!$Q$3:Y269)),IF($Q$1=$P$6,INDEX(prem_analysis!$BU$1:$CF$67,ROWS(prem_analysis!$N$2:V268),COLUMNS(prem_analysis!$N$2:V268)),IF($Q$1=$P$4,INDEX(Table24[[#All],[Year]:[Details]],ROWS(prem_analysis!$M$420:U686),COLUMNS(Data!$Q$3:Y269)))))),"")</f>
        <v/>
      </c>
      <c r="AA268" s="1" t="str">
        <f>IFERROR(IF($Q$1=$P$3,INDEX(prem_analysis!$P$2:$Q$441,ROWS(Data!$P$2:Z268),COLUMNS(Data!$P$3:Y269)),IF($Q$1=$P$5,INDEX(prem_analysis!$BH$1:$BS$23,ROWS(Data!$Q$3:Z269),COLUMNS(Data!$Q$3:Z269)),IF($Q$1=$P$6,INDEX(prem_analysis!$BU$1:$CF$67,ROWS(prem_analysis!$N$2:W268),COLUMNS(prem_analysis!$N$2:W268)),IF($Q$1=$P$4,INDEX(Table24[[#All],[Year]:[Details]],ROWS(prem_analysis!$M$420:V686),COLUMNS(Data!$Q$3:Z269)))))),"")</f>
        <v/>
      </c>
      <c r="AB268" s="1" t="str">
        <f>IFERROR(IF($Q$1=$P$3,INDEX(prem_analysis!$P$2:$Q$441,ROWS(Data!$P$2:AA268),COLUMNS(Data!$P$3:Z269)),IF($Q$1=$P$5,INDEX(prem_analysis!$BH$1:$BS$23,ROWS(Data!$Q$3:AA269),COLUMNS(Data!$Q$3:AA269)),IF($Q$1=$P$6,INDEX(prem_analysis!$BU$1:$CF$67,ROWS(prem_analysis!$N$2:X268),COLUMNS(prem_analysis!$N$2:X268)),IF($Q$1=$P$4,INDEX(Table24[[#All],[Year]:[Details]],ROWS(prem_analysis!$M$420:W686),COLUMNS(Data!$Q$3:AA269)))))),"")</f>
        <v/>
      </c>
      <c r="AC268" s="1" t="str">
        <f>IFERROR(IF($Q$1=$P$3,INDEX(prem_analysis!$P$2:$Q$441,ROWS(Data!$P$2:AB268),COLUMNS(Data!$P$3:AA269)),IF($Q$1=$P$5,INDEX(prem_analysis!$BH$1:$BS$23,ROWS(Data!$Q$3:AB269),COLUMNS(Data!$Q$3:AB269)),IF($Q$1=$P$6,INDEX(prem_analysis!$BU$1:$CF$67,ROWS(prem_analysis!$N$2:Y268),COLUMNS(prem_analysis!$N$2:Y268)),IF($Q$1=$P$4,INDEX(Table24[[#All],[Year]:[Details]],ROWS(prem_analysis!$M$420:X686),COLUMNS(Data!$Q$3:AB269)))))),"")</f>
        <v/>
      </c>
    </row>
    <row r="269" spans="1:29" x14ac:dyDescent="0.2">
      <c r="A269" s="5">
        <v>2013</v>
      </c>
      <c r="B269" s="5">
        <v>8</v>
      </c>
      <c r="C269" s="6" t="s">
        <v>20</v>
      </c>
      <c r="D269" s="5">
        <v>38</v>
      </c>
      <c r="E269" s="5">
        <v>15</v>
      </c>
      <c r="F269" s="5">
        <v>11</v>
      </c>
      <c r="G269" s="5">
        <v>12</v>
      </c>
      <c r="H269" s="5">
        <v>54</v>
      </c>
      <c r="I269" s="5">
        <v>46</v>
      </c>
      <c r="J269" s="5">
        <v>8</v>
      </c>
      <c r="K269" s="5">
        <v>56</v>
      </c>
      <c r="L269" s="5">
        <f>IF(Table24[[#This Row],['#]]=1,"Champion", IF(Table24[[#This Row],['#]]&gt;=18,"Relegated",Table24[[#This Row],['#]]))</f>
        <v>8</v>
      </c>
      <c r="M269" s="5" t="str">
        <f>IF(Table24[[#This Row],[Details]]=2,K268-Table24[[#This Row],[Pts]],IF(Table24[[#This Row],[Details]]=17,Table24[[#This Row],[Pts]]-K270,""))</f>
        <v/>
      </c>
      <c r="R269" s="1" t="str">
        <f>IFERROR(IF($Q$1=$P$3,INDEX(prem_analysis!$P$2:$Q$441,ROWS(Data!$P$2:Q269),COLUMNS(Data!$P$3:P270)),IF($Q$1=$P$5,INDEX(prem_analysis!$BH$1:$BS$23,ROWS(Data!$Q$3:Q270),COLUMNS(Data!$Q$3:Q270)),IF($Q$1=$P$6,INDEX(prem_analysis!$BU$1:$CF$67,ROWS(prem_analysis!$N$2:N269),COLUMNS(prem_analysis!$N$2:N269)),IF($Q$1=$P$4,INDEX(Table24[[#All],[Year]:[Details]],ROWS(prem_analysis!$M$420:M687),COLUMNS(Data!$Q$3:Q270)))))),"")</f>
        <v/>
      </c>
      <c r="S269" s="1" t="str">
        <f>IFERROR(IF($Q$1=$P$3,INDEX(prem_analysis!$P$2:$Q$441,ROWS(Data!$P$2:R269),COLUMNS(Data!$P$3:Q270)),IF($Q$1=$P$5,INDEX(prem_analysis!$BH$1:$BS$23,ROWS(Data!$Q$3:R270),COLUMNS(Data!$Q$3:R270)),IF($Q$1=$P$6,INDEX(prem_analysis!$BU$1:$CF$67,ROWS(prem_analysis!$N$2:O269),COLUMNS(prem_analysis!$N$2:O269)),IF($Q$1=$P$4,INDEX(Table24[[#All],[Year]:[Details]],ROWS(prem_analysis!$M$420:N687),COLUMNS(Data!$Q$3:R270)))))),"")</f>
        <v/>
      </c>
      <c r="T269" s="1" t="str">
        <f>IFERROR(IF($Q$1=$P$3,INDEX(prem_analysis!$P$2:$Q$441,ROWS(Data!$P$2:S269),COLUMNS(Data!$P$3:R270)),IF($Q$1=$P$5,INDEX(prem_analysis!$BH$1:$BS$23,ROWS(Data!$Q$3:S270),COLUMNS(Data!$Q$3:S270)),IF($Q$1=$P$6,INDEX(prem_analysis!$BU$1:$CF$67,ROWS(prem_analysis!$N$2:P269),COLUMNS(prem_analysis!$N$2:P269)),IF($Q$1=$P$4,INDEX(Table24[[#All],[Year]:[Details]],ROWS(prem_analysis!$M$420:O687),COLUMNS(Data!$Q$3:S270)))))),"")</f>
        <v/>
      </c>
      <c r="U269" s="1" t="str">
        <f>IFERROR(IF($Q$1=$P$3,INDEX(prem_analysis!$P$2:$Q$441,ROWS(Data!$P$2:T269),COLUMNS(Data!$P$3:S270)),IF($Q$1=$P$5,INDEX(prem_analysis!$BH$1:$BS$23,ROWS(Data!$Q$3:T270),COLUMNS(Data!$Q$3:T270)),IF($Q$1=$P$6,INDEX(prem_analysis!$BU$1:$CF$67,ROWS(prem_analysis!$N$2:Q269),COLUMNS(prem_analysis!$N$2:Q269)),IF($Q$1=$P$4,INDEX(Table24[[#All],[Year]:[Details]],ROWS(prem_analysis!$M$420:P687),COLUMNS(Data!$Q$3:T270)))))),"")</f>
        <v/>
      </c>
      <c r="V269" s="1" t="str">
        <f>IFERROR(IF($Q$1=$P$3,INDEX(prem_analysis!$P$2:$Q$441,ROWS(Data!$P$2:U269),COLUMNS(Data!$P$3:T270)),IF($Q$1=$P$5,INDEX(prem_analysis!$BH$1:$BS$23,ROWS(Data!$Q$3:U270),COLUMNS(Data!$Q$3:U270)),IF($Q$1=$P$6,INDEX(prem_analysis!$BU$1:$CF$67,ROWS(prem_analysis!$N$2:R269),COLUMNS(prem_analysis!$N$2:R269)),IF($Q$1=$P$4,INDEX(Table24[[#All],[Year]:[Details]],ROWS(prem_analysis!$M$420:Q687),COLUMNS(Data!$Q$3:U270)))))),"")</f>
        <v/>
      </c>
      <c r="W269" s="1" t="str">
        <f>IFERROR(IF($Q$1=$P$3,INDEX(prem_analysis!$P$2:$Q$441,ROWS(Data!$P$2:V269),COLUMNS(Data!$P$3:U270)),IF($Q$1=$P$5,INDEX(prem_analysis!$BH$1:$BS$23,ROWS(Data!$Q$3:V270),COLUMNS(Data!$Q$3:V270)),IF($Q$1=$P$6,INDEX(prem_analysis!$BU$1:$CF$67,ROWS(prem_analysis!$N$2:S269),COLUMNS(prem_analysis!$N$2:S269)),IF($Q$1=$P$4,INDEX(Table24[[#All],[Year]:[Details]],ROWS(prem_analysis!$M$420:R687),COLUMNS(Data!$Q$3:V270)))))),"")</f>
        <v/>
      </c>
      <c r="X269" s="1" t="str">
        <f>IFERROR(IF($Q$1=$P$3,INDEX(prem_analysis!$P$2:$Q$441,ROWS(Data!$P$2:W269),COLUMNS(Data!$P$3:V270)),IF($Q$1=$P$5,INDEX(prem_analysis!$BH$1:$BS$23,ROWS(Data!$Q$3:W270),COLUMNS(Data!$Q$3:W270)),IF($Q$1=$P$6,INDEX(prem_analysis!$BU$1:$CF$67,ROWS(prem_analysis!$N$2:T269),COLUMNS(prem_analysis!$N$2:T269)),IF($Q$1=$P$4,INDEX(Table24[[#All],[Year]:[Details]],ROWS(prem_analysis!$M$420:S687),COLUMNS(Data!$Q$3:W270)))))),"")</f>
        <v/>
      </c>
      <c r="Y269" s="1" t="str">
        <f>IFERROR(IF($Q$1=$P$3,INDEX(prem_analysis!$P$2:$Q$441,ROWS(Data!$P$2:X269),COLUMNS(Data!$P$3:W270)),IF($Q$1=$P$5,INDEX(prem_analysis!$BH$1:$BS$23,ROWS(Data!$Q$3:X270),COLUMNS(Data!$Q$3:X270)),IF($Q$1=$P$6,INDEX(prem_analysis!$BU$1:$CF$67,ROWS(prem_analysis!$N$2:U269),COLUMNS(prem_analysis!$N$2:U269)),IF($Q$1=$P$4,INDEX(Table24[[#All],[Year]:[Details]],ROWS(prem_analysis!$M$420:T687),COLUMNS(Data!$Q$3:X270)))))),"")</f>
        <v/>
      </c>
      <c r="Z269" s="1" t="str">
        <f>IFERROR(IF($Q$1=$P$3,INDEX(prem_analysis!$P$2:$Q$441,ROWS(Data!$P$2:Y269),COLUMNS(Data!$P$3:X270)),IF($Q$1=$P$5,INDEX(prem_analysis!$BH$1:$BS$23,ROWS(Data!$Q$3:Y270),COLUMNS(Data!$Q$3:Y270)),IF($Q$1=$P$6,INDEX(prem_analysis!$BU$1:$CF$67,ROWS(prem_analysis!$N$2:V269),COLUMNS(prem_analysis!$N$2:V269)),IF($Q$1=$P$4,INDEX(Table24[[#All],[Year]:[Details]],ROWS(prem_analysis!$M$420:U687),COLUMNS(Data!$Q$3:Y270)))))),"")</f>
        <v/>
      </c>
      <c r="AA269" s="1" t="str">
        <f>IFERROR(IF($Q$1=$P$3,INDEX(prem_analysis!$P$2:$Q$441,ROWS(Data!$P$2:Z269),COLUMNS(Data!$P$3:Y270)),IF($Q$1=$P$5,INDEX(prem_analysis!$BH$1:$BS$23,ROWS(Data!$Q$3:Z270),COLUMNS(Data!$Q$3:Z270)),IF($Q$1=$P$6,INDEX(prem_analysis!$BU$1:$CF$67,ROWS(prem_analysis!$N$2:W269),COLUMNS(prem_analysis!$N$2:W269)),IF($Q$1=$P$4,INDEX(Table24[[#All],[Year]:[Details]],ROWS(prem_analysis!$M$420:V687),COLUMNS(Data!$Q$3:Z270)))))),"")</f>
        <v/>
      </c>
      <c r="AB269" s="1" t="str">
        <f>IFERROR(IF($Q$1=$P$3,INDEX(prem_analysis!$P$2:$Q$441,ROWS(Data!$P$2:AA269),COLUMNS(Data!$P$3:Z270)),IF($Q$1=$P$5,INDEX(prem_analysis!$BH$1:$BS$23,ROWS(Data!$Q$3:AA270),COLUMNS(Data!$Q$3:AA270)),IF($Q$1=$P$6,INDEX(prem_analysis!$BU$1:$CF$67,ROWS(prem_analysis!$N$2:X269),COLUMNS(prem_analysis!$N$2:X269)),IF($Q$1=$P$4,INDEX(Table24[[#All],[Year]:[Details]],ROWS(prem_analysis!$M$420:W687),COLUMNS(Data!$Q$3:AA270)))))),"")</f>
        <v/>
      </c>
      <c r="AC269" s="1" t="str">
        <f>IFERROR(IF($Q$1=$P$3,INDEX(prem_analysis!$P$2:$Q$441,ROWS(Data!$P$2:AB269),COLUMNS(Data!$P$3:AA270)),IF($Q$1=$P$5,INDEX(prem_analysis!$BH$1:$BS$23,ROWS(Data!$Q$3:AB270),COLUMNS(Data!$Q$3:AB270)),IF($Q$1=$P$6,INDEX(prem_analysis!$BU$1:$CF$67,ROWS(prem_analysis!$N$2:Y269),COLUMNS(prem_analysis!$N$2:Y269)),IF($Q$1=$P$4,INDEX(Table24[[#All],[Year]:[Details]],ROWS(prem_analysis!$M$420:X687),COLUMNS(Data!$Q$3:AB270)))))),"")</f>
        <v/>
      </c>
    </row>
    <row r="270" spans="1:29" x14ac:dyDescent="0.2">
      <c r="A270" s="3">
        <v>2013</v>
      </c>
      <c r="B270" s="3">
        <v>9</v>
      </c>
      <c r="C270" s="4" t="s">
        <v>44</v>
      </c>
      <c r="D270" s="3">
        <v>38</v>
      </c>
      <c r="E270" s="3">
        <v>13</v>
      </c>
      <c r="F270" s="3">
        <v>11</v>
      </c>
      <c r="G270" s="3">
        <v>14</v>
      </c>
      <c r="H270" s="3">
        <v>45</v>
      </c>
      <c r="I270" s="3">
        <v>52</v>
      </c>
      <c r="J270" s="3">
        <v>-7</v>
      </c>
      <c r="K270" s="3">
        <v>50</v>
      </c>
      <c r="L270" s="5">
        <f>IF(Table24[[#This Row],['#]]=1,"Champion", IF(Table24[[#This Row],['#]]&gt;=18,"Relegated",Table24[[#This Row],['#]]))</f>
        <v>9</v>
      </c>
      <c r="M270" s="5" t="str">
        <f>IF(Table24[[#This Row],[Details]]=2,K269-Table24[[#This Row],[Pts]],IF(Table24[[#This Row],[Details]]=17,Table24[[#This Row],[Pts]]-K271,""))</f>
        <v/>
      </c>
      <c r="R270" s="1" t="str">
        <f>IFERROR(IF($Q$1=$P$3,INDEX(prem_analysis!$P$2:$Q$441,ROWS(Data!$P$2:Q270),COLUMNS(Data!$P$3:P271)),IF($Q$1=$P$5,INDEX(prem_analysis!$BH$1:$BS$23,ROWS(Data!$Q$3:Q271),COLUMNS(Data!$Q$3:Q271)),IF($Q$1=$P$6,INDEX(prem_analysis!$BU$1:$CF$67,ROWS(prem_analysis!$N$2:N270),COLUMNS(prem_analysis!$N$2:N270)),IF($Q$1=$P$4,INDEX(Table24[[#All],[Year]:[Details]],ROWS(prem_analysis!$M$420:M688),COLUMNS(Data!$Q$3:Q271)))))),"")</f>
        <v/>
      </c>
      <c r="S270" s="1" t="str">
        <f>IFERROR(IF($Q$1=$P$3,INDEX(prem_analysis!$P$2:$Q$441,ROWS(Data!$P$2:R270),COLUMNS(Data!$P$3:Q271)),IF($Q$1=$P$5,INDEX(prem_analysis!$BH$1:$BS$23,ROWS(Data!$Q$3:R271),COLUMNS(Data!$Q$3:R271)),IF($Q$1=$P$6,INDEX(prem_analysis!$BU$1:$CF$67,ROWS(prem_analysis!$N$2:O270),COLUMNS(prem_analysis!$N$2:O270)),IF($Q$1=$P$4,INDEX(Table24[[#All],[Year]:[Details]],ROWS(prem_analysis!$M$420:N688),COLUMNS(Data!$Q$3:R271)))))),"")</f>
        <v/>
      </c>
      <c r="T270" s="1" t="str">
        <f>IFERROR(IF($Q$1=$P$3,INDEX(prem_analysis!$P$2:$Q$441,ROWS(Data!$P$2:S270),COLUMNS(Data!$P$3:R271)),IF($Q$1=$P$5,INDEX(prem_analysis!$BH$1:$BS$23,ROWS(Data!$Q$3:S271),COLUMNS(Data!$Q$3:S271)),IF($Q$1=$P$6,INDEX(prem_analysis!$BU$1:$CF$67,ROWS(prem_analysis!$N$2:P270),COLUMNS(prem_analysis!$N$2:P270)),IF($Q$1=$P$4,INDEX(Table24[[#All],[Year]:[Details]],ROWS(prem_analysis!$M$420:O688),COLUMNS(Data!$Q$3:S271)))))),"")</f>
        <v/>
      </c>
      <c r="U270" s="1" t="str">
        <f>IFERROR(IF($Q$1=$P$3,INDEX(prem_analysis!$P$2:$Q$441,ROWS(Data!$P$2:T270),COLUMNS(Data!$P$3:S271)),IF($Q$1=$P$5,INDEX(prem_analysis!$BH$1:$BS$23,ROWS(Data!$Q$3:T271),COLUMNS(Data!$Q$3:T271)),IF($Q$1=$P$6,INDEX(prem_analysis!$BU$1:$CF$67,ROWS(prem_analysis!$N$2:Q270),COLUMNS(prem_analysis!$N$2:Q270)),IF($Q$1=$P$4,INDEX(Table24[[#All],[Year]:[Details]],ROWS(prem_analysis!$M$420:P688),COLUMNS(Data!$Q$3:T271)))))),"")</f>
        <v/>
      </c>
      <c r="V270" s="1" t="str">
        <f>IFERROR(IF($Q$1=$P$3,INDEX(prem_analysis!$P$2:$Q$441,ROWS(Data!$P$2:U270),COLUMNS(Data!$P$3:T271)),IF($Q$1=$P$5,INDEX(prem_analysis!$BH$1:$BS$23,ROWS(Data!$Q$3:U271),COLUMNS(Data!$Q$3:U271)),IF($Q$1=$P$6,INDEX(prem_analysis!$BU$1:$CF$67,ROWS(prem_analysis!$N$2:R270),COLUMNS(prem_analysis!$N$2:R270)),IF($Q$1=$P$4,INDEX(Table24[[#All],[Year]:[Details]],ROWS(prem_analysis!$M$420:Q688),COLUMNS(Data!$Q$3:U271)))))),"")</f>
        <v/>
      </c>
      <c r="W270" s="1" t="str">
        <f>IFERROR(IF($Q$1=$P$3,INDEX(prem_analysis!$P$2:$Q$441,ROWS(Data!$P$2:V270),COLUMNS(Data!$P$3:U271)),IF($Q$1=$P$5,INDEX(prem_analysis!$BH$1:$BS$23,ROWS(Data!$Q$3:V271),COLUMNS(Data!$Q$3:V271)),IF($Q$1=$P$6,INDEX(prem_analysis!$BU$1:$CF$67,ROWS(prem_analysis!$N$2:S270),COLUMNS(prem_analysis!$N$2:S270)),IF($Q$1=$P$4,INDEX(Table24[[#All],[Year]:[Details]],ROWS(prem_analysis!$M$420:R688),COLUMNS(Data!$Q$3:V271)))))),"")</f>
        <v/>
      </c>
      <c r="X270" s="1" t="str">
        <f>IFERROR(IF($Q$1=$P$3,INDEX(prem_analysis!$P$2:$Q$441,ROWS(Data!$P$2:W270),COLUMNS(Data!$P$3:V271)),IF($Q$1=$P$5,INDEX(prem_analysis!$BH$1:$BS$23,ROWS(Data!$Q$3:W271),COLUMNS(Data!$Q$3:W271)),IF($Q$1=$P$6,INDEX(prem_analysis!$BU$1:$CF$67,ROWS(prem_analysis!$N$2:T270),COLUMNS(prem_analysis!$N$2:T270)),IF($Q$1=$P$4,INDEX(Table24[[#All],[Year]:[Details]],ROWS(prem_analysis!$M$420:S688),COLUMNS(Data!$Q$3:W271)))))),"")</f>
        <v/>
      </c>
      <c r="Y270" s="1" t="str">
        <f>IFERROR(IF($Q$1=$P$3,INDEX(prem_analysis!$P$2:$Q$441,ROWS(Data!$P$2:X270),COLUMNS(Data!$P$3:W271)),IF($Q$1=$P$5,INDEX(prem_analysis!$BH$1:$BS$23,ROWS(Data!$Q$3:X271),COLUMNS(Data!$Q$3:X271)),IF($Q$1=$P$6,INDEX(prem_analysis!$BU$1:$CF$67,ROWS(prem_analysis!$N$2:U270),COLUMNS(prem_analysis!$N$2:U270)),IF($Q$1=$P$4,INDEX(Table24[[#All],[Year]:[Details]],ROWS(prem_analysis!$M$420:T688),COLUMNS(Data!$Q$3:X271)))))),"")</f>
        <v/>
      </c>
      <c r="Z270" s="1" t="str">
        <f>IFERROR(IF($Q$1=$P$3,INDEX(prem_analysis!$P$2:$Q$441,ROWS(Data!$P$2:Y270),COLUMNS(Data!$P$3:X271)),IF($Q$1=$P$5,INDEX(prem_analysis!$BH$1:$BS$23,ROWS(Data!$Q$3:Y271),COLUMNS(Data!$Q$3:Y271)),IF($Q$1=$P$6,INDEX(prem_analysis!$BU$1:$CF$67,ROWS(prem_analysis!$N$2:V270),COLUMNS(prem_analysis!$N$2:V270)),IF($Q$1=$P$4,INDEX(Table24[[#All],[Year]:[Details]],ROWS(prem_analysis!$M$420:U688),COLUMNS(Data!$Q$3:Y271)))))),"")</f>
        <v/>
      </c>
      <c r="AA270" s="1" t="str">
        <f>IFERROR(IF($Q$1=$P$3,INDEX(prem_analysis!$P$2:$Q$441,ROWS(Data!$P$2:Z270),COLUMNS(Data!$P$3:Y271)),IF($Q$1=$P$5,INDEX(prem_analysis!$BH$1:$BS$23,ROWS(Data!$Q$3:Z271),COLUMNS(Data!$Q$3:Z271)),IF($Q$1=$P$6,INDEX(prem_analysis!$BU$1:$CF$67,ROWS(prem_analysis!$N$2:W270),COLUMNS(prem_analysis!$N$2:W270)),IF($Q$1=$P$4,INDEX(Table24[[#All],[Year]:[Details]],ROWS(prem_analysis!$M$420:V688),COLUMNS(Data!$Q$3:Z271)))))),"")</f>
        <v/>
      </c>
      <c r="AB270" s="1" t="str">
        <f>IFERROR(IF($Q$1=$P$3,INDEX(prem_analysis!$P$2:$Q$441,ROWS(Data!$P$2:AA270),COLUMNS(Data!$P$3:Z271)),IF($Q$1=$P$5,INDEX(prem_analysis!$BH$1:$BS$23,ROWS(Data!$Q$3:AA271),COLUMNS(Data!$Q$3:AA271)),IF($Q$1=$P$6,INDEX(prem_analysis!$BU$1:$CF$67,ROWS(prem_analysis!$N$2:X270),COLUMNS(prem_analysis!$N$2:X270)),IF($Q$1=$P$4,INDEX(Table24[[#All],[Year]:[Details]],ROWS(prem_analysis!$M$420:W688),COLUMNS(Data!$Q$3:AA271)))))),"")</f>
        <v/>
      </c>
      <c r="AC270" s="1" t="str">
        <f>IFERROR(IF($Q$1=$P$3,INDEX(prem_analysis!$P$2:$Q$441,ROWS(Data!$P$2:AB270),COLUMNS(Data!$P$3:AA271)),IF($Q$1=$P$5,INDEX(prem_analysis!$BH$1:$BS$23,ROWS(Data!$Q$3:AB271),COLUMNS(Data!$Q$3:AB271)),IF($Q$1=$P$6,INDEX(prem_analysis!$BU$1:$CF$67,ROWS(prem_analysis!$N$2:Y270),COLUMNS(prem_analysis!$N$2:Y270)),IF($Q$1=$P$4,INDEX(Table24[[#All],[Year]:[Details]],ROWS(prem_analysis!$M$420:X688),COLUMNS(Data!$Q$3:AB271)))))),"")</f>
        <v/>
      </c>
    </row>
    <row r="271" spans="1:29" x14ac:dyDescent="0.2">
      <c r="A271" s="5">
        <v>2013</v>
      </c>
      <c r="B271" s="5">
        <v>10</v>
      </c>
      <c r="C271" s="6" t="s">
        <v>21</v>
      </c>
      <c r="D271" s="5">
        <v>38</v>
      </c>
      <c r="E271" s="5">
        <v>15</v>
      </c>
      <c r="F271" s="5">
        <v>4</v>
      </c>
      <c r="G271" s="5">
        <v>19</v>
      </c>
      <c r="H271" s="5">
        <v>43</v>
      </c>
      <c r="I271" s="5">
        <v>59</v>
      </c>
      <c r="J271" s="5">
        <v>-16</v>
      </c>
      <c r="K271" s="5">
        <v>49</v>
      </c>
      <c r="L271" s="5">
        <f>IF(Table24[[#This Row],['#]]=1,"Champion", IF(Table24[[#This Row],['#]]&gt;=18,"Relegated",Table24[[#This Row],['#]]))</f>
        <v>10</v>
      </c>
      <c r="M271" s="5" t="str">
        <f>IF(Table24[[#This Row],[Details]]=2,K270-Table24[[#This Row],[Pts]],IF(Table24[[#This Row],[Details]]=17,Table24[[#This Row],[Pts]]-K272,""))</f>
        <v/>
      </c>
      <c r="R271" s="1" t="str">
        <f>IFERROR(IF($Q$1=$P$3,INDEX(prem_analysis!$P$2:$Q$441,ROWS(Data!$P$2:Q271),COLUMNS(Data!$P$3:P272)),IF($Q$1=$P$5,INDEX(prem_analysis!$BH$1:$BS$23,ROWS(Data!$Q$3:Q272),COLUMNS(Data!$Q$3:Q272)),IF($Q$1=$P$6,INDEX(prem_analysis!$BU$1:$CF$67,ROWS(prem_analysis!$N$2:N271),COLUMNS(prem_analysis!$N$2:N271)),IF($Q$1=$P$4,INDEX(Table24[[#All],[Year]:[Details]],ROWS(prem_analysis!$M$420:M689),COLUMNS(Data!$Q$3:Q272)))))),"")</f>
        <v/>
      </c>
      <c r="S271" s="1" t="str">
        <f>IFERROR(IF($Q$1=$P$3,INDEX(prem_analysis!$P$2:$Q$441,ROWS(Data!$P$2:R271),COLUMNS(Data!$P$3:Q272)),IF($Q$1=$P$5,INDEX(prem_analysis!$BH$1:$BS$23,ROWS(Data!$Q$3:R272),COLUMNS(Data!$Q$3:R272)),IF($Q$1=$P$6,INDEX(prem_analysis!$BU$1:$CF$67,ROWS(prem_analysis!$N$2:O271),COLUMNS(prem_analysis!$N$2:O271)),IF($Q$1=$P$4,INDEX(Table24[[#All],[Year]:[Details]],ROWS(prem_analysis!$M$420:N689),COLUMNS(Data!$Q$3:R272)))))),"")</f>
        <v/>
      </c>
      <c r="T271" s="1" t="str">
        <f>IFERROR(IF($Q$1=$P$3,INDEX(prem_analysis!$P$2:$Q$441,ROWS(Data!$P$2:S271),COLUMNS(Data!$P$3:R272)),IF($Q$1=$P$5,INDEX(prem_analysis!$BH$1:$BS$23,ROWS(Data!$Q$3:S272),COLUMNS(Data!$Q$3:S272)),IF($Q$1=$P$6,INDEX(prem_analysis!$BU$1:$CF$67,ROWS(prem_analysis!$N$2:P271),COLUMNS(prem_analysis!$N$2:P271)),IF($Q$1=$P$4,INDEX(Table24[[#All],[Year]:[Details]],ROWS(prem_analysis!$M$420:O689),COLUMNS(Data!$Q$3:S272)))))),"")</f>
        <v/>
      </c>
      <c r="U271" s="1" t="str">
        <f>IFERROR(IF($Q$1=$P$3,INDEX(prem_analysis!$P$2:$Q$441,ROWS(Data!$P$2:T271),COLUMNS(Data!$P$3:S272)),IF($Q$1=$P$5,INDEX(prem_analysis!$BH$1:$BS$23,ROWS(Data!$Q$3:T272),COLUMNS(Data!$Q$3:T272)),IF($Q$1=$P$6,INDEX(prem_analysis!$BU$1:$CF$67,ROWS(prem_analysis!$N$2:Q271),COLUMNS(prem_analysis!$N$2:Q271)),IF($Q$1=$P$4,INDEX(Table24[[#All],[Year]:[Details]],ROWS(prem_analysis!$M$420:P689),COLUMNS(Data!$Q$3:T272)))))),"")</f>
        <v/>
      </c>
      <c r="V271" s="1" t="str">
        <f>IFERROR(IF($Q$1=$P$3,INDEX(prem_analysis!$P$2:$Q$441,ROWS(Data!$P$2:U271),COLUMNS(Data!$P$3:T272)),IF($Q$1=$P$5,INDEX(prem_analysis!$BH$1:$BS$23,ROWS(Data!$Q$3:U272),COLUMNS(Data!$Q$3:U272)),IF($Q$1=$P$6,INDEX(prem_analysis!$BU$1:$CF$67,ROWS(prem_analysis!$N$2:R271),COLUMNS(prem_analysis!$N$2:R271)),IF($Q$1=$P$4,INDEX(Table24[[#All],[Year]:[Details]],ROWS(prem_analysis!$M$420:Q689),COLUMNS(Data!$Q$3:U272)))))),"")</f>
        <v/>
      </c>
      <c r="W271" s="1" t="str">
        <f>IFERROR(IF($Q$1=$P$3,INDEX(prem_analysis!$P$2:$Q$441,ROWS(Data!$P$2:V271),COLUMNS(Data!$P$3:U272)),IF($Q$1=$P$5,INDEX(prem_analysis!$BH$1:$BS$23,ROWS(Data!$Q$3:V272),COLUMNS(Data!$Q$3:V272)),IF($Q$1=$P$6,INDEX(prem_analysis!$BU$1:$CF$67,ROWS(prem_analysis!$N$2:S271),COLUMNS(prem_analysis!$N$2:S271)),IF($Q$1=$P$4,INDEX(Table24[[#All],[Year]:[Details]],ROWS(prem_analysis!$M$420:R689),COLUMNS(Data!$Q$3:V272)))))),"")</f>
        <v/>
      </c>
      <c r="X271" s="1" t="str">
        <f>IFERROR(IF($Q$1=$P$3,INDEX(prem_analysis!$P$2:$Q$441,ROWS(Data!$P$2:W271),COLUMNS(Data!$P$3:V272)),IF($Q$1=$P$5,INDEX(prem_analysis!$BH$1:$BS$23,ROWS(Data!$Q$3:W272),COLUMNS(Data!$Q$3:W272)),IF($Q$1=$P$6,INDEX(prem_analysis!$BU$1:$CF$67,ROWS(prem_analysis!$N$2:T271),COLUMNS(prem_analysis!$N$2:T271)),IF($Q$1=$P$4,INDEX(Table24[[#All],[Year]:[Details]],ROWS(prem_analysis!$M$420:S689),COLUMNS(Data!$Q$3:W272)))))),"")</f>
        <v/>
      </c>
      <c r="Y271" s="1" t="str">
        <f>IFERROR(IF($Q$1=$P$3,INDEX(prem_analysis!$P$2:$Q$441,ROWS(Data!$P$2:X271),COLUMNS(Data!$P$3:W272)),IF($Q$1=$P$5,INDEX(prem_analysis!$BH$1:$BS$23,ROWS(Data!$Q$3:X272),COLUMNS(Data!$Q$3:X272)),IF($Q$1=$P$6,INDEX(prem_analysis!$BU$1:$CF$67,ROWS(prem_analysis!$N$2:U271),COLUMNS(prem_analysis!$N$2:U271)),IF($Q$1=$P$4,INDEX(Table24[[#All],[Year]:[Details]],ROWS(prem_analysis!$M$420:T689),COLUMNS(Data!$Q$3:X272)))))),"")</f>
        <v/>
      </c>
      <c r="Z271" s="1" t="str">
        <f>IFERROR(IF($Q$1=$P$3,INDEX(prem_analysis!$P$2:$Q$441,ROWS(Data!$P$2:Y271),COLUMNS(Data!$P$3:X272)),IF($Q$1=$P$5,INDEX(prem_analysis!$BH$1:$BS$23,ROWS(Data!$Q$3:Y272),COLUMNS(Data!$Q$3:Y272)),IF($Q$1=$P$6,INDEX(prem_analysis!$BU$1:$CF$67,ROWS(prem_analysis!$N$2:V271),COLUMNS(prem_analysis!$N$2:V271)),IF($Q$1=$P$4,INDEX(Table24[[#All],[Year]:[Details]],ROWS(prem_analysis!$M$420:U689),COLUMNS(Data!$Q$3:Y272)))))),"")</f>
        <v/>
      </c>
      <c r="AA271" s="1" t="str">
        <f>IFERROR(IF($Q$1=$P$3,INDEX(prem_analysis!$P$2:$Q$441,ROWS(Data!$P$2:Z271),COLUMNS(Data!$P$3:Y272)),IF($Q$1=$P$5,INDEX(prem_analysis!$BH$1:$BS$23,ROWS(Data!$Q$3:Z272),COLUMNS(Data!$Q$3:Z272)),IF($Q$1=$P$6,INDEX(prem_analysis!$BU$1:$CF$67,ROWS(prem_analysis!$N$2:W271),COLUMNS(prem_analysis!$N$2:W271)),IF($Q$1=$P$4,INDEX(Table24[[#All],[Year]:[Details]],ROWS(prem_analysis!$M$420:V689),COLUMNS(Data!$Q$3:Z272)))))),"")</f>
        <v/>
      </c>
      <c r="AB271" s="1" t="str">
        <f>IFERROR(IF($Q$1=$P$3,INDEX(prem_analysis!$P$2:$Q$441,ROWS(Data!$P$2:AA271),COLUMNS(Data!$P$3:Z272)),IF($Q$1=$P$5,INDEX(prem_analysis!$BH$1:$BS$23,ROWS(Data!$Q$3:AA272),COLUMNS(Data!$Q$3:AA272)),IF($Q$1=$P$6,INDEX(prem_analysis!$BU$1:$CF$67,ROWS(prem_analysis!$N$2:X271),COLUMNS(prem_analysis!$N$2:X271)),IF($Q$1=$P$4,INDEX(Table24[[#All],[Year]:[Details]],ROWS(prem_analysis!$M$420:W689),COLUMNS(Data!$Q$3:AA272)))))),"")</f>
        <v/>
      </c>
      <c r="AC271" s="1" t="str">
        <f>IFERROR(IF($Q$1=$P$3,INDEX(prem_analysis!$P$2:$Q$441,ROWS(Data!$P$2:AB271),COLUMNS(Data!$P$3:AA272)),IF($Q$1=$P$5,INDEX(prem_analysis!$BH$1:$BS$23,ROWS(Data!$Q$3:AB272),COLUMNS(Data!$Q$3:AB272)),IF($Q$1=$P$6,INDEX(prem_analysis!$BU$1:$CF$67,ROWS(prem_analysis!$N$2:Y271),COLUMNS(prem_analysis!$N$2:Y271)),IF($Q$1=$P$4,INDEX(Table24[[#All],[Year]:[Details]],ROWS(prem_analysis!$M$420:X689),COLUMNS(Data!$Q$3:AB272)))))),"")</f>
        <v/>
      </c>
    </row>
    <row r="272" spans="1:29" x14ac:dyDescent="0.2">
      <c r="A272" s="3">
        <v>2013</v>
      </c>
      <c r="B272" s="3">
        <v>11</v>
      </c>
      <c r="C272" s="4" t="s">
        <v>38</v>
      </c>
      <c r="D272" s="3">
        <v>38</v>
      </c>
      <c r="E272" s="3">
        <v>13</v>
      </c>
      <c r="F272" s="3">
        <v>6</v>
      </c>
      <c r="G272" s="3">
        <v>19</v>
      </c>
      <c r="H272" s="3">
        <v>33</v>
      </c>
      <c r="I272" s="3">
        <v>48</v>
      </c>
      <c r="J272" s="3">
        <v>-15</v>
      </c>
      <c r="K272" s="3">
        <v>45</v>
      </c>
      <c r="L272" s="5">
        <f>IF(Table24[[#This Row],['#]]=1,"Champion", IF(Table24[[#This Row],['#]]&gt;=18,"Relegated",Table24[[#This Row],['#]]))</f>
        <v>11</v>
      </c>
      <c r="M272" s="5" t="str">
        <f>IF(Table24[[#This Row],[Details]]=2,K271-Table24[[#This Row],[Pts]],IF(Table24[[#This Row],[Details]]=17,Table24[[#This Row],[Pts]]-K273,""))</f>
        <v/>
      </c>
      <c r="R272" s="1" t="str">
        <f>IFERROR(IF($Q$1=$P$3,INDEX(prem_analysis!$P$2:$Q$441,ROWS(Data!$P$2:Q272),COLUMNS(Data!$P$3:P273)),IF($Q$1=$P$5,INDEX(prem_analysis!$BH$1:$BS$23,ROWS(Data!$Q$3:Q273),COLUMNS(Data!$Q$3:Q273)),IF($Q$1=$P$6,INDEX(prem_analysis!$BU$1:$CF$67,ROWS(prem_analysis!$N$2:N272),COLUMNS(prem_analysis!$N$2:N272)),IF($Q$1=$P$4,INDEX(Table24[[#All],[Year]:[Details]],ROWS(prem_analysis!$M$420:M690),COLUMNS(Data!$Q$3:Q273)))))),"")</f>
        <v/>
      </c>
      <c r="S272" s="1" t="str">
        <f>IFERROR(IF($Q$1=$P$3,INDEX(prem_analysis!$P$2:$Q$441,ROWS(Data!$P$2:R272),COLUMNS(Data!$P$3:Q273)),IF($Q$1=$P$5,INDEX(prem_analysis!$BH$1:$BS$23,ROWS(Data!$Q$3:R273),COLUMNS(Data!$Q$3:R273)),IF($Q$1=$P$6,INDEX(prem_analysis!$BU$1:$CF$67,ROWS(prem_analysis!$N$2:O272),COLUMNS(prem_analysis!$N$2:O272)),IF($Q$1=$P$4,INDEX(Table24[[#All],[Year]:[Details]],ROWS(prem_analysis!$M$420:N690),COLUMNS(Data!$Q$3:R273)))))),"")</f>
        <v/>
      </c>
      <c r="T272" s="1" t="str">
        <f>IFERROR(IF($Q$1=$P$3,INDEX(prem_analysis!$P$2:$Q$441,ROWS(Data!$P$2:S272),COLUMNS(Data!$P$3:R273)),IF($Q$1=$P$5,INDEX(prem_analysis!$BH$1:$BS$23,ROWS(Data!$Q$3:S273),COLUMNS(Data!$Q$3:S273)),IF($Q$1=$P$6,INDEX(prem_analysis!$BU$1:$CF$67,ROWS(prem_analysis!$N$2:P272),COLUMNS(prem_analysis!$N$2:P272)),IF($Q$1=$P$4,INDEX(Table24[[#All],[Year]:[Details]],ROWS(prem_analysis!$M$420:O690),COLUMNS(Data!$Q$3:S273)))))),"")</f>
        <v/>
      </c>
      <c r="U272" s="1" t="str">
        <f>IFERROR(IF($Q$1=$P$3,INDEX(prem_analysis!$P$2:$Q$441,ROWS(Data!$P$2:T272),COLUMNS(Data!$P$3:S273)),IF($Q$1=$P$5,INDEX(prem_analysis!$BH$1:$BS$23,ROWS(Data!$Q$3:T273),COLUMNS(Data!$Q$3:T273)),IF($Q$1=$P$6,INDEX(prem_analysis!$BU$1:$CF$67,ROWS(prem_analysis!$N$2:Q272),COLUMNS(prem_analysis!$N$2:Q272)),IF($Q$1=$P$4,INDEX(Table24[[#All],[Year]:[Details]],ROWS(prem_analysis!$M$420:P690),COLUMNS(Data!$Q$3:T273)))))),"")</f>
        <v/>
      </c>
      <c r="V272" s="1" t="str">
        <f>IFERROR(IF($Q$1=$P$3,INDEX(prem_analysis!$P$2:$Q$441,ROWS(Data!$P$2:U272),COLUMNS(Data!$P$3:T273)),IF($Q$1=$P$5,INDEX(prem_analysis!$BH$1:$BS$23,ROWS(Data!$Q$3:U273),COLUMNS(Data!$Q$3:U273)),IF($Q$1=$P$6,INDEX(prem_analysis!$BU$1:$CF$67,ROWS(prem_analysis!$N$2:R272),COLUMNS(prem_analysis!$N$2:R272)),IF($Q$1=$P$4,INDEX(Table24[[#All],[Year]:[Details]],ROWS(prem_analysis!$M$420:Q690),COLUMNS(Data!$Q$3:U273)))))),"")</f>
        <v/>
      </c>
      <c r="W272" s="1" t="str">
        <f>IFERROR(IF($Q$1=$P$3,INDEX(prem_analysis!$P$2:$Q$441,ROWS(Data!$P$2:V272),COLUMNS(Data!$P$3:U273)),IF($Q$1=$P$5,INDEX(prem_analysis!$BH$1:$BS$23,ROWS(Data!$Q$3:V273),COLUMNS(Data!$Q$3:V273)),IF($Q$1=$P$6,INDEX(prem_analysis!$BU$1:$CF$67,ROWS(prem_analysis!$N$2:S272),COLUMNS(prem_analysis!$N$2:S272)),IF($Q$1=$P$4,INDEX(Table24[[#All],[Year]:[Details]],ROWS(prem_analysis!$M$420:R690),COLUMNS(Data!$Q$3:V273)))))),"")</f>
        <v/>
      </c>
      <c r="X272" s="1" t="str">
        <f>IFERROR(IF($Q$1=$P$3,INDEX(prem_analysis!$P$2:$Q$441,ROWS(Data!$P$2:W272),COLUMNS(Data!$P$3:V273)),IF($Q$1=$P$5,INDEX(prem_analysis!$BH$1:$BS$23,ROWS(Data!$Q$3:W273),COLUMNS(Data!$Q$3:W273)),IF($Q$1=$P$6,INDEX(prem_analysis!$BU$1:$CF$67,ROWS(prem_analysis!$N$2:T272),COLUMNS(prem_analysis!$N$2:T272)),IF($Q$1=$P$4,INDEX(Table24[[#All],[Year]:[Details]],ROWS(prem_analysis!$M$420:S690),COLUMNS(Data!$Q$3:W273)))))),"")</f>
        <v/>
      </c>
      <c r="Y272" s="1" t="str">
        <f>IFERROR(IF($Q$1=$P$3,INDEX(prem_analysis!$P$2:$Q$441,ROWS(Data!$P$2:X272),COLUMNS(Data!$P$3:W273)),IF($Q$1=$P$5,INDEX(prem_analysis!$BH$1:$BS$23,ROWS(Data!$Q$3:X273),COLUMNS(Data!$Q$3:X273)),IF($Q$1=$P$6,INDEX(prem_analysis!$BU$1:$CF$67,ROWS(prem_analysis!$N$2:U272),COLUMNS(prem_analysis!$N$2:U272)),IF($Q$1=$P$4,INDEX(Table24[[#All],[Year]:[Details]],ROWS(prem_analysis!$M$420:T690),COLUMNS(Data!$Q$3:X273)))))),"")</f>
        <v/>
      </c>
      <c r="Z272" s="1" t="str">
        <f>IFERROR(IF($Q$1=$P$3,INDEX(prem_analysis!$P$2:$Q$441,ROWS(Data!$P$2:Y272),COLUMNS(Data!$P$3:X273)),IF($Q$1=$P$5,INDEX(prem_analysis!$BH$1:$BS$23,ROWS(Data!$Q$3:Y273),COLUMNS(Data!$Q$3:Y273)),IF($Q$1=$P$6,INDEX(prem_analysis!$BU$1:$CF$67,ROWS(prem_analysis!$N$2:V272),COLUMNS(prem_analysis!$N$2:V272)),IF($Q$1=$P$4,INDEX(Table24[[#All],[Year]:[Details]],ROWS(prem_analysis!$M$420:U690),COLUMNS(Data!$Q$3:Y273)))))),"")</f>
        <v/>
      </c>
      <c r="AA272" s="1" t="str">
        <f>IFERROR(IF($Q$1=$P$3,INDEX(prem_analysis!$P$2:$Q$441,ROWS(Data!$P$2:Z272),COLUMNS(Data!$P$3:Y273)),IF($Q$1=$P$5,INDEX(prem_analysis!$BH$1:$BS$23,ROWS(Data!$Q$3:Z273),COLUMNS(Data!$Q$3:Z273)),IF($Q$1=$P$6,INDEX(prem_analysis!$BU$1:$CF$67,ROWS(prem_analysis!$N$2:W272),COLUMNS(prem_analysis!$N$2:W272)),IF($Q$1=$P$4,INDEX(Table24[[#All],[Year]:[Details]],ROWS(prem_analysis!$M$420:V690),COLUMNS(Data!$Q$3:Z273)))))),"")</f>
        <v/>
      </c>
      <c r="AB272" s="1" t="str">
        <f>IFERROR(IF($Q$1=$P$3,INDEX(prem_analysis!$P$2:$Q$441,ROWS(Data!$P$2:AA272),COLUMNS(Data!$P$3:Z273)),IF($Q$1=$P$5,INDEX(prem_analysis!$BH$1:$BS$23,ROWS(Data!$Q$3:AA273),COLUMNS(Data!$Q$3:AA273)),IF($Q$1=$P$6,INDEX(prem_analysis!$BU$1:$CF$67,ROWS(prem_analysis!$N$2:X272),COLUMNS(prem_analysis!$N$2:X272)),IF($Q$1=$P$4,INDEX(Table24[[#All],[Year]:[Details]],ROWS(prem_analysis!$M$420:W690),COLUMNS(Data!$Q$3:AA273)))))),"")</f>
        <v/>
      </c>
      <c r="AC272" s="1" t="str">
        <f>IFERROR(IF($Q$1=$P$3,INDEX(prem_analysis!$P$2:$Q$441,ROWS(Data!$P$2:AB272),COLUMNS(Data!$P$3:AA273)),IF($Q$1=$P$5,INDEX(prem_analysis!$BH$1:$BS$23,ROWS(Data!$Q$3:AB273),COLUMNS(Data!$Q$3:AB273)),IF($Q$1=$P$6,INDEX(prem_analysis!$BU$1:$CF$67,ROWS(prem_analysis!$N$2:Y272),COLUMNS(prem_analysis!$N$2:Y272)),IF($Q$1=$P$4,INDEX(Table24[[#All],[Year]:[Details]],ROWS(prem_analysis!$M$420:X690),COLUMNS(Data!$Q$3:AB273)))))),"")</f>
        <v/>
      </c>
    </row>
    <row r="273" spans="1:29" x14ac:dyDescent="0.2">
      <c r="A273" s="5">
        <v>2013</v>
      </c>
      <c r="B273" s="5">
        <v>12</v>
      </c>
      <c r="C273" s="6" t="s">
        <v>48</v>
      </c>
      <c r="D273" s="5">
        <v>38</v>
      </c>
      <c r="E273" s="5">
        <v>11</v>
      </c>
      <c r="F273" s="5">
        <v>9</v>
      </c>
      <c r="G273" s="5">
        <v>18</v>
      </c>
      <c r="H273" s="5">
        <v>54</v>
      </c>
      <c r="I273" s="5">
        <v>54</v>
      </c>
      <c r="J273" s="5">
        <v>0</v>
      </c>
      <c r="K273" s="5">
        <v>42</v>
      </c>
      <c r="L273" s="5">
        <f>IF(Table24[[#This Row],['#]]=1,"Champion", IF(Table24[[#This Row],['#]]&gt;=18,"Relegated",Table24[[#This Row],['#]]))</f>
        <v>12</v>
      </c>
      <c r="M273" s="5" t="str">
        <f>IF(Table24[[#This Row],[Details]]=2,K272-Table24[[#This Row],[Pts]],IF(Table24[[#This Row],[Details]]=17,Table24[[#This Row],[Pts]]-K274,""))</f>
        <v/>
      </c>
      <c r="R273" s="1" t="str">
        <f>IFERROR(IF($Q$1=$P$3,INDEX(prem_analysis!$P$2:$Q$441,ROWS(Data!$P$2:Q273),COLUMNS(Data!$P$3:P274)),IF($Q$1=$P$5,INDEX(prem_analysis!$BH$1:$BS$23,ROWS(Data!$Q$3:Q274),COLUMNS(Data!$Q$3:Q274)),IF($Q$1=$P$6,INDEX(prem_analysis!$BU$1:$CF$67,ROWS(prem_analysis!$N$2:N273),COLUMNS(prem_analysis!$N$2:N273)),IF($Q$1=$P$4,INDEX(Table24[[#All],[Year]:[Details]],ROWS(prem_analysis!$M$420:M691),COLUMNS(Data!$Q$3:Q274)))))),"")</f>
        <v/>
      </c>
      <c r="S273" s="1" t="str">
        <f>IFERROR(IF($Q$1=$P$3,INDEX(prem_analysis!$P$2:$Q$441,ROWS(Data!$P$2:R273),COLUMNS(Data!$P$3:Q274)),IF($Q$1=$P$5,INDEX(prem_analysis!$BH$1:$BS$23,ROWS(Data!$Q$3:R274),COLUMNS(Data!$Q$3:R274)),IF($Q$1=$P$6,INDEX(prem_analysis!$BU$1:$CF$67,ROWS(prem_analysis!$N$2:O273),COLUMNS(prem_analysis!$N$2:O273)),IF($Q$1=$P$4,INDEX(Table24[[#All],[Year]:[Details]],ROWS(prem_analysis!$M$420:N691),COLUMNS(Data!$Q$3:R274)))))),"")</f>
        <v/>
      </c>
      <c r="T273" s="1" t="str">
        <f>IFERROR(IF($Q$1=$P$3,INDEX(prem_analysis!$P$2:$Q$441,ROWS(Data!$P$2:S273),COLUMNS(Data!$P$3:R274)),IF($Q$1=$P$5,INDEX(prem_analysis!$BH$1:$BS$23,ROWS(Data!$Q$3:S274),COLUMNS(Data!$Q$3:S274)),IF($Q$1=$P$6,INDEX(prem_analysis!$BU$1:$CF$67,ROWS(prem_analysis!$N$2:P273),COLUMNS(prem_analysis!$N$2:P273)),IF($Q$1=$P$4,INDEX(Table24[[#All],[Year]:[Details]],ROWS(prem_analysis!$M$420:O691),COLUMNS(Data!$Q$3:S274)))))),"")</f>
        <v/>
      </c>
      <c r="U273" s="1" t="str">
        <f>IFERROR(IF($Q$1=$P$3,INDEX(prem_analysis!$P$2:$Q$441,ROWS(Data!$P$2:T273),COLUMNS(Data!$P$3:S274)),IF($Q$1=$P$5,INDEX(prem_analysis!$BH$1:$BS$23,ROWS(Data!$Q$3:T274),COLUMNS(Data!$Q$3:T274)),IF($Q$1=$P$6,INDEX(prem_analysis!$BU$1:$CF$67,ROWS(prem_analysis!$N$2:Q273),COLUMNS(prem_analysis!$N$2:Q273)),IF($Q$1=$P$4,INDEX(Table24[[#All],[Year]:[Details]],ROWS(prem_analysis!$M$420:P691),COLUMNS(Data!$Q$3:T274)))))),"")</f>
        <v/>
      </c>
      <c r="V273" s="1" t="str">
        <f>IFERROR(IF($Q$1=$P$3,INDEX(prem_analysis!$P$2:$Q$441,ROWS(Data!$P$2:U273),COLUMNS(Data!$P$3:T274)),IF($Q$1=$P$5,INDEX(prem_analysis!$BH$1:$BS$23,ROWS(Data!$Q$3:U274),COLUMNS(Data!$Q$3:U274)),IF($Q$1=$P$6,INDEX(prem_analysis!$BU$1:$CF$67,ROWS(prem_analysis!$N$2:R273),COLUMNS(prem_analysis!$N$2:R273)),IF($Q$1=$P$4,INDEX(Table24[[#All],[Year]:[Details]],ROWS(prem_analysis!$M$420:Q691),COLUMNS(Data!$Q$3:U274)))))),"")</f>
        <v/>
      </c>
      <c r="W273" s="1" t="str">
        <f>IFERROR(IF($Q$1=$P$3,INDEX(prem_analysis!$P$2:$Q$441,ROWS(Data!$P$2:V273),COLUMNS(Data!$P$3:U274)),IF($Q$1=$P$5,INDEX(prem_analysis!$BH$1:$BS$23,ROWS(Data!$Q$3:V274),COLUMNS(Data!$Q$3:V274)),IF($Q$1=$P$6,INDEX(prem_analysis!$BU$1:$CF$67,ROWS(prem_analysis!$N$2:S273),COLUMNS(prem_analysis!$N$2:S273)),IF($Q$1=$P$4,INDEX(Table24[[#All],[Year]:[Details]],ROWS(prem_analysis!$M$420:R691),COLUMNS(Data!$Q$3:V274)))))),"")</f>
        <v/>
      </c>
      <c r="X273" s="1" t="str">
        <f>IFERROR(IF($Q$1=$P$3,INDEX(prem_analysis!$P$2:$Q$441,ROWS(Data!$P$2:W273),COLUMNS(Data!$P$3:V274)),IF($Q$1=$P$5,INDEX(prem_analysis!$BH$1:$BS$23,ROWS(Data!$Q$3:W274),COLUMNS(Data!$Q$3:W274)),IF($Q$1=$P$6,INDEX(prem_analysis!$BU$1:$CF$67,ROWS(prem_analysis!$N$2:T273),COLUMNS(prem_analysis!$N$2:T273)),IF($Q$1=$P$4,INDEX(Table24[[#All],[Year]:[Details]],ROWS(prem_analysis!$M$420:S691),COLUMNS(Data!$Q$3:W274)))))),"")</f>
        <v/>
      </c>
      <c r="Y273" s="1" t="str">
        <f>IFERROR(IF($Q$1=$P$3,INDEX(prem_analysis!$P$2:$Q$441,ROWS(Data!$P$2:X273),COLUMNS(Data!$P$3:W274)),IF($Q$1=$P$5,INDEX(prem_analysis!$BH$1:$BS$23,ROWS(Data!$Q$3:X274),COLUMNS(Data!$Q$3:X274)),IF($Q$1=$P$6,INDEX(prem_analysis!$BU$1:$CF$67,ROWS(prem_analysis!$N$2:U273),COLUMNS(prem_analysis!$N$2:U273)),IF($Q$1=$P$4,INDEX(Table24[[#All],[Year]:[Details]],ROWS(prem_analysis!$M$420:T691),COLUMNS(Data!$Q$3:X274)))))),"")</f>
        <v/>
      </c>
      <c r="Z273" s="1" t="str">
        <f>IFERROR(IF($Q$1=$P$3,INDEX(prem_analysis!$P$2:$Q$441,ROWS(Data!$P$2:Y273),COLUMNS(Data!$P$3:X274)),IF($Q$1=$P$5,INDEX(prem_analysis!$BH$1:$BS$23,ROWS(Data!$Q$3:Y274),COLUMNS(Data!$Q$3:Y274)),IF($Q$1=$P$6,INDEX(prem_analysis!$BU$1:$CF$67,ROWS(prem_analysis!$N$2:V273),COLUMNS(prem_analysis!$N$2:V273)),IF($Q$1=$P$4,INDEX(Table24[[#All],[Year]:[Details]],ROWS(prem_analysis!$M$420:U691),COLUMNS(Data!$Q$3:Y274)))))),"")</f>
        <v/>
      </c>
      <c r="AA273" s="1" t="str">
        <f>IFERROR(IF($Q$1=$P$3,INDEX(prem_analysis!$P$2:$Q$441,ROWS(Data!$P$2:Z273),COLUMNS(Data!$P$3:Y274)),IF($Q$1=$P$5,INDEX(prem_analysis!$BH$1:$BS$23,ROWS(Data!$Q$3:Z274),COLUMNS(Data!$Q$3:Z274)),IF($Q$1=$P$6,INDEX(prem_analysis!$BU$1:$CF$67,ROWS(prem_analysis!$N$2:W273),COLUMNS(prem_analysis!$N$2:W273)),IF($Q$1=$P$4,INDEX(Table24[[#All],[Year]:[Details]],ROWS(prem_analysis!$M$420:V691),COLUMNS(Data!$Q$3:Z274)))))),"")</f>
        <v/>
      </c>
      <c r="AB273" s="1" t="str">
        <f>IFERROR(IF($Q$1=$P$3,INDEX(prem_analysis!$P$2:$Q$441,ROWS(Data!$P$2:AA273),COLUMNS(Data!$P$3:Z274)),IF($Q$1=$P$5,INDEX(prem_analysis!$BH$1:$BS$23,ROWS(Data!$Q$3:AA274),COLUMNS(Data!$Q$3:AA274)),IF($Q$1=$P$6,INDEX(prem_analysis!$BU$1:$CF$67,ROWS(prem_analysis!$N$2:X273),COLUMNS(prem_analysis!$N$2:X273)),IF($Q$1=$P$4,INDEX(Table24[[#All],[Year]:[Details]],ROWS(prem_analysis!$M$420:W691),COLUMNS(Data!$Q$3:AA274)))))),"")</f>
        <v/>
      </c>
      <c r="AC273" s="1" t="str">
        <f>IFERROR(IF($Q$1=$P$3,INDEX(prem_analysis!$P$2:$Q$441,ROWS(Data!$P$2:AB273),COLUMNS(Data!$P$3:AA274)),IF($Q$1=$P$5,INDEX(prem_analysis!$BH$1:$BS$23,ROWS(Data!$Q$3:AB274),COLUMNS(Data!$Q$3:AB274)),IF($Q$1=$P$6,INDEX(prem_analysis!$BU$1:$CF$67,ROWS(prem_analysis!$N$2:Y273),COLUMNS(prem_analysis!$N$2:Y273)),IF($Q$1=$P$4,INDEX(Table24[[#All],[Year]:[Details]],ROWS(prem_analysis!$M$420:X691),COLUMNS(Data!$Q$3:AB274)))))),"")</f>
        <v/>
      </c>
    </row>
    <row r="274" spans="1:29" x14ac:dyDescent="0.2">
      <c r="A274" s="3">
        <v>2013</v>
      </c>
      <c r="B274" s="3">
        <v>13</v>
      </c>
      <c r="C274" s="4" t="s">
        <v>25</v>
      </c>
      <c r="D274" s="3">
        <v>38</v>
      </c>
      <c r="E274" s="3">
        <v>11</v>
      </c>
      <c r="F274" s="3">
        <v>7</v>
      </c>
      <c r="G274" s="3">
        <v>20</v>
      </c>
      <c r="H274" s="3">
        <v>40</v>
      </c>
      <c r="I274" s="3">
        <v>51</v>
      </c>
      <c r="J274" s="3">
        <v>-11</v>
      </c>
      <c r="K274" s="3">
        <v>40</v>
      </c>
      <c r="L274" s="5">
        <f>IF(Table24[[#This Row],['#]]=1,"Champion", IF(Table24[[#This Row],['#]]&gt;=18,"Relegated",Table24[[#This Row],['#]]))</f>
        <v>13</v>
      </c>
      <c r="M274" s="5" t="str">
        <f>IF(Table24[[#This Row],[Details]]=2,K273-Table24[[#This Row],[Pts]],IF(Table24[[#This Row],[Details]]=17,Table24[[#This Row],[Pts]]-K275,""))</f>
        <v/>
      </c>
      <c r="R274" s="1" t="str">
        <f>IFERROR(IF($Q$1=$P$3,INDEX(prem_analysis!$P$2:$Q$441,ROWS(Data!$P$2:Q274),COLUMNS(Data!$P$3:P275)),IF($Q$1=$P$5,INDEX(prem_analysis!$BH$1:$BS$23,ROWS(Data!$Q$3:Q275),COLUMNS(Data!$Q$3:Q275)),IF($Q$1=$P$6,INDEX(prem_analysis!$BU$1:$CF$67,ROWS(prem_analysis!$N$2:N274),COLUMNS(prem_analysis!$N$2:N274)),IF($Q$1=$P$4,INDEX(Table24[[#All],[Year]:[Details]],ROWS(prem_analysis!$M$420:M692),COLUMNS(Data!$Q$3:Q275)))))),"")</f>
        <v/>
      </c>
      <c r="S274" s="1" t="str">
        <f>IFERROR(IF($Q$1=$P$3,INDEX(prem_analysis!$P$2:$Q$441,ROWS(Data!$P$2:R274),COLUMNS(Data!$P$3:Q275)),IF($Q$1=$P$5,INDEX(prem_analysis!$BH$1:$BS$23,ROWS(Data!$Q$3:R275),COLUMNS(Data!$Q$3:R275)),IF($Q$1=$P$6,INDEX(prem_analysis!$BU$1:$CF$67,ROWS(prem_analysis!$N$2:O274),COLUMNS(prem_analysis!$N$2:O274)),IF($Q$1=$P$4,INDEX(Table24[[#All],[Year]:[Details]],ROWS(prem_analysis!$M$420:N692),COLUMNS(Data!$Q$3:R275)))))),"")</f>
        <v/>
      </c>
      <c r="T274" s="1" t="str">
        <f>IFERROR(IF($Q$1=$P$3,INDEX(prem_analysis!$P$2:$Q$441,ROWS(Data!$P$2:S274),COLUMNS(Data!$P$3:R275)),IF($Q$1=$P$5,INDEX(prem_analysis!$BH$1:$BS$23,ROWS(Data!$Q$3:S275),COLUMNS(Data!$Q$3:S275)),IF($Q$1=$P$6,INDEX(prem_analysis!$BU$1:$CF$67,ROWS(prem_analysis!$N$2:P274),COLUMNS(prem_analysis!$N$2:P274)),IF($Q$1=$P$4,INDEX(Table24[[#All],[Year]:[Details]],ROWS(prem_analysis!$M$420:O692),COLUMNS(Data!$Q$3:S275)))))),"")</f>
        <v/>
      </c>
      <c r="U274" s="1" t="str">
        <f>IFERROR(IF($Q$1=$P$3,INDEX(prem_analysis!$P$2:$Q$441,ROWS(Data!$P$2:T274),COLUMNS(Data!$P$3:S275)),IF($Q$1=$P$5,INDEX(prem_analysis!$BH$1:$BS$23,ROWS(Data!$Q$3:T275),COLUMNS(Data!$Q$3:T275)),IF($Q$1=$P$6,INDEX(prem_analysis!$BU$1:$CF$67,ROWS(prem_analysis!$N$2:Q274),COLUMNS(prem_analysis!$N$2:Q274)),IF($Q$1=$P$4,INDEX(Table24[[#All],[Year]:[Details]],ROWS(prem_analysis!$M$420:P692),COLUMNS(Data!$Q$3:T275)))))),"")</f>
        <v/>
      </c>
      <c r="V274" s="1" t="str">
        <f>IFERROR(IF($Q$1=$P$3,INDEX(prem_analysis!$P$2:$Q$441,ROWS(Data!$P$2:U274),COLUMNS(Data!$P$3:T275)),IF($Q$1=$P$5,INDEX(prem_analysis!$BH$1:$BS$23,ROWS(Data!$Q$3:U275),COLUMNS(Data!$Q$3:U275)),IF($Q$1=$P$6,INDEX(prem_analysis!$BU$1:$CF$67,ROWS(prem_analysis!$N$2:R274),COLUMNS(prem_analysis!$N$2:R274)),IF($Q$1=$P$4,INDEX(Table24[[#All],[Year]:[Details]],ROWS(prem_analysis!$M$420:Q692),COLUMNS(Data!$Q$3:U275)))))),"")</f>
        <v/>
      </c>
      <c r="W274" s="1" t="str">
        <f>IFERROR(IF($Q$1=$P$3,INDEX(prem_analysis!$P$2:$Q$441,ROWS(Data!$P$2:V274),COLUMNS(Data!$P$3:U275)),IF($Q$1=$P$5,INDEX(prem_analysis!$BH$1:$BS$23,ROWS(Data!$Q$3:V275),COLUMNS(Data!$Q$3:V275)),IF($Q$1=$P$6,INDEX(prem_analysis!$BU$1:$CF$67,ROWS(prem_analysis!$N$2:S274),COLUMNS(prem_analysis!$N$2:S274)),IF($Q$1=$P$4,INDEX(Table24[[#All],[Year]:[Details]],ROWS(prem_analysis!$M$420:R692),COLUMNS(Data!$Q$3:V275)))))),"")</f>
        <v/>
      </c>
      <c r="X274" s="1" t="str">
        <f>IFERROR(IF($Q$1=$P$3,INDEX(prem_analysis!$P$2:$Q$441,ROWS(Data!$P$2:W274),COLUMNS(Data!$P$3:V275)),IF($Q$1=$P$5,INDEX(prem_analysis!$BH$1:$BS$23,ROWS(Data!$Q$3:W275),COLUMNS(Data!$Q$3:W275)),IF($Q$1=$P$6,INDEX(prem_analysis!$BU$1:$CF$67,ROWS(prem_analysis!$N$2:T274),COLUMNS(prem_analysis!$N$2:T274)),IF($Q$1=$P$4,INDEX(Table24[[#All],[Year]:[Details]],ROWS(prem_analysis!$M$420:S692),COLUMNS(Data!$Q$3:W275)))))),"")</f>
        <v/>
      </c>
      <c r="Y274" s="1" t="str">
        <f>IFERROR(IF($Q$1=$P$3,INDEX(prem_analysis!$P$2:$Q$441,ROWS(Data!$P$2:X274),COLUMNS(Data!$P$3:W275)),IF($Q$1=$P$5,INDEX(prem_analysis!$BH$1:$BS$23,ROWS(Data!$Q$3:X275),COLUMNS(Data!$Q$3:X275)),IF($Q$1=$P$6,INDEX(prem_analysis!$BU$1:$CF$67,ROWS(prem_analysis!$N$2:U274),COLUMNS(prem_analysis!$N$2:U274)),IF($Q$1=$P$4,INDEX(Table24[[#All],[Year]:[Details]],ROWS(prem_analysis!$M$420:T692),COLUMNS(Data!$Q$3:X275)))))),"")</f>
        <v/>
      </c>
      <c r="Z274" s="1" t="str">
        <f>IFERROR(IF($Q$1=$P$3,INDEX(prem_analysis!$P$2:$Q$441,ROWS(Data!$P$2:Y274),COLUMNS(Data!$P$3:X275)),IF($Q$1=$P$5,INDEX(prem_analysis!$BH$1:$BS$23,ROWS(Data!$Q$3:Y275),COLUMNS(Data!$Q$3:Y275)),IF($Q$1=$P$6,INDEX(prem_analysis!$BU$1:$CF$67,ROWS(prem_analysis!$N$2:V274),COLUMNS(prem_analysis!$N$2:V274)),IF($Q$1=$P$4,INDEX(Table24[[#All],[Year]:[Details]],ROWS(prem_analysis!$M$420:U692),COLUMNS(Data!$Q$3:Y275)))))),"")</f>
        <v/>
      </c>
      <c r="AA274" s="1" t="str">
        <f>IFERROR(IF($Q$1=$P$3,INDEX(prem_analysis!$P$2:$Q$441,ROWS(Data!$P$2:Z274),COLUMNS(Data!$P$3:Y275)),IF($Q$1=$P$5,INDEX(prem_analysis!$BH$1:$BS$23,ROWS(Data!$Q$3:Z275),COLUMNS(Data!$Q$3:Z275)),IF($Q$1=$P$6,INDEX(prem_analysis!$BU$1:$CF$67,ROWS(prem_analysis!$N$2:W274),COLUMNS(prem_analysis!$N$2:W274)),IF($Q$1=$P$4,INDEX(Table24[[#All],[Year]:[Details]],ROWS(prem_analysis!$M$420:V692),COLUMNS(Data!$Q$3:Z275)))))),"")</f>
        <v/>
      </c>
      <c r="AB274" s="1" t="str">
        <f>IFERROR(IF($Q$1=$P$3,INDEX(prem_analysis!$P$2:$Q$441,ROWS(Data!$P$2:AA274),COLUMNS(Data!$P$3:Z275)),IF($Q$1=$P$5,INDEX(prem_analysis!$BH$1:$BS$23,ROWS(Data!$Q$3:AA275),COLUMNS(Data!$Q$3:AA275)),IF($Q$1=$P$6,INDEX(prem_analysis!$BU$1:$CF$67,ROWS(prem_analysis!$N$2:X274),COLUMNS(prem_analysis!$N$2:X274)),IF($Q$1=$P$4,INDEX(Table24[[#All],[Year]:[Details]],ROWS(prem_analysis!$M$420:W692),COLUMNS(Data!$Q$3:AA275)))))),"")</f>
        <v/>
      </c>
      <c r="AC274" s="1" t="str">
        <f>IFERROR(IF($Q$1=$P$3,INDEX(prem_analysis!$P$2:$Q$441,ROWS(Data!$P$2:AB274),COLUMNS(Data!$P$3:AA275)),IF($Q$1=$P$5,INDEX(prem_analysis!$BH$1:$BS$23,ROWS(Data!$Q$3:AB275),COLUMNS(Data!$Q$3:AB275)),IF($Q$1=$P$6,INDEX(prem_analysis!$BU$1:$CF$67,ROWS(prem_analysis!$N$2:Y274),COLUMNS(prem_analysis!$N$2:Y274)),IF($Q$1=$P$4,INDEX(Table24[[#All],[Year]:[Details]],ROWS(prem_analysis!$M$420:X692),COLUMNS(Data!$Q$3:AB275)))))),"")</f>
        <v/>
      </c>
    </row>
    <row r="275" spans="1:29" x14ac:dyDescent="0.2">
      <c r="A275" s="5">
        <v>2013</v>
      </c>
      <c r="B275" s="5">
        <v>14</v>
      </c>
      <c r="C275" s="6" t="s">
        <v>17</v>
      </c>
      <c r="D275" s="5">
        <v>38</v>
      </c>
      <c r="E275" s="5">
        <v>10</v>
      </c>
      <c r="F275" s="5">
        <v>8</v>
      </c>
      <c r="G275" s="5">
        <v>20</v>
      </c>
      <c r="H275" s="5">
        <v>41</v>
      </c>
      <c r="I275" s="5">
        <v>60</v>
      </c>
      <c r="J275" s="5">
        <v>-19</v>
      </c>
      <c r="K275" s="5">
        <v>38</v>
      </c>
      <c r="L275" s="5">
        <f>IF(Table24[[#This Row],['#]]=1,"Champion", IF(Table24[[#This Row],['#]]&gt;=18,"Relegated",Table24[[#This Row],['#]]))</f>
        <v>14</v>
      </c>
      <c r="M275" s="5" t="str">
        <f>IF(Table24[[#This Row],[Details]]=2,K274-Table24[[#This Row],[Pts]],IF(Table24[[#This Row],[Details]]=17,Table24[[#This Row],[Pts]]-K276,""))</f>
        <v/>
      </c>
      <c r="R275" s="1" t="str">
        <f>IFERROR(IF($Q$1=$P$3,INDEX(prem_analysis!$P$2:$Q$441,ROWS(Data!$P$2:Q275),COLUMNS(Data!$P$3:P276)),IF($Q$1=$P$5,INDEX(prem_analysis!$BH$1:$BS$23,ROWS(Data!$Q$3:Q276),COLUMNS(Data!$Q$3:Q276)),IF($Q$1=$P$6,INDEX(prem_analysis!$BU$1:$CF$67,ROWS(prem_analysis!$N$2:N275),COLUMNS(prem_analysis!$N$2:N275)),IF($Q$1=$P$4,INDEX(Table24[[#All],[Year]:[Details]],ROWS(prem_analysis!$M$420:M693),COLUMNS(Data!$Q$3:Q276)))))),"")</f>
        <v/>
      </c>
      <c r="S275" s="1" t="str">
        <f>IFERROR(IF($Q$1=$P$3,INDEX(prem_analysis!$P$2:$Q$441,ROWS(Data!$P$2:R275),COLUMNS(Data!$P$3:Q276)),IF($Q$1=$P$5,INDEX(prem_analysis!$BH$1:$BS$23,ROWS(Data!$Q$3:R276),COLUMNS(Data!$Q$3:R276)),IF($Q$1=$P$6,INDEX(prem_analysis!$BU$1:$CF$67,ROWS(prem_analysis!$N$2:O275),COLUMNS(prem_analysis!$N$2:O275)),IF($Q$1=$P$4,INDEX(Table24[[#All],[Year]:[Details]],ROWS(prem_analysis!$M$420:N693),COLUMNS(Data!$Q$3:R276)))))),"")</f>
        <v/>
      </c>
      <c r="T275" s="1" t="str">
        <f>IFERROR(IF($Q$1=$P$3,INDEX(prem_analysis!$P$2:$Q$441,ROWS(Data!$P$2:S275),COLUMNS(Data!$P$3:R276)),IF($Q$1=$P$5,INDEX(prem_analysis!$BH$1:$BS$23,ROWS(Data!$Q$3:S276),COLUMNS(Data!$Q$3:S276)),IF($Q$1=$P$6,INDEX(prem_analysis!$BU$1:$CF$67,ROWS(prem_analysis!$N$2:P275),COLUMNS(prem_analysis!$N$2:P275)),IF($Q$1=$P$4,INDEX(Table24[[#All],[Year]:[Details]],ROWS(prem_analysis!$M$420:O693),COLUMNS(Data!$Q$3:S276)))))),"")</f>
        <v/>
      </c>
      <c r="U275" s="1" t="str">
        <f>IFERROR(IF($Q$1=$P$3,INDEX(prem_analysis!$P$2:$Q$441,ROWS(Data!$P$2:T275),COLUMNS(Data!$P$3:S276)),IF($Q$1=$P$5,INDEX(prem_analysis!$BH$1:$BS$23,ROWS(Data!$Q$3:T276),COLUMNS(Data!$Q$3:T276)),IF($Q$1=$P$6,INDEX(prem_analysis!$BU$1:$CF$67,ROWS(prem_analysis!$N$2:Q275),COLUMNS(prem_analysis!$N$2:Q275)),IF($Q$1=$P$4,INDEX(Table24[[#All],[Year]:[Details]],ROWS(prem_analysis!$M$420:P693),COLUMNS(Data!$Q$3:T276)))))),"")</f>
        <v/>
      </c>
      <c r="V275" s="1" t="str">
        <f>IFERROR(IF($Q$1=$P$3,INDEX(prem_analysis!$P$2:$Q$441,ROWS(Data!$P$2:U275),COLUMNS(Data!$P$3:T276)),IF($Q$1=$P$5,INDEX(prem_analysis!$BH$1:$BS$23,ROWS(Data!$Q$3:U276),COLUMNS(Data!$Q$3:U276)),IF($Q$1=$P$6,INDEX(prem_analysis!$BU$1:$CF$67,ROWS(prem_analysis!$N$2:R275),COLUMNS(prem_analysis!$N$2:R275)),IF($Q$1=$P$4,INDEX(Table24[[#All],[Year]:[Details]],ROWS(prem_analysis!$M$420:Q693),COLUMNS(Data!$Q$3:U276)))))),"")</f>
        <v/>
      </c>
      <c r="W275" s="1" t="str">
        <f>IFERROR(IF($Q$1=$P$3,INDEX(prem_analysis!$P$2:$Q$441,ROWS(Data!$P$2:V275),COLUMNS(Data!$P$3:U276)),IF($Q$1=$P$5,INDEX(prem_analysis!$BH$1:$BS$23,ROWS(Data!$Q$3:V276),COLUMNS(Data!$Q$3:V276)),IF($Q$1=$P$6,INDEX(prem_analysis!$BU$1:$CF$67,ROWS(prem_analysis!$N$2:S275),COLUMNS(prem_analysis!$N$2:S275)),IF($Q$1=$P$4,INDEX(Table24[[#All],[Year]:[Details]],ROWS(prem_analysis!$M$420:R693),COLUMNS(Data!$Q$3:V276)))))),"")</f>
        <v/>
      </c>
      <c r="X275" s="1" t="str">
        <f>IFERROR(IF($Q$1=$P$3,INDEX(prem_analysis!$P$2:$Q$441,ROWS(Data!$P$2:W275),COLUMNS(Data!$P$3:V276)),IF($Q$1=$P$5,INDEX(prem_analysis!$BH$1:$BS$23,ROWS(Data!$Q$3:W276),COLUMNS(Data!$Q$3:W276)),IF($Q$1=$P$6,INDEX(prem_analysis!$BU$1:$CF$67,ROWS(prem_analysis!$N$2:T275),COLUMNS(prem_analysis!$N$2:T275)),IF($Q$1=$P$4,INDEX(Table24[[#All],[Year]:[Details]],ROWS(prem_analysis!$M$420:S693),COLUMNS(Data!$Q$3:W276)))))),"")</f>
        <v/>
      </c>
      <c r="Y275" s="1" t="str">
        <f>IFERROR(IF($Q$1=$P$3,INDEX(prem_analysis!$P$2:$Q$441,ROWS(Data!$P$2:X275),COLUMNS(Data!$P$3:W276)),IF($Q$1=$P$5,INDEX(prem_analysis!$BH$1:$BS$23,ROWS(Data!$Q$3:X276),COLUMNS(Data!$Q$3:X276)),IF($Q$1=$P$6,INDEX(prem_analysis!$BU$1:$CF$67,ROWS(prem_analysis!$N$2:U275),COLUMNS(prem_analysis!$N$2:U275)),IF($Q$1=$P$4,INDEX(Table24[[#All],[Year]:[Details]],ROWS(prem_analysis!$M$420:T693),COLUMNS(Data!$Q$3:X276)))))),"")</f>
        <v/>
      </c>
      <c r="Z275" s="1" t="str">
        <f>IFERROR(IF($Q$1=$P$3,INDEX(prem_analysis!$P$2:$Q$441,ROWS(Data!$P$2:Y275),COLUMNS(Data!$P$3:X276)),IF($Q$1=$P$5,INDEX(prem_analysis!$BH$1:$BS$23,ROWS(Data!$Q$3:Y276),COLUMNS(Data!$Q$3:Y276)),IF($Q$1=$P$6,INDEX(prem_analysis!$BU$1:$CF$67,ROWS(prem_analysis!$N$2:V275),COLUMNS(prem_analysis!$N$2:V275)),IF($Q$1=$P$4,INDEX(Table24[[#All],[Year]:[Details]],ROWS(prem_analysis!$M$420:U693),COLUMNS(Data!$Q$3:Y276)))))),"")</f>
        <v/>
      </c>
      <c r="AA275" s="1" t="str">
        <f>IFERROR(IF($Q$1=$P$3,INDEX(prem_analysis!$P$2:$Q$441,ROWS(Data!$P$2:Z275),COLUMNS(Data!$P$3:Y276)),IF($Q$1=$P$5,INDEX(prem_analysis!$BH$1:$BS$23,ROWS(Data!$Q$3:Z276),COLUMNS(Data!$Q$3:Z276)),IF($Q$1=$P$6,INDEX(prem_analysis!$BU$1:$CF$67,ROWS(prem_analysis!$N$2:W275),COLUMNS(prem_analysis!$N$2:W275)),IF($Q$1=$P$4,INDEX(Table24[[#All],[Year]:[Details]],ROWS(prem_analysis!$M$420:V693),COLUMNS(Data!$Q$3:Z276)))))),"")</f>
        <v/>
      </c>
      <c r="AB275" s="1" t="str">
        <f>IFERROR(IF($Q$1=$P$3,INDEX(prem_analysis!$P$2:$Q$441,ROWS(Data!$P$2:AA275),COLUMNS(Data!$P$3:Z276)),IF($Q$1=$P$5,INDEX(prem_analysis!$BH$1:$BS$23,ROWS(Data!$Q$3:AA276),COLUMNS(Data!$Q$3:AA276)),IF($Q$1=$P$6,INDEX(prem_analysis!$BU$1:$CF$67,ROWS(prem_analysis!$N$2:X275),COLUMNS(prem_analysis!$N$2:X275)),IF($Q$1=$P$4,INDEX(Table24[[#All],[Year]:[Details]],ROWS(prem_analysis!$M$420:W693),COLUMNS(Data!$Q$3:AA276)))))),"")</f>
        <v/>
      </c>
      <c r="AC275" s="1" t="str">
        <f>IFERROR(IF($Q$1=$P$3,INDEX(prem_analysis!$P$2:$Q$441,ROWS(Data!$P$2:AB275),COLUMNS(Data!$P$3:AA276)),IF($Q$1=$P$5,INDEX(prem_analysis!$BH$1:$BS$23,ROWS(Data!$Q$3:AB276),COLUMNS(Data!$Q$3:AB276)),IF($Q$1=$P$6,INDEX(prem_analysis!$BU$1:$CF$67,ROWS(prem_analysis!$N$2:Y275),COLUMNS(prem_analysis!$N$2:Y275)),IF($Q$1=$P$4,INDEX(Table24[[#All],[Year]:[Details]],ROWS(prem_analysis!$M$420:X693),COLUMNS(Data!$Q$3:AB276)))))),"")</f>
        <v/>
      </c>
    </row>
    <row r="276" spans="1:29" x14ac:dyDescent="0.2">
      <c r="A276" s="3">
        <v>2013</v>
      </c>
      <c r="B276" s="3">
        <v>15</v>
      </c>
      <c r="C276" s="4" t="s">
        <v>18</v>
      </c>
      <c r="D276" s="3">
        <v>38</v>
      </c>
      <c r="E276" s="3">
        <v>10</v>
      </c>
      <c r="F276" s="3">
        <v>8</v>
      </c>
      <c r="G276" s="3">
        <v>20</v>
      </c>
      <c r="H276" s="3">
        <v>39</v>
      </c>
      <c r="I276" s="3">
        <v>61</v>
      </c>
      <c r="J276" s="3">
        <v>-22</v>
      </c>
      <c r="K276" s="3">
        <v>38</v>
      </c>
      <c r="L276" s="5">
        <f>IF(Table24[[#This Row],['#]]=1,"Champion", IF(Table24[[#This Row],['#]]&gt;=18,"Relegated",Table24[[#This Row],['#]]))</f>
        <v>15</v>
      </c>
      <c r="M276" s="5" t="str">
        <f>IF(Table24[[#This Row],[Details]]=2,K275-Table24[[#This Row],[Pts]],IF(Table24[[#This Row],[Details]]=17,Table24[[#This Row],[Pts]]-K277,""))</f>
        <v/>
      </c>
      <c r="R276" s="1" t="str">
        <f>IFERROR(IF($Q$1=$P$3,INDEX(prem_analysis!$P$2:$Q$441,ROWS(Data!$P$2:Q276),COLUMNS(Data!$P$3:P277)),IF($Q$1=$P$5,INDEX(prem_analysis!$BH$1:$BS$23,ROWS(Data!$Q$3:Q277),COLUMNS(Data!$Q$3:Q277)),IF($Q$1=$P$6,INDEX(prem_analysis!$BU$1:$CF$67,ROWS(prem_analysis!$N$2:N276),COLUMNS(prem_analysis!$N$2:N276)),IF($Q$1=$P$4,INDEX(Table24[[#All],[Year]:[Details]],ROWS(prem_analysis!$M$420:M694),COLUMNS(Data!$Q$3:Q277)))))),"")</f>
        <v/>
      </c>
      <c r="S276" s="1" t="str">
        <f>IFERROR(IF($Q$1=$P$3,INDEX(prem_analysis!$P$2:$Q$441,ROWS(Data!$P$2:R276),COLUMNS(Data!$P$3:Q277)),IF($Q$1=$P$5,INDEX(prem_analysis!$BH$1:$BS$23,ROWS(Data!$Q$3:R277),COLUMNS(Data!$Q$3:R277)),IF($Q$1=$P$6,INDEX(prem_analysis!$BU$1:$CF$67,ROWS(prem_analysis!$N$2:O276),COLUMNS(prem_analysis!$N$2:O276)),IF($Q$1=$P$4,INDEX(Table24[[#All],[Year]:[Details]],ROWS(prem_analysis!$M$420:N694),COLUMNS(Data!$Q$3:R277)))))),"")</f>
        <v/>
      </c>
      <c r="T276" s="1" t="str">
        <f>IFERROR(IF($Q$1=$P$3,INDEX(prem_analysis!$P$2:$Q$441,ROWS(Data!$P$2:S276),COLUMNS(Data!$P$3:R277)),IF($Q$1=$P$5,INDEX(prem_analysis!$BH$1:$BS$23,ROWS(Data!$Q$3:S277),COLUMNS(Data!$Q$3:S277)),IF($Q$1=$P$6,INDEX(prem_analysis!$BU$1:$CF$67,ROWS(prem_analysis!$N$2:P276),COLUMNS(prem_analysis!$N$2:P276)),IF($Q$1=$P$4,INDEX(Table24[[#All],[Year]:[Details]],ROWS(prem_analysis!$M$420:O694),COLUMNS(Data!$Q$3:S277)))))),"")</f>
        <v/>
      </c>
      <c r="U276" s="1" t="str">
        <f>IFERROR(IF($Q$1=$P$3,INDEX(prem_analysis!$P$2:$Q$441,ROWS(Data!$P$2:T276),COLUMNS(Data!$P$3:S277)),IF($Q$1=$P$5,INDEX(prem_analysis!$BH$1:$BS$23,ROWS(Data!$Q$3:T277),COLUMNS(Data!$Q$3:T277)),IF($Q$1=$P$6,INDEX(prem_analysis!$BU$1:$CF$67,ROWS(prem_analysis!$N$2:Q276),COLUMNS(prem_analysis!$N$2:Q276)),IF($Q$1=$P$4,INDEX(Table24[[#All],[Year]:[Details]],ROWS(prem_analysis!$M$420:P694),COLUMNS(Data!$Q$3:T277)))))),"")</f>
        <v/>
      </c>
      <c r="V276" s="1" t="str">
        <f>IFERROR(IF($Q$1=$P$3,INDEX(prem_analysis!$P$2:$Q$441,ROWS(Data!$P$2:U276),COLUMNS(Data!$P$3:T277)),IF($Q$1=$P$5,INDEX(prem_analysis!$BH$1:$BS$23,ROWS(Data!$Q$3:U277),COLUMNS(Data!$Q$3:U277)),IF($Q$1=$P$6,INDEX(prem_analysis!$BU$1:$CF$67,ROWS(prem_analysis!$N$2:R276),COLUMNS(prem_analysis!$N$2:R276)),IF($Q$1=$P$4,INDEX(Table24[[#All],[Year]:[Details]],ROWS(prem_analysis!$M$420:Q694),COLUMNS(Data!$Q$3:U277)))))),"")</f>
        <v/>
      </c>
      <c r="W276" s="1" t="str">
        <f>IFERROR(IF($Q$1=$P$3,INDEX(prem_analysis!$P$2:$Q$441,ROWS(Data!$P$2:V276),COLUMNS(Data!$P$3:U277)),IF($Q$1=$P$5,INDEX(prem_analysis!$BH$1:$BS$23,ROWS(Data!$Q$3:V277),COLUMNS(Data!$Q$3:V277)),IF($Q$1=$P$6,INDEX(prem_analysis!$BU$1:$CF$67,ROWS(prem_analysis!$N$2:S276),COLUMNS(prem_analysis!$N$2:S276)),IF($Q$1=$P$4,INDEX(Table24[[#All],[Year]:[Details]],ROWS(prem_analysis!$M$420:R694),COLUMNS(Data!$Q$3:V277)))))),"")</f>
        <v/>
      </c>
      <c r="X276" s="1" t="str">
        <f>IFERROR(IF($Q$1=$P$3,INDEX(prem_analysis!$P$2:$Q$441,ROWS(Data!$P$2:W276),COLUMNS(Data!$P$3:V277)),IF($Q$1=$P$5,INDEX(prem_analysis!$BH$1:$BS$23,ROWS(Data!$Q$3:W277),COLUMNS(Data!$Q$3:W277)),IF($Q$1=$P$6,INDEX(prem_analysis!$BU$1:$CF$67,ROWS(prem_analysis!$N$2:T276),COLUMNS(prem_analysis!$N$2:T276)),IF($Q$1=$P$4,INDEX(Table24[[#All],[Year]:[Details]],ROWS(prem_analysis!$M$420:S694),COLUMNS(Data!$Q$3:W277)))))),"")</f>
        <v/>
      </c>
      <c r="Y276" s="1" t="str">
        <f>IFERROR(IF($Q$1=$P$3,INDEX(prem_analysis!$P$2:$Q$441,ROWS(Data!$P$2:X276),COLUMNS(Data!$P$3:W277)),IF($Q$1=$P$5,INDEX(prem_analysis!$BH$1:$BS$23,ROWS(Data!$Q$3:X277),COLUMNS(Data!$Q$3:X277)),IF($Q$1=$P$6,INDEX(prem_analysis!$BU$1:$CF$67,ROWS(prem_analysis!$N$2:U276),COLUMNS(prem_analysis!$N$2:U276)),IF($Q$1=$P$4,INDEX(Table24[[#All],[Year]:[Details]],ROWS(prem_analysis!$M$420:T694),COLUMNS(Data!$Q$3:X277)))))),"")</f>
        <v/>
      </c>
      <c r="Z276" s="1" t="str">
        <f>IFERROR(IF($Q$1=$P$3,INDEX(prem_analysis!$P$2:$Q$441,ROWS(Data!$P$2:Y276),COLUMNS(Data!$P$3:X277)),IF($Q$1=$P$5,INDEX(prem_analysis!$BH$1:$BS$23,ROWS(Data!$Q$3:Y277),COLUMNS(Data!$Q$3:Y277)),IF($Q$1=$P$6,INDEX(prem_analysis!$BU$1:$CF$67,ROWS(prem_analysis!$N$2:V276),COLUMNS(prem_analysis!$N$2:V276)),IF($Q$1=$P$4,INDEX(Table24[[#All],[Year]:[Details]],ROWS(prem_analysis!$M$420:U694),COLUMNS(Data!$Q$3:Y277)))))),"")</f>
        <v/>
      </c>
      <c r="AA276" s="1" t="str">
        <f>IFERROR(IF($Q$1=$P$3,INDEX(prem_analysis!$P$2:$Q$441,ROWS(Data!$P$2:Z276),COLUMNS(Data!$P$3:Y277)),IF($Q$1=$P$5,INDEX(prem_analysis!$BH$1:$BS$23,ROWS(Data!$Q$3:Z277),COLUMNS(Data!$Q$3:Z277)),IF($Q$1=$P$6,INDEX(prem_analysis!$BU$1:$CF$67,ROWS(prem_analysis!$N$2:W276),COLUMNS(prem_analysis!$N$2:W276)),IF($Q$1=$P$4,INDEX(Table24[[#All],[Year]:[Details]],ROWS(prem_analysis!$M$420:V694),COLUMNS(Data!$Q$3:Z277)))))),"")</f>
        <v/>
      </c>
      <c r="AB276" s="1" t="str">
        <f>IFERROR(IF($Q$1=$P$3,INDEX(prem_analysis!$P$2:$Q$441,ROWS(Data!$P$2:AA276),COLUMNS(Data!$P$3:Z277)),IF($Q$1=$P$5,INDEX(prem_analysis!$BH$1:$BS$23,ROWS(Data!$Q$3:AA277),COLUMNS(Data!$Q$3:AA277)),IF($Q$1=$P$6,INDEX(prem_analysis!$BU$1:$CF$67,ROWS(prem_analysis!$N$2:X276),COLUMNS(prem_analysis!$N$2:X276)),IF($Q$1=$P$4,INDEX(Table24[[#All],[Year]:[Details]],ROWS(prem_analysis!$M$420:W694),COLUMNS(Data!$Q$3:AA277)))))),"")</f>
        <v/>
      </c>
      <c r="AC276" s="1" t="str">
        <f>IFERROR(IF($Q$1=$P$3,INDEX(prem_analysis!$P$2:$Q$441,ROWS(Data!$P$2:AB276),COLUMNS(Data!$P$3:AA277)),IF($Q$1=$P$5,INDEX(prem_analysis!$BH$1:$BS$23,ROWS(Data!$Q$3:AB277),COLUMNS(Data!$Q$3:AB277)),IF($Q$1=$P$6,INDEX(prem_analysis!$BU$1:$CF$67,ROWS(prem_analysis!$N$2:Y276),COLUMNS(prem_analysis!$N$2:Y276)),IF($Q$1=$P$4,INDEX(Table24[[#All],[Year]:[Details]],ROWS(prem_analysis!$M$420:X694),COLUMNS(Data!$Q$3:AB277)))))),"")</f>
        <v/>
      </c>
    </row>
    <row r="277" spans="1:29" x14ac:dyDescent="0.2">
      <c r="A277" s="5">
        <v>2013</v>
      </c>
      <c r="B277" s="5">
        <v>16</v>
      </c>
      <c r="C277" s="6" t="s">
        <v>45</v>
      </c>
      <c r="D277" s="5">
        <v>38</v>
      </c>
      <c r="E277" s="5">
        <v>10</v>
      </c>
      <c r="F277" s="5">
        <v>7</v>
      </c>
      <c r="G277" s="5">
        <v>21</v>
      </c>
      <c r="H277" s="5">
        <v>38</v>
      </c>
      <c r="I277" s="5">
        <v>53</v>
      </c>
      <c r="J277" s="5">
        <v>-15</v>
      </c>
      <c r="K277" s="5">
        <v>37</v>
      </c>
      <c r="L277" s="5">
        <f>IF(Table24[[#This Row],['#]]=1,"Champion", IF(Table24[[#This Row],['#]]&gt;=18,"Relegated",Table24[[#This Row],['#]]))</f>
        <v>16</v>
      </c>
      <c r="M277" s="5" t="str">
        <f>IF(Table24[[#This Row],[Details]]=2,K276-Table24[[#This Row],[Pts]],IF(Table24[[#This Row],[Details]]=17,Table24[[#This Row],[Pts]]-K278,""))</f>
        <v/>
      </c>
      <c r="R277" s="1" t="str">
        <f>IFERROR(IF($Q$1=$P$3,INDEX(prem_analysis!$P$2:$Q$441,ROWS(Data!$P$2:Q277),COLUMNS(Data!$P$3:P278)),IF($Q$1=$P$5,INDEX(prem_analysis!$BH$1:$BS$23,ROWS(Data!$Q$3:Q278),COLUMNS(Data!$Q$3:Q278)),IF($Q$1=$P$6,INDEX(prem_analysis!$BU$1:$CF$67,ROWS(prem_analysis!$N$2:N277),COLUMNS(prem_analysis!$N$2:N277)),IF($Q$1=$P$4,INDEX(Table24[[#All],[Year]:[Details]],ROWS(prem_analysis!$M$420:M695),COLUMNS(Data!$Q$3:Q278)))))),"")</f>
        <v/>
      </c>
      <c r="S277" s="1" t="str">
        <f>IFERROR(IF($Q$1=$P$3,INDEX(prem_analysis!$P$2:$Q$441,ROWS(Data!$P$2:R277),COLUMNS(Data!$P$3:Q278)),IF($Q$1=$P$5,INDEX(prem_analysis!$BH$1:$BS$23,ROWS(Data!$Q$3:R278),COLUMNS(Data!$Q$3:R278)),IF($Q$1=$P$6,INDEX(prem_analysis!$BU$1:$CF$67,ROWS(prem_analysis!$N$2:O277),COLUMNS(prem_analysis!$N$2:O277)),IF($Q$1=$P$4,INDEX(Table24[[#All],[Year]:[Details]],ROWS(prem_analysis!$M$420:N695),COLUMNS(Data!$Q$3:R278)))))),"")</f>
        <v/>
      </c>
      <c r="T277" s="1" t="str">
        <f>IFERROR(IF($Q$1=$P$3,INDEX(prem_analysis!$P$2:$Q$441,ROWS(Data!$P$2:S277),COLUMNS(Data!$P$3:R278)),IF($Q$1=$P$5,INDEX(prem_analysis!$BH$1:$BS$23,ROWS(Data!$Q$3:S278),COLUMNS(Data!$Q$3:S278)),IF($Q$1=$P$6,INDEX(prem_analysis!$BU$1:$CF$67,ROWS(prem_analysis!$N$2:P277),COLUMNS(prem_analysis!$N$2:P277)),IF($Q$1=$P$4,INDEX(Table24[[#All],[Year]:[Details]],ROWS(prem_analysis!$M$420:O695),COLUMNS(Data!$Q$3:S278)))))),"")</f>
        <v/>
      </c>
      <c r="U277" s="1" t="str">
        <f>IFERROR(IF($Q$1=$P$3,INDEX(prem_analysis!$P$2:$Q$441,ROWS(Data!$P$2:T277),COLUMNS(Data!$P$3:S278)),IF($Q$1=$P$5,INDEX(prem_analysis!$BH$1:$BS$23,ROWS(Data!$Q$3:T278),COLUMNS(Data!$Q$3:T278)),IF($Q$1=$P$6,INDEX(prem_analysis!$BU$1:$CF$67,ROWS(prem_analysis!$N$2:Q277),COLUMNS(prem_analysis!$N$2:Q277)),IF($Q$1=$P$4,INDEX(Table24[[#All],[Year]:[Details]],ROWS(prem_analysis!$M$420:P695),COLUMNS(Data!$Q$3:T278)))))),"")</f>
        <v/>
      </c>
      <c r="V277" s="1" t="str">
        <f>IFERROR(IF($Q$1=$P$3,INDEX(prem_analysis!$P$2:$Q$441,ROWS(Data!$P$2:U277),COLUMNS(Data!$P$3:T278)),IF($Q$1=$P$5,INDEX(prem_analysis!$BH$1:$BS$23,ROWS(Data!$Q$3:U278),COLUMNS(Data!$Q$3:U278)),IF($Q$1=$P$6,INDEX(prem_analysis!$BU$1:$CF$67,ROWS(prem_analysis!$N$2:R277),COLUMNS(prem_analysis!$N$2:R277)),IF($Q$1=$P$4,INDEX(Table24[[#All],[Year]:[Details]],ROWS(prem_analysis!$M$420:Q695),COLUMNS(Data!$Q$3:U278)))))),"")</f>
        <v/>
      </c>
      <c r="W277" s="1" t="str">
        <f>IFERROR(IF($Q$1=$P$3,INDEX(prem_analysis!$P$2:$Q$441,ROWS(Data!$P$2:V277),COLUMNS(Data!$P$3:U278)),IF($Q$1=$P$5,INDEX(prem_analysis!$BH$1:$BS$23,ROWS(Data!$Q$3:V278),COLUMNS(Data!$Q$3:V278)),IF($Q$1=$P$6,INDEX(prem_analysis!$BU$1:$CF$67,ROWS(prem_analysis!$N$2:S277),COLUMNS(prem_analysis!$N$2:S277)),IF($Q$1=$P$4,INDEX(Table24[[#All],[Year]:[Details]],ROWS(prem_analysis!$M$420:R695),COLUMNS(Data!$Q$3:V278)))))),"")</f>
        <v/>
      </c>
      <c r="X277" s="1" t="str">
        <f>IFERROR(IF($Q$1=$P$3,INDEX(prem_analysis!$P$2:$Q$441,ROWS(Data!$P$2:W277),COLUMNS(Data!$P$3:V278)),IF($Q$1=$P$5,INDEX(prem_analysis!$BH$1:$BS$23,ROWS(Data!$Q$3:W278),COLUMNS(Data!$Q$3:W278)),IF($Q$1=$P$6,INDEX(prem_analysis!$BU$1:$CF$67,ROWS(prem_analysis!$N$2:T277),COLUMNS(prem_analysis!$N$2:T277)),IF($Q$1=$P$4,INDEX(Table24[[#All],[Year]:[Details]],ROWS(prem_analysis!$M$420:S695),COLUMNS(Data!$Q$3:W278)))))),"")</f>
        <v/>
      </c>
      <c r="Y277" s="1" t="str">
        <f>IFERROR(IF($Q$1=$P$3,INDEX(prem_analysis!$P$2:$Q$441,ROWS(Data!$P$2:X277),COLUMNS(Data!$P$3:W278)),IF($Q$1=$P$5,INDEX(prem_analysis!$BH$1:$BS$23,ROWS(Data!$Q$3:X278),COLUMNS(Data!$Q$3:X278)),IF($Q$1=$P$6,INDEX(prem_analysis!$BU$1:$CF$67,ROWS(prem_analysis!$N$2:U277),COLUMNS(prem_analysis!$N$2:U277)),IF($Q$1=$P$4,INDEX(Table24[[#All],[Year]:[Details]],ROWS(prem_analysis!$M$420:T695),COLUMNS(Data!$Q$3:X278)))))),"")</f>
        <v/>
      </c>
      <c r="Z277" s="1" t="str">
        <f>IFERROR(IF($Q$1=$P$3,INDEX(prem_analysis!$P$2:$Q$441,ROWS(Data!$P$2:Y277),COLUMNS(Data!$P$3:X278)),IF($Q$1=$P$5,INDEX(prem_analysis!$BH$1:$BS$23,ROWS(Data!$Q$3:Y278),COLUMNS(Data!$Q$3:Y278)),IF($Q$1=$P$6,INDEX(prem_analysis!$BU$1:$CF$67,ROWS(prem_analysis!$N$2:V277),COLUMNS(prem_analysis!$N$2:V277)),IF($Q$1=$P$4,INDEX(Table24[[#All],[Year]:[Details]],ROWS(prem_analysis!$M$420:U695),COLUMNS(Data!$Q$3:Y278)))))),"")</f>
        <v/>
      </c>
      <c r="AA277" s="1" t="str">
        <f>IFERROR(IF($Q$1=$P$3,INDEX(prem_analysis!$P$2:$Q$441,ROWS(Data!$P$2:Z277),COLUMNS(Data!$P$3:Y278)),IF($Q$1=$P$5,INDEX(prem_analysis!$BH$1:$BS$23,ROWS(Data!$Q$3:Z278),COLUMNS(Data!$Q$3:Z278)),IF($Q$1=$P$6,INDEX(prem_analysis!$BU$1:$CF$67,ROWS(prem_analysis!$N$2:W277),COLUMNS(prem_analysis!$N$2:W277)),IF($Q$1=$P$4,INDEX(Table24[[#All],[Year]:[Details]],ROWS(prem_analysis!$M$420:V695),COLUMNS(Data!$Q$3:Z278)))))),"")</f>
        <v/>
      </c>
      <c r="AB277" s="1" t="str">
        <f>IFERROR(IF($Q$1=$P$3,INDEX(prem_analysis!$P$2:$Q$441,ROWS(Data!$P$2:AA277),COLUMNS(Data!$P$3:Z278)),IF($Q$1=$P$5,INDEX(prem_analysis!$BH$1:$BS$23,ROWS(Data!$Q$3:AA278),COLUMNS(Data!$Q$3:AA278)),IF($Q$1=$P$6,INDEX(prem_analysis!$BU$1:$CF$67,ROWS(prem_analysis!$N$2:X277),COLUMNS(prem_analysis!$N$2:X277)),IF($Q$1=$P$4,INDEX(Table24[[#All],[Year]:[Details]],ROWS(prem_analysis!$M$420:W695),COLUMNS(Data!$Q$3:AA278)))))),"")</f>
        <v/>
      </c>
      <c r="AC277" s="1" t="str">
        <f>IFERROR(IF($Q$1=$P$3,INDEX(prem_analysis!$P$2:$Q$441,ROWS(Data!$P$2:AB277),COLUMNS(Data!$P$3:AA278)),IF($Q$1=$P$5,INDEX(prem_analysis!$BH$1:$BS$23,ROWS(Data!$Q$3:AB278),COLUMNS(Data!$Q$3:AB278)),IF($Q$1=$P$6,INDEX(prem_analysis!$BU$1:$CF$67,ROWS(prem_analysis!$N$2:Y277),COLUMNS(prem_analysis!$N$2:Y277)),IF($Q$1=$P$4,INDEX(Table24[[#All],[Year]:[Details]],ROWS(prem_analysis!$M$420:X695),COLUMNS(Data!$Q$3:AB278)))))),"")</f>
        <v/>
      </c>
    </row>
    <row r="278" spans="1:29" x14ac:dyDescent="0.2">
      <c r="A278" s="3">
        <v>2013</v>
      </c>
      <c r="B278" s="3">
        <v>17</v>
      </c>
      <c r="C278" s="4" t="s">
        <v>35</v>
      </c>
      <c r="D278" s="3">
        <v>38</v>
      </c>
      <c r="E278" s="3">
        <v>7</v>
      </c>
      <c r="F278" s="3">
        <v>15</v>
      </c>
      <c r="G278" s="3">
        <v>16</v>
      </c>
      <c r="H278" s="3">
        <v>43</v>
      </c>
      <c r="I278" s="3">
        <v>59</v>
      </c>
      <c r="J278" s="3">
        <v>-16</v>
      </c>
      <c r="K278" s="3">
        <v>36</v>
      </c>
      <c r="L278" s="5">
        <f>IF(Table24[[#This Row],['#]]=1,"Champion", IF(Table24[[#This Row],['#]]&gt;=18,"Relegated",Table24[[#This Row],['#]]))</f>
        <v>17</v>
      </c>
      <c r="M278" s="5">
        <f>IF(Table24[[#This Row],[Details]]=2,K277-Table24[[#This Row],[Pts]],IF(Table24[[#This Row],[Details]]=17,Table24[[#This Row],[Pts]]-K279,""))</f>
        <v>3</v>
      </c>
      <c r="R278" s="1" t="str">
        <f>IFERROR(IF($Q$1=$P$3,INDEX(prem_analysis!$P$2:$Q$441,ROWS(Data!$P$2:Q278),COLUMNS(Data!$P$3:P279)),IF($Q$1=$P$5,INDEX(prem_analysis!$BH$1:$BS$23,ROWS(Data!$Q$3:Q279),COLUMNS(Data!$Q$3:Q279)),IF($Q$1=$P$6,INDEX(prem_analysis!$BU$1:$CF$67,ROWS(prem_analysis!$N$2:N278),COLUMNS(prem_analysis!$N$2:N278)),IF($Q$1=$P$4,INDEX(Table24[[#All],[Year]:[Details]],ROWS(prem_analysis!$M$420:M696),COLUMNS(Data!$Q$3:Q279)))))),"")</f>
        <v/>
      </c>
      <c r="S278" s="1" t="str">
        <f>IFERROR(IF($Q$1=$P$3,INDEX(prem_analysis!$P$2:$Q$441,ROWS(Data!$P$2:R278),COLUMNS(Data!$P$3:Q279)),IF($Q$1=$P$5,INDEX(prem_analysis!$BH$1:$BS$23,ROWS(Data!$Q$3:R279),COLUMNS(Data!$Q$3:R279)),IF($Q$1=$P$6,INDEX(prem_analysis!$BU$1:$CF$67,ROWS(prem_analysis!$N$2:O278),COLUMNS(prem_analysis!$N$2:O278)),IF($Q$1=$P$4,INDEX(Table24[[#All],[Year]:[Details]],ROWS(prem_analysis!$M$420:N696),COLUMNS(Data!$Q$3:R279)))))),"")</f>
        <v/>
      </c>
      <c r="T278" s="1" t="str">
        <f>IFERROR(IF($Q$1=$P$3,INDEX(prem_analysis!$P$2:$Q$441,ROWS(Data!$P$2:S278),COLUMNS(Data!$P$3:R279)),IF($Q$1=$P$5,INDEX(prem_analysis!$BH$1:$BS$23,ROWS(Data!$Q$3:S279),COLUMNS(Data!$Q$3:S279)),IF($Q$1=$P$6,INDEX(prem_analysis!$BU$1:$CF$67,ROWS(prem_analysis!$N$2:P278),COLUMNS(prem_analysis!$N$2:P278)),IF($Q$1=$P$4,INDEX(Table24[[#All],[Year]:[Details]],ROWS(prem_analysis!$M$420:O696),COLUMNS(Data!$Q$3:S279)))))),"")</f>
        <v/>
      </c>
      <c r="U278" s="1" t="str">
        <f>IFERROR(IF($Q$1=$P$3,INDEX(prem_analysis!$P$2:$Q$441,ROWS(Data!$P$2:T278),COLUMNS(Data!$P$3:S279)),IF($Q$1=$P$5,INDEX(prem_analysis!$BH$1:$BS$23,ROWS(Data!$Q$3:T279),COLUMNS(Data!$Q$3:T279)),IF($Q$1=$P$6,INDEX(prem_analysis!$BU$1:$CF$67,ROWS(prem_analysis!$N$2:Q278),COLUMNS(prem_analysis!$N$2:Q278)),IF($Q$1=$P$4,INDEX(Table24[[#All],[Year]:[Details]],ROWS(prem_analysis!$M$420:P696),COLUMNS(Data!$Q$3:T279)))))),"")</f>
        <v/>
      </c>
      <c r="V278" s="1" t="str">
        <f>IFERROR(IF($Q$1=$P$3,INDEX(prem_analysis!$P$2:$Q$441,ROWS(Data!$P$2:U278),COLUMNS(Data!$P$3:T279)),IF($Q$1=$P$5,INDEX(prem_analysis!$BH$1:$BS$23,ROWS(Data!$Q$3:U279),COLUMNS(Data!$Q$3:U279)),IF($Q$1=$P$6,INDEX(prem_analysis!$BU$1:$CF$67,ROWS(prem_analysis!$N$2:R278),COLUMNS(prem_analysis!$N$2:R278)),IF($Q$1=$P$4,INDEX(Table24[[#All],[Year]:[Details]],ROWS(prem_analysis!$M$420:Q696),COLUMNS(Data!$Q$3:U279)))))),"")</f>
        <v/>
      </c>
      <c r="W278" s="1" t="str">
        <f>IFERROR(IF($Q$1=$P$3,INDEX(prem_analysis!$P$2:$Q$441,ROWS(Data!$P$2:V278),COLUMNS(Data!$P$3:U279)),IF($Q$1=$P$5,INDEX(prem_analysis!$BH$1:$BS$23,ROWS(Data!$Q$3:V279),COLUMNS(Data!$Q$3:V279)),IF($Q$1=$P$6,INDEX(prem_analysis!$BU$1:$CF$67,ROWS(prem_analysis!$N$2:S278),COLUMNS(prem_analysis!$N$2:S278)),IF($Q$1=$P$4,INDEX(Table24[[#All],[Year]:[Details]],ROWS(prem_analysis!$M$420:R696),COLUMNS(Data!$Q$3:V279)))))),"")</f>
        <v/>
      </c>
      <c r="X278" s="1" t="str">
        <f>IFERROR(IF($Q$1=$P$3,INDEX(prem_analysis!$P$2:$Q$441,ROWS(Data!$P$2:W278),COLUMNS(Data!$P$3:V279)),IF($Q$1=$P$5,INDEX(prem_analysis!$BH$1:$BS$23,ROWS(Data!$Q$3:W279),COLUMNS(Data!$Q$3:W279)),IF($Q$1=$P$6,INDEX(prem_analysis!$BU$1:$CF$67,ROWS(prem_analysis!$N$2:T278),COLUMNS(prem_analysis!$N$2:T278)),IF($Q$1=$P$4,INDEX(Table24[[#All],[Year]:[Details]],ROWS(prem_analysis!$M$420:S696),COLUMNS(Data!$Q$3:W279)))))),"")</f>
        <v/>
      </c>
      <c r="Y278" s="1" t="str">
        <f>IFERROR(IF($Q$1=$P$3,INDEX(prem_analysis!$P$2:$Q$441,ROWS(Data!$P$2:X278),COLUMNS(Data!$P$3:W279)),IF($Q$1=$P$5,INDEX(prem_analysis!$BH$1:$BS$23,ROWS(Data!$Q$3:X279),COLUMNS(Data!$Q$3:X279)),IF($Q$1=$P$6,INDEX(prem_analysis!$BU$1:$CF$67,ROWS(prem_analysis!$N$2:U278),COLUMNS(prem_analysis!$N$2:U278)),IF($Q$1=$P$4,INDEX(Table24[[#All],[Year]:[Details]],ROWS(prem_analysis!$M$420:T696),COLUMNS(Data!$Q$3:X279)))))),"")</f>
        <v/>
      </c>
      <c r="Z278" s="1" t="str">
        <f>IFERROR(IF($Q$1=$P$3,INDEX(prem_analysis!$P$2:$Q$441,ROWS(Data!$P$2:Y278),COLUMNS(Data!$P$3:X279)),IF($Q$1=$P$5,INDEX(prem_analysis!$BH$1:$BS$23,ROWS(Data!$Q$3:Y279),COLUMNS(Data!$Q$3:Y279)),IF($Q$1=$P$6,INDEX(prem_analysis!$BU$1:$CF$67,ROWS(prem_analysis!$N$2:V278),COLUMNS(prem_analysis!$N$2:V278)),IF($Q$1=$P$4,INDEX(Table24[[#All],[Year]:[Details]],ROWS(prem_analysis!$M$420:U696),COLUMNS(Data!$Q$3:Y279)))))),"")</f>
        <v/>
      </c>
      <c r="AA278" s="1" t="str">
        <f>IFERROR(IF($Q$1=$P$3,INDEX(prem_analysis!$P$2:$Q$441,ROWS(Data!$P$2:Z278),COLUMNS(Data!$P$3:Y279)),IF($Q$1=$P$5,INDEX(prem_analysis!$BH$1:$BS$23,ROWS(Data!$Q$3:Z279),COLUMNS(Data!$Q$3:Z279)),IF($Q$1=$P$6,INDEX(prem_analysis!$BU$1:$CF$67,ROWS(prem_analysis!$N$2:W278),COLUMNS(prem_analysis!$N$2:W278)),IF($Q$1=$P$4,INDEX(Table24[[#All],[Year]:[Details]],ROWS(prem_analysis!$M$420:V696),COLUMNS(Data!$Q$3:Z279)))))),"")</f>
        <v/>
      </c>
      <c r="AB278" s="1" t="str">
        <f>IFERROR(IF($Q$1=$P$3,INDEX(prem_analysis!$P$2:$Q$441,ROWS(Data!$P$2:AA278),COLUMNS(Data!$P$3:Z279)),IF($Q$1=$P$5,INDEX(prem_analysis!$BH$1:$BS$23,ROWS(Data!$Q$3:AA279),COLUMNS(Data!$Q$3:AA279)),IF($Q$1=$P$6,INDEX(prem_analysis!$BU$1:$CF$67,ROWS(prem_analysis!$N$2:X278),COLUMNS(prem_analysis!$N$2:X278)),IF($Q$1=$P$4,INDEX(Table24[[#All],[Year]:[Details]],ROWS(prem_analysis!$M$420:W696),COLUMNS(Data!$Q$3:AA279)))))),"")</f>
        <v/>
      </c>
      <c r="AC278" s="1" t="str">
        <f>IFERROR(IF($Q$1=$P$3,INDEX(prem_analysis!$P$2:$Q$441,ROWS(Data!$P$2:AB278),COLUMNS(Data!$P$3:AA279)),IF($Q$1=$P$5,INDEX(prem_analysis!$BH$1:$BS$23,ROWS(Data!$Q$3:AB279),COLUMNS(Data!$Q$3:AB279)),IF($Q$1=$P$6,INDEX(prem_analysis!$BU$1:$CF$67,ROWS(prem_analysis!$N$2:Y278),COLUMNS(prem_analysis!$N$2:Y278)),IF($Q$1=$P$4,INDEX(Table24[[#All],[Year]:[Details]],ROWS(prem_analysis!$M$420:X696),COLUMNS(Data!$Q$3:AB279)))))),"")</f>
        <v/>
      </c>
    </row>
    <row r="279" spans="1:29" x14ac:dyDescent="0.2">
      <c r="A279" s="5">
        <v>2013</v>
      </c>
      <c r="B279" s="5">
        <v>18</v>
      </c>
      <c r="C279" s="6" t="s">
        <v>39</v>
      </c>
      <c r="D279" s="5">
        <v>38</v>
      </c>
      <c r="E279" s="5">
        <v>8</v>
      </c>
      <c r="F279" s="5">
        <v>9</v>
      </c>
      <c r="G279" s="5">
        <v>21</v>
      </c>
      <c r="H279" s="5">
        <v>28</v>
      </c>
      <c r="I279" s="5">
        <v>62</v>
      </c>
      <c r="J279" s="5">
        <v>-34</v>
      </c>
      <c r="K279" s="5">
        <v>33</v>
      </c>
      <c r="L279" s="5" t="str">
        <f>IF(Table24[[#This Row],['#]]=1,"Champion", IF(Table24[[#This Row],['#]]&gt;=18,"Relegated",Table24[[#This Row],['#]]))</f>
        <v>Relegated</v>
      </c>
      <c r="M279" s="5" t="str">
        <f>IF(Table24[[#This Row],[Details]]=2,K278-Table24[[#This Row],[Pts]],IF(Table24[[#This Row],[Details]]=17,Table24[[#This Row],[Pts]]-K280,""))</f>
        <v/>
      </c>
      <c r="R279" s="1" t="str">
        <f>IFERROR(IF($Q$1=$P$3,INDEX(prem_analysis!$P$2:$Q$441,ROWS(Data!$P$2:Q279),COLUMNS(Data!$P$3:P280)),IF($Q$1=$P$5,INDEX(prem_analysis!$BH$1:$BS$23,ROWS(Data!$Q$3:Q280),COLUMNS(Data!$Q$3:Q280)),IF($Q$1=$P$6,INDEX(prem_analysis!$BU$1:$CF$67,ROWS(prem_analysis!$N$2:N279),COLUMNS(prem_analysis!$N$2:N279)),IF($Q$1=$P$4,INDEX(Table24[[#All],[Year]:[Details]],ROWS(prem_analysis!$M$420:M697),COLUMNS(Data!$Q$3:Q280)))))),"")</f>
        <v/>
      </c>
      <c r="S279" s="1" t="str">
        <f>IFERROR(IF($Q$1=$P$3,INDEX(prem_analysis!$P$2:$Q$441,ROWS(Data!$P$2:R279),COLUMNS(Data!$P$3:Q280)),IF($Q$1=$P$5,INDEX(prem_analysis!$BH$1:$BS$23,ROWS(Data!$Q$3:R280),COLUMNS(Data!$Q$3:R280)),IF($Q$1=$P$6,INDEX(prem_analysis!$BU$1:$CF$67,ROWS(prem_analysis!$N$2:O279),COLUMNS(prem_analysis!$N$2:O279)),IF($Q$1=$P$4,INDEX(Table24[[#All],[Year]:[Details]],ROWS(prem_analysis!$M$420:N697),COLUMNS(Data!$Q$3:R280)))))),"")</f>
        <v/>
      </c>
      <c r="T279" s="1" t="str">
        <f>IFERROR(IF($Q$1=$P$3,INDEX(prem_analysis!$P$2:$Q$441,ROWS(Data!$P$2:S279),COLUMNS(Data!$P$3:R280)),IF($Q$1=$P$5,INDEX(prem_analysis!$BH$1:$BS$23,ROWS(Data!$Q$3:S280),COLUMNS(Data!$Q$3:S280)),IF($Q$1=$P$6,INDEX(prem_analysis!$BU$1:$CF$67,ROWS(prem_analysis!$N$2:P279),COLUMNS(prem_analysis!$N$2:P279)),IF($Q$1=$P$4,INDEX(Table24[[#All],[Year]:[Details]],ROWS(prem_analysis!$M$420:O697),COLUMNS(Data!$Q$3:S280)))))),"")</f>
        <v/>
      </c>
      <c r="U279" s="1" t="str">
        <f>IFERROR(IF($Q$1=$P$3,INDEX(prem_analysis!$P$2:$Q$441,ROWS(Data!$P$2:T279),COLUMNS(Data!$P$3:S280)),IF($Q$1=$P$5,INDEX(prem_analysis!$BH$1:$BS$23,ROWS(Data!$Q$3:T280),COLUMNS(Data!$Q$3:T280)),IF($Q$1=$P$6,INDEX(prem_analysis!$BU$1:$CF$67,ROWS(prem_analysis!$N$2:Q279),COLUMNS(prem_analysis!$N$2:Q279)),IF($Q$1=$P$4,INDEX(Table24[[#All],[Year]:[Details]],ROWS(prem_analysis!$M$420:P697),COLUMNS(Data!$Q$3:T280)))))),"")</f>
        <v/>
      </c>
      <c r="V279" s="1" t="str">
        <f>IFERROR(IF($Q$1=$P$3,INDEX(prem_analysis!$P$2:$Q$441,ROWS(Data!$P$2:U279),COLUMNS(Data!$P$3:T280)),IF($Q$1=$P$5,INDEX(prem_analysis!$BH$1:$BS$23,ROWS(Data!$Q$3:U280),COLUMNS(Data!$Q$3:U280)),IF($Q$1=$P$6,INDEX(prem_analysis!$BU$1:$CF$67,ROWS(prem_analysis!$N$2:R279),COLUMNS(prem_analysis!$N$2:R279)),IF($Q$1=$P$4,INDEX(Table24[[#All],[Year]:[Details]],ROWS(prem_analysis!$M$420:Q697),COLUMNS(Data!$Q$3:U280)))))),"")</f>
        <v/>
      </c>
      <c r="W279" s="1" t="str">
        <f>IFERROR(IF($Q$1=$P$3,INDEX(prem_analysis!$P$2:$Q$441,ROWS(Data!$P$2:V279),COLUMNS(Data!$P$3:U280)),IF($Q$1=$P$5,INDEX(prem_analysis!$BH$1:$BS$23,ROWS(Data!$Q$3:V280),COLUMNS(Data!$Q$3:V280)),IF($Q$1=$P$6,INDEX(prem_analysis!$BU$1:$CF$67,ROWS(prem_analysis!$N$2:S279),COLUMNS(prem_analysis!$N$2:S279)),IF($Q$1=$P$4,INDEX(Table24[[#All],[Year]:[Details]],ROWS(prem_analysis!$M$420:R697),COLUMNS(Data!$Q$3:V280)))))),"")</f>
        <v/>
      </c>
      <c r="X279" s="1" t="str">
        <f>IFERROR(IF($Q$1=$P$3,INDEX(prem_analysis!$P$2:$Q$441,ROWS(Data!$P$2:W279),COLUMNS(Data!$P$3:V280)),IF($Q$1=$P$5,INDEX(prem_analysis!$BH$1:$BS$23,ROWS(Data!$Q$3:W280),COLUMNS(Data!$Q$3:W280)),IF($Q$1=$P$6,INDEX(prem_analysis!$BU$1:$CF$67,ROWS(prem_analysis!$N$2:T279),COLUMNS(prem_analysis!$N$2:T279)),IF($Q$1=$P$4,INDEX(Table24[[#All],[Year]:[Details]],ROWS(prem_analysis!$M$420:S697),COLUMNS(Data!$Q$3:W280)))))),"")</f>
        <v/>
      </c>
      <c r="Y279" s="1" t="str">
        <f>IFERROR(IF($Q$1=$P$3,INDEX(prem_analysis!$P$2:$Q$441,ROWS(Data!$P$2:X279),COLUMNS(Data!$P$3:W280)),IF($Q$1=$P$5,INDEX(prem_analysis!$BH$1:$BS$23,ROWS(Data!$Q$3:X280),COLUMNS(Data!$Q$3:X280)),IF($Q$1=$P$6,INDEX(prem_analysis!$BU$1:$CF$67,ROWS(prem_analysis!$N$2:U279),COLUMNS(prem_analysis!$N$2:U279)),IF($Q$1=$P$4,INDEX(Table24[[#All],[Year]:[Details]],ROWS(prem_analysis!$M$420:T697),COLUMNS(Data!$Q$3:X280)))))),"")</f>
        <v/>
      </c>
      <c r="Z279" s="1" t="str">
        <f>IFERROR(IF($Q$1=$P$3,INDEX(prem_analysis!$P$2:$Q$441,ROWS(Data!$P$2:Y279),COLUMNS(Data!$P$3:X280)),IF($Q$1=$P$5,INDEX(prem_analysis!$BH$1:$BS$23,ROWS(Data!$Q$3:Y280),COLUMNS(Data!$Q$3:Y280)),IF($Q$1=$P$6,INDEX(prem_analysis!$BU$1:$CF$67,ROWS(prem_analysis!$N$2:V279),COLUMNS(prem_analysis!$N$2:V279)),IF($Q$1=$P$4,INDEX(Table24[[#All],[Year]:[Details]],ROWS(prem_analysis!$M$420:U697),COLUMNS(Data!$Q$3:Y280)))))),"")</f>
        <v/>
      </c>
      <c r="AA279" s="1" t="str">
        <f>IFERROR(IF($Q$1=$P$3,INDEX(prem_analysis!$P$2:$Q$441,ROWS(Data!$P$2:Z279),COLUMNS(Data!$P$3:Y280)),IF($Q$1=$P$5,INDEX(prem_analysis!$BH$1:$BS$23,ROWS(Data!$Q$3:Z280),COLUMNS(Data!$Q$3:Z280)),IF($Q$1=$P$6,INDEX(prem_analysis!$BU$1:$CF$67,ROWS(prem_analysis!$N$2:W279),COLUMNS(prem_analysis!$N$2:W279)),IF($Q$1=$P$4,INDEX(Table24[[#All],[Year]:[Details]],ROWS(prem_analysis!$M$420:V697),COLUMNS(Data!$Q$3:Z280)))))),"")</f>
        <v/>
      </c>
      <c r="AB279" s="1" t="str">
        <f>IFERROR(IF($Q$1=$P$3,INDEX(prem_analysis!$P$2:$Q$441,ROWS(Data!$P$2:AA279),COLUMNS(Data!$P$3:Z280)),IF($Q$1=$P$5,INDEX(prem_analysis!$BH$1:$BS$23,ROWS(Data!$Q$3:AA280),COLUMNS(Data!$Q$3:AA280)),IF($Q$1=$P$6,INDEX(prem_analysis!$BU$1:$CF$67,ROWS(prem_analysis!$N$2:X279),COLUMNS(prem_analysis!$N$2:X279)),IF($Q$1=$P$4,INDEX(Table24[[#All],[Year]:[Details]],ROWS(prem_analysis!$M$420:W697),COLUMNS(Data!$Q$3:AA280)))))),"")</f>
        <v/>
      </c>
      <c r="AC279" s="1" t="str">
        <f>IFERROR(IF($Q$1=$P$3,INDEX(prem_analysis!$P$2:$Q$441,ROWS(Data!$P$2:AB279),COLUMNS(Data!$P$3:AA280)),IF($Q$1=$P$5,INDEX(prem_analysis!$BH$1:$BS$23,ROWS(Data!$Q$3:AB280),COLUMNS(Data!$Q$3:AB280)),IF($Q$1=$P$6,INDEX(prem_analysis!$BU$1:$CF$67,ROWS(prem_analysis!$N$2:Y279),COLUMNS(prem_analysis!$N$2:Y279)),IF($Q$1=$P$4,INDEX(Table24[[#All],[Year]:[Details]],ROWS(prem_analysis!$M$420:X697),COLUMNS(Data!$Q$3:AB280)))))),"")</f>
        <v/>
      </c>
    </row>
    <row r="280" spans="1:29" x14ac:dyDescent="0.2">
      <c r="A280" s="3">
        <v>2013</v>
      </c>
      <c r="B280" s="3">
        <v>19</v>
      </c>
      <c r="C280" s="4" t="s">
        <v>32</v>
      </c>
      <c r="D280" s="3">
        <v>38</v>
      </c>
      <c r="E280" s="3">
        <v>9</v>
      </c>
      <c r="F280" s="3">
        <v>5</v>
      </c>
      <c r="G280" s="3">
        <v>24</v>
      </c>
      <c r="H280" s="3">
        <v>40</v>
      </c>
      <c r="I280" s="3">
        <v>85</v>
      </c>
      <c r="J280" s="3">
        <v>-45</v>
      </c>
      <c r="K280" s="3">
        <v>32</v>
      </c>
      <c r="L280" s="5" t="str">
        <f>IF(Table24[[#This Row],['#]]=1,"Champion", IF(Table24[[#This Row],['#]]&gt;=18,"Relegated",Table24[[#This Row],['#]]))</f>
        <v>Relegated</v>
      </c>
      <c r="M280" s="5" t="str">
        <f>IF(Table24[[#This Row],[Details]]=2,K279-Table24[[#This Row],[Pts]],IF(Table24[[#This Row],[Details]]=17,Table24[[#This Row],[Pts]]-K281,""))</f>
        <v/>
      </c>
      <c r="R280" s="1" t="str">
        <f>IFERROR(IF($Q$1=$P$3,INDEX(prem_analysis!$P$2:$Q$441,ROWS(Data!$P$2:Q280),COLUMNS(Data!$P$3:P281)),IF($Q$1=$P$5,INDEX(prem_analysis!$BH$1:$BS$23,ROWS(Data!$Q$3:Q281),COLUMNS(Data!$Q$3:Q281)),IF($Q$1=$P$6,INDEX(prem_analysis!$BU$1:$CF$67,ROWS(prem_analysis!$N$2:N280),COLUMNS(prem_analysis!$N$2:N280)),IF($Q$1=$P$4,INDEX(Table24[[#All],[Year]:[Details]],ROWS(prem_analysis!$M$420:M698),COLUMNS(Data!$Q$3:Q281)))))),"")</f>
        <v/>
      </c>
      <c r="S280" s="1" t="str">
        <f>IFERROR(IF($Q$1=$P$3,INDEX(prem_analysis!$P$2:$Q$441,ROWS(Data!$P$2:R280),COLUMNS(Data!$P$3:Q281)),IF($Q$1=$P$5,INDEX(prem_analysis!$BH$1:$BS$23,ROWS(Data!$Q$3:R281),COLUMNS(Data!$Q$3:R281)),IF($Q$1=$P$6,INDEX(prem_analysis!$BU$1:$CF$67,ROWS(prem_analysis!$N$2:O280),COLUMNS(prem_analysis!$N$2:O280)),IF($Q$1=$P$4,INDEX(Table24[[#All],[Year]:[Details]],ROWS(prem_analysis!$M$420:N698),COLUMNS(Data!$Q$3:R281)))))),"")</f>
        <v/>
      </c>
      <c r="T280" s="1" t="str">
        <f>IFERROR(IF($Q$1=$P$3,INDEX(prem_analysis!$P$2:$Q$441,ROWS(Data!$P$2:S280),COLUMNS(Data!$P$3:R281)),IF($Q$1=$P$5,INDEX(prem_analysis!$BH$1:$BS$23,ROWS(Data!$Q$3:S281),COLUMNS(Data!$Q$3:S281)),IF($Q$1=$P$6,INDEX(prem_analysis!$BU$1:$CF$67,ROWS(prem_analysis!$N$2:P280),COLUMNS(prem_analysis!$N$2:P280)),IF($Q$1=$P$4,INDEX(Table24[[#All],[Year]:[Details]],ROWS(prem_analysis!$M$420:O698),COLUMNS(Data!$Q$3:S281)))))),"")</f>
        <v/>
      </c>
      <c r="U280" s="1" t="str">
        <f>IFERROR(IF($Q$1=$P$3,INDEX(prem_analysis!$P$2:$Q$441,ROWS(Data!$P$2:T280),COLUMNS(Data!$P$3:S281)),IF($Q$1=$P$5,INDEX(prem_analysis!$BH$1:$BS$23,ROWS(Data!$Q$3:T281),COLUMNS(Data!$Q$3:T281)),IF($Q$1=$P$6,INDEX(prem_analysis!$BU$1:$CF$67,ROWS(prem_analysis!$N$2:Q280),COLUMNS(prem_analysis!$N$2:Q280)),IF($Q$1=$P$4,INDEX(Table24[[#All],[Year]:[Details]],ROWS(prem_analysis!$M$420:P698),COLUMNS(Data!$Q$3:T281)))))),"")</f>
        <v/>
      </c>
      <c r="V280" s="1" t="str">
        <f>IFERROR(IF($Q$1=$P$3,INDEX(prem_analysis!$P$2:$Q$441,ROWS(Data!$P$2:U280),COLUMNS(Data!$P$3:T281)),IF($Q$1=$P$5,INDEX(prem_analysis!$BH$1:$BS$23,ROWS(Data!$Q$3:U281),COLUMNS(Data!$Q$3:U281)),IF($Q$1=$P$6,INDEX(prem_analysis!$BU$1:$CF$67,ROWS(prem_analysis!$N$2:R280),COLUMNS(prem_analysis!$N$2:R280)),IF($Q$1=$P$4,INDEX(Table24[[#All],[Year]:[Details]],ROWS(prem_analysis!$M$420:Q698),COLUMNS(Data!$Q$3:U281)))))),"")</f>
        <v/>
      </c>
      <c r="W280" s="1" t="str">
        <f>IFERROR(IF($Q$1=$P$3,INDEX(prem_analysis!$P$2:$Q$441,ROWS(Data!$P$2:V280),COLUMNS(Data!$P$3:U281)),IF($Q$1=$P$5,INDEX(prem_analysis!$BH$1:$BS$23,ROWS(Data!$Q$3:V281),COLUMNS(Data!$Q$3:V281)),IF($Q$1=$P$6,INDEX(prem_analysis!$BU$1:$CF$67,ROWS(prem_analysis!$N$2:S280),COLUMNS(prem_analysis!$N$2:S280)),IF($Q$1=$P$4,INDEX(Table24[[#All],[Year]:[Details]],ROWS(prem_analysis!$M$420:R698),COLUMNS(Data!$Q$3:V281)))))),"")</f>
        <v/>
      </c>
      <c r="X280" s="1" t="str">
        <f>IFERROR(IF($Q$1=$P$3,INDEX(prem_analysis!$P$2:$Q$441,ROWS(Data!$P$2:W280),COLUMNS(Data!$P$3:V281)),IF($Q$1=$P$5,INDEX(prem_analysis!$BH$1:$BS$23,ROWS(Data!$Q$3:W281),COLUMNS(Data!$Q$3:W281)),IF($Q$1=$P$6,INDEX(prem_analysis!$BU$1:$CF$67,ROWS(prem_analysis!$N$2:T280),COLUMNS(prem_analysis!$N$2:T280)),IF($Q$1=$P$4,INDEX(Table24[[#All],[Year]:[Details]],ROWS(prem_analysis!$M$420:S698),COLUMNS(Data!$Q$3:W281)))))),"")</f>
        <v/>
      </c>
      <c r="Y280" s="1" t="str">
        <f>IFERROR(IF($Q$1=$P$3,INDEX(prem_analysis!$P$2:$Q$441,ROWS(Data!$P$2:X280),COLUMNS(Data!$P$3:W281)),IF($Q$1=$P$5,INDEX(prem_analysis!$BH$1:$BS$23,ROWS(Data!$Q$3:X281),COLUMNS(Data!$Q$3:X281)),IF($Q$1=$P$6,INDEX(prem_analysis!$BU$1:$CF$67,ROWS(prem_analysis!$N$2:U280),COLUMNS(prem_analysis!$N$2:U280)),IF($Q$1=$P$4,INDEX(Table24[[#All],[Year]:[Details]],ROWS(prem_analysis!$M$420:T698),COLUMNS(Data!$Q$3:X281)))))),"")</f>
        <v/>
      </c>
      <c r="Z280" s="1" t="str">
        <f>IFERROR(IF($Q$1=$P$3,INDEX(prem_analysis!$P$2:$Q$441,ROWS(Data!$P$2:Y280),COLUMNS(Data!$P$3:X281)),IF($Q$1=$P$5,INDEX(prem_analysis!$BH$1:$BS$23,ROWS(Data!$Q$3:Y281),COLUMNS(Data!$Q$3:Y281)),IF($Q$1=$P$6,INDEX(prem_analysis!$BU$1:$CF$67,ROWS(prem_analysis!$N$2:V280),COLUMNS(prem_analysis!$N$2:V280)),IF($Q$1=$P$4,INDEX(Table24[[#All],[Year]:[Details]],ROWS(prem_analysis!$M$420:U698),COLUMNS(Data!$Q$3:Y281)))))),"")</f>
        <v/>
      </c>
      <c r="AA280" s="1" t="str">
        <f>IFERROR(IF($Q$1=$P$3,INDEX(prem_analysis!$P$2:$Q$441,ROWS(Data!$P$2:Z280),COLUMNS(Data!$P$3:Y281)),IF($Q$1=$P$5,INDEX(prem_analysis!$BH$1:$BS$23,ROWS(Data!$Q$3:Z281),COLUMNS(Data!$Q$3:Z281)),IF($Q$1=$P$6,INDEX(prem_analysis!$BU$1:$CF$67,ROWS(prem_analysis!$N$2:W280),COLUMNS(prem_analysis!$N$2:W280)),IF($Q$1=$P$4,INDEX(Table24[[#All],[Year]:[Details]],ROWS(prem_analysis!$M$420:V698),COLUMNS(Data!$Q$3:Z281)))))),"")</f>
        <v/>
      </c>
      <c r="AB280" s="1" t="str">
        <f>IFERROR(IF($Q$1=$P$3,INDEX(prem_analysis!$P$2:$Q$441,ROWS(Data!$P$2:AA280),COLUMNS(Data!$P$3:Z281)),IF($Q$1=$P$5,INDEX(prem_analysis!$BH$1:$BS$23,ROWS(Data!$Q$3:AA281),COLUMNS(Data!$Q$3:AA281)),IF($Q$1=$P$6,INDEX(prem_analysis!$BU$1:$CF$67,ROWS(prem_analysis!$N$2:X280),COLUMNS(prem_analysis!$N$2:X280)),IF($Q$1=$P$4,INDEX(Table24[[#All],[Year]:[Details]],ROWS(prem_analysis!$M$420:W698),COLUMNS(Data!$Q$3:AA281)))))),"")</f>
        <v/>
      </c>
      <c r="AC280" s="1" t="str">
        <f>IFERROR(IF($Q$1=$P$3,INDEX(prem_analysis!$P$2:$Q$441,ROWS(Data!$P$2:AB280),COLUMNS(Data!$P$3:AA281)),IF($Q$1=$P$5,INDEX(prem_analysis!$BH$1:$BS$23,ROWS(Data!$Q$3:AB281),COLUMNS(Data!$Q$3:AB281)),IF($Q$1=$P$6,INDEX(prem_analysis!$BU$1:$CF$67,ROWS(prem_analysis!$N$2:Y280),COLUMNS(prem_analysis!$N$2:Y280)),IF($Q$1=$P$4,INDEX(Table24[[#All],[Year]:[Details]],ROWS(prem_analysis!$M$420:X698),COLUMNS(Data!$Q$3:AB281)))))),"")</f>
        <v/>
      </c>
    </row>
    <row r="281" spans="1:29" x14ac:dyDescent="0.2">
      <c r="A281" s="5">
        <v>2013</v>
      </c>
      <c r="B281" s="5">
        <v>20</v>
      </c>
      <c r="C281" s="6" t="s">
        <v>50</v>
      </c>
      <c r="D281" s="5">
        <v>38</v>
      </c>
      <c r="E281" s="5">
        <v>7</v>
      </c>
      <c r="F281" s="5">
        <v>9</v>
      </c>
      <c r="G281" s="5">
        <v>22</v>
      </c>
      <c r="H281" s="5">
        <v>32</v>
      </c>
      <c r="I281" s="5">
        <v>74</v>
      </c>
      <c r="J281" s="5">
        <v>-42</v>
      </c>
      <c r="K281" s="5">
        <v>30</v>
      </c>
      <c r="L281" s="5" t="str">
        <f>IF(Table24[[#This Row],['#]]=1,"Champion", IF(Table24[[#This Row],['#]]&gt;=18,"Relegated",Table24[[#This Row],['#]]))</f>
        <v>Relegated</v>
      </c>
      <c r="M281" s="5" t="str">
        <f>IF(Table24[[#This Row],[Details]]=2,K280-Table24[[#This Row],[Pts]],IF(Table24[[#This Row],[Details]]=17,Table24[[#This Row],[Pts]]-K282,""))</f>
        <v/>
      </c>
      <c r="R281" s="1" t="str">
        <f>IFERROR(IF($Q$1=$P$3,INDEX(prem_analysis!$P$2:$Q$441,ROWS(Data!$P$2:Q281),COLUMNS(Data!$P$3:P282)),IF($Q$1=$P$5,INDEX(prem_analysis!$BH$1:$BS$23,ROWS(Data!$Q$3:Q282),COLUMNS(Data!$Q$3:Q282)),IF($Q$1=$P$6,INDEX(prem_analysis!$BU$1:$CF$67,ROWS(prem_analysis!$N$2:N281),COLUMNS(prem_analysis!$N$2:N281)),IF($Q$1=$P$4,INDEX(Table24[[#All],[Year]:[Details]],ROWS(prem_analysis!$M$420:M699),COLUMNS(Data!$Q$3:Q282)))))),"")</f>
        <v/>
      </c>
      <c r="S281" s="1" t="str">
        <f>IFERROR(IF($Q$1=$P$3,INDEX(prem_analysis!$P$2:$Q$441,ROWS(Data!$P$2:R281),COLUMNS(Data!$P$3:Q282)),IF($Q$1=$P$5,INDEX(prem_analysis!$BH$1:$BS$23,ROWS(Data!$Q$3:R282),COLUMNS(Data!$Q$3:R282)),IF($Q$1=$P$6,INDEX(prem_analysis!$BU$1:$CF$67,ROWS(prem_analysis!$N$2:O281),COLUMNS(prem_analysis!$N$2:O281)),IF($Q$1=$P$4,INDEX(Table24[[#All],[Year]:[Details]],ROWS(prem_analysis!$M$420:N699),COLUMNS(Data!$Q$3:R282)))))),"")</f>
        <v/>
      </c>
      <c r="T281" s="1" t="str">
        <f>IFERROR(IF($Q$1=$P$3,INDEX(prem_analysis!$P$2:$Q$441,ROWS(Data!$P$2:S281),COLUMNS(Data!$P$3:R282)),IF($Q$1=$P$5,INDEX(prem_analysis!$BH$1:$BS$23,ROWS(Data!$Q$3:S282),COLUMNS(Data!$Q$3:S282)),IF($Q$1=$P$6,INDEX(prem_analysis!$BU$1:$CF$67,ROWS(prem_analysis!$N$2:P281),COLUMNS(prem_analysis!$N$2:P281)),IF($Q$1=$P$4,INDEX(Table24[[#All],[Year]:[Details]],ROWS(prem_analysis!$M$420:O699),COLUMNS(Data!$Q$3:S282)))))),"")</f>
        <v/>
      </c>
      <c r="U281" s="1" t="str">
        <f>IFERROR(IF($Q$1=$P$3,INDEX(prem_analysis!$P$2:$Q$441,ROWS(Data!$P$2:T281),COLUMNS(Data!$P$3:S282)),IF($Q$1=$P$5,INDEX(prem_analysis!$BH$1:$BS$23,ROWS(Data!$Q$3:T282),COLUMNS(Data!$Q$3:T282)),IF($Q$1=$P$6,INDEX(prem_analysis!$BU$1:$CF$67,ROWS(prem_analysis!$N$2:Q281),COLUMNS(prem_analysis!$N$2:Q281)),IF($Q$1=$P$4,INDEX(Table24[[#All],[Year]:[Details]],ROWS(prem_analysis!$M$420:P699),COLUMNS(Data!$Q$3:T282)))))),"")</f>
        <v/>
      </c>
      <c r="V281" s="1" t="str">
        <f>IFERROR(IF($Q$1=$P$3,INDEX(prem_analysis!$P$2:$Q$441,ROWS(Data!$P$2:U281),COLUMNS(Data!$P$3:T282)),IF($Q$1=$P$5,INDEX(prem_analysis!$BH$1:$BS$23,ROWS(Data!$Q$3:U282),COLUMNS(Data!$Q$3:U282)),IF($Q$1=$P$6,INDEX(prem_analysis!$BU$1:$CF$67,ROWS(prem_analysis!$N$2:R281),COLUMNS(prem_analysis!$N$2:R281)),IF($Q$1=$P$4,INDEX(Table24[[#All],[Year]:[Details]],ROWS(prem_analysis!$M$420:Q699),COLUMNS(Data!$Q$3:U282)))))),"")</f>
        <v/>
      </c>
      <c r="W281" s="1" t="str">
        <f>IFERROR(IF($Q$1=$P$3,INDEX(prem_analysis!$P$2:$Q$441,ROWS(Data!$P$2:V281),COLUMNS(Data!$P$3:U282)),IF($Q$1=$P$5,INDEX(prem_analysis!$BH$1:$BS$23,ROWS(Data!$Q$3:V282),COLUMNS(Data!$Q$3:V282)),IF($Q$1=$P$6,INDEX(prem_analysis!$BU$1:$CF$67,ROWS(prem_analysis!$N$2:S281),COLUMNS(prem_analysis!$N$2:S281)),IF($Q$1=$P$4,INDEX(Table24[[#All],[Year]:[Details]],ROWS(prem_analysis!$M$420:R699),COLUMNS(Data!$Q$3:V282)))))),"")</f>
        <v/>
      </c>
      <c r="X281" s="1" t="str">
        <f>IFERROR(IF($Q$1=$P$3,INDEX(prem_analysis!$P$2:$Q$441,ROWS(Data!$P$2:W281),COLUMNS(Data!$P$3:V282)),IF($Q$1=$P$5,INDEX(prem_analysis!$BH$1:$BS$23,ROWS(Data!$Q$3:W282),COLUMNS(Data!$Q$3:W282)),IF($Q$1=$P$6,INDEX(prem_analysis!$BU$1:$CF$67,ROWS(prem_analysis!$N$2:T281),COLUMNS(prem_analysis!$N$2:T281)),IF($Q$1=$P$4,INDEX(Table24[[#All],[Year]:[Details]],ROWS(prem_analysis!$M$420:S699),COLUMNS(Data!$Q$3:W282)))))),"")</f>
        <v/>
      </c>
      <c r="Y281" s="1" t="str">
        <f>IFERROR(IF($Q$1=$P$3,INDEX(prem_analysis!$P$2:$Q$441,ROWS(Data!$P$2:X281),COLUMNS(Data!$P$3:W282)),IF($Q$1=$P$5,INDEX(prem_analysis!$BH$1:$BS$23,ROWS(Data!$Q$3:X282),COLUMNS(Data!$Q$3:X282)),IF($Q$1=$P$6,INDEX(prem_analysis!$BU$1:$CF$67,ROWS(prem_analysis!$N$2:U281),COLUMNS(prem_analysis!$N$2:U281)),IF($Q$1=$P$4,INDEX(Table24[[#All],[Year]:[Details]],ROWS(prem_analysis!$M$420:T699),COLUMNS(Data!$Q$3:X282)))))),"")</f>
        <v/>
      </c>
      <c r="Z281" s="1" t="str">
        <f>IFERROR(IF($Q$1=$P$3,INDEX(prem_analysis!$P$2:$Q$441,ROWS(Data!$P$2:Y281),COLUMNS(Data!$P$3:X282)),IF($Q$1=$P$5,INDEX(prem_analysis!$BH$1:$BS$23,ROWS(Data!$Q$3:Y282),COLUMNS(Data!$Q$3:Y282)),IF($Q$1=$P$6,INDEX(prem_analysis!$BU$1:$CF$67,ROWS(prem_analysis!$N$2:V281),COLUMNS(prem_analysis!$N$2:V281)),IF($Q$1=$P$4,INDEX(Table24[[#All],[Year]:[Details]],ROWS(prem_analysis!$M$420:U699),COLUMNS(Data!$Q$3:Y282)))))),"")</f>
        <v/>
      </c>
      <c r="AA281" s="1" t="str">
        <f>IFERROR(IF($Q$1=$P$3,INDEX(prem_analysis!$P$2:$Q$441,ROWS(Data!$P$2:Z281),COLUMNS(Data!$P$3:Y282)),IF($Q$1=$P$5,INDEX(prem_analysis!$BH$1:$BS$23,ROWS(Data!$Q$3:Z282),COLUMNS(Data!$Q$3:Z282)),IF($Q$1=$P$6,INDEX(prem_analysis!$BU$1:$CF$67,ROWS(prem_analysis!$N$2:W281),COLUMNS(prem_analysis!$N$2:W281)),IF($Q$1=$P$4,INDEX(Table24[[#All],[Year]:[Details]],ROWS(prem_analysis!$M$420:V699),COLUMNS(Data!$Q$3:Z282)))))),"")</f>
        <v/>
      </c>
      <c r="AB281" s="1" t="str">
        <f>IFERROR(IF($Q$1=$P$3,INDEX(prem_analysis!$P$2:$Q$441,ROWS(Data!$P$2:AA281),COLUMNS(Data!$P$3:Z282)),IF($Q$1=$P$5,INDEX(prem_analysis!$BH$1:$BS$23,ROWS(Data!$Q$3:AA282),COLUMNS(Data!$Q$3:AA282)),IF($Q$1=$P$6,INDEX(prem_analysis!$BU$1:$CF$67,ROWS(prem_analysis!$N$2:X281),COLUMNS(prem_analysis!$N$2:X281)),IF($Q$1=$P$4,INDEX(Table24[[#All],[Year]:[Details]],ROWS(prem_analysis!$M$420:W699),COLUMNS(Data!$Q$3:AA282)))))),"")</f>
        <v/>
      </c>
      <c r="AC281" s="1" t="str">
        <f>IFERROR(IF($Q$1=$P$3,INDEX(prem_analysis!$P$2:$Q$441,ROWS(Data!$P$2:AB281),COLUMNS(Data!$P$3:AA282)),IF($Q$1=$P$5,INDEX(prem_analysis!$BH$1:$BS$23,ROWS(Data!$Q$3:AB282),COLUMNS(Data!$Q$3:AB282)),IF($Q$1=$P$6,INDEX(prem_analysis!$BU$1:$CF$67,ROWS(prem_analysis!$N$2:Y281),COLUMNS(prem_analysis!$N$2:Y281)),IF($Q$1=$P$4,INDEX(Table24[[#All],[Year]:[Details]],ROWS(prem_analysis!$M$420:X699),COLUMNS(Data!$Q$3:AB282)))))),"")</f>
        <v/>
      </c>
    </row>
    <row r="282" spans="1:29" x14ac:dyDescent="0.2">
      <c r="A282" s="3">
        <v>2014</v>
      </c>
      <c r="B282" s="3">
        <v>1</v>
      </c>
      <c r="C282" s="4" t="s">
        <v>16</v>
      </c>
      <c r="D282" s="3">
        <v>38</v>
      </c>
      <c r="E282" s="3">
        <v>26</v>
      </c>
      <c r="F282" s="3">
        <v>9</v>
      </c>
      <c r="G282" s="3">
        <v>3</v>
      </c>
      <c r="H282" s="3">
        <v>73</v>
      </c>
      <c r="I282" s="3">
        <v>32</v>
      </c>
      <c r="J282" s="3">
        <v>41</v>
      </c>
      <c r="K282" s="3">
        <v>87</v>
      </c>
      <c r="L282" s="5" t="str">
        <f>IF(Table24[[#This Row],['#]]=1,"Champion", IF(Table24[[#This Row],['#]]&gt;=18,"Relegated",Table24[[#This Row],['#]]))</f>
        <v>Champion</v>
      </c>
      <c r="M282" s="5" t="str">
        <f>IF(Table24[[#This Row],[Details]]=2,K281-Table24[[#This Row],[Pts]],IF(Table24[[#This Row],[Details]]=17,Table24[[#This Row],[Pts]]-K283,""))</f>
        <v/>
      </c>
      <c r="R282" s="1" t="str">
        <f>IFERROR(IF($Q$1=$P$3,INDEX(prem_analysis!$P$2:$Q$441,ROWS(Data!$P$2:Q282),COLUMNS(Data!$P$3:P283)),IF($Q$1=$P$5,INDEX(prem_analysis!$BH$1:$BS$23,ROWS(Data!$Q$3:Q283),COLUMNS(Data!$Q$3:Q283)),IF($Q$1=$P$6,INDEX(prem_analysis!$BU$1:$CF$67,ROWS(prem_analysis!$N$2:N282),COLUMNS(prem_analysis!$N$2:N282)),IF($Q$1=$P$4,INDEX(Table24[[#All],[Year]:[Details]],ROWS(prem_analysis!$M$420:M700),COLUMNS(Data!$Q$3:Q283)))))),"")</f>
        <v/>
      </c>
      <c r="S282" s="1" t="str">
        <f>IFERROR(IF($Q$1=$P$3,INDEX(prem_analysis!$P$2:$Q$441,ROWS(Data!$P$2:R282),COLUMNS(Data!$P$3:Q283)),IF($Q$1=$P$5,INDEX(prem_analysis!$BH$1:$BS$23,ROWS(Data!$Q$3:R283),COLUMNS(Data!$Q$3:R283)),IF($Q$1=$P$6,INDEX(prem_analysis!$BU$1:$CF$67,ROWS(prem_analysis!$N$2:O282),COLUMNS(prem_analysis!$N$2:O282)),IF($Q$1=$P$4,INDEX(Table24[[#All],[Year]:[Details]],ROWS(prem_analysis!$M$420:N700),COLUMNS(Data!$Q$3:R283)))))),"")</f>
        <v/>
      </c>
      <c r="T282" s="1" t="str">
        <f>IFERROR(IF($Q$1=$P$3,INDEX(prem_analysis!$P$2:$Q$441,ROWS(Data!$P$2:S282),COLUMNS(Data!$P$3:R283)),IF($Q$1=$P$5,INDEX(prem_analysis!$BH$1:$BS$23,ROWS(Data!$Q$3:S283),COLUMNS(Data!$Q$3:S283)),IF($Q$1=$P$6,INDEX(prem_analysis!$BU$1:$CF$67,ROWS(prem_analysis!$N$2:P282),COLUMNS(prem_analysis!$N$2:P282)),IF($Q$1=$P$4,INDEX(Table24[[#All],[Year]:[Details]],ROWS(prem_analysis!$M$420:O700),COLUMNS(Data!$Q$3:S283)))))),"")</f>
        <v/>
      </c>
      <c r="U282" s="1" t="str">
        <f>IFERROR(IF($Q$1=$P$3,INDEX(prem_analysis!$P$2:$Q$441,ROWS(Data!$P$2:T282),COLUMNS(Data!$P$3:S283)),IF($Q$1=$P$5,INDEX(prem_analysis!$BH$1:$BS$23,ROWS(Data!$Q$3:T283),COLUMNS(Data!$Q$3:T283)),IF($Q$1=$P$6,INDEX(prem_analysis!$BU$1:$CF$67,ROWS(prem_analysis!$N$2:Q282),COLUMNS(prem_analysis!$N$2:Q282)),IF($Q$1=$P$4,INDEX(Table24[[#All],[Year]:[Details]],ROWS(prem_analysis!$M$420:P700),COLUMNS(Data!$Q$3:T283)))))),"")</f>
        <v/>
      </c>
      <c r="V282" s="1" t="str">
        <f>IFERROR(IF($Q$1=$P$3,INDEX(prem_analysis!$P$2:$Q$441,ROWS(Data!$P$2:U282),COLUMNS(Data!$P$3:T283)),IF($Q$1=$P$5,INDEX(prem_analysis!$BH$1:$BS$23,ROWS(Data!$Q$3:U283),COLUMNS(Data!$Q$3:U283)),IF($Q$1=$P$6,INDEX(prem_analysis!$BU$1:$CF$67,ROWS(prem_analysis!$N$2:R282),COLUMNS(prem_analysis!$N$2:R282)),IF($Q$1=$P$4,INDEX(Table24[[#All],[Year]:[Details]],ROWS(prem_analysis!$M$420:Q700),COLUMNS(Data!$Q$3:U283)))))),"")</f>
        <v/>
      </c>
      <c r="W282" s="1" t="str">
        <f>IFERROR(IF($Q$1=$P$3,INDEX(prem_analysis!$P$2:$Q$441,ROWS(Data!$P$2:V282),COLUMNS(Data!$P$3:U283)),IF($Q$1=$P$5,INDEX(prem_analysis!$BH$1:$BS$23,ROWS(Data!$Q$3:V283),COLUMNS(Data!$Q$3:V283)),IF($Q$1=$P$6,INDEX(prem_analysis!$BU$1:$CF$67,ROWS(prem_analysis!$N$2:S282),COLUMNS(prem_analysis!$N$2:S282)),IF($Q$1=$P$4,INDEX(Table24[[#All],[Year]:[Details]],ROWS(prem_analysis!$M$420:R700),COLUMNS(Data!$Q$3:V283)))))),"")</f>
        <v/>
      </c>
      <c r="X282" s="1" t="str">
        <f>IFERROR(IF($Q$1=$P$3,INDEX(prem_analysis!$P$2:$Q$441,ROWS(Data!$P$2:W282),COLUMNS(Data!$P$3:V283)),IF($Q$1=$P$5,INDEX(prem_analysis!$BH$1:$BS$23,ROWS(Data!$Q$3:W283),COLUMNS(Data!$Q$3:W283)),IF($Q$1=$P$6,INDEX(prem_analysis!$BU$1:$CF$67,ROWS(prem_analysis!$N$2:T282),COLUMNS(prem_analysis!$N$2:T282)),IF($Q$1=$P$4,INDEX(Table24[[#All],[Year]:[Details]],ROWS(prem_analysis!$M$420:S700),COLUMNS(Data!$Q$3:W283)))))),"")</f>
        <v/>
      </c>
      <c r="Y282" s="1" t="str">
        <f>IFERROR(IF($Q$1=$P$3,INDEX(prem_analysis!$P$2:$Q$441,ROWS(Data!$P$2:X282),COLUMNS(Data!$P$3:W283)),IF($Q$1=$P$5,INDEX(prem_analysis!$BH$1:$BS$23,ROWS(Data!$Q$3:X283),COLUMNS(Data!$Q$3:X283)),IF($Q$1=$P$6,INDEX(prem_analysis!$BU$1:$CF$67,ROWS(prem_analysis!$N$2:U282),COLUMNS(prem_analysis!$N$2:U282)),IF($Q$1=$P$4,INDEX(Table24[[#All],[Year]:[Details]],ROWS(prem_analysis!$M$420:T700),COLUMNS(Data!$Q$3:X283)))))),"")</f>
        <v/>
      </c>
      <c r="Z282" s="1" t="str">
        <f>IFERROR(IF($Q$1=$P$3,INDEX(prem_analysis!$P$2:$Q$441,ROWS(Data!$P$2:Y282),COLUMNS(Data!$P$3:X283)),IF($Q$1=$P$5,INDEX(prem_analysis!$BH$1:$BS$23,ROWS(Data!$Q$3:Y283),COLUMNS(Data!$Q$3:Y283)),IF($Q$1=$P$6,INDEX(prem_analysis!$BU$1:$CF$67,ROWS(prem_analysis!$N$2:V282),COLUMNS(prem_analysis!$N$2:V282)),IF($Q$1=$P$4,INDEX(Table24[[#All],[Year]:[Details]],ROWS(prem_analysis!$M$420:U700),COLUMNS(Data!$Q$3:Y283)))))),"")</f>
        <v/>
      </c>
      <c r="AA282" s="1" t="str">
        <f>IFERROR(IF($Q$1=$P$3,INDEX(prem_analysis!$P$2:$Q$441,ROWS(Data!$P$2:Z282),COLUMNS(Data!$P$3:Y283)),IF($Q$1=$P$5,INDEX(prem_analysis!$BH$1:$BS$23,ROWS(Data!$Q$3:Z283),COLUMNS(Data!$Q$3:Z283)),IF($Q$1=$P$6,INDEX(prem_analysis!$BU$1:$CF$67,ROWS(prem_analysis!$N$2:W282),COLUMNS(prem_analysis!$N$2:W282)),IF($Q$1=$P$4,INDEX(Table24[[#All],[Year]:[Details]],ROWS(prem_analysis!$M$420:V700),COLUMNS(Data!$Q$3:Z283)))))),"")</f>
        <v/>
      </c>
      <c r="AB282" s="1" t="str">
        <f>IFERROR(IF($Q$1=$P$3,INDEX(prem_analysis!$P$2:$Q$441,ROWS(Data!$P$2:AA282),COLUMNS(Data!$P$3:Z283)),IF($Q$1=$P$5,INDEX(prem_analysis!$BH$1:$BS$23,ROWS(Data!$Q$3:AA283),COLUMNS(Data!$Q$3:AA283)),IF($Q$1=$P$6,INDEX(prem_analysis!$BU$1:$CF$67,ROWS(prem_analysis!$N$2:X282),COLUMNS(prem_analysis!$N$2:X282)),IF($Q$1=$P$4,INDEX(Table24[[#All],[Year]:[Details]],ROWS(prem_analysis!$M$420:W700),COLUMNS(Data!$Q$3:AA283)))))),"")</f>
        <v/>
      </c>
      <c r="AC282" s="1" t="str">
        <f>IFERROR(IF($Q$1=$P$3,INDEX(prem_analysis!$P$2:$Q$441,ROWS(Data!$P$2:AB282),COLUMNS(Data!$P$3:AA283)),IF($Q$1=$P$5,INDEX(prem_analysis!$BH$1:$BS$23,ROWS(Data!$Q$3:AB283),COLUMNS(Data!$Q$3:AB283)),IF($Q$1=$P$6,INDEX(prem_analysis!$BU$1:$CF$67,ROWS(prem_analysis!$N$2:Y282),COLUMNS(prem_analysis!$N$2:Y282)),IF($Q$1=$P$4,INDEX(Table24[[#All],[Year]:[Details]],ROWS(prem_analysis!$M$420:X700),COLUMNS(Data!$Q$3:AB283)))))),"")</f>
        <v/>
      </c>
    </row>
    <row r="283" spans="1:29" x14ac:dyDescent="0.2">
      <c r="A283" s="5">
        <v>2014</v>
      </c>
      <c r="B283" s="5">
        <v>2</v>
      </c>
      <c r="C283" s="6" t="s">
        <v>28</v>
      </c>
      <c r="D283" s="5">
        <v>38</v>
      </c>
      <c r="E283" s="5">
        <v>24</v>
      </c>
      <c r="F283" s="5">
        <v>7</v>
      </c>
      <c r="G283" s="5">
        <v>7</v>
      </c>
      <c r="H283" s="5">
        <v>83</v>
      </c>
      <c r="I283" s="5">
        <v>38</v>
      </c>
      <c r="J283" s="5">
        <v>45</v>
      </c>
      <c r="K283" s="5">
        <v>79</v>
      </c>
      <c r="L283" s="5">
        <f>IF(Table24[[#This Row],['#]]=1,"Champion", IF(Table24[[#This Row],['#]]&gt;=18,"Relegated",Table24[[#This Row],['#]]))</f>
        <v>2</v>
      </c>
      <c r="M283" s="5">
        <f>IF(Table24[[#This Row],[Details]]=2,K282-Table24[[#This Row],[Pts]],IF(Table24[[#This Row],[Details]]=17,Table24[[#This Row],[Pts]]-K284,""))</f>
        <v>8</v>
      </c>
      <c r="R283" s="1" t="str">
        <f>IFERROR(IF($Q$1=$P$3,INDEX(prem_analysis!$P$2:$Q$441,ROWS(Data!$P$2:Q283),COLUMNS(Data!$P$3:P284)),IF($Q$1=$P$5,INDEX(prem_analysis!$BH$1:$BS$23,ROWS(Data!$Q$3:Q284),COLUMNS(Data!$Q$3:Q284)),IF($Q$1=$P$6,INDEX(prem_analysis!$BU$1:$CF$67,ROWS(prem_analysis!$N$2:N283),COLUMNS(prem_analysis!$N$2:N283)),IF($Q$1=$P$4,INDEX(Table24[[#All],[Year]:[Details]],ROWS(prem_analysis!$M$420:M701),COLUMNS(Data!$Q$3:Q284)))))),"")</f>
        <v/>
      </c>
      <c r="S283" s="1" t="str">
        <f>IFERROR(IF($Q$1=$P$3,INDEX(prem_analysis!$P$2:$Q$441,ROWS(Data!$P$2:R283),COLUMNS(Data!$P$3:Q284)),IF($Q$1=$P$5,INDEX(prem_analysis!$BH$1:$BS$23,ROWS(Data!$Q$3:R284),COLUMNS(Data!$Q$3:R284)),IF($Q$1=$P$6,INDEX(prem_analysis!$BU$1:$CF$67,ROWS(prem_analysis!$N$2:O283),COLUMNS(prem_analysis!$N$2:O283)),IF($Q$1=$P$4,INDEX(Table24[[#All],[Year]:[Details]],ROWS(prem_analysis!$M$420:N701),COLUMNS(Data!$Q$3:R284)))))),"")</f>
        <v/>
      </c>
      <c r="T283" s="1" t="str">
        <f>IFERROR(IF($Q$1=$P$3,INDEX(prem_analysis!$P$2:$Q$441,ROWS(Data!$P$2:S283),COLUMNS(Data!$P$3:R284)),IF($Q$1=$P$5,INDEX(prem_analysis!$BH$1:$BS$23,ROWS(Data!$Q$3:S284),COLUMNS(Data!$Q$3:S284)),IF($Q$1=$P$6,INDEX(prem_analysis!$BU$1:$CF$67,ROWS(prem_analysis!$N$2:P283),COLUMNS(prem_analysis!$N$2:P283)),IF($Q$1=$P$4,INDEX(Table24[[#All],[Year]:[Details]],ROWS(prem_analysis!$M$420:O701),COLUMNS(Data!$Q$3:S284)))))),"")</f>
        <v/>
      </c>
      <c r="U283" s="1" t="str">
        <f>IFERROR(IF($Q$1=$P$3,INDEX(prem_analysis!$P$2:$Q$441,ROWS(Data!$P$2:T283),COLUMNS(Data!$P$3:S284)),IF($Q$1=$P$5,INDEX(prem_analysis!$BH$1:$BS$23,ROWS(Data!$Q$3:T284),COLUMNS(Data!$Q$3:T284)),IF($Q$1=$P$6,INDEX(prem_analysis!$BU$1:$CF$67,ROWS(prem_analysis!$N$2:Q283),COLUMNS(prem_analysis!$N$2:Q283)),IF($Q$1=$P$4,INDEX(Table24[[#All],[Year]:[Details]],ROWS(prem_analysis!$M$420:P701),COLUMNS(Data!$Q$3:T284)))))),"")</f>
        <v/>
      </c>
      <c r="V283" s="1" t="str">
        <f>IFERROR(IF($Q$1=$P$3,INDEX(prem_analysis!$P$2:$Q$441,ROWS(Data!$P$2:U283),COLUMNS(Data!$P$3:T284)),IF($Q$1=$P$5,INDEX(prem_analysis!$BH$1:$BS$23,ROWS(Data!$Q$3:U284),COLUMNS(Data!$Q$3:U284)),IF($Q$1=$P$6,INDEX(prem_analysis!$BU$1:$CF$67,ROWS(prem_analysis!$N$2:R283),COLUMNS(prem_analysis!$N$2:R283)),IF($Q$1=$P$4,INDEX(Table24[[#All],[Year]:[Details]],ROWS(prem_analysis!$M$420:Q701),COLUMNS(Data!$Q$3:U284)))))),"")</f>
        <v/>
      </c>
      <c r="W283" s="1" t="str">
        <f>IFERROR(IF($Q$1=$P$3,INDEX(prem_analysis!$P$2:$Q$441,ROWS(Data!$P$2:V283),COLUMNS(Data!$P$3:U284)),IF($Q$1=$P$5,INDEX(prem_analysis!$BH$1:$BS$23,ROWS(Data!$Q$3:V284),COLUMNS(Data!$Q$3:V284)),IF($Q$1=$P$6,INDEX(prem_analysis!$BU$1:$CF$67,ROWS(prem_analysis!$N$2:S283),COLUMNS(prem_analysis!$N$2:S283)),IF($Q$1=$P$4,INDEX(Table24[[#All],[Year]:[Details]],ROWS(prem_analysis!$M$420:R701),COLUMNS(Data!$Q$3:V284)))))),"")</f>
        <v/>
      </c>
      <c r="X283" s="1" t="str">
        <f>IFERROR(IF($Q$1=$P$3,INDEX(prem_analysis!$P$2:$Q$441,ROWS(Data!$P$2:W283),COLUMNS(Data!$P$3:V284)),IF($Q$1=$P$5,INDEX(prem_analysis!$BH$1:$BS$23,ROWS(Data!$Q$3:W284),COLUMNS(Data!$Q$3:W284)),IF($Q$1=$P$6,INDEX(prem_analysis!$BU$1:$CF$67,ROWS(prem_analysis!$N$2:T283),COLUMNS(prem_analysis!$N$2:T283)),IF($Q$1=$P$4,INDEX(Table24[[#All],[Year]:[Details]],ROWS(prem_analysis!$M$420:S701),COLUMNS(Data!$Q$3:W284)))))),"")</f>
        <v/>
      </c>
      <c r="Y283" s="1" t="str">
        <f>IFERROR(IF($Q$1=$P$3,INDEX(prem_analysis!$P$2:$Q$441,ROWS(Data!$P$2:X283),COLUMNS(Data!$P$3:W284)),IF($Q$1=$P$5,INDEX(prem_analysis!$BH$1:$BS$23,ROWS(Data!$Q$3:X284),COLUMNS(Data!$Q$3:X284)),IF($Q$1=$P$6,INDEX(prem_analysis!$BU$1:$CF$67,ROWS(prem_analysis!$N$2:U283),COLUMNS(prem_analysis!$N$2:U283)),IF($Q$1=$P$4,INDEX(Table24[[#All],[Year]:[Details]],ROWS(prem_analysis!$M$420:T701),COLUMNS(Data!$Q$3:X284)))))),"")</f>
        <v/>
      </c>
      <c r="Z283" s="1" t="str">
        <f>IFERROR(IF($Q$1=$P$3,INDEX(prem_analysis!$P$2:$Q$441,ROWS(Data!$P$2:Y283),COLUMNS(Data!$P$3:X284)),IF($Q$1=$P$5,INDEX(prem_analysis!$BH$1:$BS$23,ROWS(Data!$Q$3:Y284),COLUMNS(Data!$Q$3:Y284)),IF($Q$1=$P$6,INDEX(prem_analysis!$BU$1:$CF$67,ROWS(prem_analysis!$N$2:V283),COLUMNS(prem_analysis!$N$2:V283)),IF($Q$1=$P$4,INDEX(Table24[[#All],[Year]:[Details]],ROWS(prem_analysis!$M$420:U701),COLUMNS(Data!$Q$3:Y284)))))),"")</f>
        <v/>
      </c>
      <c r="AA283" s="1" t="str">
        <f>IFERROR(IF($Q$1=$P$3,INDEX(prem_analysis!$P$2:$Q$441,ROWS(Data!$P$2:Z283),COLUMNS(Data!$P$3:Y284)),IF($Q$1=$P$5,INDEX(prem_analysis!$BH$1:$BS$23,ROWS(Data!$Q$3:Z284),COLUMNS(Data!$Q$3:Z284)),IF($Q$1=$P$6,INDEX(prem_analysis!$BU$1:$CF$67,ROWS(prem_analysis!$N$2:W283),COLUMNS(prem_analysis!$N$2:W283)),IF($Q$1=$P$4,INDEX(Table24[[#All],[Year]:[Details]],ROWS(prem_analysis!$M$420:V701),COLUMNS(Data!$Q$3:Z284)))))),"")</f>
        <v/>
      </c>
      <c r="AB283" s="1" t="str">
        <f>IFERROR(IF($Q$1=$P$3,INDEX(prem_analysis!$P$2:$Q$441,ROWS(Data!$P$2:AA283),COLUMNS(Data!$P$3:Z284)),IF($Q$1=$P$5,INDEX(prem_analysis!$BH$1:$BS$23,ROWS(Data!$Q$3:AA284),COLUMNS(Data!$Q$3:AA284)),IF($Q$1=$P$6,INDEX(prem_analysis!$BU$1:$CF$67,ROWS(prem_analysis!$N$2:X283),COLUMNS(prem_analysis!$N$2:X283)),IF($Q$1=$P$4,INDEX(Table24[[#All],[Year]:[Details]],ROWS(prem_analysis!$M$420:W701),COLUMNS(Data!$Q$3:AA284)))))),"")</f>
        <v/>
      </c>
      <c r="AC283" s="1" t="str">
        <f>IFERROR(IF($Q$1=$P$3,INDEX(prem_analysis!$P$2:$Q$441,ROWS(Data!$P$2:AB283),COLUMNS(Data!$P$3:AA284)),IF($Q$1=$P$5,INDEX(prem_analysis!$BH$1:$BS$23,ROWS(Data!$Q$3:AB284),COLUMNS(Data!$Q$3:AB284)),IF($Q$1=$P$6,INDEX(prem_analysis!$BU$1:$CF$67,ROWS(prem_analysis!$N$2:Y283),COLUMNS(prem_analysis!$N$2:Y283)),IF($Q$1=$P$4,INDEX(Table24[[#All],[Year]:[Details]],ROWS(prem_analysis!$M$420:X701),COLUMNS(Data!$Q$3:AB284)))))),"")</f>
        <v/>
      </c>
    </row>
    <row r="284" spans="1:29" x14ac:dyDescent="0.2">
      <c r="A284" s="3">
        <v>2014</v>
      </c>
      <c r="B284" s="3">
        <v>3</v>
      </c>
      <c r="C284" s="6" t="s">
        <v>12</v>
      </c>
      <c r="D284" s="3">
        <v>38</v>
      </c>
      <c r="E284" s="3">
        <v>22</v>
      </c>
      <c r="F284" s="3">
        <v>9</v>
      </c>
      <c r="G284" s="3">
        <v>7</v>
      </c>
      <c r="H284" s="3">
        <v>71</v>
      </c>
      <c r="I284" s="3">
        <v>36</v>
      </c>
      <c r="J284" s="3">
        <v>35</v>
      </c>
      <c r="K284" s="3">
        <v>75</v>
      </c>
      <c r="L284" s="5">
        <f>IF(Table24[[#This Row],['#]]=1,"Champion", IF(Table24[[#This Row],['#]]&gt;=18,"Relegated",Table24[[#This Row],['#]]))</f>
        <v>3</v>
      </c>
      <c r="M284" s="5" t="str">
        <f>IF(Table24[[#This Row],[Details]]=2,K283-Table24[[#This Row],[Pts]],IF(Table24[[#This Row],[Details]]=17,Table24[[#This Row],[Pts]]-K285,""))</f>
        <v/>
      </c>
      <c r="R284" s="1" t="str">
        <f>IFERROR(IF($Q$1=$P$3,INDEX(prem_analysis!$P$2:$Q$441,ROWS(Data!$P$2:Q284),COLUMNS(Data!$P$3:P285)),IF($Q$1=$P$5,INDEX(prem_analysis!$BH$1:$BS$23,ROWS(Data!$Q$3:Q285),COLUMNS(Data!$Q$3:Q285)),IF($Q$1=$P$6,INDEX(prem_analysis!$BU$1:$CF$67,ROWS(prem_analysis!$N$2:N284),COLUMNS(prem_analysis!$N$2:N284)),IF($Q$1=$P$4,INDEX(Table24[[#All],[Year]:[Details]],ROWS(prem_analysis!$M$420:M702),COLUMNS(Data!$Q$3:Q285)))))),"")</f>
        <v/>
      </c>
      <c r="S284" s="1" t="str">
        <f>IFERROR(IF($Q$1=$P$3,INDEX(prem_analysis!$P$2:$Q$441,ROWS(Data!$P$2:R284),COLUMNS(Data!$P$3:Q285)),IF($Q$1=$P$5,INDEX(prem_analysis!$BH$1:$BS$23,ROWS(Data!$Q$3:R285),COLUMNS(Data!$Q$3:R285)),IF($Q$1=$P$6,INDEX(prem_analysis!$BU$1:$CF$67,ROWS(prem_analysis!$N$2:O284),COLUMNS(prem_analysis!$N$2:O284)),IF($Q$1=$P$4,INDEX(Table24[[#All],[Year]:[Details]],ROWS(prem_analysis!$M$420:N702),COLUMNS(Data!$Q$3:R285)))))),"")</f>
        <v/>
      </c>
      <c r="T284" s="1" t="str">
        <f>IFERROR(IF($Q$1=$P$3,INDEX(prem_analysis!$P$2:$Q$441,ROWS(Data!$P$2:S284),COLUMNS(Data!$P$3:R285)),IF($Q$1=$P$5,INDEX(prem_analysis!$BH$1:$BS$23,ROWS(Data!$Q$3:S285),COLUMNS(Data!$Q$3:S285)),IF($Q$1=$P$6,INDEX(prem_analysis!$BU$1:$CF$67,ROWS(prem_analysis!$N$2:P284),COLUMNS(prem_analysis!$N$2:P284)),IF($Q$1=$P$4,INDEX(Table24[[#All],[Year]:[Details]],ROWS(prem_analysis!$M$420:O702),COLUMNS(Data!$Q$3:S285)))))),"")</f>
        <v/>
      </c>
      <c r="U284" s="1" t="str">
        <f>IFERROR(IF($Q$1=$P$3,INDEX(prem_analysis!$P$2:$Q$441,ROWS(Data!$P$2:T284),COLUMNS(Data!$P$3:S285)),IF($Q$1=$P$5,INDEX(prem_analysis!$BH$1:$BS$23,ROWS(Data!$Q$3:T285),COLUMNS(Data!$Q$3:T285)),IF($Q$1=$P$6,INDEX(prem_analysis!$BU$1:$CF$67,ROWS(prem_analysis!$N$2:Q284),COLUMNS(prem_analysis!$N$2:Q284)),IF($Q$1=$P$4,INDEX(Table24[[#All],[Year]:[Details]],ROWS(prem_analysis!$M$420:P702),COLUMNS(Data!$Q$3:T285)))))),"")</f>
        <v/>
      </c>
      <c r="V284" s="1" t="str">
        <f>IFERROR(IF($Q$1=$P$3,INDEX(prem_analysis!$P$2:$Q$441,ROWS(Data!$P$2:U284),COLUMNS(Data!$P$3:T285)),IF($Q$1=$P$5,INDEX(prem_analysis!$BH$1:$BS$23,ROWS(Data!$Q$3:U285),COLUMNS(Data!$Q$3:U285)),IF($Q$1=$P$6,INDEX(prem_analysis!$BU$1:$CF$67,ROWS(prem_analysis!$N$2:R284),COLUMNS(prem_analysis!$N$2:R284)),IF($Q$1=$P$4,INDEX(Table24[[#All],[Year]:[Details]],ROWS(prem_analysis!$M$420:Q702),COLUMNS(Data!$Q$3:U285)))))),"")</f>
        <v/>
      </c>
      <c r="W284" s="1" t="str">
        <f>IFERROR(IF($Q$1=$P$3,INDEX(prem_analysis!$P$2:$Q$441,ROWS(Data!$P$2:V284),COLUMNS(Data!$P$3:U285)),IF($Q$1=$P$5,INDEX(prem_analysis!$BH$1:$BS$23,ROWS(Data!$Q$3:V285),COLUMNS(Data!$Q$3:V285)),IF($Q$1=$P$6,INDEX(prem_analysis!$BU$1:$CF$67,ROWS(prem_analysis!$N$2:S284),COLUMNS(prem_analysis!$N$2:S284)),IF($Q$1=$P$4,INDEX(Table24[[#All],[Year]:[Details]],ROWS(prem_analysis!$M$420:R702),COLUMNS(Data!$Q$3:V285)))))),"")</f>
        <v/>
      </c>
      <c r="X284" s="1" t="str">
        <f>IFERROR(IF($Q$1=$P$3,INDEX(prem_analysis!$P$2:$Q$441,ROWS(Data!$P$2:W284),COLUMNS(Data!$P$3:V285)),IF($Q$1=$P$5,INDEX(prem_analysis!$BH$1:$BS$23,ROWS(Data!$Q$3:W285),COLUMNS(Data!$Q$3:W285)),IF($Q$1=$P$6,INDEX(prem_analysis!$BU$1:$CF$67,ROWS(prem_analysis!$N$2:T284),COLUMNS(prem_analysis!$N$2:T284)),IF($Q$1=$P$4,INDEX(Table24[[#All],[Year]:[Details]],ROWS(prem_analysis!$M$420:S702),COLUMNS(Data!$Q$3:W285)))))),"")</f>
        <v/>
      </c>
      <c r="Y284" s="1" t="str">
        <f>IFERROR(IF($Q$1=$P$3,INDEX(prem_analysis!$P$2:$Q$441,ROWS(Data!$P$2:X284),COLUMNS(Data!$P$3:W285)),IF($Q$1=$P$5,INDEX(prem_analysis!$BH$1:$BS$23,ROWS(Data!$Q$3:X285),COLUMNS(Data!$Q$3:X285)),IF($Q$1=$P$6,INDEX(prem_analysis!$BU$1:$CF$67,ROWS(prem_analysis!$N$2:U284),COLUMNS(prem_analysis!$N$2:U284)),IF($Q$1=$P$4,INDEX(Table24[[#All],[Year]:[Details]],ROWS(prem_analysis!$M$420:T702),COLUMNS(Data!$Q$3:X285)))))),"")</f>
        <v/>
      </c>
      <c r="Z284" s="1" t="str">
        <f>IFERROR(IF($Q$1=$P$3,INDEX(prem_analysis!$P$2:$Q$441,ROWS(Data!$P$2:Y284),COLUMNS(Data!$P$3:X285)),IF($Q$1=$P$5,INDEX(prem_analysis!$BH$1:$BS$23,ROWS(Data!$Q$3:Y285),COLUMNS(Data!$Q$3:Y285)),IF($Q$1=$P$6,INDEX(prem_analysis!$BU$1:$CF$67,ROWS(prem_analysis!$N$2:V284),COLUMNS(prem_analysis!$N$2:V284)),IF($Q$1=$P$4,INDEX(Table24[[#All],[Year]:[Details]],ROWS(prem_analysis!$M$420:U702),COLUMNS(Data!$Q$3:Y285)))))),"")</f>
        <v/>
      </c>
      <c r="AA284" s="1" t="str">
        <f>IFERROR(IF($Q$1=$P$3,INDEX(prem_analysis!$P$2:$Q$441,ROWS(Data!$P$2:Z284),COLUMNS(Data!$P$3:Y285)),IF($Q$1=$P$5,INDEX(prem_analysis!$BH$1:$BS$23,ROWS(Data!$Q$3:Z285),COLUMNS(Data!$Q$3:Z285)),IF($Q$1=$P$6,INDEX(prem_analysis!$BU$1:$CF$67,ROWS(prem_analysis!$N$2:W284),COLUMNS(prem_analysis!$N$2:W284)),IF($Q$1=$P$4,INDEX(Table24[[#All],[Year]:[Details]],ROWS(prem_analysis!$M$420:V702),COLUMNS(Data!$Q$3:Z285)))))),"")</f>
        <v/>
      </c>
      <c r="AB284" s="1" t="str">
        <f>IFERROR(IF($Q$1=$P$3,INDEX(prem_analysis!$P$2:$Q$441,ROWS(Data!$P$2:AA284),COLUMNS(Data!$P$3:Z285)),IF($Q$1=$P$5,INDEX(prem_analysis!$BH$1:$BS$23,ROWS(Data!$Q$3:AA285),COLUMNS(Data!$Q$3:AA285)),IF($Q$1=$P$6,INDEX(prem_analysis!$BU$1:$CF$67,ROWS(prem_analysis!$N$2:X284),COLUMNS(prem_analysis!$N$2:X284)),IF($Q$1=$P$4,INDEX(Table24[[#All],[Year]:[Details]],ROWS(prem_analysis!$M$420:W702),COLUMNS(Data!$Q$3:AA285)))))),"")</f>
        <v/>
      </c>
      <c r="AC284" s="1" t="str">
        <f>IFERROR(IF($Q$1=$P$3,INDEX(prem_analysis!$P$2:$Q$441,ROWS(Data!$P$2:AB284),COLUMNS(Data!$P$3:AA285)),IF($Q$1=$P$5,INDEX(prem_analysis!$BH$1:$BS$23,ROWS(Data!$Q$3:AB285),COLUMNS(Data!$Q$3:AB285)),IF($Q$1=$P$6,INDEX(prem_analysis!$BU$1:$CF$67,ROWS(prem_analysis!$N$2:Y284),COLUMNS(prem_analysis!$N$2:Y284)),IF($Q$1=$P$4,INDEX(Table24[[#All],[Year]:[Details]],ROWS(prem_analysis!$M$420:X702),COLUMNS(Data!$Q$3:AB285)))))),"")</f>
        <v/>
      </c>
    </row>
    <row r="285" spans="1:29" x14ac:dyDescent="0.2">
      <c r="A285" s="5">
        <v>2014</v>
      </c>
      <c r="B285" s="5">
        <v>4</v>
      </c>
      <c r="C285" s="6" t="s">
        <v>11</v>
      </c>
      <c r="D285" s="5">
        <v>38</v>
      </c>
      <c r="E285" s="5">
        <v>20</v>
      </c>
      <c r="F285" s="5">
        <v>10</v>
      </c>
      <c r="G285" s="5">
        <v>8</v>
      </c>
      <c r="H285" s="5">
        <v>62</v>
      </c>
      <c r="I285" s="5">
        <v>37</v>
      </c>
      <c r="J285" s="5">
        <v>25</v>
      </c>
      <c r="K285" s="5">
        <v>70</v>
      </c>
      <c r="L285" s="5">
        <f>IF(Table24[[#This Row],['#]]=1,"Champion", IF(Table24[[#This Row],['#]]&gt;=18,"Relegated",Table24[[#This Row],['#]]))</f>
        <v>4</v>
      </c>
      <c r="M285" s="5" t="str">
        <f>IF(Table24[[#This Row],[Details]]=2,K284-Table24[[#This Row],[Pts]],IF(Table24[[#This Row],[Details]]=17,Table24[[#This Row],[Pts]]-K286,""))</f>
        <v/>
      </c>
      <c r="R285" s="1" t="str">
        <f>IFERROR(IF($Q$1=$P$3,INDEX(prem_analysis!$P$2:$Q$441,ROWS(Data!$P$2:Q285),COLUMNS(Data!$P$3:P286)),IF($Q$1=$P$5,INDEX(prem_analysis!$BH$1:$BS$23,ROWS(Data!$Q$3:Q286),COLUMNS(Data!$Q$3:Q286)),IF($Q$1=$P$6,INDEX(prem_analysis!$BU$1:$CF$67,ROWS(prem_analysis!$N$2:N285),COLUMNS(prem_analysis!$N$2:N285)),IF($Q$1=$P$4,INDEX(Table24[[#All],[Year]:[Details]],ROWS(prem_analysis!$M$420:M703),COLUMNS(Data!$Q$3:Q286)))))),"")</f>
        <v/>
      </c>
      <c r="S285" s="1" t="str">
        <f>IFERROR(IF($Q$1=$P$3,INDEX(prem_analysis!$P$2:$Q$441,ROWS(Data!$P$2:R285),COLUMNS(Data!$P$3:Q286)),IF($Q$1=$P$5,INDEX(prem_analysis!$BH$1:$BS$23,ROWS(Data!$Q$3:R286),COLUMNS(Data!$Q$3:R286)),IF($Q$1=$P$6,INDEX(prem_analysis!$BU$1:$CF$67,ROWS(prem_analysis!$N$2:O285),COLUMNS(prem_analysis!$N$2:O285)),IF($Q$1=$P$4,INDEX(Table24[[#All],[Year]:[Details]],ROWS(prem_analysis!$M$420:N703),COLUMNS(Data!$Q$3:R286)))))),"")</f>
        <v/>
      </c>
      <c r="T285" s="1" t="str">
        <f>IFERROR(IF($Q$1=$P$3,INDEX(prem_analysis!$P$2:$Q$441,ROWS(Data!$P$2:S285),COLUMNS(Data!$P$3:R286)),IF($Q$1=$P$5,INDEX(prem_analysis!$BH$1:$BS$23,ROWS(Data!$Q$3:S286),COLUMNS(Data!$Q$3:S286)),IF($Q$1=$P$6,INDEX(prem_analysis!$BU$1:$CF$67,ROWS(prem_analysis!$N$2:P285),COLUMNS(prem_analysis!$N$2:P285)),IF($Q$1=$P$4,INDEX(Table24[[#All],[Year]:[Details]],ROWS(prem_analysis!$M$420:O703),COLUMNS(Data!$Q$3:S286)))))),"")</f>
        <v/>
      </c>
      <c r="U285" s="1" t="str">
        <f>IFERROR(IF($Q$1=$P$3,INDEX(prem_analysis!$P$2:$Q$441,ROWS(Data!$P$2:T285),COLUMNS(Data!$P$3:S286)),IF($Q$1=$P$5,INDEX(prem_analysis!$BH$1:$BS$23,ROWS(Data!$Q$3:T286),COLUMNS(Data!$Q$3:T286)),IF($Q$1=$P$6,INDEX(prem_analysis!$BU$1:$CF$67,ROWS(prem_analysis!$N$2:Q285),COLUMNS(prem_analysis!$N$2:Q285)),IF($Q$1=$P$4,INDEX(Table24[[#All],[Year]:[Details]],ROWS(prem_analysis!$M$420:P703),COLUMNS(Data!$Q$3:T286)))))),"")</f>
        <v/>
      </c>
      <c r="V285" s="1" t="str">
        <f>IFERROR(IF($Q$1=$P$3,INDEX(prem_analysis!$P$2:$Q$441,ROWS(Data!$P$2:U285),COLUMNS(Data!$P$3:T286)),IF($Q$1=$P$5,INDEX(prem_analysis!$BH$1:$BS$23,ROWS(Data!$Q$3:U286),COLUMNS(Data!$Q$3:U286)),IF($Q$1=$P$6,INDEX(prem_analysis!$BU$1:$CF$67,ROWS(prem_analysis!$N$2:R285),COLUMNS(prem_analysis!$N$2:R285)),IF($Q$1=$P$4,INDEX(Table24[[#All],[Year]:[Details]],ROWS(prem_analysis!$M$420:Q703),COLUMNS(Data!$Q$3:U286)))))),"")</f>
        <v/>
      </c>
      <c r="W285" s="1" t="str">
        <f>IFERROR(IF($Q$1=$P$3,INDEX(prem_analysis!$P$2:$Q$441,ROWS(Data!$P$2:V285),COLUMNS(Data!$P$3:U286)),IF($Q$1=$P$5,INDEX(prem_analysis!$BH$1:$BS$23,ROWS(Data!$Q$3:V286),COLUMNS(Data!$Q$3:V286)),IF($Q$1=$P$6,INDEX(prem_analysis!$BU$1:$CF$67,ROWS(prem_analysis!$N$2:S285),COLUMNS(prem_analysis!$N$2:S285)),IF($Q$1=$P$4,INDEX(Table24[[#All],[Year]:[Details]],ROWS(prem_analysis!$M$420:R703),COLUMNS(Data!$Q$3:V286)))))),"")</f>
        <v/>
      </c>
      <c r="X285" s="1" t="str">
        <f>IFERROR(IF($Q$1=$P$3,INDEX(prem_analysis!$P$2:$Q$441,ROWS(Data!$P$2:W285),COLUMNS(Data!$P$3:V286)),IF($Q$1=$P$5,INDEX(prem_analysis!$BH$1:$BS$23,ROWS(Data!$Q$3:W286),COLUMNS(Data!$Q$3:W286)),IF($Q$1=$P$6,INDEX(prem_analysis!$BU$1:$CF$67,ROWS(prem_analysis!$N$2:T285),COLUMNS(prem_analysis!$N$2:T285)),IF($Q$1=$P$4,INDEX(Table24[[#All],[Year]:[Details]],ROWS(prem_analysis!$M$420:S703),COLUMNS(Data!$Q$3:W286)))))),"")</f>
        <v/>
      </c>
      <c r="Y285" s="1" t="str">
        <f>IFERROR(IF($Q$1=$P$3,INDEX(prem_analysis!$P$2:$Q$441,ROWS(Data!$P$2:X285),COLUMNS(Data!$P$3:W286)),IF($Q$1=$P$5,INDEX(prem_analysis!$BH$1:$BS$23,ROWS(Data!$Q$3:X286),COLUMNS(Data!$Q$3:X286)),IF($Q$1=$P$6,INDEX(prem_analysis!$BU$1:$CF$67,ROWS(prem_analysis!$N$2:U285),COLUMNS(prem_analysis!$N$2:U285)),IF($Q$1=$P$4,INDEX(Table24[[#All],[Year]:[Details]],ROWS(prem_analysis!$M$420:T703),COLUMNS(Data!$Q$3:X286)))))),"")</f>
        <v/>
      </c>
      <c r="Z285" s="1" t="str">
        <f>IFERROR(IF($Q$1=$P$3,INDEX(prem_analysis!$P$2:$Q$441,ROWS(Data!$P$2:Y285),COLUMNS(Data!$P$3:X286)),IF($Q$1=$P$5,INDEX(prem_analysis!$BH$1:$BS$23,ROWS(Data!$Q$3:Y286),COLUMNS(Data!$Q$3:Y286)),IF($Q$1=$P$6,INDEX(prem_analysis!$BU$1:$CF$67,ROWS(prem_analysis!$N$2:V285),COLUMNS(prem_analysis!$N$2:V285)),IF($Q$1=$P$4,INDEX(Table24[[#All],[Year]:[Details]],ROWS(prem_analysis!$M$420:U703),COLUMNS(Data!$Q$3:Y286)))))),"")</f>
        <v/>
      </c>
      <c r="AA285" s="1" t="str">
        <f>IFERROR(IF($Q$1=$P$3,INDEX(prem_analysis!$P$2:$Q$441,ROWS(Data!$P$2:Z285),COLUMNS(Data!$P$3:Y286)),IF($Q$1=$P$5,INDEX(prem_analysis!$BH$1:$BS$23,ROWS(Data!$Q$3:Z286),COLUMNS(Data!$Q$3:Z286)),IF($Q$1=$P$6,INDEX(prem_analysis!$BU$1:$CF$67,ROWS(prem_analysis!$N$2:W285),COLUMNS(prem_analysis!$N$2:W285)),IF($Q$1=$P$4,INDEX(Table24[[#All],[Year]:[Details]],ROWS(prem_analysis!$M$420:V703),COLUMNS(Data!$Q$3:Z286)))))),"")</f>
        <v/>
      </c>
      <c r="AB285" s="1" t="str">
        <f>IFERROR(IF($Q$1=$P$3,INDEX(prem_analysis!$P$2:$Q$441,ROWS(Data!$P$2:AA285),COLUMNS(Data!$P$3:Z286)),IF($Q$1=$P$5,INDEX(prem_analysis!$BH$1:$BS$23,ROWS(Data!$Q$3:AA286),COLUMNS(Data!$Q$3:AA286)),IF($Q$1=$P$6,INDEX(prem_analysis!$BU$1:$CF$67,ROWS(prem_analysis!$N$2:X285),COLUMNS(prem_analysis!$N$2:X285)),IF($Q$1=$P$4,INDEX(Table24[[#All],[Year]:[Details]],ROWS(prem_analysis!$M$420:W703),COLUMNS(Data!$Q$3:AA286)))))),"")</f>
        <v/>
      </c>
      <c r="AC285" s="1" t="str">
        <f>IFERROR(IF($Q$1=$P$3,INDEX(prem_analysis!$P$2:$Q$441,ROWS(Data!$P$2:AB285),COLUMNS(Data!$P$3:AA286)),IF($Q$1=$P$5,INDEX(prem_analysis!$BH$1:$BS$23,ROWS(Data!$Q$3:AB286),COLUMNS(Data!$Q$3:AB286)),IF($Q$1=$P$6,INDEX(prem_analysis!$BU$1:$CF$67,ROWS(prem_analysis!$N$2:Y285),COLUMNS(prem_analysis!$N$2:Y285)),IF($Q$1=$P$4,INDEX(Table24[[#All],[Year]:[Details]],ROWS(prem_analysis!$M$420:X703),COLUMNS(Data!$Q$3:AB286)))))),"")</f>
        <v/>
      </c>
    </row>
    <row r="286" spans="1:29" x14ac:dyDescent="0.2">
      <c r="A286" s="3">
        <v>2014</v>
      </c>
      <c r="B286" s="3">
        <v>5</v>
      </c>
      <c r="C286" s="4" t="s">
        <v>22</v>
      </c>
      <c r="D286" s="3">
        <v>38</v>
      </c>
      <c r="E286" s="3">
        <v>19</v>
      </c>
      <c r="F286" s="3">
        <v>7</v>
      </c>
      <c r="G286" s="3">
        <v>12</v>
      </c>
      <c r="H286" s="3">
        <v>58</v>
      </c>
      <c r="I286" s="3">
        <v>53</v>
      </c>
      <c r="J286" s="3">
        <v>5</v>
      </c>
      <c r="K286" s="3">
        <v>64</v>
      </c>
      <c r="L286" s="5">
        <f>IF(Table24[[#This Row],['#]]=1,"Champion", IF(Table24[[#This Row],['#]]&gt;=18,"Relegated",Table24[[#This Row],['#]]))</f>
        <v>5</v>
      </c>
      <c r="M286" s="5" t="str">
        <f>IF(Table24[[#This Row],[Details]]=2,K285-Table24[[#This Row],[Pts]],IF(Table24[[#This Row],[Details]]=17,Table24[[#This Row],[Pts]]-K287,""))</f>
        <v/>
      </c>
      <c r="R286" s="1" t="str">
        <f>IFERROR(IF($Q$1=$P$3,INDEX(prem_analysis!$P$2:$Q$441,ROWS(Data!$P$2:Q286),COLUMNS(Data!$P$3:P287)),IF($Q$1=$P$5,INDEX(prem_analysis!$BH$1:$BS$23,ROWS(Data!$Q$3:Q287),COLUMNS(Data!$Q$3:Q287)),IF($Q$1=$P$6,INDEX(prem_analysis!$BU$1:$CF$67,ROWS(prem_analysis!$N$2:N286),COLUMNS(prem_analysis!$N$2:N286)),IF($Q$1=$P$4,INDEX(Table24[[#All],[Year]:[Details]],ROWS(prem_analysis!$M$420:M704),COLUMNS(Data!$Q$3:Q287)))))),"")</f>
        <v/>
      </c>
      <c r="S286" s="1" t="str">
        <f>IFERROR(IF($Q$1=$P$3,INDEX(prem_analysis!$P$2:$Q$441,ROWS(Data!$P$2:R286),COLUMNS(Data!$P$3:Q287)),IF($Q$1=$P$5,INDEX(prem_analysis!$BH$1:$BS$23,ROWS(Data!$Q$3:R287),COLUMNS(Data!$Q$3:R287)),IF($Q$1=$P$6,INDEX(prem_analysis!$BU$1:$CF$67,ROWS(prem_analysis!$N$2:O286),COLUMNS(prem_analysis!$N$2:O286)),IF($Q$1=$P$4,INDEX(Table24[[#All],[Year]:[Details]],ROWS(prem_analysis!$M$420:N704),COLUMNS(Data!$Q$3:R287)))))),"")</f>
        <v/>
      </c>
      <c r="T286" s="1" t="str">
        <f>IFERROR(IF($Q$1=$P$3,INDEX(prem_analysis!$P$2:$Q$441,ROWS(Data!$P$2:S286),COLUMNS(Data!$P$3:R287)),IF($Q$1=$P$5,INDEX(prem_analysis!$BH$1:$BS$23,ROWS(Data!$Q$3:S287),COLUMNS(Data!$Q$3:S287)),IF($Q$1=$P$6,INDEX(prem_analysis!$BU$1:$CF$67,ROWS(prem_analysis!$N$2:P286),COLUMNS(prem_analysis!$N$2:P286)),IF($Q$1=$P$4,INDEX(Table24[[#All],[Year]:[Details]],ROWS(prem_analysis!$M$420:O704),COLUMNS(Data!$Q$3:S287)))))),"")</f>
        <v/>
      </c>
      <c r="U286" s="1" t="str">
        <f>IFERROR(IF($Q$1=$P$3,INDEX(prem_analysis!$P$2:$Q$441,ROWS(Data!$P$2:T286),COLUMNS(Data!$P$3:S287)),IF($Q$1=$P$5,INDEX(prem_analysis!$BH$1:$BS$23,ROWS(Data!$Q$3:T287),COLUMNS(Data!$Q$3:T287)),IF($Q$1=$P$6,INDEX(prem_analysis!$BU$1:$CF$67,ROWS(prem_analysis!$N$2:Q286),COLUMNS(prem_analysis!$N$2:Q286)),IF($Q$1=$P$4,INDEX(Table24[[#All],[Year]:[Details]],ROWS(prem_analysis!$M$420:P704),COLUMNS(Data!$Q$3:T287)))))),"")</f>
        <v/>
      </c>
      <c r="V286" s="1" t="str">
        <f>IFERROR(IF($Q$1=$P$3,INDEX(prem_analysis!$P$2:$Q$441,ROWS(Data!$P$2:U286),COLUMNS(Data!$P$3:T287)),IF($Q$1=$P$5,INDEX(prem_analysis!$BH$1:$BS$23,ROWS(Data!$Q$3:U287),COLUMNS(Data!$Q$3:U287)),IF($Q$1=$P$6,INDEX(prem_analysis!$BU$1:$CF$67,ROWS(prem_analysis!$N$2:R286),COLUMNS(prem_analysis!$N$2:R286)),IF($Q$1=$P$4,INDEX(Table24[[#All],[Year]:[Details]],ROWS(prem_analysis!$M$420:Q704),COLUMNS(Data!$Q$3:U287)))))),"")</f>
        <v/>
      </c>
      <c r="W286" s="1" t="str">
        <f>IFERROR(IF($Q$1=$P$3,INDEX(prem_analysis!$P$2:$Q$441,ROWS(Data!$P$2:V286),COLUMNS(Data!$P$3:U287)),IF($Q$1=$P$5,INDEX(prem_analysis!$BH$1:$BS$23,ROWS(Data!$Q$3:V287),COLUMNS(Data!$Q$3:V287)),IF($Q$1=$P$6,INDEX(prem_analysis!$BU$1:$CF$67,ROWS(prem_analysis!$N$2:S286),COLUMNS(prem_analysis!$N$2:S286)),IF($Q$1=$P$4,INDEX(Table24[[#All],[Year]:[Details]],ROWS(prem_analysis!$M$420:R704),COLUMNS(Data!$Q$3:V287)))))),"")</f>
        <v/>
      </c>
      <c r="X286" s="1" t="str">
        <f>IFERROR(IF($Q$1=$P$3,INDEX(prem_analysis!$P$2:$Q$441,ROWS(Data!$P$2:W286),COLUMNS(Data!$P$3:V287)),IF($Q$1=$P$5,INDEX(prem_analysis!$BH$1:$BS$23,ROWS(Data!$Q$3:W287),COLUMNS(Data!$Q$3:W287)),IF($Q$1=$P$6,INDEX(prem_analysis!$BU$1:$CF$67,ROWS(prem_analysis!$N$2:T286),COLUMNS(prem_analysis!$N$2:T286)),IF($Q$1=$P$4,INDEX(Table24[[#All],[Year]:[Details]],ROWS(prem_analysis!$M$420:S704),COLUMNS(Data!$Q$3:W287)))))),"")</f>
        <v/>
      </c>
      <c r="Y286" s="1" t="str">
        <f>IFERROR(IF($Q$1=$P$3,INDEX(prem_analysis!$P$2:$Q$441,ROWS(Data!$P$2:X286),COLUMNS(Data!$P$3:W287)),IF($Q$1=$P$5,INDEX(prem_analysis!$BH$1:$BS$23,ROWS(Data!$Q$3:X287),COLUMNS(Data!$Q$3:X287)),IF($Q$1=$P$6,INDEX(prem_analysis!$BU$1:$CF$67,ROWS(prem_analysis!$N$2:U286),COLUMNS(prem_analysis!$N$2:U286)),IF($Q$1=$P$4,INDEX(Table24[[#All],[Year]:[Details]],ROWS(prem_analysis!$M$420:T704),COLUMNS(Data!$Q$3:X287)))))),"")</f>
        <v/>
      </c>
      <c r="Z286" s="1" t="str">
        <f>IFERROR(IF($Q$1=$P$3,INDEX(prem_analysis!$P$2:$Q$441,ROWS(Data!$P$2:Y286),COLUMNS(Data!$P$3:X287)),IF($Q$1=$P$5,INDEX(prem_analysis!$BH$1:$BS$23,ROWS(Data!$Q$3:Y287),COLUMNS(Data!$Q$3:Y287)),IF($Q$1=$P$6,INDEX(prem_analysis!$BU$1:$CF$67,ROWS(prem_analysis!$N$2:V286),COLUMNS(prem_analysis!$N$2:V286)),IF($Q$1=$P$4,INDEX(Table24[[#All],[Year]:[Details]],ROWS(prem_analysis!$M$420:U704),COLUMNS(Data!$Q$3:Y287)))))),"")</f>
        <v/>
      </c>
      <c r="AA286" s="1" t="str">
        <f>IFERROR(IF($Q$1=$P$3,INDEX(prem_analysis!$P$2:$Q$441,ROWS(Data!$P$2:Z286),COLUMNS(Data!$P$3:Y287)),IF($Q$1=$P$5,INDEX(prem_analysis!$BH$1:$BS$23,ROWS(Data!$Q$3:Z287),COLUMNS(Data!$Q$3:Z287)),IF($Q$1=$P$6,INDEX(prem_analysis!$BU$1:$CF$67,ROWS(prem_analysis!$N$2:W286),COLUMNS(prem_analysis!$N$2:W286)),IF($Q$1=$P$4,INDEX(Table24[[#All],[Year]:[Details]],ROWS(prem_analysis!$M$420:V704),COLUMNS(Data!$Q$3:Z287)))))),"")</f>
        <v/>
      </c>
      <c r="AB286" s="1" t="str">
        <f>IFERROR(IF($Q$1=$P$3,INDEX(prem_analysis!$P$2:$Q$441,ROWS(Data!$P$2:AA286),COLUMNS(Data!$P$3:Z287)),IF($Q$1=$P$5,INDEX(prem_analysis!$BH$1:$BS$23,ROWS(Data!$Q$3:AA287),COLUMNS(Data!$Q$3:AA287)),IF($Q$1=$P$6,INDEX(prem_analysis!$BU$1:$CF$67,ROWS(prem_analysis!$N$2:X286),COLUMNS(prem_analysis!$N$2:X286)),IF($Q$1=$P$4,INDEX(Table24[[#All],[Year]:[Details]],ROWS(prem_analysis!$M$420:W704),COLUMNS(Data!$Q$3:AA287)))))),"")</f>
        <v/>
      </c>
      <c r="AC286" s="1" t="str">
        <f>IFERROR(IF($Q$1=$P$3,INDEX(prem_analysis!$P$2:$Q$441,ROWS(Data!$P$2:AB286),COLUMNS(Data!$P$3:AA287)),IF($Q$1=$P$5,INDEX(prem_analysis!$BH$1:$BS$23,ROWS(Data!$Q$3:AB287),COLUMNS(Data!$Q$3:AB287)),IF($Q$1=$P$6,INDEX(prem_analysis!$BU$1:$CF$67,ROWS(prem_analysis!$N$2:Y286),COLUMNS(prem_analysis!$N$2:Y286)),IF($Q$1=$P$4,INDEX(Table24[[#All],[Year]:[Details]],ROWS(prem_analysis!$M$420:X704),COLUMNS(Data!$Q$3:AB287)))))),"")</f>
        <v/>
      </c>
    </row>
    <row r="287" spans="1:29" x14ac:dyDescent="0.2">
      <c r="A287" s="5">
        <v>2014</v>
      </c>
      <c r="B287" s="5">
        <v>6</v>
      </c>
      <c r="C287" s="4" t="s">
        <v>13</v>
      </c>
      <c r="D287" s="5">
        <v>38</v>
      </c>
      <c r="E287" s="5">
        <v>18</v>
      </c>
      <c r="F287" s="5">
        <v>8</v>
      </c>
      <c r="G287" s="5">
        <v>12</v>
      </c>
      <c r="H287" s="5">
        <v>52</v>
      </c>
      <c r="I287" s="5">
        <v>48</v>
      </c>
      <c r="J287" s="5">
        <v>4</v>
      </c>
      <c r="K287" s="5">
        <v>62</v>
      </c>
      <c r="L287" s="5">
        <f>IF(Table24[[#This Row],['#]]=1,"Champion", IF(Table24[[#This Row],['#]]&gt;=18,"Relegated",Table24[[#This Row],['#]]))</f>
        <v>6</v>
      </c>
      <c r="M287" s="5" t="str">
        <f>IF(Table24[[#This Row],[Details]]=2,K286-Table24[[#This Row],[Pts]],IF(Table24[[#This Row],[Details]]=17,Table24[[#This Row],[Pts]]-K288,""))</f>
        <v/>
      </c>
      <c r="R287" s="1" t="str">
        <f>IFERROR(IF($Q$1=$P$3,INDEX(prem_analysis!$P$2:$Q$441,ROWS(Data!$P$2:Q287),COLUMNS(Data!$P$3:P288)),IF($Q$1=$P$5,INDEX(prem_analysis!$BH$1:$BS$23,ROWS(Data!$Q$3:Q288),COLUMNS(Data!$Q$3:Q288)),IF($Q$1=$P$6,INDEX(prem_analysis!$BU$1:$CF$67,ROWS(prem_analysis!$N$2:N287),COLUMNS(prem_analysis!$N$2:N287)),IF($Q$1=$P$4,INDEX(Table24[[#All],[Year]:[Details]],ROWS(prem_analysis!$M$420:M705),COLUMNS(Data!$Q$3:Q288)))))),"")</f>
        <v/>
      </c>
      <c r="S287" s="1" t="str">
        <f>IFERROR(IF($Q$1=$P$3,INDEX(prem_analysis!$P$2:$Q$441,ROWS(Data!$P$2:R287),COLUMNS(Data!$P$3:Q288)),IF($Q$1=$P$5,INDEX(prem_analysis!$BH$1:$BS$23,ROWS(Data!$Q$3:R288),COLUMNS(Data!$Q$3:R288)),IF($Q$1=$P$6,INDEX(prem_analysis!$BU$1:$CF$67,ROWS(prem_analysis!$N$2:O287),COLUMNS(prem_analysis!$N$2:O287)),IF($Q$1=$P$4,INDEX(Table24[[#All],[Year]:[Details]],ROWS(prem_analysis!$M$420:N705),COLUMNS(Data!$Q$3:R288)))))),"")</f>
        <v/>
      </c>
      <c r="T287" s="1" t="str">
        <f>IFERROR(IF($Q$1=$P$3,INDEX(prem_analysis!$P$2:$Q$441,ROWS(Data!$P$2:S287),COLUMNS(Data!$P$3:R288)),IF($Q$1=$P$5,INDEX(prem_analysis!$BH$1:$BS$23,ROWS(Data!$Q$3:S288),COLUMNS(Data!$Q$3:S288)),IF($Q$1=$P$6,INDEX(prem_analysis!$BU$1:$CF$67,ROWS(prem_analysis!$N$2:P287),COLUMNS(prem_analysis!$N$2:P287)),IF($Q$1=$P$4,INDEX(Table24[[#All],[Year]:[Details]],ROWS(prem_analysis!$M$420:O705),COLUMNS(Data!$Q$3:S288)))))),"")</f>
        <v/>
      </c>
      <c r="U287" s="1" t="str">
        <f>IFERROR(IF($Q$1=$P$3,INDEX(prem_analysis!$P$2:$Q$441,ROWS(Data!$P$2:T287),COLUMNS(Data!$P$3:S288)),IF($Q$1=$P$5,INDEX(prem_analysis!$BH$1:$BS$23,ROWS(Data!$Q$3:T288),COLUMNS(Data!$Q$3:T288)),IF($Q$1=$P$6,INDEX(prem_analysis!$BU$1:$CF$67,ROWS(prem_analysis!$N$2:Q287),COLUMNS(prem_analysis!$N$2:Q287)),IF($Q$1=$P$4,INDEX(Table24[[#All],[Year]:[Details]],ROWS(prem_analysis!$M$420:P705),COLUMNS(Data!$Q$3:T288)))))),"")</f>
        <v/>
      </c>
      <c r="V287" s="1" t="str">
        <f>IFERROR(IF($Q$1=$P$3,INDEX(prem_analysis!$P$2:$Q$441,ROWS(Data!$P$2:U287),COLUMNS(Data!$P$3:T288)),IF($Q$1=$P$5,INDEX(prem_analysis!$BH$1:$BS$23,ROWS(Data!$Q$3:U288),COLUMNS(Data!$Q$3:U288)),IF($Q$1=$P$6,INDEX(prem_analysis!$BU$1:$CF$67,ROWS(prem_analysis!$N$2:R287),COLUMNS(prem_analysis!$N$2:R287)),IF($Q$1=$P$4,INDEX(Table24[[#All],[Year]:[Details]],ROWS(prem_analysis!$M$420:Q705),COLUMNS(Data!$Q$3:U288)))))),"")</f>
        <v/>
      </c>
      <c r="W287" s="1" t="str">
        <f>IFERROR(IF($Q$1=$P$3,INDEX(prem_analysis!$P$2:$Q$441,ROWS(Data!$P$2:V287),COLUMNS(Data!$P$3:U288)),IF($Q$1=$P$5,INDEX(prem_analysis!$BH$1:$BS$23,ROWS(Data!$Q$3:V288),COLUMNS(Data!$Q$3:V288)),IF($Q$1=$P$6,INDEX(prem_analysis!$BU$1:$CF$67,ROWS(prem_analysis!$N$2:S287),COLUMNS(prem_analysis!$N$2:S287)),IF($Q$1=$P$4,INDEX(Table24[[#All],[Year]:[Details]],ROWS(prem_analysis!$M$420:R705),COLUMNS(Data!$Q$3:V288)))))),"")</f>
        <v/>
      </c>
      <c r="X287" s="1" t="str">
        <f>IFERROR(IF($Q$1=$P$3,INDEX(prem_analysis!$P$2:$Q$441,ROWS(Data!$P$2:W287),COLUMNS(Data!$P$3:V288)),IF($Q$1=$P$5,INDEX(prem_analysis!$BH$1:$BS$23,ROWS(Data!$Q$3:W288),COLUMNS(Data!$Q$3:W288)),IF($Q$1=$P$6,INDEX(prem_analysis!$BU$1:$CF$67,ROWS(prem_analysis!$N$2:T287),COLUMNS(prem_analysis!$N$2:T287)),IF($Q$1=$P$4,INDEX(Table24[[#All],[Year]:[Details]],ROWS(prem_analysis!$M$420:S705),COLUMNS(Data!$Q$3:W288)))))),"")</f>
        <v/>
      </c>
      <c r="Y287" s="1" t="str">
        <f>IFERROR(IF($Q$1=$P$3,INDEX(prem_analysis!$P$2:$Q$441,ROWS(Data!$P$2:X287),COLUMNS(Data!$P$3:W288)),IF($Q$1=$P$5,INDEX(prem_analysis!$BH$1:$BS$23,ROWS(Data!$Q$3:X288),COLUMNS(Data!$Q$3:X288)),IF($Q$1=$P$6,INDEX(prem_analysis!$BU$1:$CF$67,ROWS(prem_analysis!$N$2:U287),COLUMNS(prem_analysis!$N$2:U287)),IF($Q$1=$P$4,INDEX(Table24[[#All],[Year]:[Details]],ROWS(prem_analysis!$M$420:T705),COLUMNS(Data!$Q$3:X288)))))),"")</f>
        <v/>
      </c>
      <c r="Z287" s="1" t="str">
        <f>IFERROR(IF($Q$1=$P$3,INDEX(prem_analysis!$P$2:$Q$441,ROWS(Data!$P$2:Y287),COLUMNS(Data!$P$3:X288)),IF($Q$1=$P$5,INDEX(prem_analysis!$BH$1:$BS$23,ROWS(Data!$Q$3:Y288),COLUMNS(Data!$Q$3:Y288)),IF($Q$1=$P$6,INDEX(prem_analysis!$BU$1:$CF$67,ROWS(prem_analysis!$N$2:V287),COLUMNS(prem_analysis!$N$2:V287)),IF($Q$1=$P$4,INDEX(Table24[[#All],[Year]:[Details]],ROWS(prem_analysis!$M$420:U705),COLUMNS(Data!$Q$3:Y288)))))),"")</f>
        <v/>
      </c>
      <c r="AA287" s="1" t="str">
        <f>IFERROR(IF($Q$1=$P$3,INDEX(prem_analysis!$P$2:$Q$441,ROWS(Data!$P$2:Z287),COLUMNS(Data!$P$3:Y288)),IF($Q$1=$P$5,INDEX(prem_analysis!$BH$1:$BS$23,ROWS(Data!$Q$3:Z288),COLUMNS(Data!$Q$3:Z288)),IF($Q$1=$P$6,INDEX(prem_analysis!$BU$1:$CF$67,ROWS(prem_analysis!$N$2:W287),COLUMNS(prem_analysis!$N$2:W287)),IF($Q$1=$P$4,INDEX(Table24[[#All],[Year]:[Details]],ROWS(prem_analysis!$M$420:V705),COLUMNS(Data!$Q$3:Z288)))))),"")</f>
        <v/>
      </c>
      <c r="AB287" s="1" t="str">
        <f>IFERROR(IF($Q$1=$P$3,INDEX(prem_analysis!$P$2:$Q$441,ROWS(Data!$P$2:AA287),COLUMNS(Data!$P$3:Z288)),IF($Q$1=$P$5,INDEX(prem_analysis!$BH$1:$BS$23,ROWS(Data!$Q$3:AA288),COLUMNS(Data!$Q$3:AA288)),IF($Q$1=$P$6,INDEX(prem_analysis!$BU$1:$CF$67,ROWS(prem_analysis!$N$2:X287),COLUMNS(prem_analysis!$N$2:X287)),IF($Q$1=$P$4,INDEX(Table24[[#All],[Year]:[Details]],ROWS(prem_analysis!$M$420:W705),COLUMNS(Data!$Q$3:AA288)))))),"")</f>
        <v/>
      </c>
      <c r="AC287" s="1" t="str">
        <f>IFERROR(IF($Q$1=$P$3,INDEX(prem_analysis!$P$2:$Q$441,ROWS(Data!$P$2:AB287),COLUMNS(Data!$P$3:AA288)),IF($Q$1=$P$5,INDEX(prem_analysis!$BH$1:$BS$23,ROWS(Data!$Q$3:AB288),COLUMNS(Data!$Q$3:AB288)),IF($Q$1=$P$6,INDEX(prem_analysis!$BU$1:$CF$67,ROWS(prem_analysis!$N$2:Y287),COLUMNS(prem_analysis!$N$2:Y287)),IF($Q$1=$P$4,INDEX(Table24[[#All],[Year]:[Details]],ROWS(prem_analysis!$M$420:X705),COLUMNS(Data!$Q$3:AB288)))))),"")</f>
        <v/>
      </c>
    </row>
    <row r="288" spans="1:29" x14ac:dyDescent="0.2">
      <c r="A288" s="3">
        <v>2014</v>
      </c>
      <c r="B288" s="3">
        <v>7</v>
      </c>
      <c r="C288" s="4" t="s">
        <v>20</v>
      </c>
      <c r="D288" s="3">
        <v>38</v>
      </c>
      <c r="E288" s="3">
        <v>18</v>
      </c>
      <c r="F288" s="3">
        <v>6</v>
      </c>
      <c r="G288" s="3">
        <v>14</v>
      </c>
      <c r="H288" s="3">
        <v>54</v>
      </c>
      <c r="I288" s="3">
        <v>33</v>
      </c>
      <c r="J288" s="3">
        <v>21</v>
      </c>
      <c r="K288" s="3">
        <v>60</v>
      </c>
      <c r="L288" s="5">
        <f>IF(Table24[[#This Row],['#]]=1,"Champion", IF(Table24[[#This Row],['#]]&gt;=18,"Relegated",Table24[[#This Row],['#]]))</f>
        <v>7</v>
      </c>
      <c r="M288" s="5" t="str">
        <f>IF(Table24[[#This Row],[Details]]=2,K287-Table24[[#This Row],[Pts]],IF(Table24[[#This Row],[Details]]=17,Table24[[#This Row],[Pts]]-K289,""))</f>
        <v/>
      </c>
      <c r="R288" s="1" t="str">
        <f>IFERROR(IF($Q$1=$P$3,INDEX(prem_analysis!$P$2:$Q$441,ROWS(Data!$P$2:Q288),COLUMNS(Data!$P$3:P289)),IF($Q$1=$P$5,INDEX(prem_analysis!$BH$1:$BS$23,ROWS(Data!$Q$3:Q289),COLUMNS(Data!$Q$3:Q289)),IF($Q$1=$P$6,INDEX(prem_analysis!$BU$1:$CF$67,ROWS(prem_analysis!$N$2:N288),COLUMNS(prem_analysis!$N$2:N288)),IF($Q$1=$P$4,INDEX(Table24[[#All],[Year]:[Details]],ROWS(prem_analysis!$M$420:M706),COLUMNS(Data!$Q$3:Q289)))))),"")</f>
        <v/>
      </c>
      <c r="S288" s="1" t="str">
        <f>IFERROR(IF($Q$1=$P$3,INDEX(prem_analysis!$P$2:$Q$441,ROWS(Data!$P$2:R288),COLUMNS(Data!$P$3:Q289)),IF($Q$1=$P$5,INDEX(prem_analysis!$BH$1:$BS$23,ROWS(Data!$Q$3:R289),COLUMNS(Data!$Q$3:R289)),IF($Q$1=$P$6,INDEX(prem_analysis!$BU$1:$CF$67,ROWS(prem_analysis!$N$2:O288),COLUMNS(prem_analysis!$N$2:O288)),IF($Q$1=$P$4,INDEX(Table24[[#All],[Year]:[Details]],ROWS(prem_analysis!$M$420:N706),COLUMNS(Data!$Q$3:R289)))))),"")</f>
        <v/>
      </c>
      <c r="T288" s="1" t="str">
        <f>IFERROR(IF($Q$1=$P$3,INDEX(prem_analysis!$P$2:$Q$441,ROWS(Data!$P$2:S288),COLUMNS(Data!$P$3:R289)),IF($Q$1=$P$5,INDEX(prem_analysis!$BH$1:$BS$23,ROWS(Data!$Q$3:S289),COLUMNS(Data!$Q$3:S289)),IF($Q$1=$P$6,INDEX(prem_analysis!$BU$1:$CF$67,ROWS(prem_analysis!$N$2:P288),COLUMNS(prem_analysis!$N$2:P288)),IF($Q$1=$P$4,INDEX(Table24[[#All],[Year]:[Details]],ROWS(prem_analysis!$M$420:O706),COLUMNS(Data!$Q$3:S289)))))),"")</f>
        <v/>
      </c>
      <c r="U288" s="1" t="str">
        <f>IFERROR(IF($Q$1=$P$3,INDEX(prem_analysis!$P$2:$Q$441,ROWS(Data!$P$2:T288),COLUMNS(Data!$P$3:S289)),IF($Q$1=$P$5,INDEX(prem_analysis!$BH$1:$BS$23,ROWS(Data!$Q$3:T289),COLUMNS(Data!$Q$3:T289)),IF($Q$1=$P$6,INDEX(prem_analysis!$BU$1:$CF$67,ROWS(prem_analysis!$N$2:Q288),COLUMNS(prem_analysis!$N$2:Q288)),IF($Q$1=$P$4,INDEX(Table24[[#All],[Year]:[Details]],ROWS(prem_analysis!$M$420:P706),COLUMNS(Data!$Q$3:T289)))))),"")</f>
        <v/>
      </c>
      <c r="V288" s="1" t="str">
        <f>IFERROR(IF($Q$1=$P$3,INDEX(prem_analysis!$P$2:$Q$441,ROWS(Data!$P$2:U288),COLUMNS(Data!$P$3:T289)),IF($Q$1=$P$5,INDEX(prem_analysis!$BH$1:$BS$23,ROWS(Data!$Q$3:U289),COLUMNS(Data!$Q$3:U289)),IF($Q$1=$P$6,INDEX(prem_analysis!$BU$1:$CF$67,ROWS(prem_analysis!$N$2:R288),COLUMNS(prem_analysis!$N$2:R288)),IF($Q$1=$P$4,INDEX(Table24[[#All],[Year]:[Details]],ROWS(prem_analysis!$M$420:Q706),COLUMNS(Data!$Q$3:U289)))))),"")</f>
        <v/>
      </c>
      <c r="W288" s="1" t="str">
        <f>IFERROR(IF($Q$1=$P$3,INDEX(prem_analysis!$P$2:$Q$441,ROWS(Data!$P$2:V288),COLUMNS(Data!$P$3:U289)),IF($Q$1=$P$5,INDEX(prem_analysis!$BH$1:$BS$23,ROWS(Data!$Q$3:V289),COLUMNS(Data!$Q$3:V289)),IF($Q$1=$P$6,INDEX(prem_analysis!$BU$1:$CF$67,ROWS(prem_analysis!$N$2:S288),COLUMNS(prem_analysis!$N$2:S288)),IF($Q$1=$P$4,INDEX(Table24[[#All],[Year]:[Details]],ROWS(prem_analysis!$M$420:R706),COLUMNS(Data!$Q$3:V289)))))),"")</f>
        <v/>
      </c>
      <c r="X288" s="1" t="str">
        <f>IFERROR(IF($Q$1=$P$3,INDEX(prem_analysis!$P$2:$Q$441,ROWS(Data!$P$2:W288),COLUMNS(Data!$P$3:V289)),IF($Q$1=$P$5,INDEX(prem_analysis!$BH$1:$BS$23,ROWS(Data!$Q$3:W289),COLUMNS(Data!$Q$3:W289)),IF($Q$1=$P$6,INDEX(prem_analysis!$BU$1:$CF$67,ROWS(prem_analysis!$N$2:T288),COLUMNS(prem_analysis!$N$2:T288)),IF($Q$1=$P$4,INDEX(Table24[[#All],[Year]:[Details]],ROWS(prem_analysis!$M$420:S706),COLUMNS(Data!$Q$3:W289)))))),"")</f>
        <v/>
      </c>
      <c r="Y288" s="1" t="str">
        <f>IFERROR(IF($Q$1=$P$3,INDEX(prem_analysis!$P$2:$Q$441,ROWS(Data!$P$2:X288),COLUMNS(Data!$P$3:W289)),IF($Q$1=$P$5,INDEX(prem_analysis!$BH$1:$BS$23,ROWS(Data!$Q$3:X289),COLUMNS(Data!$Q$3:X289)),IF($Q$1=$P$6,INDEX(prem_analysis!$BU$1:$CF$67,ROWS(prem_analysis!$N$2:U288),COLUMNS(prem_analysis!$N$2:U288)),IF($Q$1=$P$4,INDEX(Table24[[#All],[Year]:[Details]],ROWS(prem_analysis!$M$420:T706),COLUMNS(Data!$Q$3:X289)))))),"")</f>
        <v/>
      </c>
      <c r="Z288" s="1" t="str">
        <f>IFERROR(IF($Q$1=$P$3,INDEX(prem_analysis!$P$2:$Q$441,ROWS(Data!$P$2:Y288),COLUMNS(Data!$P$3:X289)),IF($Q$1=$P$5,INDEX(prem_analysis!$BH$1:$BS$23,ROWS(Data!$Q$3:Y289),COLUMNS(Data!$Q$3:Y289)),IF($Q$1=$P$6,INDEX(prem_analysis!$BU$1:$CF$67,ROWS(prem_analysis!$N$2:V288),COLUMNS(prem_analysis!$N$2:V288)),IF($Q$1=$P$4,INDEX(Table24[[#All],[Year]:[Details]],ROWS(prem_analysis!$M$420:U706),COLUMNS(Data!$Q$3:Y289)))))),"")</f>
        <v/>
      </c>
      <c r="AA288" s="1" t="str">
        <f>IFERROR(IF($Q$1=$P$3,INDEX(prem_analysis!$P$2:$Q$441,ROWS(Data!$P$2:Z288),COLUMNS(Data!$P$3:Y289)),IF($Q$1=$P$5,INDEX(prem_analysis!$BH$1:$BS$23,ROWS(Data!$Q$3:Z289),COLUMNS(Data!$Q$3:Z289)),IF($Q$1=$P$6,INDEX(prem_analysis!$BU$1:$CF$67,ROWS(prem_analysis!$N$2:W288),COLUMNS(prem_analysis!$N$2:W288)),IF($Q$1=$P$4,INDEX(Table24[[#All],[Year]:[Details]],ROWS(prem_analysis!$M$420:V706),COLUMNS(Data!$Q$3:Z289)))))),"")</f>
        <v/>
      </c>
      <c r="AB288" s="1" t="str">
        <f>IFERROR(IF($Q$1=$P$3,INDEX(prem_analysis!$P$2:$Q$441,ROWS(Data!$P$2:AA288),COLUMNS(Data!$P$3:Z289)),IF($Q$1=$P$5,INDEX(prem_analysis!$BH$1:$BS$23,ROWS(Data!$Q$3:AA289),COLUMNS(Data!$Q$3:AA289)),IF($Q$1=$P$6,INDEX(prem_analysis!$BU$1:$CF$67,ROWS(prem_analysis!$N$2:X288),COLUMNS(prem_analysis!$N$2:X288)),IF($Q$1=$P$4,INDEX(Table24[[#All],[Year]:[Details]],ROWS(prem_analysis!$M$420:W706),COLUMNS(Data!$Q$3:AA289)))))),"")</f>
        <v/>
      </c>
      <c r="AC288" s="1" t="str">
        <f>IFERROR(IF($Q$1=$P$3,INDEX(prem_analysis!$P$2:$Q$441,ROWS(Data!$P$2:AB288),COLUMNS(Data!$P$3:AA289)),IF($Q$1=$P$5,INDEX(prem_analysis!$BH$1:$BS$23,ROWS(Data!$Q$3:AB289),COLUMNS(Data!$Q$3:AB289)),IF($Q$1=$P$6,INDEX(prem_analysis!$BU$1:$CF$67,ROWS(prem_analysis!$N$2:Y288),COLUMNS(prem_analysis!$N$2:Y288)),IF($Q$1=$P$4,INDEX(Table24[[#All],[Year]:[Details]],ROWS(prem_analysis!$M$420:X706),COLUMNS(Data!$Q$3:AB289)))))),"")</f>
        <v/>
      </c>
    </row>
    <row r="289" spans="1:29" x14ac:dyDescent="0.2">
      <c r="A289" s="5">
        <v>2014</v>
      </c>
      <c r="B289" s="5">
        <v>8</v>
      </c>
      <c r="C289" s="6" t="s">
        <v>48</v>
      </c>
      <c r="D289" s="5">
        <v>38</v>
      </c>
      <c r="E289" s="5">
        <v>16</v>
      </c>
      <c r="F289" s="5">
        <v>8</v>
      </c>
      <c r="G289" s="5">
        <v>14</v>
      </c>
      <c r="H289" s="5">
        <v>46</v>
      </c>
      <c r="I289" s="5">
        <v>49</v>
      </c>
      <c r="J289" s="5">
        <v>-3</v>
      </c>
      <c r="K289" s="5">
        <v>56</v>
      </c>
      <c r="L289" s="5">
        <f>IF(Table24[[#This Row],['#]]=1,"Champion", IF(Table24[[#This Row],['#]]&gt;=18,"Relegated",Table24[[#This Row],['#]]))</f>
        <v>8</v>
      </c>
      <c r="M289" s="5" t="str">
        <f>IF(Table24[[#This Row],[Details]]=2,K288-Table24[[#This Row],[Pts]],IF(Table24[[#This Row],[Details]]=17,Table24[[#This Row],[Pts]]-K290,""))</f>
        <v/>
      </c>
      <c r="R289" s="1" t="str">
        <f>IFERROR(IF($Q$1=$P$3,INDEX(prem_analysis!$P$2:$Q$441,ROWS(Data!$P$2:Q289),COLUMNS(Data!$P$3:P290)),IF($Q$1=$P$5,INDEX(prem_analysis!$BH$1:$BS$23,ROWS(Data!$Q$3:Q290),COLUMNS(Data!$Q$3:Q290)),IF($Q$1=$P$6,INDEX(prem_analysis!$BU$1:$CF$67,ROWS(prem_analysis!$N$2:N289),COLUMNS(prem_analysis!$N$2:N289)),IF($Q$1=$P$4,INDEX(Table24[[#All],[Year]:[Details]],ROWS(prem_analysis!$M$420:M707),COLUMNS(Data!$Q$3:Q290)))))),"")</f>
        <v/>
      </c>
      <c r="S289" s="1" t="str">
        <f>IFERROR(IF($Q$1=$P$3,INDEX(prem_analysis!$P$2:$Q$441,ROWS(Data!$P$2:R289),COLUMNS(Data!$P$3:Q290)),IF($Q$1=$P$5,INDEX(prem_analysis!$BH$1:$BS$23,ROWS(Data!$Q$3:R290),COLUMNS(Data!$Q$3:R290)),IF($Q$1=$P$6,INDEX(prem_analysis!$BU$1:$CF$67,ROWS(prem_analysis!$N$2:O289),COLUMNS(prem_analysis!$N$2:O289)),IF($Q$1=$P$4,INDEX(Table24[[#All],[Year]:[Details]],ROWS(prem_analysis!$M$420:N707),COLUMNS(Data!$Q$3:R290)))))),"")</f>
        <v/>
      </c>
      <c r="T289" s="1" t="str">
        <f>IFERROR(IF($Q$1=$P$3,INDEX(prem_analysis!$P$2:$Q$441,ROWS(Data!$P$2:S289),COLUMNS(Data!$P$3:R290)),IF($Q$1=$P$5,INDEX(prem_analysis!$BH$1:$BS$23,ROWS(Data!$Q$3:S290),COLUMNS(Data!$Q$3:S290)),IF($Q$1=$P$6,INDEX(prem_analysis!$BU$1:$CF$67,ROWS(prem_analysis!$N$2:P289),COLUMNS(prem_analysis!$N$2:P289)),IF($Q$1=$P$4,INDEX(Table24[[#All],[Year]:[Details]],ROWS(prem_analysis!$M$420:O707),COLUMNS(Data!$Q$3:S290)))))),"")</f>
        <v/>
      </c>
      <c r="U289" s="1" t="str">
        <f>IFERROR(IF($Q$1=$P$3,INDEX(prem_analysis!$P$2:$Q$441,ROWS(Data!$P$2:T289),COLUMNS(Data!$P$3:S290)),IF($Q$1=$P$5,INDEX(prem_analysis!$BH$1:$BS$23,ROWS(Data!$Q$3:T290),COLUMNS(Data!$Q$3:T290)),IF($Q$1=$P$6,INDEX(prem_analysis!$BU$1:$CF$67,ROWS(prem_analysis!$N$2:Q289),COLUMNS(prem_analysis!$N$2:Q289)),IF($Q$1=$P$4,INDEX(Table24[[#All],[Year]:[Details]],ROWS(prem_analysis!$M$420:P707),COLUMNS(Data!$Q$3:T290)))))),"")</f>
        <v/>
      </c>
      <c r="V289" s="1" t="str">
        <f>IFERROR(IF($Q$1=$P$3,INDEX(prem_analysis!$P$2:$Q$441,ROWS(Data!$P$2:U289),COLUMNS(Data!$P$3:T290)),IF($Q$1=$P$5,INDEX(prem_analysis!$BH$1:$BS$23,ROWS(Data!$Q$3:U290),COLUMNS(Data!$Q$3:U290)),IF($Q$1=$P$6,INDEX(prem_analysis!$BU$1:$CF$67,ROWS(prem_analysis!$N$2:R289),COLUMNS(prem_analysis!$N$2:R289)),IF($Q$1=$P$4,INDEX(Table24[[#All],[Year]:[Details]],ROWS(prem_analysis!$M$420:Q707),COLUMNS(Data!$Q$3:U290)))))),"")</f>
        <v/>
      </c>
      <c r="W289" s="1" t="str">
        <f>IFERROR(IF($Q$1=$P$3,INDEX(prem_analysis!$P$2:$Q$441,ROWS(Data!$P$2:V289),COLUMNS(Data!$P$3:U290)),IF($Q$1=$P$5,INDEX(prem_analysis!$BH$1:$BS$23,ROWS(Data!$Q$3:V290),COLUMNS(Data!$Q$3:V290)),IF($Q$1=$P$6,INDEX(prem_analysis!$BU$1:$CF$67,ROWS(prem_analysis!$N$2:S289),COLUMNS(prem_analysis!$N$2:S289)),IF($Q$1=$P$4,INDEX(Table24[[#All],[Year]:[Details]],ROWS(prem_analysis!$M$420:R707),COLUMNS(Data!$Q$3:V290)))))),"")</f>
        <v/>
      </c>
      <c r="X289" s="1" t="str">
        <f>IFERROR(IF($Q$1=$P$3,INDEX(prem_analysis!$P$2:$Q$441,ROWS(Data!$P$2:W289),COLUMNS(Data!$P$3:V290)),IF($Q$1=$P$5,INDEX(prem_analysis!$BH$1:$BS$23,ROWS(Data!$Q$3:W290),COLUMNS(Data!$Q$3:W290)),IF($Q$1=$P$6,INDEX(prem_analysis!$BU$1:$CF$67,ROWS(prem_analysis!$N$2:T289),COLUMNS(prem_analysis!$N$2:T289)),IF($Q$1=$P$4,INDEX(Table24[[#All],[Year]:[Details]],ROWS(prem_analysis!$M$420:S707),COLUMNS(Data!$Q$3:W290)))))),"")</f>
        <v/>
      </c>
      <c r="Y289" s="1" t="str">
        <f>IFERROR(IF($Q$1=$P$3,INDEX(prem_analysis!$P$2:$Q$441,ROWS(Data!$P$2:X289),COLUMNS(Data!$P$3:W290)),IF($Q$1=$P$5,INDEX(prem_analysis!$BH$1:$BS$23,ROWS(Data!$Q$3:X290),COLUMNS(Data!$Q$3:X290)),IF($Q$1=$P$6,INDEX(prem_analysis!$BU$1:$CF$67,ROWS(prem_analysis!$N$2:U289),COLUMNS(prem_analysis!$N$2:U289)),IF($Q$1=$P$4,INDEX(Table24[[#All],[Year]:[Details]],ROWS(prem_analysis!$M$420:T707),COLUMNS(Data!$Q$3:X290)))))),"")</f>
        <v/>
      </c>
      <c r="Z289" s="1" t="str">
        <f>IFERROR(IF($Q$1=$P$3,INDEX(prem_analysis!$P$2:$Q$441,ROWS(Data!$P$2:Y289),COLUMNS(Data!$P$3:X290)),IF($Q$1=$P$5,INDEX(prem_analysis!$BH$1:$BS$23,ROWS(Data!$Q$3:Y290),COLUMNS(Data!$Q$3:Y290)),IF($Q$1=$P$6,INDEX(prem_analysis!$BU$1:$CF$67,ROWS(prem_analysis!$N$2:V289),COLUMNS(prem_analysis!$N$2:V289)),IF($Q$1=$P$4,INDEX(Table24[[#All],[Year]:[Details]],ROWS(prem_analysis!$M$420:U707),COLUMNS(Data!$Q$3:Y290)))))),"")</f>
        <v/>
      </c>
      <c r="AA289" s="1" t="str">
        <f>IFERROR(IF($Q$1=$P$3,INDEX(prem_analysis!$P$2:$Q$441,ROWS(Data!$P$2:Z289),COLUMNS(Data!$P$3:Y290)),IF($Q$1=$P$5,INDEX(prem_analysis!$BH$1:$BS$23,ROWS(Data!$Q$3:Z290),COLUMNS(Data!$Q$3:Z290)),IF($Q$1=$P$6,INDEX(prem_analysis!$BU$1:$CF$67,ROWS(prem_analysis!$N$2:W289),COLUMNS(prem_analysis!$N$2:W289)),IF($Q$1=$P$4,INDEX(Table24[[#All],[Year]:[Details]],ROWS(prem_analysis!$M$420:V707),COLUMNS(Data!$Q$3:Z290)))))),"")</f>
        <v/>
      </c>
      <c r="AB289" s="1" t="str">
        <f>IFERROR(IF($Q$1=$P$3,INDEX(prem_analysis!$P$2:$Q$441,ROWS(Data!$P$2:AA289),COLUMNS(Data!$P$3:Z290)),IF($Q$1=$P$5,INDEX(prem_analysis!$BH$1:$BS$23,ROWS(Data!$Q$3:AA290),COLUMNS(Data!$Q$3:AA290)),IF($Q$1=$P$6,INDEX(prem_analysis!$BU$1:$CF$67,ROWS(prem_analysis!$N$2:X289),COLUMNS(prem_analysis!$N$2:X289)),IF($Q$1=$P$4,INDEX(Table24[[#All],[Year]:[Details]],ROWS(prem_analysis!$M$420:W707),COLUMNS(Data!$Q$3:AA290)))))),"")</f>
        <v/>
      </c>
      <c r="AC289" s="1" t="str">
        <f>IFERROR(IF($Q$1=$P$3,INDEX(prem_analysis!$P$2:$Q$441,ROWS(Data!$P$2:AB289),COLUMNS(Data!$P$3:AA290)),IF($Q$1=$P$5,INDEX(prem_analysis!$BH$1:$BS$23,ROWS(Data!$Q$3:AB290),COLUMNS(Data!$Q$3:AB290)),IF($Q$1=$P$6,INDEX(prem_analysis!$BU$1:$CF$67,ROWS(prem_analysis!$N$2:Y289),COLUMNS(prem_analysis!$N$2:Y289)),IF($Q$1=$P$4,INDEX(Table24[[#All],[Year]:[Details]],ROWS(prem_analysis!$M$420:X707),COLUMNS(Data!$Q$3:AB290)))))),"")</f>
        <v/>
      </c>
    </row>
    <row r="290" spans="1:29" x14ac:dyDescent="0.2">
      <c r="A290" s="3">
        <v>2014</v>
      </c>
      <c r="B290" s="3">
        <v>9</v>
      </c>
      <c r="C290" s="4" t="s">
        <v>44</v>
      </c>
      <c r="D290" s="3">
        <v>38</v>
      </c>
      <c r="E290" s="3">
        <v>15</v>
      </c>
      <c r="F290" s="3">
        <v>9</v>
      </c>
      <c r="G290" s="3">
        <v>14</v>
      </c>
      <c r="H290" s="3">
        <v>48</v>
      </c>
      <c r="I290" s="3">
        <v>45</v>
      </c>
      <c r="J290" s="3">
        <v>3</v>
      </c>
      <c r="K290" s="3">
        <v>54</v>
      </c>
      <c r="L290" s="5">
        <f>IF(Table24[[#This Row],['#]]=1,"Champion", IF(Table24[[#This Row],['#]]&gt;=18,"Relegated",Table24[[#This Row],['#]]))</f>
        <v>9</v>
      </c>
      <c r="M290" s="5" t="str">
        <f>IF(Table24[[#This Row],[Details]]=2,K289-Table24[[#This Row],[Pts]],IF(Table24[[#This Row],[Details]]=17,Table24[[#This Row],[Pts]]-K291,""))</f>
        <v/>
      </c>
      <c r="R290" s="1" t="str">
        <f>IFERROR(IF($Q$1=$P$3,INDEX(prem_analysis!$P$2:$Q$441,ROWS(Data!$P$2:Q290),COLUMNS(Data!$P$3:P291)),IF($Q$1=$P$5,INDEX(prem_analysis!$BH$1:$BS$23,ROWS(Data!$Q$3:Q291),COLUMNS(Data!$Q$3:Q291)),IF($Q$1=$P$6,INDEX(prem_analysis!$BU$1:$CF$67,ROWS(prem_analysis!$N$2:N290),COLUMNS(prem_analysis!$N$2:N290)),IF($Q$1=$P$4,INDEX(Table24[[#All],[Year]:[Details]],ROWS(prem_analysis!$M$420:M708),COLUMNS(Data!$Q$3:Q291)))))),"")</f>
        <v/>
      </c>
      <c r="S290" s="1" t="str">
        <f>IFERROR(IF($Q$1=$P$3,INDEX(prem_analysis!$P$2:$Q$441,ROWS(Data!$P$2:R290),COLUMNS(Data!$P$3:Q291)),IF($Q$1=$P$5,INDEX(prem_analysis!$BH$1:$BS$23,ROWS(Data!$Q$3:R291),COLUMNS(Data!$Q$3:R291)),IF($Q$1=$P$6,INDEX(prem_analysis!$BU$1:$CF$67,ROWS(prem_analysis!$N$2:O290),COLUMNS(prem_analysis!$N$2:O290)),IF($Q$1=$P$4,INDEX(Table24[[#All],[Year]:[Details]],ROWS(prem_analysis!$M$420:N708),COLUMNS(Data!$Q$3:R291)))))),"")</f>
        <v/>
      </c>
      <c r="T290" s="1" t="str">
        <f>IFERROR(IF($Q$1=$P$3,INDEX(prem_analysis!$P$2:$Q$441,ROWS(Data!$P$2:S290),COLUMNS(Data!$P$3:R291)),IF($Q$1=$P$5,INDEX(prem_analysis!$BH$1:$BS$23,ROWS(Data!$Q$3:S291),COLUMNS(Data!$Q$3:S291)),IF($Q$1=$P$6,INDEX(prem_analysis!$BU$1:$CF$67,ROWS(prem_analysis!$N$2:P290),COLUMNS(prem_analysis!$N$2:P290)),IF($Q$1=$P$4,INDEX(Table24[[#All],[Year]:[Details]],ROWS(prem_analysis!$M$420:O708),COLUMNS(Data!$Q$3:S291)))))),"")</f>
        <v/>
      </c>
      <c r="U290" s="1" t="str">
        <f>IFERROR(IF($Q$1=$P$3,INDEX(prem_analysis!$P$2:$Q$441,ROWS(Data!$P$2:T290),COLUMNS(Data!$P$3:S291)),IF($Q$1=$P$5,INDEX(prem_analysis!$BH$1:$BS$23,ROWS(Data!$Q$3:T291),COLUMNS(Data!$Q$3:T291)),IF($Q$1=$P$6,INDEX(prem_analysis!$BU$1:$CF$67,ROWS(prem_analysis!$N$2:Q290),COLUMNS(prem_analysis!$N$2:Q290)),IF($Q$1=$P$4,INDEX(Table24[[#All],[Year]:[Details]],ROWS(prem_analysis!$M$420:P708),COLUMNS(Data!$Q$3:T291)))))),"")</f>
        <v/>
      </c>
      <c r="V290" s="1" t="str">
        <f>IFERROR(IF($Q$1=$P$3,INDEX(prem_analysis!$P$2:$Q$441,ROWS(Data!$P$2:U290),COLUMNS(Data!$P$3:T291)),IF($Q$1=$P$5,INDEX(prem_analysis!$BH$1:$BS$23,ROWS(Data!$Q$3:U291),COLUMNS(Data!$Q$3:U291)),IF($Q$1=$P$6,INDEX(prem_analysis!$BU$1:$CF$67,ROWS(prem_analysis!$N$2:R290),COLUMNS(prem_analysis!$N$2:R290)),IF($Q$1=$P$4,INDEX(Table24[[#All],[Year]:[Details]],ROWS(prem_analysis!$M$420:Q708),COLUMNS(Data!$Q$3:U291)))))),"")</f>
        <v/>
      </c>
      <c r="W290" s="1" t="str">
        <f>IFERROR(IF($Q$1=$P$3,INDEX(prem_analysis!$P$2:$Q$441,ROWS(Data!$P$2:V290),COLUMNS(Data!$P$3:U291)),IF($Q$1=$P$5,INDEX(prem_analysis!$BH$1:$BS$23,ROWS(Data!$Q$3:V291),COLUMNS(Data!$Q$3:V291)),IF($Q$1=$P$6,INDEX(prem_analysis!$BU$1:$CF$67,ROWS(prem_analysis!$N$2:S290),COLUMNS(prem_analysis!$N$2:S290)),IF($Q$1=$P$4,INDEX(Table24[[#All],[Year]:[Details]],ROWS(prem_analysis!$M$420:R708),COLUMNS(Data!$Q$3:V291)))))),"")</f>
        <v/>
      </c>
      <c r="X290" s="1" t="str">
        <f>IFERROR(IF($Q$1=$P$3,INDEX(prem_analysis!$P$2:$Q$441,ROWS(Data!$P$2:W290),COLUMNS(Data!$P$3:V291)),IF($Q$1=$P$5,INDEX(prem_analysis!$BH$1:$BS$23,ROWS(Data!$Q$3:W291),COLUMNS(Data!$Q$3:W291)),IF($Q$1=$P$6,INDEX(prem_analysis!$BU$1:$CF$67,ROWS(prem_analysis!$N$2:T290),COLUMNS(prem_analysis!$N$2:T290)),IF($Q$1=$P$4,INDEX(Table24[[#All],[Year]:[Details]],ROWS(prem_analysis!$M$420:S708),COLUMNS(Data!$Q$3:W291)))))),"")</f>
        <v/>
      </c>
      <c r="Y290" s="1" t="str">
        <f>IFERROR(IF($Q$1=$P$3,INDEX(prem_analysis!$P$2:$Q$441,ROWS(Data!$P$2:X290),COLUMNS(Data!$P$3:W291)),IF($Q$1=$P$5,INDEX(prem_analysis!$BH$1:$BS$23,ROWS(Data!$Q$3:X291),COLUMNS(Data!$Q$3:X291)),IF($Q$1=$P$6,INDEX(prem_analysis!$BU$1:$CF$67,ROWS(prem_analysis!$N$2:U290),COLUMNS(prem_analysis!$N$2:U290)),IF($Q$1=$P$4,INDEX(Table24[[#All],[Year]:[Details]],ROWS(prem_analysis!$M$420:T708),COLUMNS(Data!$Q$3:X291)))))),"")</f>
        <v/>
      </c>
      <c r="Z290" s="1" t="str">
        <f>IFERROR(IF($Q$1=$P$3,INDEX(prem_analysis!$P$2:$Q$441,ROWS(Data!$P$2:Y290),COLUMNS(Data!$P$3:X291)),IF($Q$1=$P$5,INDEX(prem_analysis!$BH$1:$BS$23,ROWS(Data!$Q$3:Y291),COLUMNS(Data!$Q$3:Y291)),IF($Q$1=$P$6,INDEX(prem_analysis!$BU$1:$CF$67,ROWS(prem_analysis!$N$2:V290),COLUMNS(prem_analysis!$N$2:V290)),IF($Q$1=$P$4,INDEX(Table24[[#All],[Year]:[Details]],ROWS(prem_analysis!$M$420:U708),COLUMNS(Data!$Q$3:Y291)))))),"")</f>
        <v/>
      </c>
      <c r="AA290" s="1" t="str">
        <f>IFERROR(IF($Q$1=$P$3,INDEX(prem_analysis!$P$2:$Q$441,ROWS(Data!$P$2:Z290),COLUMNS(Data!$P$3:Y291)),IF($Q$1=$P$5,INDEX(prem_analysis!$BH$1:$BS$23,ROWS(Data!$Q$3:Z291),COLUMNS(Data!$Q$3:Z291)),IF($Q$1=$P$6,INDEX(prem_analysis!$BU$1:$CF$67,ROWS(prem_analysis!$N$2:W290),COLUMNS(prem_analysis!$N$2:W290)),IF($Q$1=$P$4,INDEX(Table24[[#All],[Year]:[Details]],ROWS(prem_analysis!$M$420:V708),COLUMNS(Data!$Q$3:Z291)))))),"")</f>
        <v/>
      </c>
      <c r="AB290" s="1" t="str">
        <f>IFERROR(IF($Q$1=$P$3,INDEX(prem_analysis!$P$2:$Q$441,ROWS(Data!$P$2:AA290),COLUMNS(Data!$P$3:Z291)),IF($Q$1=$P$5,INDEX(prem_analysis!$BH$1:$BS$23,ROWS(Data!$Q$3:AA291),COLUMNS(Data!$Q$3:AA291)),IF($Q$1=$P$6,INDEX(prem_analysis!$BU$1:$CF$67,ROWS(prem_analysis!$N$2:X290),COLUMNS(prem_analysis!$N$2:X290)),IF($Q$1=$P$4,INDEX(Table24[[#All],[Year]:[Details]],ROWS(prem_analysis!$M$420:W708),COLUMNS(Data!$Q$3:AA291)))))),"")</f>
        <v/>
      </c>
      <c r="AC290" s="1" t="str">
        <f>IFERROR(IF($Q$1=$P$3,INDEX(prem_analysis!$P$2:$Q$441,ROWS(Data!$P$2:AB290),COLUMNS(Data!$P$3:AA291)),IF($Q$1=$P$5,INDEX(prem_analysis!$BH$1:$BS$23,ROWS(Data!$Q$3:AB291),COLUMNS(Data!$Q$3:AB291)),IF($Q$1=$P$6,INDEX(prem_analysis!$BU$1:$CF$67,ROWS(prem_analysis!$N$2:Y290),COLUMNS(prem_analysis!$N$2:Y290)),IF($Q$1=$P$4,INDEX(Table24[[#All],[Year]:[Details]],ROWS(prem_analysis!$M$420:X708),COLUMNS(Data!$Q$3:AB291)))))),"")</f>
        <v/>
      </c>
    </row>
    <row r="291" spans="1:29" x14ac:dyDescent="0.2">
      <c r="A291" s="5">
        <v>2014</v>
      </c>
      <c r="B291" s="5">
        <v>10</v>
      </c>
      <c r="C291" s="6" t="s">
        <v>38</v>
      </c>
      <c r="D291" s="5">
        <v>38</v>
      </c>
      <c r="E291" s="5">
        <v>13</v>
      </c>
      <c r="F291" s="5">
        <v>9</v>
      </c>
      <c r="G291" s="5">
        <v>16</v>
      </c>
      <c r="H291" s="5">
        <v>47</v>
      </c>
      <c r="I291" s="5">
        <v>51</v>
      </c>
      <c r="J291" s="5">
        <v>-4</v>
      </c>
      <c r="K291" s="5">
        <v>48</v>
      </c>
      <c r="L291" s="5">
        <f>IF(Table24[[#This Row],['#]]=1,"Champion", IF(Table24[[#This Row],['#]]&gt;=18,"Relegated",Table24[[#This Row],['#]]))</f>
        <v>10</v>
      </c>
      <c r="M291" s="5" t="str">
        <f>IF(Table24[[#This Row],[Details]]=2,K290-Table24[[#This Row],[Pts]],IF(Table24[[#This Row],[Details]]=17,Table24[[#This Row],[Pts]]-K292,""))</f>
        <v/>
      </c>
      <c r="R291" s="1" t="str">
        <f>IFERROR(IF($Q$1=$P$3,INDEX(prem_analysis!$P$2:$Q$441,ROWS(Data!$P$2:Q291),COLUMNS(Data!$P$3:P292)),IF($Q$1=$P$5,INDEX(prem_analysis!$BH$1:$BS$23,ROWS(Data!$Q$3:Q292),COLUMNS(Data!$Q$3:Q292)),IF($Q$1=$P$6,INDEX(prem_analysis!$BU$1:$CF$67,ROWS(prem_analysis!$N$2:N291),COLUMNS(prem_analysis!$N$2:N291)),IF($Q$1=$P$4,INDEX(Table24[[#All],[Year]:[Details]],ROWS(prem_analysis!$M$420:M709),COLUMNS(Data!$Q$3:Q292)))))),"")</f>
        <v/>
      </c>
      <c r="S291" s="1" t="str">
        <f>IFERROR(IF($Q$1=$P$3,INDEX(prem_analysis!$P$2:$Q$441,ROWS(Data!$P$2:R291),COLUMNS(Data!$P$3:Q292)),IF($Q$1=$P$5,INDEX(prem_analysis!$BH$1:$BS$23,ROWS(Data!$Q$3:R292),COLUMNS(Data!$Q$3:R292)),IF($Q$1=$P$6,INDEX(prem_analysis!$BU$1:$CF$67,ROWS(prem_analysis!$N$2:O291),COLUMNS(prem_analysis!$N$2:O291)),IF($Q$1=$P$4,INDEX(Table24[[#All],[Year]:[Details]],ROWS(prem_analysis!$M$420:N709),COLUMNS(Data!$Q$3:R292)))))),"")</f>
        <v/>
      </c>
      <c r="T291" s="1" t="str">
        <f>IFERROR(IF($Q$1=$P$3,INDEX(prem_analysis!$P$2:$Q$441,ROWS(Data!$P$2:S291),COLUMNS(Data!$P$3:R292)),IF($Q$1=$P$5,INDEX(prem_analysis!$BH$1:$BS$23,ROWS(Data!$Q$3:S292),COLUMNS(Data!$Q$3:S292)),IF($Q$1=$P$6,INDEX(prem_analysis!$BU$1:$CF$67,ROWS(prem_analysis!$N$2:P291),COLUMNS(prem_analysis!$N$2:P291)),IF($Q$1=$P$4,INDEX(Table24[[#All],[Year]:[Details]],ROWS(prem_analysis!$M$420:O709),COLUMNS(Data!$Q$3:S292)))))),"")</f>
        <v/>
      </c>
      <c r="U291" s="1" t="str">
        <f>IFERROR(IF($Q$1=$P$3,INDEX(prem_analysis!$P$2:$Q$441,ROWS(Data!$P$2:T291),COLUMNS(Data!$P$3:S292)),IF($Q$1=$P$5,INDEX(prem_analysis!$BH$1:$BS$23,ROWS(Data!$Q$3:T292),COLUMNS(Data!$Q$3:T292)),IF($Q$1=$P$6,INDEX(prem_analysis!$BU$1:$CF$67,ROWS(prem_analysis!$N$2:Q291),COLUMNS(prem_analysis!$N$2:Q291)),IF($Q$1=$P$4,INDEX(Table24[[#All],[Year]:[Details]],ROWS(prem_analysis!$M$420:P709),COLUMNS(Data!$Q$3:T292)))))),"")</f>
        <v/>
      </c>
      <c r="V291" s="1" t="str">
        <f>IFERROR(IF($Q$1=$P$3,INDEX(prem_analysis!$P$2:$Q$441,ROWS(Data!$P$2:U291),COLUMNS(Data!$P$3:T292)),IF($Q$1=$P$5,INDEX(prem_analysis!$BH$1:$BS$23,ROWS(Data!$Q$3:U292),COLUMNS(Data!$Q$3:U292)),IF($Q$1=$P$6,INDEX(prem_analysis!$BU$1:$CF$67,ROWS(prem_analysis!$N$2:R291),COLUMNS(prem_analysis!$N$2:R291)),IF($Q$1=$P$4,INDEX(Table24[[#All],[Year]:[Details]],ROWS(prem_analysis!$M$420:Q709),COLUMNS(Data!$Q$3:U292)))))),"")</f>
        <v/>
      </c>
      <c r="W291" s="1" t="str">
        <f>IFERROR(IF($Q$1=$P$3,INDEX(prem_analysis!$P$2:$Q$441,ROWS(Data!$P$2:V291),COLUMNS(Data!$P$3:U292)),IF($Q$1=$P$5,INDEX(prem_analysis!$BH$1:$BS$23,ROWS(Data!$Q$3:V292),COLUMNS(Data!$Q$3:V292)),IF($Q$1=$P$6,INDEX(prem_analysis!$BU$1:$CF$67,ROWS(prem_analysis!$N$2:S291),COLUMNS(prem_analysis!$N$2:S291)),IF($Q$1=$P$4,INDEX(Table24[[#All],[Year]:[Details]],ROWS(prem_analysis!$M$420:R709),COLUMNS(Data!$Q$3:V292)))))),"")</f>
        <v/>
      </c>
      <c r="X291" s="1" t="str">
        <f>IFERROR(IF($Q$1=$P$3,INDEX(prem_analysis!$P$2:$Q$441,ROWS(Data!$P$2:W291),COLUMNS(Data!$P$3:V292)),IF($Q$1=$P$5,INDEX(prem_analysis!$BH$1:$BS$23,ROWS(Data!$Q$3:W292),COLUMNS(Data!$Q$3:W292)),IF($Q$1=$P$6,INDEX(prem_analysis!$BU$1:$CF$67,ROWS(prem_analysis!$N$2:T291),COLUMNS(prem_analysis!$N$2:T291)),IF($Q$1=$P$4,INDEX(Table24[[#All],[Year]:[Details]],ROWS(prem_analysis!$M$420:S709),COLUMNS(Data!$Q$3:W292)))))),"")</f>
        <v/>
      </c>
      <c r="Y291" s="1" t="str">
        <f>IFERROR(IF($Q$1=$P$3,INDEX(prem_analysis!$P$2:$Q$441,ROWS(Data!$P$2:X291),COLUMNS(Data!$P$3:W292)),IF($Q$1=$P$5,INDEX(prem_analysis!$BH$1:$BS$23,ROWS(Data!$Q$3:X292),COLUMNS(Data!$Q$3:X292)),IF($Q$1=$P$6,INDEX(prem_analysis!$BU$1:$CF$67,ROWS(prem_analysis!$N$2:U291),COLUMNS(prem_analysis!$N$2:U291)),IF($Q$1=$P$4,INDEX(Table24[[#All],[Year]:[Details]],ROWS(prem_analysis!$M$420:T709),COLUMNS(Data!$Q$3:X292)))))),"")</f>
        <v/>
      </c>
      <c r="Z291" s="1" t="str">
        <f>IFERROR(IF($Q$1=$P$3,INDEX(prem_analysis!$P$2:$Q$441,ROWS(Data!$P$2:Y291),COLUMNS(Data!$P$3:X292)),IF($Q$1=$P$5,INDEX(prem_analysis!$BH$1:$BS$23,ROWS(Data!$Q$3:Y292),COLUMNS(Data!$Q$3:Y292)),IF($Q$1=$P$6,INDEX(prem_analysis!$BU$1:$CF$67,ROWS(prem_analysis!$N$2:V291),COLUMNS(prem_analysis!$N$2:V291)),IF($Q$1=$P$4,INDEX(Table24[[#All],[Year]:[Details]],ROWS(prem_analysis!$M$420:U709),COLUMNS(Data!$Q$3:Y292)))))),"")</f>
        <v/>
      </c>
      <c r="AA291" s="1" t="str">
        <f>IFERROR(IF($Q$1=$P$3,INDEX(prem_analysis!$P$2:$Q$441,ROWS(Data!$P$2:Z291),COLUMNS(Data!$P$3:Y292)),IF($Q$1=$P$5,INDEX(prem_analysis!$BH$1:$BS$23,ROWS(Data!$Q$3:Z292),COLUMNS(Data!$Q$3:Z292)),IF($Q$1=$P$6,INDEX(prem_analysis!$BU$1:$CF$67,ROWS(prem_analysis!$N$2:W291),COLUMNS(prem_analysis!$N$2:W291)),IF($Q$1=$P$4,INDEX(Table24[[#All],[Year]:[Details]],ROWS(prem_analysis!$M$420:V709),COLUMNS(Data!$Q$3:Z292)))))),"")</f>
        <v/>
      </c>
      <c r="AB291" s="1" t="str">
        <f>IFERROR(IF($Q$1=$P$3,INDEX(prem_analysis!$P$2:$Q$441,ROWS(Data!$P$2:AA291),COLUMNS(Data!$P$3:Z292)),IF($Q$1=$P$5,INDEX(prem_analysis!$BH$1:$BS$23,ROWS(Data!$Q$3:AA292),COLUMNS(Data!$Q$3:AA292)),IF($Q$1=$P$6,INDEX(prem_analysis!$BU$1:$CF$67,ROWS(prem_analysis!$N$2:X291),COLUMNS(prem_analysis!$N$2:X291)),IF($Q$1=$P$4,INDEX(Table24[[#All],[Year]:[Details]],ROWS(prem_analysis!$M$420:W709),COLUMNS(Data!$Q$3:AA292)))))),"")</f>
        <v/>
      </c>
      <c r="AC291" s="1" t="str">
        <f>IFERROR(IF($Q$1=$P$3,INDEX(prem_analysis!$P$2:$Q$441,ROWS(Data!$P$2:AB291),COLUMNS(Data!$P$3:AA292)),IF($Q$1=$P$5,INDEX(prem_analysis!$BH$1:$BS$23,ROWS(Data!$Q$3:AB292),COLUMNS(Data!$Q$3:AB292)),IF($Q$1=$P$6,INDEX(prem_analysis!$BU$1:$CF$67,ROWS(prem_analysis!$N$2:Y291),COLUMNS(prem_analysis!$N$2:Y291)),IF($Q$1=$P$4,INDEX(Table24[[#All],[Year]:[Details]],ROWS(prem_analysis!$M$420:X709),COLUMNS(Data!$Q$3:AB292)))))),"")</f>
        <v/>
      </c>
    </row>
    <row r="292" spans="1:29" x14ac:dyDescent="0.2">
      <c r="A292" s="3">
        <v>2014</v>
      </c>
      <c r="B292" s="3">
        <v>11</v>
      </c>
      <c r="C292" s="4" t="s">
        <v>26</v>
      </c>
      <c r="D292" s="3">
        <v>38</v>
      </c>
      <c r="E292" s="3">
        <v>12</v>
      </c>
      <c r="F292" s="3">
        <v>11</v>
      </c>
      <c r="G292" s="3">
        <v>15</v>
      </c>
      <c r="H292" s="3">
        <v>48</v>
      </c>
      <c r="I292" s="3">
        <v>50</v>
      </c>
      <c r="J292" s="3">
        <v>-2</v>
      </c>
      <c r="K292" s="3">
        <v>47</v>
      </c>
      <c r="L292" s="5">
        <f>IF(Table24[[#This Row],['#]]=1,"Champion", IF(Table24[[#This Row],['#]]&gt;=18,"Relegated",Table24[[#This Row],['#]]))</f>
        <v>11</v>
      </c>
      <c r="M292" s="5" t="str">
        <f>IF(Table24[[#This Row],[Details]]=2,K291-Table24[[#This Row],[Pts]],IF(Table24[[#This Row],[Details]]=17,Table24[[#This Row],[Pts]]-K293,""))</f>
        <v/>
      </c>
      <c r="R292" s="1" t="str">
        <f>IFERROR(IF($Q$1=$P$3,INDEX(prem_analysis!$P$2:$Q$441,ROWS(Data!$P$2:Q292),COLUMNS(Data!$P$3:P293)),IF($Q$1=$P$5,INDEX(prem_analysis!$BH$1:$BS$23,ROWS(Data!$Q$3:Q293),COLUMNS(Data!$Q$3:Q293)),IF($Q$1=$P$6,INDEX(prem_analysis!$BU$1:$CF$67,ROWS(prem_analysis!$N$2:N292),COLUMNS(prem_analysis!$N$2:N292)),IF($Q$1=$P$4,INDEX(Table24[[#All],[Year]:[Details]],ROWS(prem_analysis!$M$420:M710),COLUMNS(Data!$Q$3:Q293)))))),"")</f>
        <v/>
      </c>
      <c r="S292" s="1" t="str">
        <f>IFERROR(IF($Q$1=$P$3,INDEX(prem_analysis!$P$2:$Q$441,ROWS(Data!$P$2:R292),COLUMNS(Data!$P$3:Q293)),IF($Q$1=$P$5,INDEX(prem_analysis!$BH$1:$BS$23,ROWS(Data!$Q$3:R293),COLUMNS(Data!$Q$3:R293)),IF($Q$1=$P$6,INDEX(prem_analysis!$BU$1:$CF$67,ROWS(prem_analysis!$N$2:O292),COLUMNS(prem_analysis!$N$2:O292)),IF($Q$1=$P$4,INDEX(Table24[[#All],[Year]:[Details]],ROWS(prem_analysis!$M$420:N710),COLUMNS(Data!$Q$3:R293)))))),"")</f>
        <v/>
      </c>
      <c r="T292" s="1" t="str">
        <f>IFERROR(IF($Q$1=$P$3,INDEX(prem_analysis!$P$2:$Q$441,ROWS(Data!$P$2:S292),COLUMNS(Data!$P$3:R293)),IF($Q$1=$P$5,INDEX(prem_analysis!$BH$1:$BS$23,ROWS(Data!$Q$3:S293),COLUMNS(Data!$Q$3:S293)),IF($Q$1=$P$6,INDEX(prem_analysis!$BU$1:$CF$67,ROWS(prem_analysis!$N$2:P292),COLUMNS(prem_analysis!$N$2:P292)),IF($Q$1=$P$4,INDEX(Table24[[#All],[Year]:[Details]],ROWS(prem_analysis!$M$420:O710),COLUMNS(Data!$Q$3:S293)))))),"")</f>
        <v/>
      </c>
      <c r="U292" s="1" t="str">
        <f>IFERROR(IF($Q$1=$P$3,INDEX(prem_analysis!$P$2:$Q$441,ROWS(Data!$P$2:T292),COLUMNS(Data!$P$3:S293)),IF($Q$1=$P$5,INDEX(prem_analysis!$BH$1:$BS$23,ROWS(Data!$Q$3:T293),COLUMNS(Data!$Q$3:T293)),IF($Q$1=$P$6,INDEX(prem_analysis!$BU$1:$CF$67,ROWS(prem_analysis!$N$2:Q292),COLUMNS(prem_analysis!$N$2:Q292)),IF($Q$1=$P$4,INDEX(Table24[[#All],[Year]:[Details]],ROWS(prem_analysis!$M$420:P710),COLUMNS(Data!$Q$3:T293)))))),"")</f>
        <v/>
      </c>
      <c r="V292" s="1" t="str">
        <f>IFERROR(IF($Q$1=$P$3,INDEX(prem_analysis!$P$2:$Q$441,ROWS(Data!$P$2:U292),COLUMNS(Data!$P$3:T293)),IF($Q$1=$P$5,INDEX(prem_analysis!$BH$1:$BS$23,ROWS(Data!$Q$3:U293),COLUMNS(Data!$Q$3:U293)),IF($Q$1=$P$6,INDEX(prem_analysis!$BU$1:$CF$67,ROWS(prem_analysis!$N$2:R292),COLUMNS(prem_analysis!$N$2:R292)),IF($Q$1=$P$4,INDEX(Table24[[#All],[Year]:[Details]],ROWS(prem_analysis!$M$420:Q710),COLUMNS(Data!$Q$3:U293)))))),"")</f>
        <v/>
      </c>
      <c r="W292" s="1" t="str">
        <f>IFERROR(IF($Q$1=$P$3,INDEX(prem_analysis!$P$2:$Q$441,ROWS(Data!$P$2:V292),COLUMNS(Data!$P$3:U293)),IF($Q$1=$P$5,INDEX(prem_analysis!$BH$1:$BS$23,ROWS(Data!$Q$3:V293),COLUMNS(Data!$Q$3:V293)),IF($Q$1=$P$6,INDEX(prem_analysis!$BU$1:$CF$67,ROWS(prem_analysis!$N$2:S292),COLUMNS(prem_analysis!$N$2:S292)),IF($Q$1=$P$4,INDEX(Table24[[#All],[Year]:[Details]],ROWS(prem_analysis!$M$420:R710),COLUMNS(Data!$Q$3:V293)))))),"")</f>
        <v/>
      </c>
      <c r="X292" s="1" t="str">
        <f>IFERROR(IF($Q$1=$P$3,INDEX(prem_analysis!$P$2:$Q$441,ROWS(Data!$P$2:W292),COLUMNS(Data!$P$3:V293)),IF($Q$1=$P$5,INDEX(prem_analysis!$BH$1:$BS$23,ROWS(Data!$Q$3:W293),COLUMNS(Data!$Q$3:W293)),IF($Q$1=$P$6,INDEX(prem_analysis!$BU$1:$CF$67,ROWS(prem_analysis!$N$2:T292),COLUMNS(prem_analysis!$N$2:T292)),IF($Q$1=$P$4,INDEX(Table24[[#All],[Year]:[Details]],ROWS(prem_analysis!$M$420:S710),COLUMNS(Data!$Q$3:W293)))))),"")</f>
        <v/>
      </c>
      <c r="Y292" s="1" t="str">
        <f>IFERROR(IF($Q$1=$P$3,INDEX(prem_analysis!$P$2:$Q$441,ROWS(Data!$P$2:X292),COLUMNS(Data!$P$3:W293)),IF($Q$1=$P$5,INDEX(prem_analysis!$BH$1:$BS$23,ROWS(Data!$Q$3:X293),COLUMNS(Data!$Q$3:X293)),IF($Q$1=$P$6,INDEX(prem_analysis!$BU$1:$CF$67,ROWS(prem_analysis!$N$2:U292),COLUMNS(prem_analysis!$N$2:U292)),IF($Q$1=$P$4,INDEX(Table24[[#All],[Year]:[Details]],ROWS(prem_analysis!$M$420:T710),COLUMNS(Data!$Q$3:X293)))))),"")</f>
        <v/>
      </c>
      <c r="Z292" s="1" t="str">
        <f>IFERROR(IF($Q$1=$P$3,INDEX(prem_analysis!$P$2:$Q$441,ROWS(Data!$P$2:Y292),COLUMNS(Data!$P$3:X293)),IF($Q$1=$P$5,INDEX(prem_analysis!$BH$1:$BS$23,ROWS(Data!$Q$3:Y293),COLUMNS(Data!$Q$3:Y293)),IF($Q$1=$P$6,INDEX(prem_analysis!$BU$1:$CF$67,ROWS(prem_analysis!$N$2:V292),COLUMNS(prem_analysis!$N$2:V292)),IF($Q$1=$P$4,INDEX(Table24[[#All],[Year]:[Details]],ROWS(prem_analysis!$M$420:U710),COLUMNS(Data!$Q$3:Y293)))))),"")</f>
        <v/>
      </c>
      <c r="AA292" s="1" t="str">
        <f>IFERROR(IF($Q$1=$P$3,INDEX(prem_analysis!$P$2:$Q$441,ROWS(Data!$P$2:Z292),COLUMNS(Data!$P$3:Y293)),IF($Q$1=$P$5,INDEX(prem_analysis!$BH$1:$BS$23,ROWS(Data!$Q$3:Z293),COLUMNS(Data!$Q$3:Z293)),IF($Q$1=$P$6,INDEX(prem_analysis!$BU$1:$CF$67,ROWS(prem_analysis!$N$2:W292),COLUMNS(prem_analysis!$N$2:W292)),IF($Q$1=$P$4,INDEX(Table24[[#All],[Year]:[Details]],ROWS(prem_analysis!$M$420:V710),COLUMNS(Data!$Q$3:Z293)))))),"")</f>
        <v/>
      </c>
      <c r="AB292" s="1" t="str">
        <f>IFERROR(IF($Q$1=$P$3,INDEX(prem_analysis!$P$2:$Q$441,ROWS(Data!$P$2:AA292),COLUMNS(Data!$P$3:Z293)),IF($Q$1=$P$5,INDEX(prem_analysis!$BH$1:$BS$23,ROWS(Data!$Q$3:AA293),COLUMNS(Data!$Q$3:AA293)),IF($Q$1=$P$6,INDEX(prem_analysis!$BU$1:$CF$67,ROWS(prem_analysis!$N$2:X292),COLUMNS(prem_analysis!$N$2:X292)),IF($Q$1=$P$4,INDEX(Table24[[#All],[Year]:[Details]],ROWS(prem_analysis!$M$420:W710),COLUMNS(Data!$Q$3:AA293)))))),"")</f>
        <v/>
      </c>
      <c r="AC292" s="1" t="str">
        <f>IFERROR(IF($Q$1=$P$3,INDEX(prem_analysis!$P$2:$Q$441,ROWS(Data!$P$2:AB292),COLUMNS(Data!$P$3:AA293)),IF($Q$1=$P$5,INDEX(prem_analysis!$BH$1:$BS$23,ROWS(Data!$Q$3:AB293),COLUMNS(Data!$Q$3:AB293)),IF($Q$1=$P$6,INDEX(prem_analysis!$BU$1:$CF$67,ROWS(prem_analysis!$N$2:Y292),COLUMNS(prem_analysis!$N$2:Y292)),IF($Q$1=$P$4,INDEX(Table24[[#All],[Year]:[Details]],ROWS(prem_analysis!$M$420:X710),COLUMNS(Data!$Q$3:AB293)))))),"")</f>
        <v/>
      </c>
    </row>
    <row r="293" spans="1:29" x14ac:dyDescent="0.2">
      <c r="A293" s="5">
        <v>2014</v>
      </c>
      <c r="B293" s="5">
        <v>12</v>
      </c>
      <c r="C293" s="6" t="s">
        <v>25</v>
      </c>
      <c r="D293" s="5">
        <v>38</v>
      </c>
      <c r="E293" s="5">
        <v>12</v>
      </c>
      <c r="F293" s="5">
        <v>11</v>
      </c>
      <c r="G293" s="5">
        <v>15</v>
      </c>
      <c r="H293" s="5">
        <v>44</v>
      </c>
      <c r="I293" s="5">
        <v>47</v>
      </c>
      <c r="J293" s="5">
        <v>-3</v>
      </c>
      <c r="K293" s="5">
        <v>47</v>
      </c>
      <c r="L293" s="5">
        <f>IF(Table24[[#This Row],['#]]=1,"Champion", IF(Table24[[#This Row],['#]]&gt;=18,"Relegated",Table24[[#This Row],['#]]))</f>
        <v>12</v>
      </c>
      <c r="M293" s="5" t="str">
        <f>IF(Table24[[#This Row],[Details]]=2,K292-Table24[[#This Row],[Pts]],IF(Table24[[#This Row],[Details]]=17,Table24[[#This Row],[Pts]]-K294,""))</f>
        <v/>
      </c>
      <c r="R293" s="1" t="str">
        <f>IFERROR(IF($Q$1=$P$3,INDEX(prem_analysis!$P$2:$Q$441,ROWS(Data!$P$2:Q293),COLUMNS(Data!$P$3:P294)),IF($Q$1=$P$5,INDEX(prem_analysis!$BH$1:$BS$23,ROWS(Data!$Q$3:Q294),COLUMNS(Data!$Q$3:Q294)),IF($Q$1=$P$6,INDEX(prem_analysis!$BU$1:$CF$67,ROWS(prem_analysis!$N$2:N293),COLUMNS(prem_analysis!$N$2:N293)),IF($Q$1=$P$4,INDEX(Table24[[#All],[Year]:[Details]],ROWS(prem_analysis!$M$420:M711),COLUMNS(Data!$Q$3:Q294)))))),"")</f>
        <v/>
      </c>
      <c r="S293" s="1" t="str">
        <f>IFERROR(IF($Q$1=$P$3,INDEX(prem_analysis!$P$2:$Q$441,ROWS(Data!$P$2:R293),COLUMNS(Data!$P$3:Q294)),IF($Q$1=$P$5,INDEX(prem_analysis!$BH$1:$BS$23,ROWS(Data!$Q$3:R294),COLUMNS(Data!$Q$3:R294)),IF($Q$1=$P$6,INDEX(prem_analysis!$BU$1:$CF$67,ROWS(prem_analysis!$N$2:O293),COLUMNS(prem_analysis!$N$2:O293)),IF($Q$1=$P$4,INDEX(Table24[[#All],[Year]:[Details]],ROWS(prem_analysis!$M$420:N711),COLUMNS(Data!$Q$3:R294)))))),"")</f>
        <v/>
      </c>
      <c r="T293" s="1" t="str">
        <f>IFERROR(IF($Q$1=$P$3,INDEX(prem_analysis!$P$2:$Q$441,ROWS(Data!$P$2:S293),COLUMNS(Data!$P$3:R294)),IF($Q$1=$P$5,INDEX(prem_analysis!$BH$1:$BS$23,ROWS(Data!$Q$3:S294),COLUMNS(Data!$Q$3:S294)),IF($Q$1=$P$6,INDEX(prem_analysis!$BU$1:$CF$67,ROWS(prem_analysis!$N$2:P293),COLUMNS(prem_analysis!$N$2:P293)),IF($Q$1=$P$4,INDEX(Table24[[#All],[Year]:[Details]],ROWS(prem_analysis!$M$420:O711),COLUMNS(Data!$Q$3:S294)))))),"")</f>
        <v/>
      </c>
      <c r="U293" s="1" t="str">
        <f>IFERROR(IF($Q$1=$P$3,INDEX(prem_analysis!$P$2:$Q$441,ROWS(Data!$P$2:T293),COLUMNS(Data!$P$3:S294)),IF($Q$1=$P$5,INDEX(prem_analysis!$BH$1:$BS$23,ROWS(Data!$Q$3:T294),COLUMNS(Data!$Q$3:T294)),IF($Q$1=$P$6,INDEX(prem_analysis!$BU$1:$CF$67,ROWS(prem_analysis!$N$2:Q293),COLUMNS(prem_analysis!$N$2:Q293)),IF($Q$1=$P$4,INDEX(Table24[[#All],[Year]:[Details]],ROWS(prem_analysis!$M$420:P711),COLUMNS(Data!$Q$3:T294)))))),"")</f>
        <v/>
      </c>
      <c r="V293" s="1" t="str">
        <f>IFERROR(IF($Q$1=$P$3,INDEX(prem_analysis!$P$2:$Q$441,ROWS(Data!$P$2:U293),COLUMNS(Data!$P$3:T294)),IF($Q$1=$P$5,INDEX(prem_analysis!$BH$1:$BS$23,ROWS(Data!$Q$3:U294),COLUMNS(Data!$Q$3:U294)),IF($Q$1=$P$6,INDEX(prem_analysis!$BU$1:$CF$67,ROWS(prem_analysis!$N$2:R293),COLUMNS(prem_analysis!$N$2:R293)),IF($Q$1=$P$4,INDEX(Table24[[#All],[Year]:[Details]],ROWS(prem_analysis!$M$420:Q711),COLUMNS(Data!$Q$3:U294)))))),"")</f>
        <v/>
      </c>
      <c r="W293" s="1" t="str">
        <f>IFERROR(IF($Q$1=$P$3,INDEX(prem_analysis!$P$2:$Q$441,ROWS(Data!$P$2:V293),COLUMNS(Data!$P$3:U294)),IF($Q$1=$P$5,INDEX(prem_analysis!$BH$1:$BS$23,ROWS(Data!$Q$3:V294),COLUMNS(Data!$Q$3:V294)),IF($Q$1=$P$6,INDEX(prem_analysis!$BU$1:$CF$67,ROWS(prem_analysis!$N$2:S293),COLUMNS(prem_analysis!$N$2:S293)),IF($Q$1=$P$4,INDEX(Table24[[#All],[Year]:[Details]],ROWS(prem_analysis!$M$420:R711),COLUMNS(Data!$Q$3:V294)))))),"")</f>
        <v/>
      </c>
      <c r="X293" s="1" t="str">
        <f>IFERROR(IF($Q$1=$P$3,INDEX(prem_analysis!$P$2:$Q$441,ROWS(Data!$P$2:W293),COLUMNS(Data!$P$3:V294)),IF($Q$1=$P$5,INDEX(prem_analysis!$BH$1:$BS$23,ROWS(Data!$Q$3:W294),COLUMNS(Data!$Q$3:W294)),IF($Q$1=$P$6,INDEX(prem_analysis!$BU$1:$CF$67,ROWS(prem_analysis!$N$2:T293),COLUMNS(prem_analysis!$N$2:T293)),IF($Q$1=$P$4,INDEX(Table24[[#All],[Year]:[Details]],ROWS(prem_analysis!$M$420:S711),COLUMNS(Data!$Q$3:W294)))))),"")</f>
        <v/>
      </c>
      <c r="Y293" s="1" t="str">
        <f>IFERROR(IF($Q$1=$P$3,INDEX(prem_analysis!$P$2:$Q$441,ROWS(Data!$P$2:X293),COLUMNS(Data!$P$3:W294)),IF($Q$1=$P$5,INDEX(prem_analysis!$BH$1:$BS$23,ROWS(Data!$Q$3:X294),COLUMNS(Data!$Q$3:X294)),IF($Q$1=$P$6,INDEX(prem_analysis!$BU$1:$CF$67,ROWS(prem_analysis!$N$2:U293),COLUMNS(prem_analysis!$N$2:U293)),IF($Q$1=$P$4,INDEX(Table24[[#All],[Year]:[Details]],ROWS(prem_analysis!$M$420:T711),COLUMNS(Data!$Q$3:X294)))))),"")</f>
        <v/>
      </c>
      <c r="Z293" s="1" t="str">
        <f>IFERROR(IF($Q$1=$P$3,INDEX(prem_analysis!$P$2:$Q$441,ROWS(Data!$P$2:Y293),COLUMNS(Data!$P$3:X294)),IF($Q$1=$P$5,INDEX(prem_analysis!$BH$1:$BS$23,ROWS(Data!$Q$3:Y294),COLUMNS(Data!$Q$3:Y294)),IF($Q$1=$P$6,INDEX(prem_analysis!$BU$1:$CF$67,ROWS(prem_analysis!$N$2:V293),COLUMNS(prem_analysis!$N$2:V293)),IF($Q$1=$P$4,INDEX(Table24[[#All],[Year]:[Details]],ROWS(prem_analysis!$M$420:U711),COLUMNS(Data!$Q$3:Y294)))))),"")</f>
        <v/>
      </c>
      <c r="AA293" s="1" t="str">
        <f>IFERROR(IF($Q$1=$P$3,INDEX(prem_analysis!$P$2:$Q$441,ROWS(Data!$P$2:Z293),COLUMNS(Data!$P$3:Y294)),IF($Q$1=$P$5,INDEX(prem_analysis!$BH$1:$BS$23,ROWS(Data!$Q$3:Z294),COLUMNS(Data!$Q$3:Z294)),IF($Q$1=$P$6,INDEX(prem_analysis!$BU$1:$CF$67,ROWS(prem_analysis!$N$2:W293),COLUMNS(prem_analysis!$N$2:W293)),IF($Q$1=$P$4,INDEX(Table24[[#All],[Year]:[Details]],ROWS(prem_analysis!$M$420:V711),COLUMNS(Data!$Q$3:Z294)))))),"")</f>
        <v/>
      </c>
      <c r="AB293" s="1" t="str">
        <f>IFERROR(IF($Q$1=$P$3,INDEX(prem_analysis!$P$2:$Q$441,ROWS(Data!$P$2:AA293),COLUMNS(Data!$P$3:Z294)),IF($Q$1=$P$5,INDEX(prem_analysis!$BH$1:$BS$23,ROWS(Data!$Q$3:AA294),COLUMNS(Data!$Q$3:AA294)),IF($Q$1=$P$6,INDEX(prem_analysis!$BU$1:$CF$67,ROWS(prem_analysis!$N$2:X293),COLUMNS(prem_analysis!$N$2:X293)),IF($Q$1=$P$4,INDEX(Table24[[#All],[Year]:[Details]],ROWS(prem_analysis!$M$420:W711),COLUMNS(Data!$Q$3:AA294)))))),"")</f>
        <v/>
      </c>
      <c r="AC293" s="1" t="str">
        <f>IFERROR(IF($Q$1=$P$3,INDEX(prem_analysis!$P$2:$Q$441,ROWS(Data!$P$2:AB293),COLUMNS(Data!$P$3:AA294)),IF($Q$1=$P$5,INDEX(prem_analysis!$BH$1:$BS$23,ROWS(Data!$Q$3:AB294),COLUMNS(Data!$Q$3:AB294)),IF($Q$1=$P$6,INDEX(prem_analysis!$BU$1:$CF$67,ROWS(prem_analysis!$N$2:Y293),COLUMNS(prem_analysis!$N$2:Y293)),IF($Q$1=$P$4,INDEX(Table24[[#All],[Year]:[Details]],ROWS(prem_analysis!$M$420:X711),COLUMNS(Data!$Q$3:AB294)))))),"")</f>
        <v/>
      </c>
    </row>
    <row r="294" spans="1:29" x14ac:dyDescent="0.2">
      <c r="A294" s="3">
        <v>2014</v>
      </c>
      <c r="B294" s="3">
        <v>13</v>
      </c>
      <c r="C294" s="4" t="s">
        <v>35</v>
      </c>
      <c r="D294" s="3">
        <v>38</v>
      </c>
      <c r="E294" s="3">
        <v>11</v>
      </c>
      <c r="F294" s="3">
        <v>11</v>
      </c>
      <c r="G294" s="3">
        <v>16</v>
      </c>
      <c r="H294" s="3">
        <v>38</v>
      </c>
      <c r="I294" s="3">
        <v>51</v>
      </c>
      <c r="J294" s="3">
        <v>-13</v>
      </c>
      <c r="K294" s="3">
        <v>44</v>
      </c>
      <c r="L294" s="5">
        <f>IF(Table24[[#This Row],['#]]=1,"Champion", IF(Table24[[#This Row],['#]]&gt;=18,"Relegated",Table24[[#This Row],['#]]))</f>
        <v>13</v>
      </c>
      <c r="M294" s="5" t="str">
        <f>IF(Table24[[#This Row],[Details]]=2,K293-Table24[[#This Row],[Pts]],IF(Table24[[#This Row],[Details]]=17,Table24[[#This Row],[Pts]]-K295,""))</f>
        <v/>
      </c>
      <c r="R294" s="1" t="str">
        <f>IFERROR(IF($Q$1=$P$3,INDEX(prem_analysis!$P$2:$Q$441,ROWS(Data!$P$2:Q294),COLUMNS(Data!$P$3:P295)),IF($Q$1=$P$5,INDEX(prem_analysis!$BH$1:$BS$23,ROWS(Data!$Q$3:Q295),COLUMNS(Data!$Q$3:Q295)),IF($Q$1=$P$6,INDEX(prem_analysis!$BU$1:$CF$67,ROWS(prem_analysis!$N$2:N294),COLUMNS(prem_analysis!$N$2:N294)),IF($Q$1=$P$4,INDEX(Table24[[#All],[Year]:[Details]],ROWS(prem_analysis!$M$420:M712),COLUMNS(Data!$Q$3:Q295)))))),"")</f>
        <v/>
      </c>
      <c r="S294" s="1" t="str">
        <f>IFERROR(IF($Q$1=$P$3,INDEX(prem_analysis!$P$2:$Q$441,ROWS(Data!$P$2:R294),COLUMNS(Data!$P$3:Q295)),IF($Q$1=$P$5,INDEX(prem_analysis!$BH$1:$BS$23,ROWS(Data!$Q$3:R295),COLUMNS(Data!$Q$3:R295)),IF($Q$1=$P$6,INDEX(prem_analysis!$BU$1:$CF$67,ROWS(prem_analysis!$N$2:O294),COLUMNS(prem_analysis!$N$2:O294)),IF($Q$1=$P$4,INDEX(Table24[[#All],[Year]:[Details]],ROWS(prem_analysis!$M$420:N712),COLUMNS(Data!$Q$3:R295)))))),"")</f>
        <v/>
      </c>
      <c r="T294" s="1" t="str">
        <f>IFERROR(IF($Q$1=$P$3,INDEX(prem_analysis!$P$2:$Q$441,ROWS(Data!$P$2:S294),COLUMNS(Data!$P$3:R295)),IF($Q$1=$P$5,INDEX(prem_analysis!$BH$1:$BS$23,ROWS(Data!$Q$3:S295),COLUMNS(Data!$Q$3:S295)),IF($Q$1=$P$6,INDEX(prem_analysis!$BU$1:$CF$67,ROWS(prem_analysis!$N$2:P294),COLUMNS(prem_analysis!$N$2:P294)),IF($Q$1=$P$4,INDEX(Table24[[#All],[Year]:[Details]],ROWS(prem_analysis!$M$420:O712),COLUMNS(Data!$Q$3:S295)))))),"")</f>
        <v/>
      </c>
      <c r="U294" s="1" t="str">
        <f>IFERROR(IF($Q$1=$P$3,INDEX(prem_analysis!$P$2:$Q$441,ROWS(Data!$P$2:T294),COLUMNS(Data!$P$3:S295)),IF($Q$1=$P$5,INDEX(prem_analysis!$BH$1:$BS$23,ROWS(Data!$Q$3:T295),COLUMNS(Data!$Q$3:T295)),IF($Q$1=$P$6,INDEX(prem_analysis!$BU$1:$CF$67,ROWS(prem_analysis!$N$2:Q294),COLUMNS(prem_analysis!$N$2:Q294)),IF($Q$1=$P$4,INDEX(Table24[[#All],[Year]:[Details]],ROWS(prem_analysis!$M$420:P712),COLUMNS(Data!$Q$3:T295)))))),"")</f>
        <v/>
      </c>
      <c r="V294" s="1" t="str">
        <f>IFERROR(IF($Q$1=$P$3,INDEX(prem_analysis!$P$2:$Q$441,ROWS(Data!$P$2:U294),COLUMNS(Data!$P$3:T295)),IF($Q$1=$P$5,INDEX(prem_analysis!$BH$1:$BS$23,ROWS(Data!$Q$3:U295),COLUMNS(Data!$Q$3:U295)),IF($Q$1=$P$6,INDEX(prem_analysis!$BU$1:$CF$67,ROWS(prem_analysis!$N$2:R294),COLUMNS(prem_analysis!$N$2:R294)),IF($Q$1=$P$4,INDEX(Table24[[#All],[Year]:[Details]],ROWS(prem_analysis!$M$420:Q712),COLUMNS(Data!$Q$3:U295)))))),"")</f>
        <v/>
      </c>
      <c r="W294" s="1" t="str">
        <f>IFERROR(IF($Q$1=$P$3,INDEX(prem_analysis!$P$2:$Q$441,ROWS(Data!$P$2:V294),COLUMNS(Data!$P$3:U295)),IF($Q$1=$P$5,INDEX(prem_analysis!$BH$1:$BS$23,ROWS(Data!$Q$3:V295),COLUMNS(Data!$Q$3:V295)),IF($Q$1=$P$6,INDEX(prem_analysis!$BU$1:$CF$67,ROWS(prem_analysis!$N$2:S294),COLUMNS(prem_analysis!$N$2:S294)),IF($Q$1=$P$4,INDEX(Table24[[#All],[Year]:[Details]],ROWS(prem_analysis!$M$420:R712),COLUMNS(Data!$Q$3:V295)))))),"")</f>
        <v/>
      </c>
      <c r="X294" s="1" t="str">
        <f>IFERROR(IF($Q$1=$P$3,INDEX(prem_analysis!$P$2:$Q$441,ROWS(Data!$P$2:W294),COLUMNS(Data!$P$3:V295)),IF($Q$1=$P$5,INDEX(prem_analysis!$BH$1:$BS$23,ROWS(Data!$Q$3:W295),COLUMNS(Data!$Q$3:W295)),IF($Q$1=$P$6,INDEX(prem_analysis!$BU$1:$CF$67,ROWS(prem_analysis!$N$2:T294),COLUMNS(prem_analysis!$N$2:T294)),IF($Q$1=$P$4,INDEX(Table24[[#All],[Year]:[Details]],ROWS(prem_analysis!$M$420:S712),COLUMNS(Data!$Q$3:W295)))))),"")</f>
        <v/>
      </c>
      <c r="Y294" s="1" t="str">
        <f>IFERROR(IF($Q$1=$P$3,INDEX(prem_analysis!$P$2:$Q$441,ROWS(Data!$P$2:X294),COLUMNS(Data!$P$3:W295)),IF($Q$1=$P$5,INDEX(prem_analysis!$BH$1:$BS$23,ROWS(Data!$Q$3:X295),COLUMNS(Data!$Q$3:X295)),IF($Q$1=$P$6,INDEX(prem_analysis!$BU$1:$CF$67,ROWS(prem_analysis!$N$2:U294),COLUMNS(prem_analysis!$N$2:U294)),IF($Q$1=$P$4,INDEX(Table24[[#All],[Year]:[Details]],ROWS(prem_analysis!$M$420:T712),COLUMNS(Data!$Q$3:X295)))))),"")</f>
        <v/>
      </c>
      <c r="Z294" s="1" t="str">
        <f>IFERROR(IF($Q$1=$P$3,INDEX(prem_analysis!$P$2:$Q$441,ROWS(Data!$P$2:Y294),COLUMNS(Data!$P$3:X295)),IF($Q$1=$P$5,INDEX(prem_analysis!$BH$1:$BS$23,ROWS(Data!$Q$3:Y295),COLUMNS(Data!$Q$3:Y295)),IF($Q$1=$P$6,INDEX(prem_analysis!$BU$1:$CF$67,ROWS(prem_analysis!$N$2:V294),COLUMNS(prem_analysis!$N$2:V294)),IF($Q$1=$P$4,INDEX(Table24[[#All],[Year]:[Details]],ROWS(prem_analysis!$M$420:U712),COLUMNS(Data!$Q$3:Y295)))))),"")</f>
        <v/>
      </c>
      <c r="AA294" s="1" t="str">
        <f>IFERROR(IF($Q$1=$P$3,INDEX(prem_analysis!$P$2:$Q$441,ROWS(Data!$P$2:Z294),COLUMNS(Data!$P$3:Y295)),IF($Q$1=$P$5,INDEX(prem_analysis!$BH$1:$BS$23,ROWS(Data!$Q$3:Z295),COLUMNS(Data!$Q$3:Z295)),IF($Q$1=$P$6,INDEX(prem_analysis!$BU$1:$CF$67,ROWS(prem_analysis!$N$2:W294),COLUMNS(prem_analysis!$N$2:W294)),IF($Q$1=$P$4,INDEX(Table24[[#All],[Year]:[Details]],ROWS(prem_analysis!$M$420:V712),COLUMNS(Data!$Q$3:Z295)))))),"")</f>
        <v/>
      </c>
      <c r="AB294" s="1" t="str">
        <f>IFERROR(IF($Q$1=$P$3,INDEX(prem_analysis!$P$2:$Q$441,ROWS(Data!$P$2:AA294),COLUMNS(Data!$P$3:Z295)),IF($Q$1=$P$5,INDEX(prem_analysis!$BH$1:$BS$23,ROWS(Data!$Q$3:AA295),COLUMNS(Data!$Q$3:AA295)),IF($Q$1=$P$6,INDEX(prem_analysis!$BU$1:$CF$67,ROWS(prem_analysis!$N$2:X294),COLUMNS(prem_analysis!$N$2:X294)),IF($Q$1=$P$4,INDEX(Table24[[#All],[Year]:[Details]],ROWS(prem_analysis!$M$420:W712),COLUMNS(Data!$Q$3:AA295)))))),"")</f>
        <v/>
      </c>
      <c r="AC294" s="1" t="str">
        <f>IFERROR(IF($Q$1=$P$3,INDEX(prem_analysis!$P$2:$Q$441,ROWS(Data!$P$2:AB294),COLUMNS(Data!$P$3:AA295)),IF($Q$1=$P$5,INDEX(prem_analysis!$BH$1:$BS$23,ROWS(Data!$Q$3:AB295),COLUMNS(Data!$Q$3:AB295)),IF($Q$1=$P$6,INDEX(prem_analysis!$BU$1:$CF$67,ROWS(prem_analysis!$N$2:Y294),COLUMNS(prem_analysis!$N$2:Y294)),IF($Q$1=$P$4,INDEX(Table24[[#All],[Year]:[Details]],ROWS(prem_analysis!$M$420:X712),COLUMNS(Data!$Q$3:AB295)))))),"")</f>
        <v/>
      </c>
    </row>
    <row r="295" spans="1:29" x14ac:dyDescent="0.2">
      <c r="A295" s="5">
        <v>2014</v>
      </c>
      <c r="B295" s="5">
        <v>14</v>
      </c>
      <c r="C295" s="6" t="s">
        <v>23</v>
      </c>
      <c r="D295" s="5">
        <v>38</v>
      </c>
      <c r="E295" s="5">
        <v>11</v>
      </c>
      <c r="F295" s="5">
        <v>8</v>
      </c>
      <c r="G295" s="5">
        <v>19</v>
      </c>
      <c r="H295" s="5">
        <v>46</v>
      </c>
      <c r="I295" s="5">
        <v>55</v>
      </c>
      <c r="J295" s="5">
        <v>-9</v>
      </c>
      <c r="K295" s="5">
        <v>41</v>
      </c>
      <c r="L295" s="5">
        <f>IF(Table24[[#This Row],['#]]=1,"Champion", IF(Table24[[#This Row],['#]]&gt;=18,"Relegated",Table24[[#This Row],['#]]))</f>
        <v>14</v>
      </c>
      <c r="M295" s="5" t="str">
        <f>IF(Table24[[#This Row],[Details]]=2,K294-Table24[[#This Row],[Pts]],IF(Table24[[#This Row],[Details]]=17,Table24[[#This Row],[Pts]]-K296,""))</f>
        <v/>
      </c>
      <c r="R295" s="1" t="str">
        <f>IFERROR(IF($Q$1=$P$3,INDEX(prem_analysis!$P$2:$Q$441,ROWS(Data!$P$2:Q295),COLUMNS(Data!$P$3:P296)),IF($Q$1=$P$5,INDEX(prem_analysis!$BH$1:$BS$23,ROWS(Data!$Q$3:Q296),COLUMNS(Data!$Q$3:Q296)),IF($Q$1=$P$6,INDEX(prem_analysis!$BU$1:$CF$67,ROWS(prem_analysis!$N$2:N295),COLUMNS(prem_analysis!$N$2:N295)),IF($Q$1=$P$4,INDEX(Table24[[#All],[Year]:[Details]],ROWS(prem_analysis!$M$420:M713),COLUMNS(Data!$Q$3:Q296)))))),"")</f>
        <v/>
      </c>
      <c r="S295" s="1" t="str">
        <f>IFERROR(IF($Q$1=$P$3,INDEX(prem_analysis!$P$2:$Q$441,ROWS(Data!$P$2:R295),COLUMNS(Data!$P$3:Q296)),IF($Q$1=$P$5,INDEX(prem_analysis!$BH$1:$BS$23,ROWS(Data!$Q$3:R296),COLUMNS(Data!$Q$3:R296)),IF($Q$1=$P$6,INDEX(prem_analysis!$BU$1:$CF$67,ROWS(prem_analysis!$N$2:O295),COLUMNS(prem_analysis!$N$2:O295)),IF($Q$1=$P$4,INDEX(Table24[[#All],[Year]:[Details]],ROWS(prem_analysis!$M$420:N713),COLUMNS(Data!$Q$3:R296)))))),"")</f>
        <v/>
      </c>
      <c r="T295" s="1" t="str">
        <f>IFERROR(IF($Q$1=$P$3,INDEX(prem_analysis!$P$2:$Q$441,ROWS(Data!$P$2:S295),COLUMNS(Data!$P$3:R296)),IF($Q$1=$P$5,INDEX(prem_analysis!$BH$1:$BS$23,ROWS(Data!$Q$3:S296),COLUMNS(Data!$Q$3:S296)),IF($Q$1=$P$6,INDEX(prem_analysis!$BU$1:$CF$67,ROWS(prem_analysis!$N$2:P295),COLUMNS(prem_analysis!$N$2:P295)),IF($Q$1=$P$4,INDEX(Table24[[#All],[Year]:[Details]],ROWS(prem_analysis!$M$420:O713),COLUMNS(Data!$Q$3:S296)))))),"")</f>
        <v/>
      </c>
      <c r="U295" s="1" t="str">
        <f>IFERROR(IF($Q$1=$P$3,INDEX(prem_analysis!$P$2:$Q$441,ROWS(Data!$P$2:T295),COLUMNS(Data!$P$3:S296)),IF($Q$1=$P$5,INDEX(prem_analysis!$BH$1:$BS$23,ROWS(Data!$Q$3:T296),COLUMNS(Data!$Q$3:T296)),IF($Q$1=$P$6,INDEX(prem_analysis!$BU$1:$CF$67,ROWS(prem_analysis!$N$2:Q295),COLUMNS(prem_analysis!$N$2:Q295)),IF($Q$1=$P$4,INDEX(Table24[[#All],[Year]:[Details]],ROWS(prem_analysis!$M$420:P713),COLUMNS(Data!$Q$3:T296)))))),"")</f>
        <v/>
      </c>
      <c r="V295" s="1" t="str">
        <f>IFERROR(IF($Q$1=$P$3,INDEX(prem_analysis!$P$2:$Q$441,ROWS(Data!$P$2:U295),COLUMNS(Data!$P$3:T296)),IF($Q$1=$P$5,INDEX(prem_analysis!$BH$1:$BS$23,ROWS(Data!$Q$3:U296),COLUMNS(Data!$Q$3:U296)),IF($Q$1=$P$6,INDEX(prem_analysis!$BU$1:$CF$67,ROWS(prem_analysis!$N$2:R295),COLUMNS(prem_analysis!$N$2:R295)),IF($Q$1=$P$4,INDEX(Table24[[#All],[Year]:[Details]],ROWS(prem_analysis!$M$420:Q713),COLUMNS(Data!$Q$3:U296)))))),"")</f>
        <v/>
      </c>
      <c r="W295" s="1" t="str">
        <f>IFERROR(IF($Q$1=$P$3,INDEX(prem_analysis!$P$2:$Q$441,ROWS(Data!$P$2:V295),COLUMNS(Data!$P$3:U296)),IF($Q$1=$P$5,INDEX(prem_analysis!$BH$1:$BS$23,ROWS(Data!$Q$3:V296),COLUMNS(Data!$Q$3:V296)),IF($Q$1=$P$6,INDEX(prem_analysis!$BU$1:$CF$67,ROWS(prem_analysis!$N$2:S295),COLUMNS(prem_analysis!$N$2:S295)),IF($Q$1=$P$4,INDEX(Table24[[#All],[Year]:[Details]],ROWS(prem_analysis!$M$420:R713),COLUMNS(Data!$Q$3:V296)))))),"")</f>
        <v/>
      </c>
      <c r="X295" s="1" t="str">
        <f>IFERROR(IF($Q$1=$P$3,INDEX(prem_analysis!$P$2:$Q$441,ROWS(Data!$P$2:W295),COLUMNS(Data!$P$3:V296)),IF($Q$1=$P$5,INDEX(prem_analysis!$BH$1:$BS$23,ROWS(Data!$Q$3:W296),COLUMNS(Data!$Q$3:W296)),IF($Q$1=$P$6,INDEX(prem_analysis!$BU$1:$CF$67,ROWS(prem_analysis!$N$2:T295),COLUMNS(prem_analysis!$N$2:T295)),IF($Q$1=$P$4,INDEX(Table24[[#All],[Year]:[Details]],ROWS(prem_analysis!$M$420:S713),COLUMNS(Data!$Q$3:W296)))))),"")</f>
        <v/>
      </c>
      <c r="Y295" s="1" t="str">
        <f>IFERROR(IF($Q$1=$P$3,INDEX(prem_analysis!$P$2:$Q$441,ROWS(Data!$P$2:X295),COLUMNS(Data!$P$3:W296)),IF($Q$1=$P$5,INDEX(prem_analysis!$BH$1:$BS$23,ROWS(Data!$Q$3:X296),COLUMNS(Data!$Q$3:X296)),IF($Q$1=$P$6,INDEX(prem_analysis!$BU$1:$CF$67,ROWS(prem_analysis!$N$2:U295),COLUMNS(prem_analysis!$N$2:U295)),IF($Q$1=$P$4,INDEX(Table24[[#All],[Year]:[Details]],ROWS(prem_analysis!$M$420:T713),COLUMNS(Data!$Q$3:X296)))))),"")</f>
        <v/>
      </c>
      <c r="Z295" s="1" t="str">
        <f>IFERROR(IF($Q$1=$P$3,INDEX(prem_analysis!$P$2:$Q$441,ROWS(Data!$P$2:Y295),COLUMNS(Data!$P$3:X296)),IF($Q$1=$P$5,INDEX(prem_analysis!$BH$1:$BS$23,ROWS(Data!$Q$3:Y296),COLUMNS(Data!$Q$3:Y296)),IF($Q$1=$P$6,INDEX(prem_analysis!$BU$1:$CF$67,ROWS(prem_analysis!$N$2:V295),COLUMNS(prem_analysis!$N$2:V295)),IF($Q$1=$P$4,INDEX(Table24[[#All],[Year]:[Details]],ROWS(prem_analysis!$M$420:U713),COLUMNS(Data!$Q$3:Y296)))))),"")</f>
        <v/>
      </c>
      <c r="AA295" s="1" t="str">
        <f>IFERROR(IF($Q$1=$P$3,INDEX(prem_analysis!$P$2:$Q$441,ROWS(Data!$P$2:Z295),COLUMNS(Data!$P$3:Y296)),IF($Q$1=$P$5,INDEX(prem_analysis!$BH$1:$BS$23,ROWS(Data!$Q$3:Z296),COLUMNS(Data!$Q$3:Z296)),IF($Q$1=$P$6,INDEX(prem_analysis!$BU$1:$CF$67,ROWS(prem_analysis!$N$2:W295),COLUMNS(prem_analysis!$N$2:W295)),IF($Q$1=$P$4,INDEX(Table24[[#All],[Year]:[Details]],ROWS(prem_analysis!$M$420:V713),COLUMNS(Data!$Q$3:Z296)))))),"")</f>
        <v/>
      </c>
      <c r="AB295" s="1" t="str">
        <f>IFERROR(IF($Q$1=$P$3,INDEX(prem_analysis!$P$2:$Q$441,ROWS(Data!$P$2:AA295),COLUMNS(Data!$P$3:Z296)),IF($Q$1=$P$5,INDEX(prem_analysis!$BH$1:$BS$23,ROWS(Data!$Q$3:AA296),COLUMNS(Data!$Q$3:AA296)),IF($Q$1=$P$6,INDEX(prem_analysis!$BU$1:$CF$67,ROWS(prem_analysis!$N$2:X295),COLUMNS(prem_analysis!$N$2:X295)),IF($Q$1=$P$4,INDEX(Table24[[#All],[Year]:[Details]],ROWS(prem_analysis!$M$420:W713),COLUMNS(Data!$Q$3:AA296)))))),"")</f>
        <v/>
      </c>
      <c r="AC295" s="1" t="str">
        <f>IFERROR(IF($Q$1=$P$3,INDEX(prem_analysis!$P$2:$Q$441,ROWS(Data!$P$2:AB295),COLUMNS(Data!$P$3:AA296)),IF($Q$1=$P$5,INDEX(prem_analysis!$BH$1:$BS$23,ROWS(Data!$Q$3:AB296),COLUMNS(Data!$Q$3:AB296)),IF($Q$1=$P$6,INDEX(prem_analysis!$BU$1:$CF$67,ROWS(prem_analysis!$N$2:Y295),COLUMNS(prem_analysis!$N$2:Y295)),IF($Q$1=$P$4,INDEX(Table24[[#All],[Year]:[Details]],ROWS(prem_analysis!$M$420:X713),COLUMNS(Data!$Q$3:AB296)))))),"")</f>
        <v/>
      </c>
    </row>
    <row r="296" spans="1:29" x14ac:dyDescent="0.2">
      <c r="A296" s="3">
        <v>2014</v>
      </c>
      <c r="B296" s="3">
        <v>15</v>
      </c>
      <c r="C296" s="4" t="s">
        <v>21</v>
      </c>
      <c r="D296" s="3">
        <v>38</v>
      </c>
      <c r="E296" s="3">
        <v>10</v>
      </c>
      <c r="F296" s="3">
        <v>9</v>
      </c>
      <c r="G296" s="3">
        <v>19</v>
      </c>
      <c r="H296" s="3">
        <v>40</v>
      </c>
      <c r="I296" s="3">
        <v>63</v>
      </c>
      <c r="J296" s="3">
        <v>-23</v>
      </c>
      <c r="K296" s="3">
        <v>39</v>
      </c>
      <c r="L296" s="5">
        <f>IF(Table24[[#This Row],['#]]=1,"Champion", IF(Table24[[#This Row],['#]]&gt;=18,"Relegated",Table24[[#This Row],['#]]))</f>
        <v>15</v>
      </c>
      <c r="M296" s="5" t="str">
        <f>IF(Table24[[#This Row],[Details]]=2,K295-Table24[[#This Row],[Pts]],IF(Table24[[#This Row],[Details]]=17,Table24[[#This Row],[Pts]]-K297,""))</f>
        <v/>
      </c>
      <c r="R296" s="1" t="str">
        <f>IFERROR(IF($Q$1=$P$3,INDEX(prem_analysis!$P$2:$Q$441,ROWS(Data!$P$2:Q296),COLUMNS(Data!$P$3:P297)),IF($Q$1=$P$5,INDEX(prem_analysis!$BH$1:$BS$23,ROWS(Data!$Q$3:Q297),COLUMNS(Data!$Q$3:Q297)),IF($Q$1=$P$6,INDEX(prem_analysis!$BU$1:$CF$67,ROWS(prem_analysis!$N$2:N296),COLUMNS(prem_analysis!$N$2:N296)),IF($Q$1=$P$4,INDEX(Table24[[#All],[Year]:[Details]],ROWS(prem_analysis!$M$420:M714),COLUMNS(Data!$Q$3:Q297)))))),"")</f>
        <v/>
      </c>
      <c r="S296" s="1" t="str">
        <f>IFERROR(IF($Q$1=$P$3,INDEX(prem_analysis!$P$2:$Q$441,ROWS(Data!$P$2:R296),COLUMNS(Data!$P$3:Q297)),IF($Q$1=$P$5,INDEX(prem_analysis!$BH$1:$BS$23,ROWS(Data!$Q$3:R297),COLUMNS(Data!$Q$3:R297)),IF($Q$1=$P$6,INDEX(prem_analysis!$BU$1:$CF$67,ROWS(prem_analysis!$N$2:O296),COLUMNS(prem_analysis!$N$2:O296)),IF($Q$1=$P$4,INDEX(Table24[[#All],[Year]:[Details]],ROWS(prem_analysis!$M$420:N714),COLUMNS(Data!$Q$3:R297)))))),"")</f>
        <v/>
      </c>
      <c r="T296" s="1" t="str">
        <f>IFERROR(IF($Q$1=$P$3,INDEX(prem_analysis!$P$2:$Q$441,ROWS(Data!$P$2:S296),COLUMNS(Data!$P$3:R297)),IF($Q$1=$P$5,INDEX(prem_analysis!$BH$1:$BS$23,ROWS(Data!$Q$3:S297),COLUMNS(Data!$Q$3:S297)),IF($Q$1=$P$6,INDEX(prem_analysis!$BU$1:$CF$67,ROWS(prem_analysis!$N$2:P296),COLUMNS(prem_analysis!$N$2:P296)),IF($Q$1=$P$4,INDEX(Table24[[#All],[Year]:[Details]],ROWS(prem_analysis!$M$420:O714),COLUMNS(Data!$Q$3:S297)))))),"")</f>
        <v/>
      </c>
      <c r="U296" s="1" t="str">
        <f>IFERROR(IF($Q$1=$P$3,INDEX(prem_analysis!$P$2:$Q$441,ROWS(Data!$P$2:T296),COLUMNS(Data!$P$3:S297)),IF($Q$1=$P$5,INDEX(prem_analysis!$BH$1:$BS$23,ROWS(Data!$Q$3:T297),COLUMNS(Data!$Q$3:T297)),IF($Q$1=$P$6,INDEX(prem_analysis!$BU$1:$CF$67,ROWS(prem_analysis!$N$2:Q296),COLUMNS(prem_analysis!$N$2:Q296)),IF($Q$1=$P$4,INDEX(Table24[[#All],[Year]:[Details]],ROWS(prem_analysis!$M$420:P714),COLUMNS(Data!$Q$3:T297)))))),"")</f>
        <v/>
      </c>
      <c r="V296" s="1" t="str">
        <f>IFERROR(IF($Q$1=$P$3,INDEX(prem_analysis!$P$2:$Q$441,ROWS(Data!$P$2:U296),COLUMNS(Data!$P$3:T297)),IF($Q$1=$P$5,INDEX(prem_analysis!$BH$1:$BS$23,ROWS(Data!$Q$3:U297),COLUMNS(Data!$Q$3:U297)),IF($Q$1=$P$6,INDEX(prem_analysis!$BU$1:$CF$67,ROWS(prem_analysis!$N$2:R296),COLUMNS(prem_analysis!$N$2:R296)),IF($Q$1=$P$4,INDEX(Table24[[#All],[Year]:[Details]],ROWS(prem_analysis!$M$420:Q714),COLUMNS(Data!$Q$3:U297)))))),"")</f>
        <v/>
      </c>
      <c r="W296" s="1" t="str">
        <f>IFERROR(IF($Q$1=$P$3,INDEX(prem_analysis!$P$2:$Q$441,ROWS(Data!$P$2:V296),COLUMNS(Data!$P$3:U297)),IF($Q$1=$P$5,INDEX(prem_analysis!$BH$1:$BS$23,ROWS(Data!$Q$3:V297),COLUMNS(Data!$Q$3:V297)),IF($Q$1=$P$6,INDEX(prem_analysis!$BU$1:$CF$67,ROWS(prem_analysis!$N$2:S296),COLUMNS(prem_analysis!$N$2:S296)),IF($Q$1=$P$4,INDEX(Table24[[#All],[Year]:[Details]],ROWS(prem_analysis!$M$420:R714),COLUMNS(Data!$Q$3:V297)))))),"")</f>
        <v/>
      </c>
      <c r="X296" s="1" t="str">
        <f>IFERROR(IF($Q$1=$P$3,INDEX(prem_analysis!$P$2:$Q$441,ROWS(Data!$P$2:W296),COLUMNS(Data!$P$3:V297)),IF($Q$1=$P$5,INDEX(prem_analysis!$BH$1:$BS$23,ROWS(Data!$Q$3:W297),COLUMNS(Data!$Q$3:W297)),IF($Q$1=$P$6,INDEX(prem_analysis!$BU$1:$CF$67,ROWS(prem_analysis!$N$2:T296),COLUMNS(prem_analysis!$N$2:T296)),IF($Q$1=$P$4,INDEX(Table24[[#All],[Year]:[Details]],ROWS(prem_analysis!$M$420:S714),COLUMNS(Data!$Q$3:W297)))))),"")</f>
        <v/>
      </c>
      <c r="Y296" s="1" t="str">
        <f>IFERROR(IF($Q$1=$P$3,INDEX(prem_analysis!$P$2:$Q$441,ROWS(Data!$P$2:X296),COLUMNS(Data!$P$3:W297)),IF($Q$1=$P$5,INDEX(prem_analysis!$BH$1:$BS$23,ROWS(Data!$Q$3:X297),COLUMNS(Data!$Q$3:X297)),IF($Q$1=$P$6,INDEX(prem_analysis!$BU$1:$CF$67,ROWS(prem_analysis!$N$2:U296),COLUMNS(prem_analysis!$N$2:U296)),IF($Q$1=$P$4,INDEX(Table24[[#All],[Year]:[Details]],ROWS(prem_analysis!$M$420:T714),COLUMNS(Data!$Q$3:X297)))))),"")</f>
        <v/>
      </c>
      <c r="Z296" s="1" t="str">
        <f>IFERROR(IF($Q$1=$P$3,INDEX(prem_analysis!$P$2:$Q$441,ROWS(Data!$P$2:Y296),COLUMNS(Data!$P$3:X297)),IF($Q$1=$P$5,INDEX(prem_analysis!$BH$1:$BS$23,ROWS(Data!$Q$3:Y297),COLUMNS(Data!$Q$3:Y297)),IF($Q$1=$P$6,INDEX(prem_analysis!$BU$1:$CF$67,ROWS(prem_analysis!$N$2:V296),COLUMNS(prem_analysis!$N$2:V296)),IF($Q$1=$P$4,INDEX(Table24[[#All],[Year]:[Details]],ROWS(prem_analysis!$M$420:U714),COLUMNS(Data!$Q$3:Y297)))))),"")</f>
        <v/>
      </c>
      <c r="AA296" s="1" t="str">
        <f>IFERROR(IF($Q$1=$P$3,INDEX(prem_analysis!$P$2:$Q$441,ROWS(Data!$P$2:Z296),COLUMNS(Data!$P$3:Y297)),IF($Q$1=$P$5,INDEX(prem_analysis!$BH$1:$BS$23,ROWS(Data!$Q$3:Z297),COLUMNS(Data!$Q$3:Z297)),IF($Q$1=$P$6,INDEX(prem_analysis!$BU$1:$CF$67,ROWS(prem_analysis!$N$2:W296),COLUMNS(prem_analysis!$N$2:W296)),IF($Q$1=$P$4,INDEX(Table24[[#All],[Year]:[Details]],ROWS(prem_analysis!$M$420:V714),COLUMNS(Data!$Q$3:Z297)))))),"")</f>
        <v/>
      </c>
      <c r="AB296" s="1" t="str">
        <f>IFERROR(IF($Q$1=$P$3,INDEX(prem_analysis!$P$2:$Q$441,ROWS(Data!$P$2:AA296),COLUMNS(Data!$P$3:Z297)),IF($Q$1=$P$5,INDEX(prem_analysis!$BH$1:$BS$23,ROWS(Data!$Q$3:AA297),COLUMNS(Data!$Q$3:AA297)),IF($Q$1=$P$6,INDEX(prem_analysis!$BU$1:$CF$67,ROWS(prem_analysis!$N$2:X296),COLUMNS(prem_analysis!$N$2:X296)),IF($Q$1=$P$4,INDEX(Table24[[#All],[Year]:[Details]],ROWS(prem_analysis!$M$420:W714),COLUMNS(Data!$Q$3:AA297)))))),"")</f>
        <v/>
      </c>
      <c r="AC296" s="1" t="str">
        <f>IFERROR(IF($Q$1=$P$3,INDEX(prem_analysis!$P$2:$Q$441,ROWS(Data!$P$2:AB296),COLUMNS(Data!$P$3:AA297)),IF($Q$1=$P$5,INDEX(prem_analysis!$BH$1:$BS$23,ROWS(Data!$Q$3:AB297),COLUMNS(Data!$Q$3:AB297)),IF($Q$1=$P$6,INDEX(prem_analysis!$BU$1:$CF$67,ROWS(prem_analysis!$N$2:Y296),COLUMNS(prem_analysis!$N$2:Y296)),IF($Q$1=$P$4,INDEX(Table24[[#All],[Year]:[Details]],ROWS(prem_analysis!$M$420:X714),COLUMNS(Data!$Q$3:AB297)))))),"")</f>
        <v/>
      </c>
    </row>
    <row r="297" spans="1:29" x14ac:dyDescent="0.2">
      <c r="A297" s="5">
        <v>2014</v>
      </c>
      <c r="B297" s="5">
        <v>16</v>
      </c>
      <c r="C297" s="6" t="s">
        <v>17</v>
      </c>
      <c r="D297" s="5">
        <v>38</v>
      </c>
      <c r="E297" s="5">
        <v>7</v>
      </c>
      <c r="F297" s="5">
        <v>17</v>
      </c>
      <c r="G297" s="5">
        <v>14</v>
      </c>
      <c r="H297" s="5">
        <v>31</v>
      </c>
      <c r="I297" s="5">
        <v>53</v>
      </c>
      <c r="J297" s="5">
        <v>-22</v>
      </c>
      <c r="K297" s="5">
        <v>38</v>
      </c>
      <c r="L297" s="5">
        <f>IF(Table24[[#This Row],['#]]=1,"Champion", IF(Table24[[#This Row],['#]]&gt;=18,"Relegated",Table24[[#This Row],['#]]))</f>
        <v>16</v>
      </c>
      <c r="M297" s="5" t="str">
        <f>IF(Table24[[#This Row],[Details]]=2,K296-Table24[[#This Row],[Pts]],IF(Table24[[#This Row],[Details]]=17,Table24[[#This Row],[Pts]]-K298,""))</f>
        <v/>
      </c>
      <c r="R297" s="1" t="str">
        <f>IFERROR(IF($Q$1=$P$3,INDEX(prem_analysis!$P$2:$Q$441,ROWS(Data!$P$2:Q297),COLUMNS(Data!$P$3:P298)),IF($Q$1=$P$5,INDEX(prem_analysis!$BH$1:$BS$23,ROWS(Data!$Q$3:Q298),COLUMNS(Data!$Q$3:Q298)),IF($Q$1=$P$6,INDEX(prem_analysis!$BU$1:$CF$67,ROWS(prem_analysis!$N$2:N297),COLUMNS(prem_analysis!$N$2:N297)),IF($Q$1=$P$4,INDEX(Table24[[#All],[Year]:[Details]],ROWS(prem_analysis!$M$420:M715),COLUMNS(Data!$Q$3:Q298)))))),"")</f>
        <v/>
      </c>
      <c r="S297" s="1" t="str">
        <f>IFERROR(IF($Q$1=$P$3,INDEX(prem_analysis!$P$2:$Q$441,ROWS(Data!$P$2:R297),COLUMNS(Data!$P$3:Q298)),IF($Q$1=$P$5,INDEX(prem_analysis!$BH$1:$BS$23,ROWS(Data!$Q$3:R298),COLUMNS(Data!$Q$3:R298)),IF($Q$1=$P$6,INDEX(prem_analysis!$BU$1:$CF$67,ROWS(prem_analysis!$N$2:O297),COLUMNS(prem_analysis!$N$2:O297)),IF($Q$1=$P$4,INDEX(Table24[[#All],[Year]:[Details]],ROWS(prem_analysis!$M$420:N715),COLUMNS(Data!$Q$3:R298)))))),"")</f>
        <v/>
      </c>
      <c r="T297" s="1" t="str">
        <f>IFERROR(IF($Q$1=$P$3,INDEX(prem_analysis!$P$2:$Q$441,ROWS(Data!$P$2:S297),COLUMNS(Data!$P$3:R298)),IF($Q$1=$P$5,INDEX(prem_analysis!$BH$1:$BS$23,ROWS(Data!$Q$3:S298),COLUMNS(Data!$Q$3:S298)),IF($Q$1=$P$6,INDEX(prem_analysis!$BU$1:$CF$67,ROWS(prem_analysis!$N$2:P297),COLUMNS(prem_analysis!$N$2:P297)),IF($Q$1=$P$4,INDEX(Table24[[#All],[Year]:[Details]],ROWS(prem_analysis!$M$420:O715),COLUMNS(Data!$Q$3:S298)))))),"")</f>
        <v/>
      </c>
      <c r="U297" s="1" t="str">
        <f>IFERROR(IF($Q$1=$P$3,INDEX(prem_analysis!$P$2:$Q$441,ROWS(Data!$P$2:T297),COLUMNS(Data!$P$3:S298)),IF($Q$1=$P$5,INDEX(prem_analysis!$BH$1:$BS$23,ROWS(Data!$Q$3:T298),COLUMNS(Data!$Q$3:T298)),IF($Q$1=$P$6,INDEX(prem_analysis!$BU$1:$CF$67,ROWS(prem_analysis!$N$2:Q297),COLUMNS(prem_analysis!$N$2:Q297)),IF($Q$1=$P$4,INDEX(Table24[[#All],[Year]:[Details]],ROWS(prem_analysis!$M$420:P715),COLUMNS(Data!$Q$3:T298)))))),"")</f>
        <v/>
      </c>
      <c r="V297" s="1" t="str">
        <f>IFERROR(IF($Q$1=$P$3,INDEX(prem_analysis!$P$2:$Q$441,ROWS(Data!$P$2:U297),COLUMNS(Data!$P$3:T298)),IF($Q$1=$P$5,INDEX(prem_analysis!$BH$1:$BS$23,ROWS(Data!$Q$3:U298),COLUMNS(Data!$Q$3:U298)),IF($Q$1=$P$6,INDEX(prem_analysis!$BU$1:$CF$67,ROWS(prem_analysis!$N$2:R297),COLUMNS(prem_analysis!$N$2:R297)),IF($Q$1=$P$4,INDEX(Table24[[#All],[Year]:[Details]],ROWS(prem_analysis!$M$420:Q715),COLUMNS(Data!$Q$3:U298)))))),"")</f>
        <v/>
      </c>
      <c r="W297" s="1" t="str">
        <f>IFERROR(IF($Q$1=$P$3,INDEX(prem_analysis!$P$2:$Q$441,ROWS(Data!$P$2:V297),COLUMNS(Data!$P$3:U298)),IF($Q$1=$P$5,INDEX(prem_analysis!$BH$1:$BS$23,ROWS(Data!$Q$3:V298),COLUMNS(Data!$Q$3:V298)),IF($Q$1=$P$6,INDEX(prem_analysis!$BU$1:$CF$67,ROWS(prem_analysis!$N$2:S297),COLUMNS(prem_analysis!$N$2:S297)),IF($Q$1=$P$4,INDEX(Table24[[#All],[Year]:[Details]],ROWS(prem_analysis!$M$420:R715),COLUMNS(Data!$Q$3:V298)))))),"")</f>
        <v/>
      </c>
      <c r="X297" s="1" t="str">
        <f>IFERROR(IF($Q$1=$P$3,INDEX(prem_analysis!$P$2:$Q$441,ROWS(Data!$P$2:W297),COLUMNS(Data!$P$3:V298)),IF($Q$1=$P$5,INDEX(prem_analysis!$BH$1:$BS$23,ROWS(Data!$Q$3:W298),COLUMNS(Data!$Q$3:W298)),IF($Q$1=$P$6,INDEX(prem_analysis!$BU$1:$CF$67,ROWS(prem_analysis!$N$2:T297),COLUMNS(prem_analysis!$N$2:T297)),IF($Q$1=$P$4,INDEX(Table24[[#All],[Year]:[Details]],ROWS(prem_analysis!$M$420:S715),COLUMNS(Data!$Q$3:W298)))))),"")</f>
        <v/>
      </c>
      <c r="Y297" s="1" t="str">
        <f>IFERROR(IF($Q$1=$P$3,INDEX(prem_analysis!$P$2:$Q$441,ROWS(Data!$P$2:X297),COLUMNS(Data!$P$3:W298)),IF($Q$1=$P$5,INDEX(prem_analysis!$BH$1:$BS$23,ROWS(Data!$Q$3:X298),COLUMNS(Data!$Q$3:X298)),IF($Q$1=$P$6,INDEX(prem_analysis!$BU$1:$CF$67,ROWS(prem_analysis!$N$2:U297),COLUMNS(prem_analysis!$N$2:U297)),IF($Q$1=$P$4,INDEX(Table24[[#All],[Year]:[Details]],ROWS(prem_analysis!$M$420:T715),COLUMNS(Data!$Q$3:X298)))))),"")</f>
        <v/>
      </c>
      <c r="Z297" s="1" t="str">
        <f>IFERROR(IF($Q$1=$P$3,INDEX(prem_analysis!$P$2:$Q$441,ROWS(Data!$P$2:Y297),COLUMNS(Data!$P$3:X298)),IF($Q$1=$P$5,INDEX(prem_analysis!$BH$1:$BS$23,ROWS(Data!$Q$3:Y298),COLUMNS(Data!$Q$3:Y298)),IF($Q$1=$P$6,INDEX(prem_analysis!$BU$1:$CF$67,ROWS(prem_analysis!$N$2:V297),COLUMNS(prem_analysis!$N$2:V297)),IF($Q$1=$P$4,INDEX(Table24[[#All],[Year]:[Details]],ROWS(prem_analysis!$M$420:U715),COLUMNS(Data!$Q$3:Y298)))))),"")</f>
        <v/>
      </c>
      <c r="AA297" s="1" t="str">
        <f>IFERROR(IF($Q$1=$P$3,INDEX(prem_analysis!$P$2:$Q$441,ROWS(Data!$P$2:Z297),COLUMNS(Data!$P$3:Y298)),IF($Q$1=$P$5,INDEX(prem_analysis!$BH$1:$BS$23,ROWS(Data!$Q$3:Z298),COLUMNS(Data!$Q$3:Z298)),IF($Q$1=$P$6,INDEX(prem_analysis!$BU$1:$CF$67,ROWS(prem_analysis!$N$2:W297),COLUMNS(prem_analysis!$N$2:W297)),IF($Q$1=$P$4,INDEX(Table24[[#All],[Year]:[Details]],ROWS(prem_analysis!$M$420:V715),COLUMNS(Data!$Q$3:Z298)))))),"")</f>
        <v/>
      </c>
      <c r="AB297" s="1" t="str">
        <f>IFERROR(IF($Q$1=$P$3,INDEX(prem_analysis!$P$2:$Q$441,ROWS(Data!$P$2:AA297),COLUMNS(Data!$P$3:Z298)),IF($Q$1=$P$5,INDEX(prem_analysis!$BH$1:$BS$23,ROWS(Data!$Q$3:AA298),COLUMNS(Data!$Q$3:AA298)),IF($Q$1=$P$6,INDEX(prem_analysis!$BU$1:$CF$67,ROWS(prem_analysis!$N$2:X297),COLUMNS(prem_analysis!$N$2:X297)),IF($Q$1=$P$4,INDEX(Table24[[#All],[Year]:[Details]],ROWS(prem_analysis!$M$420:W715),COLUMNS(Data!$Q$3:AA298)))))),"")</f>
        <v/>
      </c>
      <c r="AC297" s="1" t="str">
        <f>IFERROR(IF($Q$1=$P$3,INDEX(prem_analysis!$P$2:$Q$441,ROWS(Data!$P$2:AB297),COLUMNS(Data!$P$3:AA298)),IF($Q$1=$P$5,INDEX(prem_analysis!$BH$1:$BS$23,ROWS(Data!$Q$3:AB298),COLUMNS(Data!$Q$3:AB298)),IF($Q$1=$P$6,INDEX(prem_analysis!$BU$1:$CF$67,ROWS(prem_analysis!$N$2:Y297),COLUMNS(prem_analysis!$N$2:Y297)),IF($Q$1=$P$4,INDEX(Table24[[#All],[Year]:[Details]],ROWS(prem_analysis!$M$420:X715),COLUMNS(Data!$Q$3:AB298)))))),"")</f>
        <v/>
      </c>
    </row>
    <row r="298" spans="1:29" x14ac:dyDescent="0.2">
      <c r="A298" s="3">
        <v>2014</v>
      </c>
      <c r="B298" s="3">
        <v>17</v>
      </c>
      <c r="C298" s="4" t="s">
        <v>18</v>
      </c>
      <c r="D298" s="3">
        <v>38</v>
      </c>
      <c r="E298" s="3">
        <v>10</v>
      </c>
      <c r="F298" s="3">
        <v>8</v>
      </c>
      <c r="G298" s="3">
        <v>20</v>
      </c>
      <c r="H298" s="3">
        <v>31</v>
      </c>
      <c r="I298" s="3">
        <v>57</v>
      </c>
      <c r="J298" s="3">
        <v>-26</v>
      </c>
      <c r="K298" s="3">
        <v>38</v>
      </c>
      <c r="L298" s="5">
        <f>IF(Table24[[#This Row],['#]]=1,"Champion", IF(Table24[[#This Row],['#]]&gt;=18,"Relegated",Table24[[#This Row],['#]]))</f>
        <v>17</v>
      </c>
      <c r="M298" s="5">
        <f>IF(Table24[[#This Row],[Details]]=2,K297-Table24[[#This Row],[Pts]],IF(Table24[[#This Row],[Details]]=17,Table24[[#This Row],[Pts]]-K299,""))</f>
        <v>3</v>
      </c>
      <c r="R298" s="1" t="str">
        <f>IFERROR(IF($Q$1=$P$3,INDEX(prem_analysis!$P$2:$Q$441,ROWS(Data!$P$2:Q298),COLUMNS(Data!$P$3:P299)),IF($Q$1=$P$5,INDEX(prem_analysis!$BH$1:$BS$23,ROWS(Data!$Q$3:Q299),COLUMNS(Data!$Q$3:Q299)),IF($Q$1=$P$6,INDEX(prem_analysis!$BU$1:$CF$67,ROWS(prem_analysis!$N$2:N298),COLUMNS(prem_analysis!$N$2:N298)),IF($Q$1=$P$4,INDEX(Table24[[#All],[Year]:[Details]],ROWS(prem_analysis!$M$420:M716),COLUMNS(Data!$Q$3:Q299)))))),"")</f>
        <v/>
      </c>
      <c r="S298" s="1" t="str">
        <f>IFERROR(IF($Q$1=$P$3,INDEX(prem_analysis!$P$2:$Q$441,ROWS(Data!$P$2:R298),COLUMNS(Data!$P$3:Q299)),IF($Q$1=$P$5,INDEX(prem_analysis!$BH$1:$BS$23,ROWS(Data!$Q$3:R299),COLUMNS(Data!$Q$3:R299)),IF($Q$1=$P$6,INDEX(prem_analysis!$BU$1:$CF$67,ROWS(prem_analysis!$N$2:O298),COLUMNS(prem_analysis!$N$2:O298)),IF($Q$1=$P$4,INDEX(Table24[[#All],[Year]:[Details]],ROWS(prem_analysis!$M$420:N716),COLUMNS(Data!$Q$3:R299)))))),"")</f>
        <v/>
      </c>
      <c r="T298" s="1" t="str">
        <f>IFERROR(IF($Q$1=$P$3,INDEX(prem_analysis!$P$2:$Q$441,ROWS(Data!$P$2:S298),COLUMNS(Data!$P$3:R299)),IF($Q$1=$P$5,INDEX(prem_analysis!$BH$1:$BS$23,ROWS(Data!$Q$3:S299),COLUMNS(Data!$Q$3:S299)),IF($Q$1=$P$6,INDEX(prem_analysis!$BU$1:$CF$67,ROWS(prem_analysis!$N$2:P298),COLUMNS(prem_analysis!$N$2:P298)),IF($Q$1=$P$4,INDEX(Table24[[#All],[Year]:[Details]],ROWS(prem_analysis!$M$420:O716),COLUMNS(Data!$Q$3:S299)))))),"")</f>
        <v/>
      </c>
      <c r="U298" s="1" t="str">
        <f>IFERROR(IF($Q$1=$P$3,INDEX(prem_analysis!$P$2:$Q$441,ROWS(Data!$P$2:T298),COLUMNS(Data!$P$3:S299)),IF($Q$1=$P$5,INDEX(prem_analysis!$BH$1:$BS$23,ROWS(Data!$Q$3:T299),COLUMNS(Data!$Q$3:T299)),IF($Q$1=$P$6,INDEX(prem_analysis!$BU$1:$CF$67,ROWS(prem_analysis!$N$2:Q298),COLUMNS(prem_analysis!$N$2:Q298)),IF($Q$1=$P$4,INDEX(Table24[[#All],[Year]:[Details]],ROWS(prem_analysis!$M$420:P716),COLUMNS(Data!$Q$3:T299)))))),"")</f>
        <v/>
      </c>
      <c r="V298" s="1" t="str">
        <f>IFERROR(IF($Q$1=$P$3,INDEX(prem_analysis!$P$2:$Q$441,ROWS(Data!$P$2:U298),COLUMNS(Data!$P$3:T299)),IF($Q$1=$P$5,INDEX(prem_analysis!$BH$1:$BS$23,ROWS(Data!$Q$3:U299),COLUMNS(Data!$Q$3:U299)),IF($Q$1=$P$6,INDEX(prem_analysis!$BU$1:$CF$67,ROWS(prem_analysis!$N$2:R298),COLUMNS(prem_analysis!$N$2:R298)),IF($Q$1=$P$4,INDEX(Table24[[#All],[Year]:[Details]],ROWS(prem_analysis!$M$420:Q716),COLUMNS(Data!$Q$3:U299)))))),"")</f>
        <v/>
      </c>
      <c r="W298" s="1" t="str">
        <f>IFERROR(IF($Q$1=$P$3,INDEX(prem_analysis!$P$2:$Q$441,ROWS(Data!$P$2:V298),COLUMNS(Data!$P$3:U299)),IF($Q$1=$P$5,INDEX(prem_analysis!$BH$1:$BS$23,ROWS(Data!$Q$3:V299),COLUMNS(Data!$Q$3:V299)),IF($Q$1=$P$6,INDEX(prem_analysis!$BU$1:$CF$67,ROWS(prem_analysis!$N$2:S298),COLUMNS(prem_analysis!$N$2:S298)),IF($Q$1=$P$4,INDEX(Table24[[#All],[Year]:[Details]],ROWS(prem_analysis!$M$420:R716),COLUMNS(Data!$Q$3:V299)))))),"")</f>
        <v/>
      </c>
      <c r="X298" s="1" t="str">
        <f>IFERROR(IF($Q$1=$P$3,INDEX(prem_analysis!$P$2:$Q$441,ROWS(Data!$P$2:W298),COLUMNS(Data!$P$3:V299)),IF($Q$1=$P$5,INDEX(prem_analysis!$BH$1:$BS$23,ROWS(Data!$Q$3:W299),COLUMNS(Data!$Q$3:W299)),IF($Q$1=$P$6,INDEX(prem_analysis!$BU$1:$CF$67,ROWS(prem_analysis!$N$2:T298),COLUMNS(prem_analysis!$N$2:T298)),IF($Q$1=$P$4,INDEX(Table24[[#All],[Year]:[Details]],ROWS(prem_analysis!$M$420:S716),COLUMNS(Data!$Q$3:W299)))))),"")</f>
        <v/>
      </c>
      <c r="Y298" s="1" t="str">
        <f>IFERROR(IF($Q$1=$P$3,INDEX(prem_analysis!$P$2:$Q$441,ROWS(Data!$P$2:X298),COLUMNS(Data!$P$3:W299)),IF($Q$1=$P$5,INDEX(prem_analysis!$BH$1:$BS$23,ROWS(Data!$Q$3:X299),COLUMNS(Data!$Q$3:X299)),IF($Q$1=$P$6,INDEX(prem_analysis!$BU$1:$CF$67,ROWS(prem_analysis!$N$2:U298),COLUMNS(prem_analysis!$N$2:U298)),IF($Q$1=$P$4,INDEX(Table24[[#All],[Year]:[Details]],ROWS(prem_analysis!$M$420:T716),COLUMNS(Data!$Q$3:X299)))))),"")</f>
        <v/>
      </c>
      <c r="Z298" s="1" t="str">
        <f>IFERROR(IF($Q$1=$P$3,INDEX(prem_analysis!$P$2:$Q$441,ROWS(Data!$P$2:Y298),COLUMNS(Data!$P$3:X299)),IF($Q$1=$P$5,INDEX(prem_analysis!$BH$1:$BS$23,ROWS(Data!$Q$3:Y299),COLUMNS(Data!$Q$3:Y299)),IF($Q$1=$P$6,INDEX(prem_analysis!$BU$1:$CF$67,ROWS(prem_analysis!$N$2:V298),COLUMNS(prem_analysis!$N$2:V298)),IF($Q$1=$P$4,INDEX(Table24[[#All],[Year]:[Details]],ROWS(prem_analysis!$M$420:U716),COLUMNS(Data!$Q$3:Y299)))))),"")</f>
        <v/>
      </c>
      <c r="AA298" s="1" t="str">
        <f>IFERROR(IF($Q$1=$P$3,INDEX(prem_analysis!$P$2:$Q$441,ROWS(Data!$P$2:Z298),COLUMNS(Data!$P$3:Y299)),IF($Q$1=$P$5,INDEX(prem_analysis!$BH$1:$BS$23,ROWS(Data!$Q$3:Z299),COLUMNS(Data!$Q$3:Z299)),IF($Q$1=$P$6,INDEX(prem_analysis!$BU$1:$CF$67,ROWS(prem_analysis!$N$2:W298),COLUMNS(prem_analysis!$N$2:W298)),IF($Q$1=$P$4,INDEX(Table24[[#All],[Year]:[Details]],ROWS(prem_analysis!$M$420:V716),COLUMNS(Data!$Q$3:Z299)))))),"")</f>
        <v/>
      </c>
      <c r="AB298" s="1" t="str">
        <f>IFERROR(IF($Q$1=$P$3,INDEX(prem_analysis!$P$2:$Q$441,ROWS(Data!$P$2:AA298),COLUMNS(Data!$P$3:Z299)),IF($Q$1=$P$5,INDEX(prem_analysis!$BH$1:$BS$23,ROWS(Data!$Q$3:AA299),COLUMNS(Data!$Q$3:AA299)),IF($Q$1=$P$6,INDEX(prem_analysis!$BU$1:$CF$67,ROWS(prem_analysis!$N$2:X298),COLUMNS(prem_analysis!$N$2:X298)),IF($Q$1=$P$4,INDEX(Table24[[#All],[Year]:[Details]],ROWS(prem_analysis!$M$420:W716),COLUMNS(Data!$Q$3:AA299)))))),"")</f>
        <v/>
      </c>
      <c r="AC298" s="1" t="str">
        <f>IFERROR(IF($Q$1=$P$3,INDEX(prem_analysis!$P$2:$Q$441,ROWS(Data!$P$2:AB298),COLUMNS(Data!$P$3:AA299)),IF($Q$1=$P$5,INDEX(prem_analysis!$BH$1:$BS$23,ROWS(Data!$Q$3:AB299),COLUMNS(Data!$Q$3:AB299)),IF($Q$1=$P$6,INDEX(prem_analysis!$BU$1:$CF$67,ROWS(prem_analysis!$N$2:Y298),COLUMNS(prem_analysis!$N$2:Y298)),IF($Q$1=$P$4,INDEX(Table24[[#All],[Year]:[Details]],ROWS(prem_analysis!$M$420:X716),COLUMNS(Data!$Q$3:AB299)))))),"")</f>
        <v/>
      </c>
    </row>
    <row r="299" spans="1:29" x14ac:dyDescent="0.2">
      <c r="A299" s="5">
        <v>2014</v>
      </c>
      <c r="B299" s="5">
        <v>18</v>
      </c>
      <c r="C299" s="6" t="s">
        <v>45</v>
      </c>
      <c r="D299" s="5">
        <v>38</v>
      </c>
      <c r="E299" s="5">
        <v>8</v>
      </c>
      <c r="F299" s="5">
        <v>11</v>
      </c>
      <c r="G299" s="5">
        <v>19</v>
      </c>
      <c r="H299" s="5">
        <v>33</v>
      </c>
      <c r="I299" s="5">
        <v>51</v>
      </c>
      <c r="J299" s="5">
        <v>-18</v>
      </c>
      <c r="K299" s="5">
        <v>35</v>
      </c>
      <c r="L299" s="5" t="str">
        <f>IF(Table24[[#This Row],['#]]=1,"Champion", IF(Table24[[#This Row],['#]]&gt;=18,"Relegated",Table24[[#This Row],['#]]))</f>
        <v>Relegated</v>
      </c>
      <c r="M299" s="5" t="str">
        <f>IF(Table24[[#This Row],[Details]]=2,K298-Table24[[#This Row],[Pts]],IF(Table24[[#This Row],[Details]]=17,Table24[[#This Row],[Pts]]-K300,""))</f>
        <v/>
      </c>
      <c r="R299" s="1" t="str">
        <f>IFERROR(IF($Q$1=$P$3,INDEX(prem_analysis!$P$2:$Q$441,ROWS(Data!$P$2:Q299),COLUMNS(Data!$P$3:P300)),IF($Q$1=$P$5,INDEX(prem_analysis!$BH$1:$BS$23,ROWS(Data!$Q$3:Q300),COLUMNS(Data!$Q$3:Q300)),IF($Q$1=$P$6,INDEX(prem_analysis!$BU$1:$CF$67,ROWS(prem_analysis!$N$2:N299),COLUMNS(prem_analysis!$N$2:N299)),IF($Q$1=$P$4,INDEX(Table24[[#All],[Year]:[Details]],ROWS(prem_analysis!$M$420:M717),COLUMNS(Data!$Q$3:Q300)))))),"")</f>
        <v/>
      </c>
      <c r="S299" s="1" t="str">
        <f>IFERROR(IF($Q$1=$P$3,INDEX(prem_analysis!$P$2:$Q$441,ROWS(Data!$P$2:R299),COLUMNS(Data!$P$3:Q300)),IF($Q$1=$P$5,INDEX(prem_analysis!$BH$1:$BS$23,ROWS(Data!$Q$3:R300),COLUMNS(Data!$Q$3:R300)),IF($Q$1=$P$6,INDEX(prem_analysis!$BU$1:$CF$67,ROWS(prem_analysis!$N$2:O299),COLUMNS(prem_analysis!$N$2:O299)),IF($Q$1=$P$4,INDEX(Table24[[#All],[Year]:[Details]],ROWS(prem_analysis!$M$420:N717),COLUMNS(Data!$Q$3:R300)))))),"")</f>
        <v/>
      </c>
      <c r="T299" s="1" t="str">
        <f>IFERROR(IF($Q$1=$P$3,INDEX(prem_analysis!$P$2:$Q$441,ROWS(Data!$P$2:S299),COLUMNS(Data!$P$3:R300)),IF($Q$1=$P$5,INDEX(prem_analysis!$BH$1:$BS$23,ROWS(Data!$Q$3:S300),COLUMNS(Data!$Q$3:S300)),IF($Q$1=$P$6,INDEX(prem_analysis!$BU$1:$CF$67,ROWS(prem_analysis!$N$2:P299),COLUMNS(prem_analysis!$N$2:P299)),IF($Q$1=$P$4,INDEX(Table24[[#All],[Year]:[Details]],ROWS(prem_analysis!$M$420:O717),COLUMNS(Data!$Q$3:S300)))))),"")</f>
        <v/>
      </c>
      <c r="U299" s="1" t="str">
        <f>IFERROR(IF($Q$1=$P$3,INDEX(prem_analysis!$P$2:$Q$441,ROWS(Data!$P$2:T299),COLUMNS(Data!$P$3:S300)),IF($Q$1=$P$5,INDEX(prem_analysis!$BH$1:$BS$23,ROWS(Data!$Q$3:T300),COLUMNS(Data!$Q$3:T300)),IF($Q$1=$P$6,INDEX(prem_analysis!$BU$1:$CF$67,ROWS(prem_analysis!$N$2:Q299),COLUMNS(prem_analysis!$N$2:Q299)),IF($Q$1=$P$4,INDEX(Table24[[#All],[Year]:[Details]],ROWS(prem_analysis!$M$420:P717),COLUMNS(Data!$Q$3:T300)))))),"")</f>
        <v/>
      </c>
      <c r="V299" s="1" t="str">
        <f>IFERROR(IF($Q$1=$P$3,INDEX(prem_analysis!$P$2:$Q$441,ROWS(Data!$P$2:U299),COLUMNS(Data!$P$3:T300)),IF($Q$1=$P$5,INDEX(prem_analysis!$BH$1:$BS$23,ROWS(Data!$Q$3:U300),COLUMNS(Data!$Q$3:U300)),IF($Q$1=$P$6,INDEX(prem_analysis!$BU$1:$CF$67,ROWS(prem_analysis!$N$2:R299),COLUMNS(prem_analysis!$N$2:R299)),IF($Q$1=$P$4,INDEX(Table24[[#All],[Year]:[Details]],ROWS(prem_analysis!$M$420:Q717),COLUMNS(Data!$Q$3:U300)))))),"")</f>
        <v/>
      </c>
      <c r="W299" s="1" t="str">
        <f>IFERROR(IF($Q$1=$P$3,INDEX(prem_analysis!$P$2:$Q$441,ROWS(Data!$P$2:V299),COLUMNS(Data!$P$3:U300)),IF($Q$1=$P$5,INDEX(prem_analysis!$BH$1:$BS$23,ROWS(Data!$Q$3:V300),COLUMNS(Data!$Q$3:V300)),IF($Q$1=$P$6,INDEX(prem_analysis!$BU$1:$CF$67,ROWS(prem_analysis!$N$2:S299),COLUMNS(prem_analysis!$N$2:S299)),IF($Q$1=$P$4,INDEX(Table24[[#All],[Year]:[Details]],ROWS(prem_analysis!$M$420:R717),COLUMNS(Data!$Q$3:V300)))))),"")</f>
        <v/>
      </c>
      <c r="X299" s="1" t="str">
        <f>IFERROR(IF($Q$1=$P$3,INDEX(prem_analysis!$P$2:$Q$441,ROWS(Data!$P$2:W299),COLUMNS(Data!$P$3:V300)),IF($Q$1=$P$5,INDEX(prem_analysis!$BH$1:$BS$23,ROWS(Data!$Q$3:W300),COLUMNS(Data!$Q$3:W300)),IF($Q$1=$P$6,INDEX(prem_analysis!$BU$1:$CF$67,ROWS(prem_analysis!$N$2:T299),COLUMNS(prem_analysis!$N$2:T299)),IF($Q$1=$P$4,INDEX(Table24[[#All],[Year]:[Details]],ROWS(prem_analysis!$M$420:S717),COLUMNS(Data!$Q$3:W300)))))),"")</f>
        <v/>
      </c>
      <c r="Y299" s="1" t="str">
        <f>IFERROR(IF($Q$1=$P$3,INDEX(prem_analysis!$P$2:$Q$441,ROWS(Data!$P$2:X299),COLUMNS(Data!$P$3:W300)),IF($Q$1=$P$5,INDEX(prem_analysis!$BH$1:$BS$23,ROWS(Data!$Q$3:X300),COLUMNS(Data!$Q$3:X300)),IF($Q$1=$P$6,INDEX(prem_analysis!$BU$1:$CF$67,ROWS(prem_analysis!$N$2:U299),COLUMNS(prem_analysis!$N$2:U299)),IF($Q$1=$P$4,INDEX(Table24[[#All],[Year]:[Details]],ROWS(prem_analysis!$M$420:T717),COLUMNS(Data!$Q$3:X300)))))),"")</f>
        <v/>
      </c>
      <c r="Z299" s="1" t="str">
        <f>IFERROR(IF($Q$1=$P$3,INDEX(prem_analysis!$P$2:$Q$441,ROWS(Data!$P$2:Y299),COLUMNS(Data!$P$3:X300)),IF($Q$1=$P$5,INDEX(prem_analysis!$BH$1:$BS$23,ROWS(Data!$Q$3:Y300),COLUMNS(Data!$Q$3:Y300)),IF($Q$1=$P$6,INDEX(prem_analysis!$BU$1:$CF$67,ROWS(prem_analysis!$N$2:V299),COLUMNS(prem_analysis!$N$2:V299)),IF($Q$1=$P$4,INDEX(Table24[[#All],[Year]:[Details]],ROWS(prem_analysis!$M$420:U717),COLUMNS(Data!$Q$3:Y300)))))),"")</f>
        <v/>
      </c>
      <c r="AA299" s="1" t="str">
        <f>IFERROR(IF($Q$1=$P$3,INDEX(prem_analysis!$P$2:$Q$441,ROWS(Data!$P$2:Z299),COLUMNS(Data!$P$3:Y300)),IF($Q$1=$P$5,INDEX(prem_analysis!$BH$1:$BS$23,ROWS(Data!$Q$3:Z300),COLUMNS(Data!$Q$3:Z300)),IF($Q$1=$P$6,INDEX(prem_analysis!$BU$1:$CF$67,ROWS(prem_analysis!$N$2:W299),COLUMNS(prem_analysis!$N$2:W299)),IF($Q$1=$P$4,INDEX(Table24[[#All],[Year]:[Details]],ROWS(prem_analysis!$M$420:V717),COLUMNS(Data!$Q$3:Z300)))))),"")</f>
        <v/>
      </c>
      <c r="AB299" s="1" t="str">
        <f>IFERROR(IF($Q$1=$P$3,INDEX(prem_analysis!$P$2:$Q$441,ROWS(Data!$P$2:AA299),COLUMNS(Data!$P$3:Z300)),IF($Q$1=$P$5,INDEX(prem_analysis!$BH$1:$BS$23,ROWS(Data!$Q$3:AA300),COLUMNS(Data!$Q$3:AA300)),IF($Q$1=$P$6,INDEX(prem_analysis!$BU$1:$CF$67,ROWS(prem_analysis!$N$2:X299),COLUMNS(prem_analysis!$N$2:X299)),IF($Q$1=$P$4,INDEX(Table24[[#All],[Year]:[Details]],ROWS(prem_analysis!$M$420:W717),COLUMNS(Data!$Q$3:AA300)))))),"")</f>
        <v/>
      </c>
      <c r="AC299" s="1" t="str">
        <f>IFERROR(IF($Q$1=$P$3,INDEX(prem_analysis!$P$2:$Q$441,ROWS(Data!$P$2:AB299),COLUMNS(Data!$P$3:AA300)),IF($Q$1=$P$5,INDEX(prem_analysis!$BH$1:$BS$23,ROWS(Data!$Q$3:AB300),COLUMNS(Data!$Q$3:AB300)),IF($Q$1=$P$6,INDEX(prem_analysis!$BU$1:$CF$67,ROWS(prem_analysis!$N$2:Y299),COLUMNS(prem_analysis!$N$2:Y299)),IF($Q$1=$P$4,INDEX(Table24[[#All],[Year]:[Details]],ROWS(prem_analysis!$M$420:X717),COLUMNS(Data!$Q$3:AB300)))))),"")</f>
        <v/>
      </c>
    </row>
    <row r="300" spans="1:29" x14ac:dyDescent="0.2">
      <c r="A300" s="3">
        <v>2014</v>
      </c>
      <c r="B300" s="3">
        <v>19</v>
      </c>
      <c r="C300" s="4" t="s">
        <v>46</v>
      </c>
      <c r="D300" s="3">
        <v>38</v>
      </c>
      <c r="E300" s="3">
        <v>7</v>
      </c>
      <c r="F300" s="3">
        <v>12</v>
      </c>
      <c r="G300" s="3">
        <v>19</v>
      </c>
      <c r="H300" s="3">
        <v>28</v>
      </c>
      <c r="I300" s="3">
        <v>53</v>
      </c>
      <c r="J300" s="3">
        <v>-25</v>
      </c>
      <c r="K300" s="3">
        <v>33</v>
      </c>
      <c r="L300" s="5" t="str">
        <f>IF(Table24[[#This Row],['#]]=1,"Champion", IF(Table24[[#This Row],['#]]&gt;=18,"Relegated",Table24[[#This Row],['#]]))</f>
        <v>Relegated</v>
      </c>
      <c r="M300" s="5" t="str">
        <f>IF(Table24[[#This Row],[Details]]=2,K299-Table24[[#This Row],[Pts]],IF(Table24[[#This Row],[Details]]=17,Table24[[#This Row],[Pts]]-K301,""))</f>
        <v/>
      </c>
      <c r="R300" s="1" t="str">
        <f>IFERROR(IF($Q$1=$P$3,INDEX(prem_analysis!$P$2:$Q$441,ROWS(Data!$P$2:Q300),COLUMNS(Data!$P$3:P301)),IF($Q$1=$P$5,INDEX(prem_analysis!$BH$1:$BS$23,ROWS(Data!$Q$3:Q301),COLUMNS(Data!$Q$3:Q301)),IF($Q$1=$P$6,INDEX(prem_analysis!$BU$1:$CF$67,ROWS(prem_analysis!$N$2:N300),COLUMNS(prem_analysis!$N$2:N300)),IF($Q$1=$P$4,INDEX(Table24[[#All],[Year]:[Details]],ROWS(prem_analysis!$M$420:M718),COLUMNS(Data!$Q$3:Q301)))))),"")</f>
        <v/>
      </c>
      <c r="S300" s="1" t="str">
        <f>IFERROR(IF($Q$1=$P$3,INDEX(prem_analysis!$P$2:$Q$441,ROWS(Data!$P$2:R300),COLUMNS(Data!$P$3:Q301)),IF($Q$1=$P$5,INDEX(prem_analysis!$BH$1:$BS$23,ROWS(Data!$Q$3:R301),COLUMNS(Data!$Q$3:R301)),IF($Q$1=$P$6,INDEX(prem_analysis!$BU$1:$CF$67,ROWS(prem_analysis!$N$2:O300),COLUMNS(prem_analysis!$N$2:O300)),IF($Q$1=$P$4,INDEX(Table24[[#All],[Year]:[Details]],ROWS(prem_analysis!$M$420:N718),COLUMNS(Data!$Q$3:R301)))))),"")</f>
        <v/>
      </c>
      <c r="T300" s="1" t="str">
        <f>IFERROR(IF($Q$1=$P$3,INDEX(prem_analysis!$P$2:$Q$441,ROWS(Data!$P$2:S300),COLUMNS(Data!$P$3:R301)),IF($Q$1=$P$5,INDEX(prem_analysis!$BH$1:$BS$23,ROWS(Data!$Q$3:S301),COLUMNS(Data!$Q$3:S301)),IF($Q$1=$P$6,INDEX(prem_analysis!$BU$1:$CF$67,ROWS(prem_analysis!$N$2:P300),COLUMNS(prem_analysis!$N$2:P300)),IF($Q$1=$P$4,INDEX(Table24[[#All],[Year]:[Details]],ROWS(prem_analysis!$M$420:O718),COLUMNS(Data!$Q$3:S301)))))),"")</f>
        <v/>
      </c>
      <c r="U300" s="1" t="str">
        <f>IFERROR(IF($Q$1=$P$3,INDEX(prem_analysis!$P$2:$Q$441,ROWS(Data!$P$2:T300),COLUMNS(Data!$P$3:S301)),IF($Q$1=$P$5,INDEX(prem_analysis!$BH$1:$BS$23,ROWS(Data!$Q$3:T301),COLUMNS(Data!$Q$3:T301)),IF($Q$1=$P$6,INDEX(prem_analysis!$BU$1:$CF$67,ROWS(prem_analysis!$N$2:Q300),COLUMNS(prem_analysis!$N$2:Q300)),IF($Q$1=$P$4,INDEX(Table24[[#All],[Year]:[Details]],ROWS(prem_analysis!$M$420:P718),COLUMNS(Data!$Q$3:T301)))))),"")</f>
        <v/>
      </c>
      <c r="V300" s="1" t="str">
        <f>IFERROR(IF($Q$1=$P$3,INDEX(prem_analysis!$P$2:$Q$441,ROWS(Data!$P$2:U300),COLUMNS(Data!$P$3:T301)),IF($Q$1=$P$5,INDEX(prem_analysis!$BH$1:$BS$23,ROWS(Data!$Q$3:U301),COLUMNS(Data!$Q$3:U301)),IF($Q$1=$P$6,INDEX(prem_analysis!$BU$1:$CF$67,ROWS(prem_analysis!$N$2:R300),COLUMNS(prem_analysis!$N$2:R300)),IF($Q$1=$P$4,INDEX(Table24[[#All],[Year]:[Details]],ROWS(prem_analysis!$M$420:Q718),COLUMNS(Data!$Q$3:U301)))))),"")</f>
        <v/>
      </c>
      <c r="W300" s="1" t="str">
        <f>IFERROR(IF($Q$1=$P$3,INDEX(prem_analysis!$P$2:$Q$441,ROWS(Data!$P$2:V300),COLUMNS(Data!$P$3:U301)),IF($Q$1=$P$5,INDEX(prem_analysis!$BH$1:$BS$23,ROWS(Data!$Q$3:V301),COLUMNS(Data!$Q$3:V301)),IF($Q$1=$P$6,INDEX(prem_analysis!$BU$1:$CF$67,ROWS(prem_analysis!$N$2:S300),COLUMNS(prem_analysis!$N$2:S300)),IF($Q$1=$P$4,INDEX(Table24[[#All],[Year]:[Details]],ROWS(prem_analysis!$M$420:R718),COLUMNS(Data!$Q$3:V301)))))),"")</f>
        <v/>
      </c>
      <c r="X300" s="1" t="str">
        <f>IFERROR(IF($Q$1=$P$3,INDEX(prem_analysis!$P$2:$Q$441,ROWS(Data!$P$2:W300),COLUMNS(Data!$P$3:V301)),IF($Q$1=$P$5,INDEX(prem_analysis!$BH$1:$BS$23,ROWS(Data!$Q$3:W301),COLUMNS(Data!$Q$3:W301)),IF($Q$1=$P$6,INDEX(prem_analysis!$BU$1:$CF$67,ROWS(prem_analysis!$N$2:T300),COLUMNS(prem_analysis!$N$2:T300)),IF($Q$1=$P$4,INDEX(Table24[[#All],[Year]:[Details]],ROWS(prem_analysis!$M$420:S718),COLUMNS(Data!$Q$3:W301)))))),"")</f>
        <v/>
      </c>
      <c r="Y300" s="1" t="str">
        <f>IFERROR(IF($Q$1=$P$3,INDEX(prem_analysis!$P$2:$Q$441,ROWS(Data!$P$2:X300),COLUMNS(Data!$P$3:W301)),IF($Q$1=$P$5,INDEX(prem_analysis!$BH$1:$BS$23,ROWS(Data!$Q$3:X301),COLUMNS(Data!$Q$3:X301)),IF($Q$1=$P$6,INDEX(prem_analysis!$BU$1:$CF$67,ROWS(prem_analysis!$N$2:U300),COLUMNS(prem_analysis!$N$2:U300)),IF($Q$1=$P$4,INDEX(Table24[[#All],[Year]:[Details]],ROWS(prem_analysis!$M$420:T718),COLUMNS(Data!$Q$3:X301)))))),"")</f>
        <v/>
      </c>
      <c r="Z300" s="1" t="str">
        <f>IFERROR(IF($Q$1=$P$3,INDEX(prem_analysis!$P$2:$Q$441,ROWS(Data!$P$2:Y300),COLUMNS(Data!$P$3:X301)),IF($Q$1=$P$5,INDEX(prem_analysis!$BH$1:$BS$23,ROWS(Data!$Q$3:Y301),COLUMNS(Data!$Q$3:Y301)),IF($Q$1=$P$6,INDEX(prem_analysis!$BU$1:$CF$67,ROWS(prem_analysis!$N$2:V300),COLUMNS(prem_analysis!$N$2:V300)),IF($Q$1=$P$4,INDEX(Table24[[#All],[Year]:[Details]],ROWS(prem_analysis!$M$420:U718),COLUMNS(Data!$Q$3:Y301)))))),"")</f>
        <v/>
      </c>
      <c r="AA300" s="1" t="str">
        <f>IFERROR(IF($Q$1=$P$3,INDEX(prem_analysis!$P$2:$Q$441,ROWS(Data!$P$2:Z300),COLUMNS(Data!$P$3:Y301)),IF($Q$1=$P$5,INDEX(prem_analysis!$BH$1:$BS$23,ROWS(Data!$Q$3:Z301),COLUMNS(Data!$Q$3:Z301)),IF($Q$1=$P$6,INDEX(prem_analysis!$BU$1:$CF$67,ROWS(prem_analysis!$N$2:W300),COLUMNS(prem_analysis!$N$2:W300)),IF($Q$1=$P$4,INDEX(Table24[[#All],[Year]:[Details]],ROWS(prem_analysis!$M$420:V718),COLUMNS(Data!$Q$3:Z301)))))),"")</f>
        <v/>
      </c>
      <c r="AB300" s="1" t="str">
        <f>IFERROR(IF($Q$1=$P$3,INDEX(prem_analysis!$P$2:$Q$441,ROWS(Data!$P$2:AA300),COLUMNS(Data!$P$3:Z301)),IF($Q$1=$P$5,INDEX(prem_analysis!$BH$1:$BS$23,ROWS(Data!$Q$3:AA301),COLUMNS(Data!$Q$3:AA301)),IF($Q$1=$P$6,INDEX(prem_analysis!$BU$1:$CF$67,ROWS(prem_analysis!$N$2:X300),COLUMNS(prem_analysis!$N$2:X300)),IF($Q$1=$P$4,INDEX(Table24[[#All],[Year]:[Details]],ROWS(prem_analysis!$M$420:W718),COLUMNS(Data!$Q$3:AA301)))))),"")</f>
        <v/>
      </c>
      <c r="AC300" s="1" t="str">
        <f>IFERROR(IF($Q$1=$P$3,INDEX(prem_analysis!$P$2:$Q$441,ROWS(Data!$P$2:AB300),COLUMNS(Data!$P$3:AA301)),IF($Q$1=$P$5,INDEX(prem_analysis!$BH$1:$BS$23,ROWS(Data!$Q$3:AB301),COLUMNS(Data!$Q$3:AB301)),IF($Q$1=$P$6,INDEX(prem_analysis!$BU$1:$CF$67,ROWS(prem_analysis!$N$2:Y300),COLUMNS(prem_analysis!$N$2:Y300)),IF($Q$1=$P$4,INDEX(Table24[[#All],[Year]:[Details]],ROWS(prem_analysis!$M$420:X718),COLUMNS(Data!$Q$3:AB301)))))),"")</f>
        <v/>
      </c>
    </row>
    <row r="301" spans="1:29" x14ac:dyDescent="0.2">
      <c r="A301" s="5">
        <v>2014</v>
      </c>
      <c r="B301" s="5">
        <v>20</v>
      </c>
      <c r="C301" s="6" t="s">
        <v>49</v>
      </c>
      <c r="D301" s="5">
        <v>38</v>
      </c>
      <c r="E301" s="5">
        <v>8</v>
      </c>
      <c r="F301" s="5">
        <v>6</v>
      </c>
      <c r="G301" s="5">
        <v>24</v>
      </c>
      <c r="H301" s="5">
        <v>42</v>
      </c>
      <c r="I301" s="5">
        <v>73</v>
      </c>
      <c r="J301" s="5">
        <v>-31</v>
      </c>
      <c r="K301" s="5">
        <v>30</v>
      </c>
      <c r="L301" s="5" t="str">
        <f>IF(Table24[[#This Row],['#]]=1,"Champion", IF(Table24[[#This Row],['#]]&gt;=18,"Relegated",Table24[[#This Row],['#]]))</f>
        <v>Relegated</v>
      </c>
      <c r="M301" s="5" t="str">
        <f>IF(Table24[[#This Row],[Details]]=2,K300-Table24[[#This Row],[Pts]],IF(Table24[[#This Row],[Details]]=17,Table24[[#This Row],[Pts]]-K302,""))</f>
        <v/>
      </c>
      <c r="R301" s="1" t="str">
        <f>IFERROR(IF($Q$1=$P$3,INDEX(prem_analysis!$P$2:$Q$441,ROWS(Data!$P$2:Q301),COLUMNS(Data!$P$3:P302)),IF($Q$1=$P$5,INDEX(prem_analysis!$BH$1:$BS$23,ROWS(Data!$Q$3:Q302),COLUMNS(Data!$Q$3:Q302)),IF($Q$1=$P$6,INDEX(prem_analysis!$BU$1:$CF$67,ROWS(prem_analysis!$N$2:N301),COLUMNS(prem_analysis!$N$2:N301)),IF($Q$1=$P$4,INDEX(Table24[[#All],[Year]:[Details]],ROWS(prem_analysis!$M$420:M719),COLUMNS(Data!$Q$3:Q302)))))),"")</f>
        <v/>
      </c>
      <c r="S301" s="1" t="str">
        <f>IFERROR(IF($Q$1=$P$3,INDEX(prem_analysis!$P$2:$Q$441,ROWS(Data!$P$2:R301),COLUMNS(Data!$P$3:Q302)),IF($Q$1=$P$5,INDEX(prem_analysis!$BH$1:$BS$23,ROWS(Data!$Q$3:R302),COLUMNS(Data!$Q$3:R302)),IF($Q$1=$P$6,INDEX(prem_analysis!$BU$1:$CF$67,ROWS(prem_analysis!$N$2:O301),COLUMNS(prem_analysis!$N$2:O301)),IF($Q$1=$P$4,INDEX(Table24[[#All],[Year]:[Details]],ROWS(prem_analysis!$M$420:N719),COLUMNS(Data!$Q$3:R302)))))),"")</f>
        <v/>
      </c>
      <c r="T301" s="1" t="str">
        <f>IFERROR(IF($Q$1=$P$3,INDEX(prem_analysis!$P$2:$Q$441,ROWS(Data!$P$2:S301),COLUMNS(Data!$P$3:R302)),IF($Q$1=$P$5,INDEX(prem_analysis!$BH$1:$BS$23,ROWS(Data!$Q$3:S302),COLUMNS(Data!$Q$3:S302)),IF($Q$1=$P$6,INDEX(prem_analysis!$BU$1:$CF$67,ROWS(prem_analysis!$N$2:P301),COLUMNS(prem_analysis!$N$2:P301)),IF($Q$1=$P$4,INDEX(Table24[[#All],[Year]:[Details]],ROWS(prem_analysis!$M$420:O719),COLUMNS(Data!$Q$3:S302)))))),"")</f>
        <v/>
      </c>
      <c r="U301" s="1" t="str">
        <f>IFERROR(IF($Q$1=$P$3,INDEX(prem_analysis!$P$2:$Q$441,ROWS(Data!$P$2:T301),COLUMNS(Data!$P$3:S302)),IF($Q$1=$P$5,INDEX(prem_analysis!$BH$1:$BS$23,ROWS(Data!$Q$3:T302),COLUMNS(Data!$Q$3:T302)),IF($Q$1=$P$6,INDEX(prem_analysis!$BU$1:$CF$67,ROWS(prem_analysis!$N$2:Q301),COLUMNS(prem_analysis!$N$2:Q301)),IF($Q$1=$P$4,INDEX(Table24[[#All],[Year]:[Details]],ROWS(prem_analysis!$M$420:P719),COLUMNS(Data!$Q$3:T302)))))),"")</f>
        <v/>
      </c>
      <c r="V301" s="1" t="str">
        <f>IFERROR(IF($Q$1=$P$3,INDEX(prem_analysis!$P$2:$Q$441,ROWS(Data!$P$2:U301),COLUMNS(Data!$P$3:T302)),IF($Q$1=$P$5,INDEX(prem_analysis!$BH$1:$BS$23,ROWS(Data!$Q$3:U302),COLUMNS(Data!$Q$3:U302)),IF($Q$1=$P$6,INDEX(prem_analysis!$BU$1:$CF$67,ROWS(prem_analysis!$N$2:R301),COLUMNS(prem_analysis!$N$2:R301)),IF($Q$1=$P$4,INDEX(Table24[[#All],[Year]:[Details]],ROWS(prem_analysis!$M$420:Q719),COLUMNS(Data!$Q$3:U302)))))),"")</f>
        <v/>
      </c>
      <c r="W301" s="1" t="str">
        <f>IFERROR(IF($Q$1=$P$3,INDEX(prem_analysis!$P$2:$Q$441,ROWS(Data!$P$2:V301),COLUMNS(Data!$P$3:U302)),IF($Q$1=$P$5,INDEX(prem_analysis!$BH$1:$BS$23,ROWS(Data!$Q$3:V302),COLUMNS(Data!$Q$3:V302)),IF($Q$1=$P$6,INDEX(prem_analysis!$BU$1:$CF$67,ROWS(prem_analysis!$N$2:S301),COLUMNS(prem_analysis!$N$2:S301)),IF($Q$1=$P$4,INDEX(Table24[[#All],[Year]:[Details]],ROWS(prem_analysis!$M$420:R719),COLUMNS(Data!$Q$3:V302)))))),"")</f>
        <v/>
      </c>
      <c r="X301" s="1" t="str">
        <f>IFERROR(IF($Q$1=$P$3,INDEX(prem_analysis!$P$2:$Q$441,ROWS(Data!$P$2:W301),COLUMNS(Data!$P$3:V302)),IF($Q$1=$P$5,INDEX(prem_analysis!$BH$1:$BS$23,ROWS(Data!$Q$3:W302),COLUMNS(Data!$Q$3:W302)),IF($Q$1=$P$6,INDEX(prem_analysis!$BU$1:$CF$67,ROWS(prem_analysis!$N$2:T301),COLUMNS(prem_analysis!$N$2:T301)),IF($Q$1=$P$4,INDEX(Table24[[#All],[Year]:[Details]],ROWS(prem_analysis!$M$420:S719),COLUMNS(Data!$Q$3:W302)))))),"")</f>
        <v/>
      </c>
      <c r="Y301" s="1" t="str">
        <f>IFERROR(IF($Q$1=$P$3,INDEX(prem_analysis!$P$2:$Q$441,ROWS(Data!$P$2:X301),COLUMNS(Data!$P$3:W302)),IF($Q$1=$P$5,INDEX(prem_analysis!$BH$1:$BS$23,ROWS(Data!$Q$3:X302),COLUMNS(Data!$Q$3:X302)),IF($Q$1=$P$6,INDEX(prem_analysis!$BU$1:$CF$67,ROWS(prem_analysis!$N$2:U301),COLUMNS(prem_analysis!$N$2:U301)),IF($Q$1=$P$4,INDEX(Table24[[#All],[Year]:[Details]],ROWS(prem_analysis!$M$420:T719),COLUMNS(Data!$Q$3:X302)))))),"")</f>
        <v/>
      </c>
      <c r="Z301" s="1" t="str">
        <f>IFERROR(IF($Q$1=$P$3,INDEX(prem_analysis!$P$2:$Q$441,ROWS(Data!$P$2:Y301),COLUMNS(Data!$P$3:X302)),IF($Q$1=$P$5,INDEX(prem_analysis!$BH$1:$BS$23,ROWS(Data!$Q$3:Y302),COLUMNS(Data!$Q$3:Y302)),IF($Q$1=$P$6,INDEX(prem_analysis!$BU$1:$CF$67,ROWS(prem_analysis!$N$2:V301),COLUMNS(prem_analysis!$N$2:V301)),IF($Q$1=$P$4,INDEX(Table24[[#All],[Year]:[Details]],ROWS(prem_analysis!$M$420:U719),COLUMNS(Data!$Q$3:Y302)))))),"")</f>
        <v/>
      </c>
      <c r="AA301" s="1" t="str">
        <f>IFERROR(IF($Q$1=$P$3,INDEX(prem_analysis!$P$2:$Q$441,ROWS(Data!$P$2:Z301),COLUMNS(Data!$P$3:Y302)),IF($Q$1=$P$5,INDEX(prem_analysis!$BH$1:$BS$23,ROWS(Data!$Q$3:Z302),COLUMNS(Data!$Q$3:Z302)),IF($Q$1=$P$6,INDEX(prem_analysis!$BU$1:$CF$67,ROWS(prem_analysis!$N$2:W301),COLUMNS(prem_analysis!$N$2:W301)),IF($Q$1=$P$4,INDEX(Table24[[#All],[Year]:[Details]],ROWS(prem_analysis!$M$420:V719),COLUMNS(Data!$Q$3:Z302)))))),"")</f>
        <v/>
      </c>
      <c r="AB301" s="1" t="str">
        <f>IFERROR(IF($Q$1=$P$3,INDEX(prem_analysis!$P$2:$Q$441,ROWS(Data!$P$2:AA301),COLUMNS(Data!$P$3:Z302)),IF($Q$1=$P$5,INDEX(prem_analysis!$BH$1:$BS$23,ROWS(Data!$Q$3:AA302),COLUMNS(Data!$Q$3:AA302)),IF($Q$1=$P$6,INDEX(prem_analysis!$BU$1:$CF$67,ROWS(prem_analysis!$N$2:X301),COLUMNS(prem_analysis!$N$2:X301)),IF($Q$1=$P$4,INDEX(Table24[[#All],[Year]:[Details]],ROWS(prem_analysis!$M$420:W719),COLUMNS(Data!$Q$3:AA302)))))),"")</f>
        <v/>
      </c>
      <c r="AC301" s="1" t="str">
        <f>IFERROR(IF($Q$1=$P$3,INDEX(prem_analysis!$P$2:$Q$441,ROWS(Data!$P$2:AB301),COLUMNS(Data!$P$3:AA302)),IF($Q$1=$P$5,INDEX(prem_analysis!$BH$1:$BS$23,ROWS(Data!$Q$3:AB302),COLUMNS(Data!$Q$3:AB302)),IF($Q$1=$P$6,INDEX(prem_analysis!$BU$1:$CF$67,ROWS(prem_analysis!$N$2:Y301),COLUMNS(prem_analysis!$N$2:Y301)),IF($Q$1=$P$4,INDEX(Table24[[#All],[Year]:[Details]],ROWS(prem_analysis!$M$420:X719),COLUMNS(Data!$Q$3:AB302)))))),"")</f>
        <v/>
      </c>
    </row>
    <row r="302" spans="1:29" x14ac:dyDescent="0.2">
      <c r="A302" s="3">
        <v>2015</v>
      </c>
      <c r="B302" s="3">
        <v>1</v>
      </c>
      <c r="C302" s="4" t="s">
        <v>23</v>
      </c>
      <c r="D302" s="3">
        <v>38</v>
      </c>
      <c r="E302" s="3">
        <v>23</v>
      </c>
      <c r="F302" s="3">
        <v>12</v>
      </c>
      <c r="G302" s="3">
        <v>3</v>
      </c>
      <c r="H302" s="3">
        <v>68</v>
      </c>
      <c r="I302" s="3">
        <v>36</v>
      </c>
      <c r="J302" s="3">
        <v>32</v>
      </c>
      <c r="K302" s="3">
        <v>81</v>
      </c>
      <c r="L302" s="5" t="str">
        <f>IF(Table24[[#This Row],['#]]=1,"Champion", IF(Table24[[#This Row],['#]]&gt;=18,"Relegated",Table24[[#This Row],['#]]))</f>
        <v>Champion</v>
      </c>
      <c r="M302" s="5" t="str">
        <f>IF(Table24[[#This Row],[Details]]=2,K301-Table24[[#This Row],[Pts]],IF(Table24[[#This Row],[Details]]=17,Table24[[#This Row],[Pts]]-K303,""))</f>
        <v/>
      </c>
      <c r="R302" s="1" t="str">
        <f>IFERROR(IF($Q$1=$P$3,INDEX(prem_analysis!$P$2:$Q$441,ROWS(Data!$P$2:Q302),COLUMNS(Data!$P$3:P303)),IF($Q$1=$P$5,INDEX(prem_analysis!$BH$1:$BS$23,ROWS(Data!$Q$3:Q303),COLUMNS(Data!$Q$3:Q303)),IF($Q$1=$P$6,INDEX(prem_analysis!$BU$1:$CF$67,ROWS(prem_analysis!$N$2:N302),COLUMNS(prem_analysis!$N$2:N302)),IF($Q$1=$P$4,INDEX(Table24[[#All],[Year]:[Details]],ROWS(prem_analysis!$M$420:M720),COLUMNS(Data!$Q$3:Q303)))))),"")</f>
        <v/>
      </c>
      <c r="S302" s="1" t="str">
        <f>IFERROR(IF($Q$1=$P$3,INDEX(prem_analysis!$P$2:$Q$441,ROWS(Data!$P$2:R302),COLUMNS(Data!$P$3:Q303)),IF($Q$1=$P$5,INDEX(prem_analysis!$BH$1:$BS$23,ROWS(Data!$Q$3:R303),COLUMNS(Data!$Q$3:R303)),IF($Q$1=$P$6,INDEX(prem_analysis!$BU$1:$CF$67,ROWS(prem_analysis!$N$2:O302),COLUMNS(prem_analysis!$N$2:O302)),IF($Q$1=$P$4,INDEX(Table24[[#All],[Year]:[Details]],ROWS(prem_analysis!$M$420:N720),COLUMNS(Data!$Q$3:R303)))))),"")</f>
        <v/>
      </c>
      <c r="T302" s="1" t="str">
        <f>IFERROR(IF($Q$1=$P$3,INDEX(prem_analysis!$P$2:$Q$441,ROWS(Data!$P$2:S302),COLUMNS(Data!$P$3:R303)),IF($Q$1=$P$5,INDEX(prem_analysis!$BH$1:$BS$23,ROWS(Data!$Q$3:S303),COLUMNS(Data!$Q$3:S303)),IF($Q$1=$P$6,INDEX(prem_analysis!$BU$1:$CF$67,ROWS(prem_analysis!$N$2:P302),COLUMNS(prem_analysis!$N$2:P302)),IF($Q$1=$P$4,INDEX(Table24[[#All],[Year]:[Details]],ROWS(prem_analysis!$M$420:O720),COLUMNS(Data!$Q$3:S303)))))),"")</f>
        <v/>
      </c>
      <c r="U302" s="1" t="str">
        <f>IFERROR(IF($Q$1=$P$3,INDEX(prem_analysis!$P$2:$Q$441,ROWS(Data!$P$2:T302),COLUMNS(Data!$P$3:S303)),IF($Q$1=$P$5,INDEX(prem_analysis!$BH$1:$BS$23,ROWS(Data!$Q$3:T303),COLUMNS(Data!$Q$3:T303)),IF($Q$1=$P$6,INDEX(prem_analysis!$BU$1:$CF$67,ROWS(prem_analysis!$N$2:Q302),COLUMNS(prem_analysis!$N$2:Q302)),IF($Q$1=$P$4,INDEX(Table24[[#All],[Year]:[Details]],ROWS(prem_analysis!$M$420:P720),COLUMNS(Data!$Q$3:T303)))))),"")</f>
        <v/>
      </c>
      <c r="V302" s="1" t="str">
        <f>IFERROR(IF($Q$1=$P$3,INDEX(prem_analysis!$P$2:$Q$441,ROWS(Data!$P$2:U302),COLUMNS(Data!$P$3:T303)),IF($Q$1=$P$5,INDEX(prem_analysis!$BH$1:$BS$23,ROWS(Data!$Q$3:U303),COLUMNS(Data!$Q$3:U303)),IF($Q$1=$P$6,INDEX(prem_analysis!$BU$1:$CF$67,ROWS(prem_analysis!$N$2:R302),COLUMNS(prem_analysis!$N$2:R302)),IF($Q$1=$P$4,INDEX(Table24[[#All],[Year]:[Details]],ROWS(prem_analysis!$M$420:Q720),COLUMNS(Data!$Q$3:U303)))))),"")</f>
        <v/>
      </c>
      <c r="W302" s="1" t="str">
        <f>IFERROR(IF($Q$1=$P$3,INDEX(prem_analysis!$P$2:$Q$441,ROWS(Data!$P$2:V302),COLUMNS(Data!$P$3:U303)),IF($Q$1=$P$5,INDEX(prem_analysis!$BH$1:$BS$23,ROWS(Data!$Q$3:V303),COLUMNS(Data!$Q$3:V303)),IF($Q$1=$P$6,INDEX(prem_analysis!$BU$1:$CF$67,ROWS(prem_analysis!$N$2:S302),COLUMNS(prem_analysis!$N$2:S302)),IF($Q$1=$P$4,INDEX(Table24[[#All],[Year]:[Details]],ROWS(prem_analysis!$M$420:R720),COLUMNS(Data!$Q$3:V303)))))),"")</f>
        <v/>
      </c>
      <c r="X302" s="1" t="str">
        <f>IFERROR(IF($Q$1=$P$3,INDEX(prem_analysis!$P$2:$Q$441,ROWS(Data!$P$2:W302),COLUMNS(Data!$P$3:V303)),IF($Q$1=$P$5,INDEX(prem_analysis!$BH$1:$BS$23,ROWS(Data!$Q$3:W303),COLUMNS(Data!$Q$3:W303)),IF($Q$1=$P$6,INDEX(prem_analysis!$BU$1:$CF$67,ROWS(prem_analysis!$N$2:T302),COLUMNS(prem_analysis!$N$2:T302)),IF($Q$1=$P$4,INDEX(Table24[[#All],[Year]:[Details]],ROWS(prem_analysis!$M$420:S720),COLUMNS(Data!$Q$3:W303)))))),"")</f>
        <v/>
      </c>
      <c r="Y302" s="1" t="str">
        <f>IFERROR(IF($Q$1=$P$3,INDEX(prem_analysis!$P$2:$Q$441,ROWS(Data!$P$2:X302),COLUMNS(Data!$P$3:W303)),IF($Q$1=$P$5,INDEX(prem_analysis!$BH$1:$BS$23,ROWS(Data!$Q$3:X303),COLUMNS(Data!$Q$3:X303)),IF($Q$1=$P$6,INDEX(prem_analysis!$BU$1:$CF$67,ROWS(prem_analysis!$N$2:U302),COLUMNS(prem_analysis!$N$2:U302)),IF($Q$1=$P$4,INDEX(Table24[[#All],[Year]:[Details]],ROWS(prem_analysis!$M$420:T720),COLUMNS(Data!$Q$3:X303)))))),"")</f>
        <v/>
      </c>
      <c r="Z302" s="1" t="str">
        <f>IFERROR(IF($Q$1=$P$3,INDEX(prem_analysis!$P$2:$Q$441,ROWS(Data!$P$2:Y302),COLUMNS(Data!$P$3:X303)),IF($Q$1=$P$5,INDEX(prem_analysis!$BH$1:$BS$23,ROWS(Data!$Q$3:Y303),COLUMNS(Data!$Q$3:Y303)),IF($Q$1=$P$6,INDEX(prem_analysis!$BU$1:$CF$67,ROWS(prem_analysis!$N$2:V302),COLUMNS(prem_analysis!$N$2:V302)),IF($Q$1=$P$4,INDEX(Table24[[#All],[Year]:[Details]],ROWS(prem_analysis!$M$420:U720),COLUMNS(Data!$Q$3:Y303)))))),"")</f>
        <v/>
      </c>
      <c r="AA302" s="1" t="str">
        <f>IFERROR(IF($Q$1=$P$3,INDEX(prem_analysis!$P$2:$Q$441,ROWS(Data!$P$2:Z302),COLUMNS(Data!$P$3:Y303)),IF($Q$1=$P$5,INDEX(prem_analysis!$BH$1:$BS$23,ROWS(Data!$Q$3:Z303),COLUMNS(Data!$Q$3:Z303)),IF($Q$1=$P$6,INDEX(prem_analysis!$BU$1:$CF$67,ROWS(prem_analysis!$N$2:W302),COLUMNS(prem_analysis!$N$2:W302)),IF($Q$1=$P$4,INDEX(Table24[[#All],[Year]:[Details]],ROWS(prem_analysis!$M$420:V720),COLUMNS(Data!$Q$3:Z303)))))),"")</f>
        <v/>
      </c>
      <c r="AB302" s="1" t="str">
        <f>IFERROR(IF($Q$1=$P$3,INDEX(prem_analysis!$P$2:$Q$441,ROWS(Data!$P$2:AA302),COLUMNS(Data!$P$3:Z303)),IF($Q$1=$P$5,INDEX(prem_analysis!$BH$1:$BS$23,ROWS(Data!$Q$3:AA303),COLUMNS(Data!$Q$3:AA303)),IF($Q$1=$P$6,INDEX(prem_analysis!$BU$1:$CF$67,ROWS(prem_analysis!$N$2:X302),COLUMNS(prem_analysis!$N$2:X302)),IF($Q$1=$P$4,INDEX(Table24[[#All],[Year]:[Details]],ROWS(prem_analysis!$M$420:W720),COLUMNS(Data!$Q$3:AA303)))))),"")</f>
        <v/>
      </c>
      <c r="AC302" s="1" t="str">
        <f>IFERROR(IF($Q$1=$P$3,INDEX(prem_analysis!$P$2:$Q$441,ROWS(Data!$P$2:AB302),COLUMNS(Data!$P$3:AA303)),IF($Q$1=$P$5,INDEX(prem_analysis!$BH$1:$BS$23,ROWS(Data!$Q$3:AB303),COLUMNS(Data!$Q$3:AB303)),IF($Q$1=$P$6,INDEX(prem_analysis!$BU$1:$CF$67,ROWS(prem_analysis!$N$2:Y302),COLUMNS(prem_analysis!$N$2:Y302)),IF($Q$1=$P$4,INDEX(Table24[[#All],[Year]:[Details]],ROWS(prem_analysis!$M$420:X720),COLUMNS(Data!$Q$3:AB303)))))),"")</f>
        <v/>
      </c>
    </row>
    <row r="303" spans="1:29" x14ac:dyDescent="0.2">
      <c r="A303" s="5">
        <v>2015</v>
      </c>
      <c r="B303" s="5">
        <v>2</v>
      </c>
      <c r="C303" s="6" t="s">
        <v>12</v>
      </c>
      <c r="D303" s="5">
        <v>38</v>
      </c>
      <c r="E303" s="5">
        <v>20</v>
      </c>
      <c r="F303" s="5">
        <v>11</v>
      </c>
      <c r="G303" s="5">
        <v>7</v>
      </c>
      <c r="H303" s="5">
        <v>65</v>
      </c>
      <c r="I303" s="5">
        <v>36</v>
      </c>
      <c r="J303" s="5">
        <v>29</v>
      </c>
      <c r="K303" s="5">
        <v>71</v>
      </c>
      <c r="L303" s="5">
        <f>IF(Table24[[#This Row],['#]]=1,"Champion", IF(Table24[[#This Row],['#]]&gt;=18,"Relegated",Table24[[#This Row],['#]]))</f>
        <v>2</v>
      </c>
      <c r="M303" s="5">
        <f>IF(Table24[[#This Row],[Details]]=2,K302-Table24[[#This Row],[Pts]],IF(Table24[[#This Row],[Details]]=17,Table24[[#This Row],[Pts]]-K304,""))</f>
        <v>10</v>
      </c>
      <c r="R303" s="1" t="str">
        <f>IFERROR(IF($Q$1=$P$3,INDEX(prem_analysis!$P$2:$Q$441,ROWS(Data!$P$2:Q303),COLUMNS(Data!$P$3:P304)),IF($Q$1=$P$5,INDEX(prem_analysis!$BH$1:$BS$23,ROWS(Data!$Q$3:Q304),COLUMNS(Data!$Q$3:Q304)),IF($Q$1=$P$6,INDEX(prem_analysis!$BU$1:$CF$67,ROWS(prem_analysis!$N$2:N303),COLUMNS(prem_analysis!$N$2:N303)),IF($Q$1=$P$4,INDEX(Table24[[#All],[Year]:[Details]],ROWS(prem_analysis!$M$420:M721),COLUMNS(Data!$Q$3:Q304)))))),"")</f>
        <v/>
      </c>
      <c r="S303" s="1" t="str">
        <f>IFERROR(IF($Q$1=$P$3,INDEX(prem_analysis!$P$2:$Q$441,ROWS(Data!$P$2:R303),COLUMNS(Data!$P$3:Q304)),IF($Q$1=$P$5,INDEX(prem_analysis!$BH$1:$BS$23,ROWS(Data!$Q$3:R304),COLUMNS(Data!$Q$3:R304)),IF($Q$1=$P$6,INDEX(prem_analysis!$BU$1:$CF$67,ROWS(prem_analysis!$N$2:O303),COLUMNS(prem_analysis!$N$2:O303)),IF($Q$1=$P$4,INDEX(Table24[[#All],[Year]:[Details]],ROWS(prem_analysis!$M$420:N721),COLUMNS(Data!$Q$3:R304)))))),"")</f>
        <v/>
      </c>
      <c r="T303" s="1" t="str">
        <f>IFERROR(IF($Q$1=$P$3,INDEX(prem_analysis!$P$2:$Q$441,ROWS(Data!$P$2:S303),COLUMNS(Data!$P$3:R304)),IF($Q$1=$P$5,INDEX(prem_analysis!$BH$1:$BS$23,ROWS(Data!$Q$3:S304),COLUMNS(Data!$Q$3:S304)),IF($Q$1=$P$6,INDEX(prem_analysis!$BU$1:$CF$67,ROWS(prem_analysis!$N$2:P303),COLUMNS(prem_analysis!$N$2:P303)),IF($Q$1=$P$4,INDEX(Table24[[#All],[Year]:[Details]],ROWS(prem_analysis!$M$420:O721),COLUMNS(Data!$Q$3:S304)))))),"")</f>
        <v/>
      </c>
      <c r="U303" s="1" t="str">
        <f>IFERROR(IF($Q$1=$P$3,INDEX(prem_analysis!$P$2:$Q$441,ROWS(Data!$P$2:T303),COLUMNS(Data!$P$3:S304)),IF($Q$1=$P$5,INDEX(prem_analysis!$BH$1:$BS$23,ROWS(Data!$Q$3:T304),COLUMNS(Data!$Q$3:T304)),IF($Q$1=$P$6,INDEX(prem_analysis!$BU$1:$CF$67,ROWS(prem_analysis!$N$2:Q303),COLUMNS(prem_analysis!$N$2:Q303)),IF($Q$1=$P$4,INDEX(Table24[[#All],[Year]:[Details]],ROWS(prem_analysis!$M$420:P721),COLUMNS(Data!$Q$3:T304)))))),"")</f>
        <v/>
      </c>
      <c r="V303" s="1" t="str">
        <f>IFERROR(IF($Q$1=$P$3,INDEX(prem_analysis!$P$2:$Q$441,ROWS(Data!$P$2:U303),COLUMNS(Data!$P$3:T304)),IF($Q$1=$P$5,INDEX(prem_analysis!$BH$1:$BS$23,ROWS(Data!$Q$3:U304),COLUMNS(Data!$Q$3:U304)),IF($Q$1=$P$6,INDEX(prem_analysis!$BU$1:$CF$67,ROWS(prem_analysis!$N$2:R303),COLUMNS(prem_analysis!$N$2:R303)),IF($Q$1=$P$4,INDEX(Table24[[#All],[Year]:[Details]],ROWS(prem_analysis!$M$420:Q721),COLUMNS(Data!$Q$3:U304)))))),"")</f>
        <v/>
      </c>
      <c r="W303" s="1" t="str">
        <f>IFERROR(IF($Q$1=$P$3,INDEX(prem_analysis!$P$2:$Q$441,ROWS(Data!$P$2:V303),COLUMNS(Data!$P$3:U304)),IF($Q$1=$P$5,INDEX(prem_analysis!$BH$1:$BS$23,ROWS(Data!$Q$3:V304),COLUMNS(Data!$Q$3:V304)),IF($Q$1=$P$6,INDEX(prem_analysis!$BU$1:$CF$67,ROWS(prem_analysis!$N$2:S303),COLUMNS(prem_analysis!$N$2:S303)),IF($Q$1=$P$4,INDEX(Table24[[#All],[Year]:[Details]],ROWS(prem_analysis!$M$420:R721),COLUMNS(Data!$Q$3:V304)))))),"")</f>
        <v/>
      </c>
      <c r="X303" s="1" t="str">
        <f>IFERROR(IF($Q$1=$P$3,INDEX(prem_analysis!$P$2:$Q$441,ROWS(Data!$P$2:W303),COLUMNS(Data!$P$3:V304)),IF($Q$1=$P$5,INDEX(prem_analysis!$BH$1:$BS$23,ROWS(Data!$Q$3:W304),COLUMNS(Data!$Q$3:W304)),IF($Q$1=$P$6,INDEX(prem_analysis!$BU$1:$CF$67,ROWS(prem_analysis!$N$2:T303),COLUMNS(prem_analysis!$N$2:T303)),IF($Q$1=$P$4,INDEX(Table24[[#All],[Year]:[Details]],ROWS(prem_analysis!$M$420:S721),COLUMNS(Data!$Q$3:W304)))))),"")</f>
        <v/>
      </c>
      <c r="Y303" s="1" t="str">
        <f>IFERROR(IF($Q$1=$P$3,INDEX(prem_analysis!$P$2:$Q$441,ROWS(Data!$P$2:X303),COLUMNS(Data!$P$3:W304)),IF($Q$1=$P$5,INDEX(prem_analysis!$BH$1:$BS$23,ROWS(Data!$Q$3:X304),COLUMNS(Data!$Q$3:X304)),IF($Q$1=$P$6,INDEX(prem_analysis!$BU$1:$CF$67,ROWS(prem_analysis!$N$2:U303),COLUMNS(prem_analysis!$N$2:U303)),IF($Q$1=$P$4,INDEX(Table24[[#All],[Year]:[Details]],ROWS(prem_analysis!$M$420:T721),COLUMNS(Data!$Q$3:X304)))))),"")</f>
        <v/>
      </c>
      <c r="Z303" s="1" t="str">
        <f>IFERROR(IF($Q$1=$P$3,INDEX(prem_analysis!$P$2:$Q$441,ROWS(Data!$P$2:Y303),COLUMNS(Data!$P$3:X304)),IF($Q$1=$P$5,INDEX(prem_analysis!$BH$1:$BS$23,ROWS(Data!$Q$3:Y304),COLUMNS(Data!$Q$3:Y304)),IF($Q$1=$P$6,INDEX(prem_analysis!$BU$1:$CF$67,ROWS(prem_analysis!$N$2:V303),COLUMNS(prem_analysis!$N$2:V303)),IF($Q$1=$P$4,INDEX(Table24[[#All],[Year]:[Details]],ROWS(prem_analysis!$M$420:U721),COLUMNS(Data!$Q$3:Y304)))))),"")</f>
        <v/>
      </c>
      <c r="AA303" s="1" t="str">
        <f>IFERROR(IF($Q$1=$P$3,INDEX(prem_analysis!$P$2:$Q$441,ROWS(Data!$P$2:Z303),COLUMNS(Data!$P$3:Y304)),IF($Q$1=$P$5,INDEX(prem_analysis!$BH$1:$BS$23,ROWS(Data!$Q$3:Z304),COLUMNS(Data!$Q$3:Z304)),IF($Q$1=$P$6,INDEX(prem_analysis!$BU$1:$CF$67,ROWS(prem_analysis!$N$2:W303),COLUMNS(prem_analysis!$N$2:W303)),IF($Q$1=$P$4,INDEX(Table24[[#All],[Year]:[Details]],ROWS(prem_analysis!$M$420:V721),COLUMNS(Data!$Q$3:Z304)))))),"")</f>
        <v/>
      </c>
      <c r="AB303" s="1" t="str">
        <f>IFERROR(IF($Q$1=$P$3,INDEX(prem_analysis!$P$2:$Q$441,ROWS(Data!$P$2:AA303),COLUMNS(Data!$P$3:Z304)),IF($Q$1=$P$5,INDEX(prem_analysis!$BH$1:$BS$23,ROWS(Data!$Q$3:AA304),COLUMNS(Data!$Q$3:AA304)),IF($Q$1=$P$6,INDEX(prem_analysis!$BU$1:$CF$67,ROWS(prem_analysis!$N$2:X303),COLUMNS(prem_analysis!$N$2:X303)),IF($Q$1=$P$4,INDEX(Table24[[#All],[Year]:[Details]],ROWS(prem_analysis!$M$420:W721),COLUMNS(Data!$Q$3:AA304)))))),"")</f>
        <v/>
      </c>
      <c r="AC303" s="1" t="str">
        <f>IFERROR(IF($Q$1=$P$3,INDEX(prem_analysis!$P$2:$Q$441,ROWS(Data!$P$2:AB303),COLUMNS(Data!$P$3:AA304)),IF($Q$1=$P$5,INDEX(prem_analysis!$BH$1:$BS$23,ROWS(Data!$Q$3:AB304),COLUMNS(Data!$Q$3:AB304)),IF($Q$1=$P$6,INDEX(prem_analysis!$BU$1:$CF$67,ROWS(prem_analysis!$N$2:Y303),COLUMNS(prem_analysis!$N$2:Y303)),IF($Q$1=$P$4,INDEX(Table24[[#All],[Year]:[Details]],ROWS(prem_analysis!$M$420:X721),COLUMNS(Data!$Q$3:AB304)))))),"")</f>
        <v/>
      </c>
    </row>
    <row r="304" spans="1:29" x14ac:dyDescent="0.2">
      <c r="A304" s="3">
        <v>2015</v>
      </c>
      <c r="B304" s="3">
        <v>3</v>
      </c>
      <c r="C304" s="4" t="s">
        <v>22</v>
      </c>
      <c r="D304" s="3">
        <v>38</v>
      </c>
      <c r="E304" s="3">
        <v>19</v>
      </c>
      <c r="F304" s="3">
        <v>13</v>
      </c>
      <c r="G304" s="3">
        <v>6</v>
      </c>
      <c r="H304" s="3">
        <v>69</v>
      </c>
      <c r="I304" s="3">
        <v>35</v>
      </c>
      <c r="J304" s="3">
        <v>34</v>
      </c>
      <c r="K304" s="3">
        <v>70</v>
      </c>
      <c r="L304" s="5">
        <f>IF(Table24[[#This Row],['#]]=1,"Champion", IF(Table24[[#This Row],['#]]&gt;=18,"Relegated",Table24[[#This Row],['#]]))</f>
        <v>3</v>
      </c>
      <c r="M304" s="5" t="str">
        <f>IF(Table24[[#This Row],[Details]]=2,K303-Table24[[#This Row],[Pts]],IF(Table24[[#This Row],[Details]]=17,Table24[[#This Row],[Pts]]-K305,""))</f>
        <v/>
      </c>
      <c r="R304" s="1" t="str">
        <f>IFERROR(IF($Q$1=$P$3,INDEX(prem_analysis!$P$2:$Q$441,ROWS(Data!$P$2:Q304),COLUMNS(Data!$P$3:P305)),IF($Q$1=$P$5,INDEX(prem_analysis!$BH$1:$BS$23,ROWS(Data!$Q$3:Q305),COLUMNS(Data!$Q$3:Q305)),IF($Q$1=$P$6,INDEX(prem_analysis!$BU$1:$CF$67,ROWS(prem_analysis!$N$2:N304),COLUMNS(prem_analysis!$N$2:N304)),IF($Q$1=$P$4,INDEX(Table24[[#All],[Year]:[Details]],ROWS(prem_analysis!$M$420:M722),COLUMNS(Data!$Q$3:Q305)))))),"")</f>
        <v/>
      </c>
      <c r="S304" s="1" t="str">
        <f>IFERROR(IF($Q$1=$P$3,INDEX(prem_analysis!$P$2:$Q$441,ROWS(Data!$P$2:R304),COLUMNS(Data!$P$3:Q305)),IF($Q$1=$P$5,INDEX(prem_analysis!$BH$1:$BS$23,ROWS(Data!$Q$3:R305),COLUMNS(Data!$Q$3:R305)),IF($Q$1=$P$6,INDEX(prem_analysis!$BU$1:$CF$67,ROWS(prem_analysis!$N$2:O304),COLUMNS(prem_analysis!$N$2:O304)),IF($Q$1=$P$4,INDEX(Table24[[#All],[Year]:[Details]],ROWS(prem_analysis!$M$420:N722),COLUMNS(Data!$Q$3:R305)))))),"")</f>
        <v/>
      </c>
      <c r="T304" s="1" t="str">
        <f>IFERROR(IF($Q$1=$P$3,INDEX(prem_analysis!$P$2:$Q$441,ROWS(Data!$P$2:S304),COLUMNS(Data!$P$3:R305)),IF($Q$1=$P$5,INDEX(prem_analysis!$BH$1:$BS$23,ROWS(Data!$Q$3:S305),COLUMNS(Data!$Q$3:S305)),IF($Q$1=$P$6,INDEX(prem_analysis!$BU$1:$CF$67,ROWS(prem_analysis!$N$2:P304),COLUMNS(prem_analysis!$N$2:P304)),IF($Q$1=$P$4,INDEX(Table24[[#All],[Year]:[Details]],ROWS(prem_analysis!$M$420:O722),COLUMNS(Data!$Q$3:S305)))))),"")</f>
        <v/>
      </c>
      <c r="U304" s="1" t="str">
        <f>IFERROR(IF($Q$1=$P$3,INDEX(prem_analysis!$P$2:$Q$441,ROWS(Data!$P$2:T304),COLUMNS(Data!$P$3:S305)),IF($Q$1=$P$5,INDEX(prem_analysis!$BH$1:$BS$23,ROWS(Data!$Q$3:T305),COLUMNS(Data!$Q$3:T305)),IF($Q$1=$P$6,INDEX(prem_analysis!$BU$1:$CF$67,ROWS(prem_analysis!$N$2:Q304),COLUMNS(prem_analysis!$N$2:Q304)),IF($Q$1=$P$4,INDEX(Table24[[#All],[Year]:[Details]],ROWS(prem_analysis!$M$420:P722),COLUMNS(Data!$Q$3:T305)))))),"")</f>
        <v/>
      </c>
      <c r="V304" s="1" t="str">
        <f>IFERROR(IF($Q$1=$P$3,INDEX(prem_analysis!$P$2:$Q$441,ROWS(Data!$P$2:U304),COLUMNS(Data!$P$3:T305)),IF($Q$1=$P$5,INDEX(prem_analysis!$BH$1:$BS$23,ROWS(Data!$Q$3:U305),COLUMNS(Data!$Q$3:U305)),IF($Q$1=$P$6,INDEX(prem_analysis!$BU$1:$CF$67,ROWS(prem_analysis!$N$2:R304),COLUMNS(prem_analysis!$N$2:R304)),IF($Q$1=$P$4,INDEX(Table24[[#All],[Year]:[Details]],ROWS(prem_analysis!$M$420:Q722),COLUMNS(Data!$Q$3:U305)))))),"")</f>
        <v/>
      </c>
      <c r="W304" s="1" t="str">
        <f>IFERROR(IF($Q$1=$P$3,INDEX(prem_analysis!$P$2:$Q$441,ROWS(Data!$P$2:V304),COLUMNS(Data!$P$3:U305)),IF($Q$1=$P$5,INDEX(prem_analysis!$BH$1:$BS$23,ROWS(Data!$Q$3:V305),COLUMNS(Data!$Q$3:V305)),IF($Q$1=$P$6,INDEX(prem_analysis!$BU$1:$CF$67,ROWS(prem_analysis!$N$2:S304),COLUMNS(prem_analysis!$N$2:S304)),IF($Q$1=$P$4,INDEX(Table24[[#All],[Year]:[Details]],ROWS(prem_analysis!$M$420:R722),COLUMNS(Data!$Q$3:V305)))))),"")</f>
        <v/>
      </c>
      <c r="X304" s="1" t="str">
        <f>IFERROR(IF($Q$1=$P$3,INDEX(prem_analysis!$P$2:$Q$441,ROWS(Data!$P$2:W304),COLUMNS(Data!$P$3:V305)),IF($Q$1=$P$5,INDEX(prem_analysis!$BH$1:$BS$23,ROWS(Data!$Q$3:W305),COLUMNS(Data!$Q$3:W305)),IF($Q$1=$P$6,INDEX(prem_analysis!$BU$1:$CF$67,ROWS(prem_analysis!$N$2:T304),COLUMNS(prem_analysis!$N$2:T304)),IF($Q$1=$P$4,INDEX(Table24[[#All],[Year]:[Details]],ROWS(prem_analysis!$M$420:S722),COLUMNS(Data!$Q$3:W305)))))),"")</f>
        <v/>
      </c>
      <c r="Y304" s="1" t="str">
        <f>IFERROR(IF($Q$1=$P$3,INDEX(prem_analysis!$P$2:$Q$441,ROWS(Data!$P$2:X304),COLUMNS(Data!$P$3:W305)),IF($Q$1=$P$5,INDEX(prem_analysis!$BH$1:$BS$23,ROWS(Data!$Q$3:X305),COLUMNS(Data!$Q$3:X305)),IF($Q$1=$P$6,INDEX(prem_analysis!$BU$1:$CF$67,ROWS(prem_analysis!$N$2:U304),COLUMNS(prem_analysis!$N$2:U304)),IF($Q$1=$P$4,INDEX(Table24[[#All],[Year]:[Details]],ROWS(prem_analysis!$M$420:T722),COLUMNS(Data!$Q$3:X305)))))),"")</f>
        <v/>
      </c>
      <c r="Z304" s="1" t="str">
        <f>IFERROR(IF($Q$1=$P$3,INDEX(prem_analysis!$P$2:$Q$441,ROWS(Data!$P$2:Y304),COLUMNS(Data!$P$3:X305)),IF($Q$1=$P$5,INDEX(prem_analysis!$BH$1:$BS$23,ROWS(Data!$Q$3:Y305),COLUMNS(Data!$Q$3:Y305)),IF($Q$1=$P$6,INDEX(prem_analysis!$BU$1:$CF$67,ROWS(prem_analysis!$N$2:V304),COLUMNS(prem_analysis!$N$2:V304)),IF($Q$1=$P$4,INDEX(Table24[[#All],[Year]:[Details]],ROWS(prem_analysis!$M$420:U722),COLUMNS(Data!$Q$3:Y305)))))),"")</f>
        <v/>
      </c>
      <c r="AA304" s="1" t="str">
        <f>IFERROR(IF($Q$1=$P$3,INDEX(prem_analysis!$P$2:$Q$441,ROWS(Data!$P$2:Z304),COLUMNS(Data!$P$3:Y305)),IF($Q$1=$P$5,INDEX(prem_analysis!$BH$1:$BS$23,ROWS(Data!$Q$3:Z305),COLUMNS(Data!$Q$3:Z305)),IF($Q$1=$P$6,INDEX(prem_analysis!$BU$1:$CF$67,ROWS(prem_analysis!$N$2:W304),COLUMNS(prem_analysis!$N$2:W304)),IF($Q$1=$P$4,INDEX(Table24[[#All],[Year]:[Details]],ROWS(prem_analysis!$M$420:V722),COLUMNS(Data!$Q$3:Z305)))))),"")</f>
        <v/>
      </c>
      <c r="AB304" s="1" t="str">
        <f>IFERROR(IF($Q$1=$P$3,INDEX(prem_analysis!$P$2:$Q$441,ROWS(Data!$P$2:AA304),COLUMNS(Data!$P$3:Z305)),IF($Q$1=$P$5,INDEX(prem_analysis!$BH$1:$BS$23,ROWS(Data!$Q$3:AA305),COLUMNS(Data!$Q$3:AA305)),IF($Q$1=$P$6,INDEX(prem_analysis!$BU$1:$CF$67,ROWS(prem_analysis!$N$2:X304),COLUMNS(prem_analysis!$N$2:X304)),IF($Q$1=$P$4,INDEX(Table24[[#All],[Year]:[Details]],ROWS(prem_analysis!$M$420:W722),COLUMNS(Data!$Q$3:AA305)))))),"")</f>
        <v/>
      </c>
      <c r="AC304" s="1" t="str">
        <f>IFERROR(IF($Q$1=$P$3,INDEX(prem_analysis!$P$2:$Q$441,ROWS(Data!$P$2:AB304),COLUMNS(Data!$P$3:AA305)),IF($Q$1=$P$5,INDEX(prem_analysis!$BH$1:$BS$23,ROWS(Data!$Q$3:AB305),COLUMNS(Data!$Q$3:AB305)),IF($Q$1=$P$6,INDEX(prem_analysis!$BU$1:$CF$67,ROWS(prem_analysis!$N$2:Y304),COLUMNS(prem_analysis!$N$2:Y304)),IF($Q$1=$P$4,INDEX(Table24[[#All],[Year]:[Details]],ROWS(prem_analysis!$M$420:X722),COLUMNS(Data!$Q$3:AB305)))))),"")</f>
        <v/>
      </c>
    </row>
    <row r="305" spans="1:29" x14ac:dyDescent="0.2">
      <c r="A305" s="5">
        <v>2015</v>
      </c>
      <c r="B305" s="5">
        <v>4</v>
      </c>
      <c r="C305" s="6" t="s">
        <v>28</v>
      </c>
      <c r="D305" s="5">
        <v>38</v>
      </c>
      <c r="E305" s="5">
        <v>19</v>
      </c>
      <c r="F305" s="5">
        <v>9</v>
      </c>
      <c r="G305" s="5">
        <v>10</v>
      </c>
      <c r="H305" s="5">
        <v>71</v>
      </c>
      <c r="I305" s="5">
        <v>41</v>
      </c>
      <c r="J305" s="5">
        <v>30</v>
      </c>
      <c r="K305" s="5">
        <v>66</v>
      </c>
      <c r="L305" s="5">
        <f>IF(Table24[[#This Row],['#]]=1,"Champion", IF(Table24[[#This Row],['#]]&gt;=18,"Relegated",Table24[[#This Row],['#]]))</f>
        <v>4</v>
      </c>
      <c r="M305" s="5" t="str">
        <f>IF(Table24[[#This Row],[Details]]=2,K304-Table24[[#This Row],[Pts]],IF(Table24[[#This Row],[Details]]=17,Table24[[#This Row],[Pts]]-K306,""))</f>
        <v/>
      </c>
      <c r="R305" s="1" t="str">
        <f>IFERROR(IF($Q$1=$P$3,INDEX(prem_analysis!$P$2:$Q$441,ROWS(Data!$P$2:Q305),COLUMNS(Data!$P$3:P306)),IF($Q$1=$P$5,INDEX(prem_analysis!$BH$1:$BS$23,ROWS(Data!$Q$3:Q306),COLUMNS(Data!$Q$3:Q306)),IF($Q$1=$P$6,INDEX(prem_analysis!$BU$1:$CF$67,ROWS(prem_analysis!$N$2:N305),COLUMNS(prem_analysis!$N$2:N305)),IF($Q$1=$P$4,INDEX(Table24[[#All],[Year]:[Details]],ROWS(prem_analysis!$M$420:M723),COLUMNS(Data!$Q$3:Q306)))))),"")</f>
        <v/>
      </c>
      <c r="S305" s="1" t="str">
        <f>IFERROR(IF($Q$1=$P$3,INDEX(prem_analysis!$P$2:$Q$441,ROWS(Data!$P$2:R305),COLUMNS(Data!$P$3:Q306)),IF($Q$1=$P$5,INDEX(prem_analysis!$BH$1:$BS$23,ROWS(Data!$Q$3:R306),COLUMNS(Data!$Q$3:R306)),IF($Q$1=$P$6,INDEX(prem_analysis!$BU$1:$CF$67,ROWS(prem_analysis!$N$2:O305),COLUMNS(prem_analysis!$N$2:O305)),IF($Q$1=$P$4,INDEX(Table24[[#All],[Year]:[Details]],ROWS(prem_analysis!$M$420:N723),COLUMNS(Data!$Q$3:R306)))))),"")</f>
        <v/>
      </c>
      <c r="T305" s="1" t="str">
        <f>IFERROR(IF($Q$1=$P$3,INDEX(prem_analysis!$P$2:$Q$441,ROWS(Data!$P$2:S305),COLUMNS(Data!$P$3:R306)),IF($Q$1=$P$5,INDEX(prem_analysis!$BH$1:$BS$23,ROWS(Data!$Q$3:S306),COLUMNS(Data!$Q$3:S306)),IF($Q$1=$P$6,INDEX(prem_analysis!$BU$1:$CF$67,ROWS(prem_analysis!$N$2:P305),COLUMNS(prem_analysis!$N$2:P305)),IF($Q$1=$P$4,INDEX(Table24[[#All],[Year]:[Details]],ROWS(prem_analysis!$M$420:O723),COLUMNS(Data!$Q$3:S306)))))),"")</f>
        <v/>
      </c>
      <c r="U305" s="1" t="str">
        <f>IFERROR(IF($Q$1=$P$3,INDEX(prem_analysis!$P$2:$Q$441,ROWS(Data!$P$2:T305),COLUMNS(Data!$P$3:S306)),IF($Q$1=$P$5,INDEX(prem_analysis!$BH$1:$BS$23,ROWS(Data!$Q$3:T306),COLUMNS(Data!$Q$3:T306)),IF($Q$1=$P$6,INDEX(prem_analysis!$BU$1:$CF$67,ROWS(prem_analysis!$N$2:Q305),COLUMNS(prem_analysis!$N$2:Q305)),IF($Q$1=$P$4,INDEX(Table24[[#All],[Year]:[Details]],ROWS(prem_analysis!$M$420:P723),COLUMNS(Data!$Q$3:T306)))))),"")</f>
        <v/>
      </c>
      <c r="V305" s="1" t="str">
        <f>IFERROR(IF($Q$1=$P$3,INDEX(prem_analysis!$P$2:$Q$441,ROWS(Data!$P$2:U305),COLUMNS(Data!$P$3:T306)),IF($Q$1=$P$5,INDEX(prem_analysis!$BH$1:$BS$23,ROWS(Data!$Q$3:U306),COLUMNS(Data!$Q$3:U306)),IF($Q$1=$P$6,INDEX(prem_analysis!$BU$1:$CF$67,ROWS(prem_analysis!$N$2:R305),COLUMNS(prem_analysis!$N$2:R305)),IF($Q$1=$P$4,INDEX(Table24[[#All],[Year]:[Details]],ROWS(prem_analysis!$M$420:Q723),COLUMNS(Data!$Q$3:U306)))))),"")</f>
        <v/>
      </c>
      <c r="W305" s="1" t="str">
        <f>IFERROR(IF($Q$1=$P$3,INDEX(prem_analysis!$P$2:$Q$441,ROWS(Data!$P$2:V305),COLUMNS(Data!$P$3:U306)),IF($Q$1=$P$5,INDEX(prem_analysis!$BH$1:$BS$23,ROWS(Data!$Q$3:V306),COLUMNS(Data!$Q$3:V306)),IF($Q$1=$P$6,INDEX(prem_analysis!$BU$1:$CF$67,ROWS(prem_analysis!$N$2:S305),COLUMNS(prem_analysis!$N$2:S305)),IF($Q$1=$P$4,INDEX(Table24[[#All],[Year]:[Details]],ROWS(prem_analysis!$M$420:R723),COLUMNS(Data!$Q$3:V306)))))),"")</f>
        <v/>
      </c>
      <c r="X305" s="1" t="str">
        <f>IFERROR(IF($Q$1=$P$3,INDEX(prem_analysis!$P$2:$Q$441,ROWS(Data!$P$2:W305),COLUMNS(Data!$P$3:V306)),IF($Q$1=$P$5,INDEX(prem_analysis!$BH$1:$BS$23,ROWS(Data!$Q$3:W306),COLUMNS(Data!$Q$3:W306)),IF($Q$1=$P$6,INDEX(prem_analysis!$BU$1:$CF$67,ROWS(prem_analysis!$N$2:T305),COLUMNS(prem_analysis!$N$2:T305)),IF($Q$1=$P$4,INDEX(Table24[[#All],[Year]:[Details]],ROWS(prem_analysis!$M$420:S723),COLUMNS(Data!$Q$3:W306)))))),"")</f>
        <v/>
      </c>
      <c r="Y305" s="1" t="str">
        <f>IFERROR(IF($Q$1=$P$3,INDEX(prem_analysis!$P$2:$Q$441,ROWS(Data!$P$2:X305),COLUMNS(Data!$P$3:W306)),IF($Q$1=$P$5,INDEX(prem_analysis!$BH$1:$BS$23,ROWS(Data!$Q$3:X306),COLUMNS(Data!$Q$3:X306)),IF($Q$1=$P$6,INDEX(prem_analysis!$BU$1:$CF$67,ROWS(prem_analysis!$N$2:U305),COLUMNS(prem_analysis!$N$2:U305)),IF($Q$1=$P$4,INDEX(Table24[[#All],[Year]:[Details]],ROWS(prem_analysis!$M$420:T723),COLUMNS(Data!$Q$3:X306)))))),"")</f>
        <v/>
      </c>
      <c r="Z305" s="1" t="str">
        <f>IFERROR(IF($Q$1=$P$3,INDEX(prem_analysis!$P$2:$Q$441,ROWS(Data!$P$2:Y305),COLUMNS(Data!$P$3:X306)),IF($Q$1=$P$5,INDEX(prem_analysis!$BH$1:$BS$23,ROWS(Data!$Q$3:Y306),COLUMNS(Data!$Q$3:Y306)),IF($Q$1=$P$6,INDEX(prem_analysis!$BU$1:$CF$67,ROWS(prem_analysis!$N$2:V305),COLUMNS(prem_analysis!$N$2:V305)),IF($Q$1=$P$4,INDEX(Table24[[#All],[Year]:[Details]],ROWS(prem_analysis!$M$420:U723),COLUMNS(Data!$Q$3:Y306)))))),"")</f>
        <v/>
      </c>
      <c r="AA305" s="1" t="str">
        <f>IFERROR(IF($Q$1=$P$3,INDEX(prem_analysis!$P$2:$Q$441,ROWS(Data!$P$2:Z305),COLUMNS(Data!$P$3:Y306)),IF($Q$1=$P$5,INDEX(prem_analysis!$BH$1:$BS$23,ROWS(Data!$Q$3:Z306),COLUMNS(Data!$Q$3:Z306)),IF($Q$1=$P$6,INDEX(prem_analysis!$BU$1:$CF$67,ROWS(prem_analysis!$N$2:W305),COLUMNS(prem_analysis!$N$2:W305)),IF($Q$1=$P$4,INDEX(Table24[[#All],[Year]:[Details]],ROWS(prem_analysis!$M$420:V723),COLUMNS(Data!$Q$3:Z306)))))),"")</f>
        <v/>
      </c>
      <c r="AB305" s="1" t="str">
        <f>IFERROR(IF($Q$1=$P$3,INDEX(prem_analysis!$P$2:$Q$441,ROWS(Data!$P$2:AA305),COLUMNS(Data!$P$3:Z306)),IF($Q$1=$P$5,INDEX(prem_analysis!$BH$1:$BS$23,ROWS(Data!$Q$3:AA306),COLUMNS(Data!$Q$3:AA306)),IF($Q$1=$P$6,INDEX(prem_analysis!$BU$1:$CF$67,ROWS(prem_analysis!$N$2:X305),COLUMNS(prem_analysis!$N$2:X305)),IF($Q$1=$P$4,INDEX(Table24[[#All],[Year]:[Details]],ROWS(prem_analysis!$M$420:W723),COLUMNS(Data!$Q$3:AA306)))))),"")</f>
        <v/>
      </c>
      <c r="AC305" s="1" t="str">
        <f>IFERROR(IF($Q$1=$P$3,INDEX(prem_analysis!$P$2:$Q$441,ROWS(Data!$P$2:AB305),COLUMNS(Data!$P$3:AA306)),IF($Q$1=$P$5,INDEX(prem_analysis!$BH$1:$BS$23,ROWS(Data!$Q$3:AB306),COLUMNS(Data!$Q$3:AB306)),IF($Q$1=$P$6,INDEX(prem_analysis!$BU$1:$CF$67,ROWS(prem_analysis!$N$2:Y305),COLUMNS(prem_analysis!$N$2:Y305)),IF($Q$1=$P$4,INDEX(Table24[[#All],[Year]:[Details]],ROWS(prem_analysis!$M$420:X723),COLUMNS(Data!$Q$3:AB306)))))),"")</f>
        <v/>
      </c>
    </row>
    <row r="306" spans="1:29" x14ac:dyDescent="0.2">
      <c r="A306" s="3">
        <v>2015</v>
      </c>
      <c r="B306" s="3">
        <v>5</v>
      </c>
      <c r="C306" s="4" t="s">
        <v>11</v>
      </c>
      <c r="D306" s="3">
        <v>38</v>
      </c>
      <c r="E306" s="3">
        <v>19</v>
      </c>
      <c r="F306" s="3">
        <v>9</v>
      </c>
      <c r="G306" s="3">
        <v>10</v>
      </c>
      <c r="H306" s="3">
        <v>49</v>
      </c>
      <c r="I306" s="3">
        <v>35</v>
      </c>
      <c r="J306" s="3">
        <v>14</v>
      </c>
      <c r="K306" s="3">
        <v>66</v>
      </c>
      <c r="L306" s="5">
        <f>IF(Table24[[#This Row],['#]]=1,"Champion", IF(Table24[[#This Row],['#]]&gt;=18,"Relegated",Table24[[#This Row],['#]]))</f>
        <v>5</v>
      </c>
      <c r="M306" s="5" t="str">
        <f>IF(Table24[[#This Row],[Details]]=2,K305-Table24[[#This Row],[Pts]],IF(Table24[[#This Row],[Details]]=17,Table24[[#This Row],[Pts]]-K307,""))</f>
        <v/>
      </c>
      <c r="R306" s="1" t="str">
        <f>IFERROR(IF($Q$1=$P$3,INDEX(prem_analysis!$P$2:$Q$441,ROWS(Data!$P$2:Q306),COLUMNS(Data!$P$3:P307)),IF($Q$1=$P$5,INDEX(prem_analysis!$BH$1:$BS$23,ROWS(Data!$Q$3:Q307),COLUMNS(Data!$Q$3:Q307)),IF($Q$1=$P$6,INDEX(prem_analysis!$BU$1:$CF$67,ROWS(prem_analysis!$N$2:N306),COLUMNS(prem_analysis!$N$2:N306)),IF($Q$1=$P$4,INDEX(Table24[[#All],[Year]:[Details]],ROWS(prem_analysis!$M$420:M724),COLUMNS(Data!$Q$3:Q307)))))),"")</f>
        <v/>
      </c>
      <c r="S306" s="1" t="str">
        <f>IFERROR(IF($Q$1=$P$3,INDEX(prem_analysis!$P$2:$Q$441,ROWS(Data!$P$2:R306),COLUMNS(Data!$P$3:Q307)),IF($Q$1=$P$5,INDEX(prem_analysis!$BH$1:$BS$23,ROWS(Data!$Q$3:R307),COLUMNS(Data!$Q$3:R307)),IF($Q$1=$P$6,INDEX(prem_analysis!$BU$1:$CF$67,ROWS(prem_analysis!$N$2:O306),COLUMNS(prem_analysis!$N$2:O306)),IF($Q$1=$P$4,INDEX(Table24[[#All],[Year]:[Details]],ROWS(prem_analysis!$M$420:N724),COLUMNS(Data!$Q$3:R307)))))),"")</f>
        <v/>
      </c>
      <c r="T306" s="1" t="str">
        <f>IFERROR(IF($Q$1=$P$3,INDEX(prem_analysis!$P$2:$Q$441,ROWS(Data!$P$2:S306),COLUMNS(Data!$P$3:R307)),IF($Q$1=$P$5,INDEX(prem_analysis!$BH$1:$BS$23,ROWS(Data!$Q$3:S307),COLUMNS(Data!$Q$3:S307)),IF($Q$1=$P$6,INDEX(prem_analysis!$BU$1:$CF$67,ROWS(prem_analysis!$N$2:P306),COLUMNS(prem_analysis!$N$2:P306)),IF($Q$1=$P$4,INDEX(Table24[[#All],[Year]:[Details]],ROWS(prem_analysis!$M$420:O724),COLUMNS(Data!$Q$3:S307)))))),"")</f>
        <v/>
      </c>
      <c r="U306" s="1" t="str">
        <f>IFERROR(IF($Q$1=$P$3,INDEX(prem_analysis!$P$2:$Q$441,ROWS(Data!$P$2:T306),COLUMNS(Data!$P$3:S307)),IF($Q$1=$P$5,INDEX(prem_analysis!$BH$1:$BS$23,ROWS(Data!$Q$3:T307),COLUMNS(Data!$Q$3:T307)),IF($Q$1=$P$6,INDEX(prem_analysis!$BU$1:$CF$67,ROWS(prem_analysis!$N$2:Q306),COLUMNS(prem_analysis!$N$2:Q306)),IF($Q$1=$P$4,INDEX(Table24[[#All],[Year]:[Details]],ROWS(prem_analysis!$M$420:P724),COLUMNS(Data!$Q$3:T307)))))),"")</f>
        <v/>
      </c>
      <c r="V306" s="1" t="str">
        <f>IFERROR(IF($Q$1=$P$3,INDEX(prem_analysis!$P$2:$Q$441,ROWS(Data!$P$2:U306),COLUMNS(Data!$P$3:T307)),IF($Q$1=$P$5,INDEX(prem_analysis!$BH$1:$BS$23,ROWS(Data!$Q$3:U307),COLUMNS(Data!$Q$3:U307)),IF($Q$1=$P$6,INDEX(prem_analysis!$BU$1:$CF$67,ROWS(prem_analysis!$N$2:R306),COLUMNS(prem_analysis!$N$2:R306)),IF($Q$1=$P$4,INDEX(Table24[[#All],[Year]:[Details]],ROWS(prem_analysis!$M$420:Q724),COLUMNS(Data!$Q$3:U307)))))),"")</f>
        <v/>
      </c>
      <c r="W306" s="1" t="str">
        <f>IFERROR(IF($Q$1=$P$3,INDEX(prem_analysis!$P$2:$Q$441,ROWS(Data!$P$2:V306),COLUMNS(Data!$P$3:U307)),IF($Q$1=$P$5,INDEX(prem_analysis!$BH$1:$BS$23,ROWS(Data!$Q$3:V307),COLUMNS(Data!$Q$3:V307)),IF($Q$1=$P$6,INDEX(prem_analysis!$BU$1:$CF$67,ROWS(prem_analysis!$N$2:S306),COLUMNS(prem_analysis!$N$2:S306)),IF($Q$1=$P$4,INDEX(Table24[[#All],[Year]:[Details]],ROWS(prem_analysis!$M$420:R724),COLUMNS(Data!$Q$3:V307)))))),"")</f>
        <v/>
      </c>
      <c r="X306" s="1" t="str">
        <f>IFERROR(IF($Q$1=$P$3,INDEX(prem_analysis!$P$2:$Q$441,ROWS(Data!$P$2:W306),COLUMNS(Data!$P$3:V307)),IF($Q$1=$P$5,INDEX(prem_analysis!$BH$1:$BS$23,ROWS(Data!$Q$3:W307),COLUMNS(Data!$Q$3:W307)),IF($Q$1=$P$6,INDEX(prem_analysis!$BU$1:$CF$67,ROWS(prem_analysis!$N$2:T306),COLUMNS(prem_analysis!$N$2:T306)),IF($Q$1=$P$4,INDEX(Table24[[#All],[Year]:[Details]],ROWS(prem_analysis!$M$420:S724),COLUMNS(Data!$Q$3:W307)))))),"")</f>
        <v/>
      </c>
      <c r="Y306" s="1" t="str">
        <f>IFERROR(IF($Q$1=$P$3,INDEX(prem_analysis!$P$2:$Q$441,ROWS(Data!$P$2:X306),COLUMNS(Data!$P$3:W307)),IF($Q$1=$P$5,INDEX(prem_analysis!$BH$1:$BS$23,ROWS(Data!$Q$3:X307),COLUMNS(Data!$Q$3:X307)),IF($Q$1=$P$6,INDEX(prem_analysis!$BU$1:$CF$67,ROWS(prem_analysis!$N$2:U306),COLUMNS(prem_analysis!$N$2:U306)),IF($Q$1=$P$4,INDEX(Table24[[#All],[Year]:[Details]],ROWS(prem_analysis!$M$420:T724),COLUMNS(Data!$Q$3:X307)))))),"")</f>
        <v/>
      </c>
      <c r="Z306" s="1" t="str">
        <f>IFERROR(IF($Q$1=$P$3,INDEX(prem_analysis!$P$2:$Q$441,ROWS(Data!$P$2:Y306),COLUMNS(Data!$P$3:X307)),IF($Q$1=$P$5,INDEX(prem_analysis!$BH$1:$BS$23,ROWS(Data!$Q$3:Y307),COLUMNS(Data!$Q$3:Y307)),IF($Q$1=$P$6,INDEX(prem_analysis!$BU$1:$CF$67,ROWS(prem_analysis!$N$2:V306),COLUMNS(prem_analysis!$N$2:V306)),IF($Q$1=$P$4,INDEX(Table24[[#All],[Year]:[Details]],ROWS(prem_analysis!$M$420:U724),COLUMNS(Data!$Q$3:Y307)))))),"")</f>
        <v/>
      </c>
      <c r="AA306" s="1" t="str">
        <f>IFERROR(IF($Q$1=$P$3,INDEX(prem_analysis!$P$2:$Q$441,ROWS(Data!$P$2:Z306),COLUMNS(Data!$P$3:Y307)),IF($Q$1=$P$5,INDEX(prem_analysis!$BH$1:$BS$23,ROWS(Data!$Q$3:Z307),COLUMNS(Data!$Q$3:Z307)),IF($Q$1=$P$6,INDEX(prem_analysis!$BU$1:$CF$67,ROWS(prem_analysis!$N$2:W306),COLUMNS(prem_analysis!$N$2:W306)),IF($Q$1=$P$4,INDEX(Table24[[#All],[Year]:[Details]],ROWS(prem_analysis!$M$420:V724),COLUMNS(Data!$Q$3:Z307)))))),"")</f>
        <v/>
      </c>
      <c r="AB306" s="1" t="str">
        <f>IFERROR(IF($Q$1=$P$3,INDEX(prem_analysis!$P$2:$Q$441,ROWS(Data!$P$2:AA306),COLUMNS(Data!$P$3:Z307)),IF($Q$1=$P$5,INDEX(prem_analysis!$BH$1:$BS$23,ROWS(Data!$Q$3:AA307),COLUMNS(Data!$Q$3:AA307)),IF($Q$1=$P$6,INDEX(prem_analysis!$BU$1:$CF$67,ROWS(prem_analysis!$N$2:X306),COLUMNS(prem_analysis!$N$2:X306)),IF($Q$1=$P$4,INDEX(Table24[[#All],[Year]:[Details]],ROWS(prem_analysis!$M$420:W724),COLUMNS(Data!$Q$3:AA307)))))),"")</f>
        <v/>
      </c>
      <c r="AC306" s="1" t="str">
        <f>IFERROR(IF($Q$1=$P$3,INDEX(prem_analysis!$P$2:$Q$441,ROWS(Data!$P$2:AB306),COLUMNS(Data!$P$3:AA307)),IF($Q$1=$P$5,INDEX(prem_analysis!$BH$1:$BS$23,ROWS(Data!$Q$3:AB307),COLUMNS(Data!$Q$3:AB307)),IF($Q$1=$P$6,INDEX(prem_analysis!$BU$1:$CF$67,ROWS(prem_analysis!$N$2:Y306),COLUMNS(prem_analysis!$N$2:Y306)),IF($Q$1=$P$4,INDEX(Table24[[#All],[Year]:[Details]],ROWS(prem_analysis!$M$420:X724),COLUMNS(Data!$Q$3:AB307)))))),"")</f>
        <v/>
      </c>
    </row>
    <row r="307" spans="1:29" x14ac:dyDescent="0.2">
      <c r="A307" s="5">
        <v>2015</v>
      </c>
      <c r="B307" s="5">
        <v>6</v>
      </c>
      <c r="C307" s="6" t="s">
        <v>20</v>
      </c>
      <c r="D307" s="5">
        <v>38</v>
      </c>
      <c r="E307" s="5">
        <v>18</v>
      </c>
      <c r="F307" s="5">
        <v>9</v>
      </c>
      <c r="G307" s="5">
        <v>11</v>
      </c>
      <c r="H307" s="5">
        <v>59</v>
      </c>
      <c r="I307" s="5">
        <v>41</v>
      </c>
      <c r="J307" s="5">
        <v>18</v>
      </c>
      <c r="K307" s="5">
        <v>63</v>
      </c>
      <c r="L307" s="5">
        <f>IF(Table24[[#This Row],['#]]=1,"Champion", IF(Table24[[#This Row],['#]]&gt;=18,"Relegated",Table24[[#This Row],['#]]))</f>
        <v>6</v>
      </c>
      <c r="M307" s="5" t="str">
        <f>IF(Table24[[#This Row],[Details]]=2,K306-Table24[[#This Row],[Pts]],IF(Table24[[#This Row],[Details]]=17,Table24[[#This Row],[Pts]]-K308,""))</f>
        <v/>
      </c>
      <c r="R307" s="1" t="str">
        <f>IFERROR(IF($Q$1=$P$3,INDEX(prem_analysis!$P$2:$Q$441,ROWS(Data!$P$2:Q307),COLUMNS(Data!$P$3:P308)),IF($Q$1=$P$5,INDEX(prem_analysis!$BH$1:$BS$23,ROWS(Data!$Q$3:Q308),COLUMNS(Data!$Q$3:Q308)),IF($Q$1=$P$6,INDEX(prem_analysis!$BU$1:$CF$67,ROWS(prem_analysis!$N$2:N307),COLUMNS(prem_analysis!$N$2:N307)),IF($Q$1=$P$4,INDEX(Table24[[#All],[Year]:[Details]],ROWS(prem_analysis!$M$420:M725),COLUMNS(Data!$Q$3:Q308)))))),"")</f>
        <v/>
      </c>
      <c r="S307" s="1" t="str">
        <f>IFERROR(IF($Q$1=$P$3,INDEX(prem_analysis!$P$2:$Q$441,ROWS(Data!$P$2:R307),COLUMNS(Data!$P$3:Q308)),IF($Q$1=$P$5,INDEX(prem_analysis!$BH$1:$BS$23,ROWS(Data!$Q$3:R308),COLUMNS(Data!$Q$3:R308)),IF($Q$1=$P$6,INDEX(prem_analysis!$BU$1:$CF$67,ROWS(prem_analysis!$N$2:O307),COLUMNS(prem_analysis!$N$2:O307)),IF($Q$1=$P$4,INDEX(Table24[[#All],[Year]:[Details]],ROWS(prem_analysis!$M$420:N725),COLUMNS(Data!$Q$3:R308)))))),"")</f>
        <v/>
      </c>
      <c r="T307" s="1" t="str">
        <f>IFERROR(IF($Q$1=$P$3,INDEX(prem_analysis!$P$2:$Q$441,ROWS(Data!$P$2:S307),COLUMNS(Data!$P$3:R308)),IF($Q$1=$P$5,INDEX(prem_analysis!$BH$1:$BS$23,ROWS(Data!$Q$3:S308),COLUMNS(Data!$Q$3:S308)),IF($Q$1=$P$6,INDEX(prem_analysis!$BU$1:$CF$67,ROWS(prem_analysis!$N$2:P307),COLUMNS(prem_analysis!$N$2:P307)),IF($Q$1=$P$4,INDEX(Table24[[#All],[Year]:[Details]],ROWS(prem_analysis!$M$420:O725),COLUMNS(Data!$Q$3:S308)))))),"")</f>
        <v/>
      </c>
      <c r="U307" s="1" t="str">
        <f>IFERROR(IF($Q$1=$P$3,INDEX(prem_analysis!$P$2:$Q$441,ROWS(Data!$P$2:T307),COLUMNS(Data!$P$3:S308)),IF($Q$1=$P$5,INDEX(prem_analysis!$BH$1:$BS$23,ROWS(Data!$Q$3:T308),COLUMNS(Data!$Q$3:T308)),IF($Q$1=$P$6,INDEX(prem_analysis!$BU$1:$CF$67,ROWS(prem_analysis!$N$2:Q307),COLUMNS(prem_analysis!$N$2:Q307)),IF($Q$1=$P$4,INDEX(Table24[[#All],[Year]:[Details]],ROWS(prem_analysis!$M$420:P725),COLUMNS(Data!$Q$3:T308)))))),"")</f>
        <v/>
      </c>
      <c r="V307" s="1" t="str">
        <f>IFERROR(IF($Q$1=$P$3,INDEX(prem_analysis!$P$2:$Q$441,ROWS(Data!$P$2:U307),COLUMNS(Data!$P$3:T308)),IF($Q$1=$P$5,INDEX(prem_analysis!$BH$1:$BS$23,ROWS(Data!$Q$3:U308),COLUMNS(Data!$Q$3:U308)),IF($Q$1=$P$6,INDEX(prem_analysis!$BU$1:$CF$67,ROWS(prem_analysis!$N$2:R307),COLUMNS(prem_analysis!$N$2:R307)),IF($Q$1=$P$4,INDEX(Table24[[#All],[Year]:[Details]],ROWS(prem_analysis!$M$420:Q725),COLUMNS(Data!$Q$3:U308)))))),"")</f>
        <v/>
      </c>
      <c r="W307" s="1" t="str">
        <f>IFERROR(IF($Q$1=$P$3,INDEX(prem_analysis!$P$2:$Q$441,ROWS(Data!$P$2:V307),COLUMNS(Data!$P$3:U308)),IF($Q$1=$P$5,INDEX(prem_analysis!$BH$1:$BS$23,ROWS(Data!$Q$3:V308),COLUMNS(Data!$Q$3:V308)),IF($Q$1=$P$6,INDEX(prem_analysis!$BU$1:$CF$67,ROWS(prem_analysis!$N$2:S307),COLUMNS(prem_analysis!$N$2:S307)),IF($Q$1=$P$4,INDEX(Table24[[#All],[Year]:[Details]],ROWS(prem_analysis!$M$420:R725),COLUMNS(Data!$Q$3:V308)))))),"")</f>
        <v/>
      </c>
      <c r="X307" s="1" t="str">
        <f>IFERROR(IF($Q$1=$P$3,INDEX(prem_analysis!$P$2:$Q$441,ROWS(Data!$P$2:W307),COLUMNS(Data!$P$3:V308)),IF($Q$1=$P$5,INDEX(prem_analysis!$BH$1:$BS$23,ROWS(Data!$Q$3:W308),COLUMNS(Data!$Q$3:W308)),IF($Q$1=$P$6,INDEX(prem_analysis!$BU$1:$CF$67,ROWS(prem_analysis!$N$2:T307),COLUMNS(prem_analysis!$N$2:T307)),IF($Q$1=$P$4,INDEX(Table24[[#All],[Year]:[Details]],ROWS(prem_analysis!$M$420:S725),COLUMNS(Data!$Q$3:W308)))))),"")</f>
        <v/>
      </c>
      <c r="Y307" s="1" t="str">
        <f>IFERROR(IF($Q$1=$P$3,INDEX(prem_analysis!$P$2:$Q$441,ROWS(Data!$P$2:X307),COLUMNS(Data!$P$3:W308)),IF($Q$1=$P$5,INDEX(prem_analysis!$BH$1:$BS$23,ROWS(Data!$Q$3:X308),COLUMNS(Data!$Q$3:X308)),IF($Q$1=$P$6,INDEX(prem_analysis!$BU$1:$CF$67,ROWS(prem_analysis!$N$2:U307),COLUMNS(prem_analysis!$N$2:U307)),IF($Q$1=$P$4,INDEX(Table24[[#All],[Year]:[Details]],ROWS(prem_analysis!$M$420:T725),COLUMNS(Data!$Q$3:X308)))))),"")</f>
        <v/>
      </c>
      <c r="Z307" s="1" t="str">
        <f>IFERROR(IF($Q$1=$P$3,INDEX(prem_analysis!$P$2:$Q$441,ROWS(Data!$P$2:Y307),COLUMNS(Data!$P$3:X308)),IF($Q$1=$P$5,INDEX(prem_analysis!$BH$1:$BS$23,ROWS(Data!$Q$3:Y308),COLUMNS(Data!$Q$3:Y308)),IF($Q$1=$P$6,INDEX(prem_analysis!$BU$1:$CF$67,ROWS(prem_analysis!$N$2:V307),COLUMNS(prem_analysis!$N$2:V307)),IF($Q$1=$P$4,INDEX(Table24[[#All],[Year]:[Details]],ROWS(prem_analysis!$M$420:U725),COLUMNS(Data!$Q$3:Y308)))))),"")</f>
        <v/>
      </c>
      <c r="AA307" s="1" t="str">
        <f>IFERROR(IF($Q$1=$P$3,INDEX(prem_analysis!$P$2:$Q$441,ROWS(Data!$P$2:Z307),COLUMNS(Data!$P$3:Y308)),IF($Q$1=$P$5,INDEX(prem_analysis!$BH$1:$BS$23,ROWS(Data!$Q$3:Z308),COLUMNS(Data!$Q$3:Z308)),IF($Q$1=$P$6,INDEX(prem_analysis!$BU$1:$CF$67,ROWS(prem_analysis!$N$2:W307),COLUMNS(prem_analysis!$N$2:W307)),IF($Q$1=$P$4,INDEX(Table24[[#All],[Year]:[Details]],ROWS(prem_analysis!$M$420:V725),COLUMNS(Data!$Q$3:Z308)))))),"")</f>
        <v/>
      </c>
      <c r="AB307" s="1" t="str">
        <f>IFERROR(IF($Q$1=$P$3,INDEX(prem_analysis!$P$2:$Q$441,ROWS(Data!$P$2:AA307),COLUMNS(Data!$P$3:Z308)),IF($Q$1=$P$5,INDEX(prem_analysis!$BH$1:$BS$23,ROWS(Data!$Q$3:AA308),COLUMNS(Data!$Q$3:AA308)),IF($Q$1=$P$6,INDEX(prem_analysis!$BU$1:$CF$67,ROWS(prem_analysis!$N$2:X307),COLUMNS(prem_analysis!$N$2:X307)),IF($Q$1=$P$4,INDEX(Table24[[#All],[Year]:[Details]],ROWS(prem_analysis!$M$420:W725),COLUMNS(Data!$Q$3:AA308)))))),"")</f>
        <v/>
      </c>
      <c r="AC307" s="1" t="str">
        <f>IFERROR(IF($Q$1=$P$3,INDEX(prem_analysis!$P$2:$Q$441,ROWS(Data!$P$2:AB307),COLUMNS(Data!$P$3:AA308)),IF($Q$1=$P$5,INDEX(prem_analysis!$BH$1:$BS$23,ROWS(Data!$Q$3:AB308),COLUMNS(Data!$Q$3:AB308)),IF($Q$1=$P$6,INDEX(prem_analysis!$BU$1:$CF$67,ROWS(prem_analysis!$N$2:Y307),COLUMNS(prem_analysis!$N$2:Y307)),IF($Q$1=$P$4,INDEX(Table24[[#All],[Year]:[Details]],ROWS(prem_analysis!$M$420:X725),COLUMNS(Data!$Q$3:AB308)))))),"")</f>
        <v/>
      </c>
    </row>
    <row r="308" spans="1:29" x14ac:dyDescent="0.2">
      <c r="A308" s="3">
        <v>2015</v>
      </c>
      <c r="B308" s="3">
        <v>7</v>
      </c>
      <c r="C308" s="4" t="s">
        <v>25</v>
      </c>
      <c r="D308" s="3">
        <v>38</v>
      </c>
      <c r="E308" s="3">
        <v>16</v>
      </c>
      <c r="F308" s="3">
        <v>14</v>
      </c>
      <c r="G308" s="3">
        <v>8</v>
      </c>
      <c r="H308" s="3">
        <v>65</v>
      </c>
      <c r="I308" s="3">
        <v>51</v>
      </c>
      <c r="J308" s="3">
        <v>14</v>
      </c>
      <c r="K308" s="3">
        <v>62</v>
      </c>
      <c r="L308" s="5">
        <f>IF(Table24[[#This Row],['#]]=1,"Champion", IF(Table24[[#This Row],['#]]&gt;=18,"Relegated",Table24[[#This Row],['#]]))</f>
        <v>7</v>
      </c>
      <c r="M308" s="5" t="str">
        <f>IF(Table24[[#This Row],[Details]]=2,K307-Table24[[#This Row],[Pts]],IF(Table24[[#This Row],[Details]]=17,Table24[[#This Row],[Pts]]-K309,""))</f>
        <v/>
      </c>
      <c r="R308" s="1" t="str">
        <f>IFERROR(IF($Q$1=$P$3,INDEX(prem_analysis!$P$2:$Q$441,ROWS(Data!$P$2:Q308),COLUMNS(Data!$P$3:P309)),IF($Q$1=$P$5,INDEX(prem_analysis!$BH$1:$BS$23,ROWS(Data!$Q$3:Q309),COLUMNS(Data!$Q$3:Q309)),IF($Q$1=$P$6,INDEX(prem_analysis!$BU$1:$CF$67,ROWS(prem_analysis!$N$2:N308),COLUMNS(prem_analysis!$N$2:N308)),IF($Q$1=$P$4,INDEX(Table24[[#All],[Year]:[Details]],ROWS(prem_analysis!$M$420:M726),COLUMNS(Data!$Q$3:Q309)))))),"")</f>
        <v/>
      </c>
      <c r="S308" s="1" t="str">
        <f>IFERROR(IF($Q$1=$P$3,INDEX(prem_analysis!$P$2:$Q$441,ROWS(Data!$P$2:R308),COLUMNS(Data!$P$3:Q309)),IF($Q$1=$P$5,INDEX(prem_analysis!$BH$1:$BS$23,ROWS(Data!$Q$3:R309),COLUMNS(Data!$Q$3:R309)),IF($Q$1=$P$6,INDEX(prem_analysis!$BU$1:$CF$67,ROWS(prem_analysis!$N$2:O308),COLUMNS(prem_analysis!$N$2:O308)),IF($Q$1=$P$4,INDEX(Table24[[#All],[Year]:[Details]],ROWS(prem_analysis!$M$420:N726),COLUMNS(Data!$Q$3:R309)))))),"")</f>
        <v/>
      </c>
      <c r="T308" s="1" t="str">
        <f>IFERROR(IF($Q$1=$P$3,INDEX(prem_analysis!$P$2:$Q$441,ROWS(Data!$P$2:S308),COLUMNS(Data!$P$3:R309)),IF($Q$1=$P$5,INDEX(prem_analysis!$BH$1:$BS$23,ROWS(Data!$Q$3:S309),COLUMNS(Data!$Q$3:S309)),IF($Q$1=$P$6,INDEX(prem_analysis!$BU$1:$CF$67,ROWS(prem_analysis!$N$2:P308),COLUMNS(prem_analysis!$N$2:P308)),IF($Q$1=$P$4,INDEX(Table24[[#All],[Year]:[Details]],ROWS(prem_analysis!$M$420:O726),COLUMNS(Data!$Q$3:S309)))))),"")</f>
        <v/>
      </c>
      <c r="U308" s="1" t="str">
        <f>IFERROR(IF($Q$1=$P$3,INDEX(prem_analysis!$P$2:$Q$441,ROWS(Data!$P$2:T308),COLUMNS(Data!$P$3:S309)),IF($Q$1=$P$5,INDEX(prem_analysis!$BH$1:$BS$23,ROWS(Data!$Q$3:T309),COLUMNS(Data!$Q$3:T309)),IF($Q$1=$P$6,INDEX(prem_analysis!$BU$1:$CF$67,ROWS(prem_analysis!$N$2:Q308),COLUMNS(prem_analysis!$N$2:Q308)),IF($Q$1=$P$4,INDEX(Table24[[#All],[Year]:[Details]],ROWS(prem_analysis!$M$420:P726),COLUMNS(Data!$Q$3:T309)))))),"")</f>
        <v/>
      </c>
      <c r="V308" s="1" t="str">
        <f>IFERROR(IF($Q$1=$P$3,INDEX(prem_analysis!$P$2:$Q$441,ROWS(Data!$P$2:U308),COLUMNS(Data!$P$3:T309)),IF($Q$1=$P$5,INDEX(prem_analysis!$BH$1:$BS$23,ROWS(Data!$Q$3:U309),COLUMNS(Data!$Q$3:U309)),IF($Q$1=$P$6,INDEX(prem_analysis!$BU$1:$CF$67,ROWS(prem_analysis!$N$2:R308),COLUMNS(prem_analysis!$N$2:R308)),IF($Q$1=$P$4,INDEX(Table24[[#All],[Year]:[Details]],ROWS(prem_analysis!$M$420:Q726),COLUMNS(Data!$Q$3:U309)))))),"")</f>
        <v/>
      </c>
      <c r="W308" s="1" t="str">
        <f>IFERROR(IF($Q$1=$P$3,INDEX(prem_analysis!$P$2:$Q$441,ROWS(Data!$P$2:V308),COLUMNS(Data!$P$3:U309)),IF($Q$1=$P$5,INDEX(prem_analysis!$BH$1:$BS$23,ROWS(Data!$Q$3:V309),COLUMNS(Data!$Q$3:V309)),IF($Q$1=$P$6,INDEX(prem_analysis!$BU$1:$CF$67,ROWS(prem_analysis!$N$2:S308),COLUMNS(prem_analysis!$N$2:S308)),IF($Q$1=$P$4,INDEX(Table24[[#All],[Year]:[Details]],ROWS(prem_analysis!$M$420:R726),COLUMNS(Data!$Q$3:V309)))))),"")</f>
        <v/>
      </c>
      <c r="X308" s="1" t="str">
        <f>IFERROR(IF($Q$1=$P$3,INDEX(prem_analysis!$P$2:$Q$441,ROWS(Data!$P$2:W308),COLUMNS(Data!$P$3:V309)),IF($Q$1=$P$5,INDEX(prem_analysis!$BH$1:$BS$23,ROWS(Data!$Q$3:W309),COLUMNS(Data!$Q$3:W309)),IF($Q$1=$P$6,INDEX(prem_analysis!$BU$1:$CF$67,ROWS(prem_analysis!$N$2:T308),COLUMNS(prem_analysis!$N$2:T308)),IF($Q$1=$P$4,INDEX(Table24[[#All],[Year]:[Details]],ROWS(prem_analysis!$M$420:S726),COLUMNS(Data!$Q$3:W309)))))),"")</f>
        <v/>
      </c>
      <c r="Y308" s="1" t="str">
        <f>IFERROR(IF($Q$1=$P$3,INDEX(prem_analysis!$P$2:$Q$441,ROWS(Data!$P$2:X308),COLUMNS(Data!$P$3:W309)),IF($Q$1=$P$5,INDEX(prem_analysis!$BH$1:$BS$23,ROWS(Data!$Q$3:X309),COLUMNS(Data!$Q$3:X309)),IF($Q$1=$P$6,INDEX(prem_analysis!$BU$1:$CF$67,ROWS(prem_analysis!$N$2:U308),COLUMNS(prem_analysis!$N$2:U308)),IF($Q$1=$P$4,INDEX(Table24[[#All],[Year]:[Details]],ROWS(prem_analysis!$M$420:T726),COLUMNS(Data!$Q$3:X309)))))),"")</f>
        <v/>
      </c>
      <c r="Z308" s="1" t="str">
        <f>IFERROR(IF($Q$1=$P$3,INDEX(prem_analysis!$P$2:$Q$441,ROWS(Data!$P$2:Y308),COLUMNS(Data!$P$3:X309)),IF($Q$1=$P$5,INDEX(prem_analysis!$BH$1:$BS$23,ROWS(Data!$Q$3:Y309),COLUMNS(Data!$Q$3:Y309)),IF($Q$1=$P$6,INDEX(prem_analysis!$BU$1:$CF$67,ROWS(prem_analysis!$N$2:V308),COLUMNS(prem_analysis!$N$2:V308)),IF($Q$1=$P$4,INDEX(Table24[[#All],[Year]:[Details]],ROWS(prem_analysis!$M$420:U726),COLUMNS(Data!$Q$3:Y309)))))),"")</f>
        <v/>
      </c>
      <c r="AA308" s="1" t="str">
        <f>IFERROR(IF($Q$1=$P$3,INDEX(prem_analysis!$P$2:$Q$441,ROWS(Data!$P$2:Z308),COLUMNS(Data!$P$3:Y309)),IF($Q$1=$P$5,INDEX(prem_analysis!$BH$1:$BS$23,ROWS(Data!$Q$3:Z309),COLUMNS(Data!$Q$3:Z309)),IF($Q$1=$P$6,INDEX(prem_analysis!$BU$1:$CF$67,ROWS(prem_analysis!$N$2:W308),COLUMNS(prem_analysis!$N$2:W308)),IF($Q$1=$P$4,INDEX(Table24[[#All],[Year]:[Details]],ROWS(prem_analysis!$M$420:V726),COLUMNS(Data!$Q$3:Z309)))))),"")</f>
        <v/>
      </c>
      <c r="AB308" s="1" t="str">
        <f>IFERROR(IF($Q$1=$P$3,INDEX(prem_analysis!$P$2:$Q$441,ROWS(Data!$P$2:AA308),COLUMNS(Data!$P$3:Z309)),IF($Q$1=$P$5,INDEX(prem_analysis!$BH$1:$BS$23,ROWS(Data!$Q$3:AA309),COLUMNS(Data!$Q$3:AA309)),IF($Q$1=$P$6,INDEX(prem_analysis!$BU$1:$CF$67,ROWS(prem_analysis!$N$2:X308),COLUMNS(prem_analysis!$N$2:X308)),IF($Q$1=$P$4,INDEX(Table24[[#All],[Year]:[Details]],ROWS(prem_analysis!$M$420:W726),COLUMNS(Data!$Q$3:AA309)))))),"")</f>
        <v/>
      </c>
      <c r="AC308" s="1" t="str">
        <f>IFERROR(IF($Q$1=$P$3,INDEX(prem_analysis!$P$2:$Q$441,ROWS(Data!$P$2:AB308),COLUMNS(Data!$P$3:AA309)),IF($Q$1=$P$5,INDEX(prem_analysis!$BH$1:$BS$23,ROWS(Data!$Q$3:AB309),COLUMNS(Data!$Q$3:AB309)),IF($Q$1=$P$6,INDEX(prem_analysis!$BU$1:$CF$67,ROWS(prem_analysis!$N$2:Y308),COLUMNS(prem_analysis!$N$2:Y308)),IF($Q$1=$P$4,INDEX(Table24[[#All],[Year]:[Details]],ROWS(prem_analysis!$M$420:X726),COLUMNS(Data!$Q$3:AB309)))))),"")</f>
        <v/>
      </c>
    </row>
    <row r="309" spans="1:29" x14ac:dyDescent="0.2">
      <c r="A309" s="5">
        <v>2015</v>
      </c>
      <c r="B309" s="5">
        <v>8</v>
      </c>
      <c r="C309" s="4" t="s">
        <v>13</v>
      </c>
      <c r="D309" s="5">
        <v>38</v>
      </c>
      <c r="E309" s="5">
        <v>16</v>
      </c>
      <c r="F309" s="5">
        <v>12</v>
      </c>
      <c r="G309" s="5">
        <v>10</v>
      </c>
      <c r="H309" s="5">
        <v>63</v>
      </c>
      <c r="I309" s="5">
        <v>50</v>
      </c>
      <c r="J309" s="5">
        <v>13</v>
      </c>
      <c r="K309" s="5">
        <v>60</v>
      </c>
      <c r="L309" s="5">
        <f>IF(Table24[[#This Row],['#]]=1,"Champion", IF(Table24[[#This Row],['#]]&gt;=18,"Relegated",Table24[[#This Row],['#]]))</f>
        <v>8</v>
      </c>
      <c r="M309" s="5" t="str">
        <f>IF(Table24[[#This Row],[Details]]=2,K308-Table24[[#This Row],[Pts]],IF(Table24[[#This Row],[Details]]=17,Table24[[#This Row],[Pts]]-K310,""))</f>
        <v/>
      </c>
      <c r="R309" s="1" t="str">
        <f>IFERROR(IF($Q$1=$P$3,INDEX(prem_analysis!$P$2:$Q$441,ROWS(Data!$P$2:Q309),COLUMNS(Data!$P$3:P310)),IF($Q$1=$P$5,INDEX(prem_analysis!$BH$1:$BS$23,ROWS(Data!$Q$3:Q310),COLUMNS(Data!$Q$3:Q310)),IF($Q$1=$P$6,INDEX(prem_analysis!$BU$1:$CF$67,ROWS(prem_analysis!$N$2:N309),COLUMNS(prem_analysis!$N$2:N309)),IF($Q$1=$P$4,INDEX(Table24[[#All],[Year]:[Details]],ROWS(prem_analysis!$M$420:M727),COLUMNS(Data!$Q$3:Q310)))))),"")</f>
        <v/>
      </c>
      <c r="S309" s="1" t="str">
        <f>IFERROR(IF($Q$1=$P$3,INDEX(prem_analysis!$P$2:$Q$441,ROWS(Data!$P$2:R309),COLUMNS(Data!$P$3:Q310)),IF($Q$1=$P$5,INDEX(prem_analysis!$BH$1:$BS$23,ROWS(Data!$Q$3:R310),COLUMNS(Data!$Q$3:R310)),IF($Q$1=$P$6,INDEX(prem_analysis!$BU$1:$CF$67,ROWS(prem_analysis!$N$2:O309),COLUMNS(prem_analysis!$N$2:O309)),IF($Q$1=$P$4,INDEX(Table24[[#All],[Year]:[Details]],ROWS(prem_analysis!$M$420:N727),COLUMNS(Data!$Q$3:R310)))))),"")</f>
        <v/>
      </c>
      <c r="T309" s="1" t="str">
        <f>IFERROR(IF($Q$1=$P$3,INDEX(prem_analysis!$P$2:$Q$441,ROWS(Data!$P$2:S309),COLUMNS(Data!$P$3:R310)),IF($Q$1=$P$5,INDEX(prem_analysis!$BH$1:$BS$23,ROWS(Data!$Q$3:S310),COLUMNS(Data!$Q$3:S310)),IF($Q$1=$P$6,INDEX(prem_analysis!$BU$1:$CF$67,ROWS(prem_analysis!$N$2:P309),COLUMNS(prem_analysis!$N$2:P309)),IF($Q$1=$P$4,INDEX(Table24[[#All],[Year]:[Details]],ROWS(prem_analysis!$M$420:O727),COLUMNS(Data!$Q$3:S310)))))),"")</f>
        <v/>
      </c>
      <c r="U309" s="1" t="str">
        <f>IFERROR(IF($Q$1=$P$3,INDEX(prem_analysis!$P$2:$Q$441,ROWS(Data!$P$2:T309),COLUMNS(Data!$P$3:S310)),IF($Q$1=$P$5,INDEX(prem_analysis!$BH$1:$BS$23,ROWS(Data!$Q$3:T310),COLUMNS(Data!$Q$3:T310)),IF($Q$1=$P$6,INDEX(prem_analysis!$BU$1:$CF$67,ROWS(prem_analysis!$N$2:Q309),COLUMNS(prem_analysis!$N$2:Q309)),IF($Q$1=$P$4,INDEX(Table24[[#All],[Year]:[Details]],ROWS(prem_analysis!$M$420:P727),COLUMNS(Data!$Q$3:T310)))))),"")</f>
        <v/>
      </c>
      <c r="V309" s="1" t="str">
        <f>IFERROR(IF($Q$1=$P$3,INDEX(prem_analysis!$P$2:$Q$441,ROWS(Data!$P$2:U309),COLUMNS(Data!$P$3:T310)),IF($Q$1=$P$5,INDEX(prem_analysis!$BH$1:$BS$23,ROWS(Data!$Q$3:U310),COLUMNS(Data!$Q$3:U310)),IF($Q$1=$P$6,INDEX(prem_analysis!$BU$1:$CF$67,ROWS(prem_analysis!$N$2:R309),COLUMNS(prem_analysis!$N$2:R309)),IF($Q$1=$P$4,INDEX(Table24[[#All],[Year]:[Details]],ROWS(prem_analysis!$M$420:Q727),COLUMNS(Data!$Q$3:U310)))))),"")</f>
        <v/>
      </c>
      <c r="W309" s="1" t="str">
        <f>IFERROR(IF($Q$1=$P$3,INDEX(prem_analysis!$P$2:$Q$441,ROWS(Data!$P$2:V309),COLUMNS(Data!$P$3:U310)),IF($Q$1=$P$5,INDEX(prem_analysis!$BH$1:$BS$23,ROWS(Data!$Q$3:V310),COLUMNS(Data!$Q$3:V310)),IF($Q$1=$P$6,INDEX(prem_analysis!$BU$1:$CF$67,ROWS(prem_analysis!$N$2:S309),COLUMNS(prem_analysis!$N$2:S309)),IF($Q$1=$P$4,INDEX(Table24[[#All],[Year]:[Details]],ROWS(prem_analysis!$M$420:R727),COLUMNS(Data!$Q$3:V310)))))),"")</f>
        <v/>
      </c>
      <c r="X309" s="1" t="str">
        <f>IFERROR(IF($Q$1=$P$3,INDEX(prem_analysis!$P$2:$Q$441,ROWS(Data!$P$2:W309),COLUMNS(Data!$P$3:V310)),IF($Q$1=$P$5,INDEX(prem_analysis!$BH$1:$BS$23,ROWS(Data!$Q$3:W310),COLUMNS(Data!$Q$3:W310)),IF($Q$1=$P$6,INDEX(prem_analysis!$BU$1:$CF$67,ROWS(prem_analysis!$N$2:T309),COLUMNS(prem_analysis!$N$2:T309)),IF($Q$1=$P$4,INDEX(Table24[[#All],[Year]:[Details]],ROWS(prem_analysis!$M$420:S727),COLUMNS(Data!$Q$3:W310)))))),"")</f>
        <v/>
      </c>
      <c r="Y309" s="1" t="str">
        <f>IFERROR(IF($Q$1=$P$3,INDEX(prem_analysis!$P$2:$Q$441,ROWS(Data!$P$2:X309),COLUMNS(Data!$P$3:W310)),IF($Q$1=$P$5,INDEX(prem_analysis!$BH$1:$BS$23,ROWS(Data!$Q$3:X310),COLUMNS(Data!$Q$3:X310)),IF($Q$1=$P$6,INDEX(prem_analysis!$BU$1:$CF$67,ROWS(prem_analysis!$N$2:U309),COLUMNS(prem_analysis!$N$2:U309)),IF($Q$1=$P$4,INDEX(Table24[[#All],[Year]:[Details]],ROWS(prem_analysis!$M$420:T727),COLUMNS(Data!$Q$3:X310)))))),"")</f>
        <v/>
      </c>
      <c r="Z309" s="1" t="str">
        <f>IFERROR(IF($Q$1=$P$3,INDEX(prem_analysis!$P$2:$Q$441,ROWS(Data!$P$2:Y309),COLUMNS(Data!$P$3:X310)),IF($Q$1=$P$5,INDEX(prem_analysis!$BH$1:$BS$23,ROWS(Data!$Q$3:Y310),COLUMNS(Data!$Q$3:Y310)),IF($Q$1=$P$6,INDEX(prem_analysis!$BU$1:$CF$67,ROWS(prem_analysis!$N$2:V309),COLUMNS(prem_analysis!$N$2:V309)),IF($Q$1=$P$4,INDEX(Table24[[#All],[Year]:[Details]],ROWS(prem_analysis!$M$420:U727),COLUMNS(Data!$Q$3:Y310)))))),"")</f>
        <v/>
      </c>
      <c r="AA309" s="1" t="str">
        <f>IFERROR(IF($Q$1=$P$3,INDEX(prem_analysis!$P$2:$Q$441,ROWS(Data!$P$2:Z309),COLUMNS(Data!$P$3:Y310)),IF($Q$1=$P$5,INDEX(prem_analysis!$BH$1:$BS$23,ROWS(Data!$Q$3:Z310),COLUMNS(Data!$Q$3:Z310)),IF($Q$1=$P$6,INDEX(prem_analysis!$BU$1:$CF$67,ROWS(prem_analysis!$N$2:W309),COLUMNS(prem_analysis!$N$2:W309)),IF($Q$1=$P$4,INDEX(Table24[[#All],[Year]:[Details]],ROWS(prem_analysis!$M$420:V727),COLUMNS(Data!$Q$3:Z310)))))),"")</f>
        <v/>
      </c>
      <c r="AB309" s="1" t="str">
        <f>IFERROR(IF($Q$1=$P$3,INDEX(prem_analysis!$P$2:$Q$441,ROWS(Data!$P$2:AA309),COLUMNS(Data!$P$3:Z310)),IF($Q$1=$P$5,INDEX(prem_analysis!$BH$1:$BS$23,ROWS(Data!$Q$3:AA310),COLUMNS(Data!$Q$3:AA310)),IF($Q$1=$P$6,INDEX(prem_analysis!$BU$1:$CF$67,ROWS(prem_analysis!$N$2:X309),COLUMNS(prem_analysis!$N$2:X309)),IF($Q$1=$P$4,INDEX(Table24[[#All],[Year]:[Details]],ROWS(prem_analysis!$M$420:W727),COLUMNS(Data!$Q$3:AA310)))))),"")</f>
        <v/>
      </c>
      <c r="AC309" s="1" t="str">
        <f>IFERROR(IF($Q$1=$P$3,INDEX(prem_analysis!$P$2:$Q$441,ROWS(Data!$P$2:AB309),COLUMNS(Data!$P$3:AA310)),IF($Q$1=$P$5,INDEX(prem_analysis!$BH$1:$BS$23,ROWS(Data!$Q$3:AB310),COLUMNS(Data!$Q$3:AB310)),IF($Q$1=$P$6,INDEX(prem_analysis!$BU$1:$CF$67,ROWS(prem_analysis!$N$2:Y309),COLUMNS(prem_analysis!$N$2:Y309)),IF($Q$1=$P$4,INDEX(Table24[[#All],[Year]:[Details]],ROWS(prem_analysis!$M$420:X727),COLUMNS(Data!$Q$3:AB310)))))),"")</f>
        <v/>
      </c>
    </row>
    <row r="310" spans="1:29" x14ac:dyDescent="0.2">
      <c r="A310" s="3">
        <v>2015</v>
      </c>
      <c r="B310" s="3">
        <v>9</v>
      </c>
      <c r="C310" s="4" t="s">
        <v>44</v>
      </c>
      <c r="D310" s="3">
        <v>38</v>
      </c>
      <c r="E310" s="3">
        <v>14</v>
      </c>
      <c r="F310" s="3">
        <v>9</v>
      </c>
      <c r="G310" s="3">
        <v>15</v>
      </c>
      <c r="H310" s="3">
        <v>41</v>
      </c>
      <c r="I310" s="3">
        <v>55</v>
      </c>
      <c r="J310" s="3">
        <v>-14</v>
      </c>
      <c r="K310" s="3">
        <v>51</v>
      </c>
      <c r="L310" s="5">
        <f>IF(Table24[[#This Row],['#]]=1,"Champion", IF(Table24[[#This Row],['#]]&gt;=18,"Relegated",Table24[[#This Row],['#]]))</f>
        <v>9</v>
      </c>
      <c r="M310" s="5" t="str">
        <f>IF(Table24[[#This Row],[Details]]=2,K309-Table24[[#This Row],[Pts]],IF(Table24[[#This Row],[Details]]=17,Table24[[#This Row],[Pts]]-K311,""))</f>
        <v/>
      </c>
      <c r="R310" s="1" t="str">
        <f>IFERROR(IF($Q$1=$P$3,INDEX(prem_analysis!$P$2:$Q$441,ROWS(Data!$P$2:Q310),COLUMNS(Data!$P$3:P311)),IF($Q$1=$P$5,INDEX(prem_analysis!$BH$1:$BS$23,ROWS(Data!$Q$3:Q311),COLUMNS(Data!$Q$3:Q311)),IF($Q$1=$P$6,INDEX(prem_analysis!$BU$1:$CF$67,ROWS(prem_analysis!$N$2:N310),COLUMNS(prem_analysis!$N$2:N310)),IF($Q$1=$P$4,INDEX(Table24[[#All],[Year]:[Details]],ROWS(prem_analysis!$M$420:M728),COLUMNS(Data!$Q$3:Q311)))))),"")</f>
        <v/>
      </c>
      <c r="S310" s="1" t="str">
        <f>IFERROR(IF($Q$1=$P$3,INDEX(prem_analysis!$P$2:$Q$441,ROWS(Data!$P$2:R310),COLUMNS(Data!$P$3:Q311)),IF($Q$1=$P$5,INDEX(prem_analysis!$BH$1:$BS$23,ROWS(Data!$Q$3:R311),COLUMNS(Data!$Q$3:R311)),IF($Q$1=$P$6,INDEX(prem_analysis!$BU$1:$CF$67,ROWS(prem_analysis!$N$2:O310),COLUMNS(prem_analysis!$N$2:O310)),IF($Q$1=$P$4,INDEX(Table24[[#All],[Year]:[Details]],ROWS(prem_analysis!$M$420:N728),COLUMNS(Data!$Q$3:R311)))))),"")</f>
        <v/>
      </c>
      <c r="T310" s="1" t="str">
        <f>IFERROR(IF($Q$1=$P$3,INDEX(prem_analysis!$P$2:$Q$441,ROWS(Data!$P$2:S310),COLUMNS(Data!$P$3:R311)),IF($Q$1=$P$5,INDEX(prem_analysis!$BH$1:$BS$23,ROWS(Data!$Q$3:S311),COLUMNS(Data!$Q$3:S311)),IF($Q$1=$P$6,INDEX(prem_analysis!$BU$1:$CF$67,ROWS(prem_analysis!$N$2:P310),COLUMNS(prem_analysis!$N$2:P310)),IF($Q$1=$P$4,INDEX(Table24[[#All],[Year]:[Details]],ROWS(prem_analysis!$M$420:O728),COLUMNS(Data!$Q$3:S311)))))),"")</f>
        <v/>
      </c>
      <c r="U310" s="1" t="str">
        <f>IFERROR(IF($Q$1=$P$3,INDEX(prem_analysis!$P$2:$Q$441,ROWS(Data!$P$2:T310),COLUMNS(Data!$P$3:S311)),IF($Q$1=$P$5,INDEX(prem_analysis!$BH$1:$BS$23,ROWS(Data!$Q$3:T311),COLUMNS(Data!$Q$3:T311)),IF($Q$1=$P$6,INDEX(prem_analysis!$BU$1:$CF$67,ROWS(prem_analysis!$N$2:Q310),COLUMNS(prem_analysis!$N$2:Q310)),IF($Q$1=$P$4,INDEX(Table24[[#All],[Year]:[Details]],ROWS(prem_analysis!$M$420:P728),COLUMNS(Data!$Q$3:T311)))))),"")</f>
        <v/>
      </c>
      <c r="V310" s="1" t="str">
        <f>IFERROR(IF($Q$1=$P$3,INDEX(prem_analysis!$P$2:$Q$441,ROWS(Data!$P$2:U310),COLUMNS(Data!$P$3:T311)),IF($Q$1=$P$5,INDEX(prem_analysis!$BH$1:$BS$23,ROWS(Data!$Q$3:U311),COLUMNS(Data!$Q$3:U311)),IF($Q$1=$P$6,INDEX(prem_analysis!$BU$1:$CF$67,ROWS(prem_analysis!$N$2:R310),COLUMNS(prem_analysis!$N$2:R310)),IF($Q$1=$P$4,INDEX(Table24[[#All],[Year]:[Details]],ROWS(prem_analysis!$M$420:Q728),COLUMNS(Data!$Q$3:U311)))))),"")</f>
        <v/>
      </c>
      <c r="W310" s="1" t="str">
        <f>IFERROR(IF($Q$1=$P$3,INDEX(prem_analysis!$P$2:$Q$441,ROWS(Data!$P$2:V310),COLUMNS(Data!$P$3:U311)),IF($Q$1=$P$5,INDEX(prem_analysis!$BH$1:$BS$23,ROWS(Data!$Q$3:V311),COLUMNS(Data!$Q$3:V311)),IF($Q$1=$P$6,INDEX(prem_analysis!$BU$1:$CF$67,ROWS(prem_analysis!$N$2:S310),COLUMNS(prem_analysis!$N$2:S310)),IF($Q$1=$P$4,INDEX(Table24[[#All],[Year]:[Details]],ROWS(prem_analysis!$M$420:R728),COLUMNS(Data!$Q$3:V311)))))),"")</f>
        <v/>
      </c>
      <c r="X310" s="1" t="str">
        <f>IFERROR(IF($Q$1=$P$3,INDEX(prem_analysis!$P$2:$Q$441,ROWS(Data!$P$2:W310),COLUMNS(Data!$P$3:V311)),IF($Q$1=$P$5,INDEX(prem_analysis!$BH$1:$BS$23,ROWS(Data!$Q$3:W311),COLUMNS(Data!$Q$3:W311)),IF($Q$1=$P$6,INDEX(prem_analysis!$BU$1:$CF$67,ROWS(prem_analysis!$N$2:T310),COLUMNS(prem_analysis!$N$2:T310)),IF($Q$1=$P$4,INDEX(Table24[[#All],[Year]:[Details]],ROWS(prem_analysis!$M$420:S728),COLUMNS(Data!$Q$3:W311)))))),"")</f>
        <v/>
      </c>
      <c r="Y310" s="1" t="str">
        <f>IFERROR(IF($Q$1=$P$3,INDEX(prem_analysis!$P$2:$Q$441,ROWS(Data!$P$2:X310),COLUMNS(Data!$P$3:W311)),IF($Q$1=$P$5,INDEX(prem_analysis!$BH$1:$BS$23,ROWS(Data!$Q$3:X311),COLUMNS(Data!$Q$3:X311)),IF($Q$1=$P$6,INDEX(prem_analysis!$BU$1:$CF$67,ROWS(prem_analysis!$N$2:U310),COLUMNS(prem_analysis!$N$2:U310)),IF($Q$1=$P$4,INDEX(Table24[[#All],[Year]:[Details]],ROWS(prem_analysis!$M$420:T728),COLUMNS(Data!$Q$3:X311)))))),"")</f>
        <v/>
      </c>
      <c r="Z310" s="1" t="str">
        <f>IFERROR(IF($Q$1=$P$3,INDEX(prem_analysis!$P$2:$Q$441,ROWS(Data!$P$2:Y310),COLUMNS(Data!$P$3:X311)),IF($Q$1=$P$5,INDEX(prem_analysis!$BH$1:$BS$23,ROWS(Data!$Q$3:Y311),COLUMNS(Data!$Q$3:Y311)),IF($Q$1=$P$6,INDEX(prem_analysis!$BU$1:$CF$67,ROWS(prem_analysis!$N$2:V310),COLUMNS(prem_analysis!$N$2:V310)),IF($Q$1=$P$4,INDEX(Table24[[#All],[Year]:[Details]],ROWS(prem_analysis!$M$420:U728),COLUMNS(Data!$Q$3:Y311)))))),"")</f>
        <v/>
      </c>
      <c r="AA310" s="1" t="str">
        <f>IFERROR(IF($Q$1=$P$3,INDEX(prem_analysis!$P$2:$Q$441,ROWS(Data!$P$2:Z310),COLUMNS(Data!$P$3:Y311)),IF($Q$1=$P$5,INDEX(prem_analysis!$BH$1:$BS$23,ROWS(Data!$Q$3:Z311),COLUMNS(Data!$Q$3:Z311)),IF($Q$1=$P$6,INDEX(prem_analysis!$BU$1:$CF$67,ROWS(prem_analysis!$N$2:W310),COLUMNS(prem_analysis!$N$2:W310)),IF($Q$1=$P$4,INDEX(Table24[[#All],[Year]:[Details]],ROWS(prem_analysis!$M$420:V728),COLUMNS(Data!$Q$3:Z311)))))),"")</f>
        <v/>
      </c>
      <c r="AB310" s="1" t="str">
        <f>IFERROR(IF($Q$1=$P$3,INDEX(prem_analysis!$P$2:$Q$441,ROWS(Data!$P$2:AA310),COLUMNS(Data!$P$3:Z311)),IF($Q$1=$P$5,INDEX(prem_analysis!$BH$1:$BS$23,ROWS(Data!$Q$3:AA311),COLUMNS(Data!$Q$3:AA311)),IF($Q$1=$P$6,INDEX(prem_analysis!$BU$1:$CF$67,ROWS(prem_analysis!$N$2:X310),COLUMNS(prem_analysis!$N$2:X310)),IF($Q$1=$P$4,INDEX(Table24[[#All],[Year]:[Details]],ROWS(prem_analysis!$M$420:W728),COLUMNS(Data!$Q$3:AA311)))))),"")</f>
        <v/>
      </c>
      <c r="AC310" s="1" t="str">
        <f>IFERROR(IF($Q$1=$P$3,INDEX(prem_analysis!$P$2:$Q$441,ROWS(Data!$P$2:AB310),COLUMNS(Data!$P$3:AA311)),IF($Q$1=$P$5,INDEX(prem_analysis!$BH$1:$BS$23,ROWS(Data!$Q$3:AB311),COLUMNS(Data!$Q$3:AB311)),IF($Q$1=$P$6,INDEX(prem_analysis!$BU$1:$CF$67,ROWS(prem_analysis!$N$2:Y310),COLUMNS(prem_analysis!$N$2:Y310)),IF($Q$1=$P$4,INDEX(Table24[[#All],[Year]:[Details]],ROWS(prem_analysis!$M$420:X728),COLUMNS(Data!$Q$3:AB311)))))),"")</f>
        <v/>
      </c>
    </row>
    <row r="311" spans="1:29" x14ac:dyDescent="0.2">
      <c r="A311" s="5">
        <v>2015</v>
      </c>
      <c r="B311" s="5">
        <v>10</v>
      </c>
      <c r="C311" s="6" t="s">
        <v>16</v>
      </c>
      <c r="D311" s="5">
        <v>38</v>
      </c>
      <c r="E311" s="5">
        <v>12</v>
      </c>
      <c r="F311" s="5">
        <v>14</v>
      </c>
      <c r="G311" s="5">
        <v>12</v>
      </c>
      <c r="H311" s="5">
        <v>59</v>
      </c>
      <c r="I311" s="5">
        <v>53</v>
      </c>
      <c r="J311" s="5">
        <v>6</v>
      </c>
      <c r="K311" s="5">
        <v>50</v>
      </c>
      <c r="L311" s="5">
        <f>IF(Table24[[#This Row],['#]]=1,"Champion", IF(Table24[[#This Row],['#]]&gt;=18,"Relegated",Table24[[#This Row],['#]]))</f>
        <v>10</v>
      </c>
      <c r="M311" s="5" t="str">
        <f>IF(Table24[[#This Row],[Details]]=2,K310-Table24[[#This Row],[Pts]],IF(Table24[[#This Row],[Details]]=17,Table24[[#This Row],[Pts]]-K312,""))</f>
        <v/>
      </c>
      <c r="R311" s="1" t="str">
        <f>IFERROR(IF($Q$1=$P$3,INDEX(prem_analysis!$P$2:$Q$441,ROWS(Data!$P$2:Q311),COLUMNS(Data!$P$3:P312)),IF($Q$1=$P$5,INDEX(prem_analysis!$BH$1:$BS$23,ROWS(Data!$Q$3:Q312),COLUMNS(Data!$Q$3:Q312)),IF($Q$1=$P$6,INDEX(prem_analysis!$BU$1:$CF$67,ROWS(prem_analysis!$N$2:N311),COLUMNS(prem_analysis!$N$2:N311)),IF($Q$1=$P$4,INDEX(Table24[[#All],[Year]:[Details]],ROWS(prem_analysis!$M$420:M729),COLUMNS(Data!$Q$3:Q312)))))),"")</f>
        <v/>
      </c>
      <c r="S311" s="1" t="str">
        <f>IFERROR(IF($Q$1=$P$3,INDEX(prem_analysis!$P$2:$Q$441,ROWS(Data!$P$2:R311),COLUMNS(Data!$P$3:Q312)),IF($Q$1=$P$5,INDEX(prem_analysis!$BH$1:$BS$23,ROWS(Data!$Q$3:R312),COLUMNS(Data!$Q$3:R312)),IF($Q$1=$P$6,INDEX(prem_analysis!$BU$1:$CF$67,ROWS(prem_analysis!$N$2:O311),COLUMNS(prem_analysis!$N$2:O311)),IF($Q$1=$P$4,INDEX(Table24[[#All],[Year]:[Details]],ROWS(prem_analysis!$M$420:N729),COLUMNS(Data!$Q$3:R312)))))),"")</f>
        <v/>
      </c>
      <c r="T311" s="1" t="str">
        <f>IFERROR(IF($Q$1=$P$3,INDEX(prem_analysis!$P$2:$Q$441,ROWS(Data!$P$2:S311),COLUMNS(Data!$P$3:R312)),IF($Q$1=$P$5,INDEX(prem_analysis!$BH$1:$BS$23,ROWS(Data!$Q$3:S312),COLUMNS(Data!$Q$3:S312)),IF($Q$1=$P$6,INDEX(prem_analysis!$BU$1:$CF$67,ROWS(prem_analysis!$N$2:P311),COLUMNS(prem_analysis!$N$2:P311)),IF($Q$1=$P$4,INDEX(Table24[[#All],[Year]:[Details]],ROWS(prem_analysis!$M$420:O729),COLUMNS(Data!$Q$3:S312)))))),"")</f>
        <v/>
      </c>
      <c r="U311" s="1" t="str">
        <f>IFERROR(IF($Q$1=$P$3,INDEX(prem_analysis!$P$2:$Q$441,ROWS(Data!$P$2:T311),COLUMNS(Data!$P$3:S312)),IF($Q$1=$P$5,INDEX(prem_analysis!$BH$1:$BS$23,ROWS(Data!$Q$3:T312),COLUMNS(Data!$Q$3:T312)),IF($Q$1=$P$6,INDEX(prem_analysis!$BU$1:$CF$67,ROWS(prem_analysis!$N$2:Q311),COLUMNS(prem_analysis!$N$2:Q311)),IF($Q$1=$P$4,INDEX(Table24[[#All],[Year]:[Details]],ROWS(prem_analysis!$M$420:P729),COLUMNS(Data!$Q$3:T312)))))),"")</f>
        <v/>
      </c>
      <c r="V311" s="1" t="str">
        <f>IFERROR(IF($Q$1=$P$3,INDEX(prem_analysis!$P$2:$Q$441,ROWS(Data!$P$2:U311),COLUMNS(Data!$P$3:T312)),IF($Q$1=$P$5,INDEX(prem_analysis!$BH$1:$BS$23,ROWS(Data!$Q$3:U312),COLUMNS(Data!$Q$3:U312)),IF($Q$1=$P$6,INDEX(prem_analysis!$BU$1:$CF$67,ROWS(prem_analysis!$N$2:R311),COLUMNS(prem_analysis!$N$2:R311)),IF($Q$1=$P$4,INDEX(Table24[[#All],[Year]:[Details]],ROWS(prem_analysis!$M$420:Q729),COLUMNS(Data!$Q$3:U312)))))),"")</f>
        <v/>
      </c>
      <c r="W311" s="1" t="str">
        <f>IFERROR(IF($Q$1=$P$3,INDEX(prem_analysis!$P$2:$Q$441,ROWS(Data!$P$2:V311),COLUMNS(Data!$P$3:U312)),IF($Q$1=$P$5,INDEX(prem_analysis!$BH$1:$BS$23,ROWS(Data!$Q$3:V312),COLUMNS(Data!$Q$3:V312)),IF($Q$1=$P$6,INDEX(prem_analysis!$BU$1:$CF$67,ROWS(prem_analysis!$N$2:S311),COLUMNS(prem_analysis!$N$2:S311)),IF($Q$1=$P$4,INDEX(Table24[[#All],[Year]:[Details]],ROWS(prem_analysis!$M$420:R729),COLUMNS(Data!$Q$3:V312)))))),"")</f>
        <v/>
      </c>
      <c r="X311" s="1" t="str">
        <f>IFERROR(IF($Q$1=$P$3,INDEX(prem_analysis!$P$2:$Q$441,ROWS(Data!$P$2:W311),COLUMNS(Data!$P$3:V312)),IF($Q$1=$P$5,INDEX(prem_analysis!$BH$1:$BS$23,ROWS(Data!$Q$3:W312),COLUMNS(Data!$Q$3:W312)),IF($Q$1=$P$6,INDEX(prem_analysis!$BU$1:$CF$67,ROWS(prem_analysis!$N$2:T311),COLUMNS(prem_analysis!$N$2:T311)),IF($Q$1=$P$4,INDEX(Table24[[#All],[Year]:[Details]],ROWS(prem_analysis!$M$420:S729),COLUMNS(Data!$Q$3:W312)))))),"")</f>
        <v/>
      </c>
      <c r="Y311" s="1" t="str">
        <f>IFERROR(IF($Q$1=$P$3,INDEX(prem_analysis!$P$2:$Q$441,ROWS(Data!$P$2:X311),COLUMNS(Data!$P$3:W312)),IF($Q$1=$P$5,INDEX(prem_analysis!$BH$1:$BS$23,ROWS(Data!$Q$3:X312),COLUMNS(Data!$Q$3:X312)),IF($Q$1=$P$6,INDEX(prem_analysis!$BU$1:$CF$67,ROWS(prem_analysis!$N$2:U311),COLUMNS(prem_analysis!$N$2:U311)),IF($Q$1=$P$4,INDEX(Table24[[#All],[Year]:[Details]],ROWS(prem_analysis!$M$420:T729),COLUMNS(Data!$Q$3:X312)))))),"")</f>
        <v/>
      </c>
      <c r="Z311" s="1" t="str">
        <f>IFERROR(IF($Q$1=$P$3,INDEX(prem_analysis!$P$2:$Q$441,ROWS(Data!$P$2:Y311),COLUMNS(Data!$P$3:X312)),IF($Q$1=$P$5,INDEX(prem_analysis!$BH$1:$BS$23,ROWS(Data!$Q$3:Y312),COLUMNS(Data!$Q$3:Y312)),IF($Q$1=$P$6,INDEX(prem_analysis!$BU$1:$CF$67,ROWS(prem_analysis!$N$2:V311),COLUMNS(prem_analysis!$N$2:V311)),IF($Q$1=$P$4,INDEX(Table24[[#All],[Year]:[Details]],ROWS(prem_analysis!$M$420:U729),COLUMNS(Data!$Q$3:Y312)))))),"")</f>
        <v/>
      </c>
      <c r="AA311" s="1" t="str">
        <f>IFERROR(IF($Q$1=$P$3,INDEX(prem_analysis!$P$2:$Q$441,ROWS(Data!$P$2:Z311),COLUMNS(Data!$P$3:Y312)),IF($Q$1=$P$5,INDEX(prem_analysis!$BH$1:$BS$23,ROWS(Data!$Q$3:Z312),COLUMNS(Data!$Q$3:Z312)),IF($Q$1=$P$6,INDEX(prem_analysis!$BU$1:$CF$67,ROWS(prem_analysis!$N$2:W311),COLUMNS(prem_analysis!$N$2:W311)),IF($Q$1=$P$4,INDEX(Table24[[#All],[Year]:[Details]],ROWS(prem_analysis!$M$420:V729),COLUMNS(Data!$Q$3:Z312)))))),"")</f>
        <v/>
      </c>
      <c r="AB311" s="1" t="str">
        <f>IFERROR(IF($Q$1=$P$3,INDEX(prem_analysis!$P$2:$Q$441,ROWS(Data!$P$2:AA311),COLUMNS(Data!$P$3:Z312)),IF($Q$1=$P$5,INDEX(prem_analysis!$BH$1:$BS$23,ROWS(Data!$Q$3:AA312),COLUMNS(Data!$Q$3:AA312)),IF($Q$1=$P$6,INDEX(prem_analysis!$BU$1:$CF$67,ROWS(prem_analysis!$N$2:X311),COLUMNS(prem_analysis!$N$2:X311)),IF($Q$1=$P$4,INDEX(Table24[[#All],[Year]:[Details]],ROWS(prem_analysis!$M$420:W729),COLUMNS(Data!$Q$3:AA312)))))),"")</f>
        <v/>
      </c>
      <c r="AC311" s="1" t="str">
        <f>IFERROR(IF($Q$1=$P$3,INDEX(prem_analysis!$P$2:$Q$441,ROWS(Data!$P$2:AB311),COLUMNS(Data!$P$3:AA312)),IF($Q$1=$P$5,INDEX(prem_analysis!$BH$1:$BS$23,ROWS(Data!$Q$3:AB312),COLUMNS(Data!$Q$3:AB312)),IF($Q$1=$P$6,INDEX(prem_analysis!$BU$1:$CF$67,ROWS(prem_analysis!$N$2:Y311),COLUMNS(prem_analysis!$N$2:Y311)),IF($Q$1=$P$4,INDEX(Table24[[#All],[Year]:[Details]],ROWS(prem_analysis!$M$420:X729),COLUMNS(Data!$Q$3:AB312)))))),"")</f>
        <v/>
      </c>
    </row>
    <row r="312" spans="1:29" x14ac:dyDescent="0.2">
      <c r="A312" s="3">
        <v>2015</v>
      </c>
      <c r="B312" s="3">
        <v>11</v>
      </c>
      <c r="C312" s="4" t="s">
        <v>26</v>
      </c>
      <c r="D312" s="3">
        <v>38</v>
      </c>
      <c r="E312" s="3">
        <v>11</v>
      </c>
      <c r="F312" s="3">
        <v>14</v>
      </c>
      <c r="G312" s="3">
        <v>13</v>
      </c>
      <c r="H312" s="3">
        <v>59</v>
      </c>
      <c r="I312" s="3">
        <v>55</v>
      </c>
      <c r="J312" s="3">
        <v>4</v>
      </c>
      <c r="K312" s="3">
        <v>47</v>
      </c>
      <c r="L312" s="5">
        <f>IF(Table24[[#This Row],['#]]=1,"Champion", IF(Table24[[#This Row],['#]]&gt;=18,"Relegated",Table24[[#This Row],['#]]))</f>
        <v>11</v>
      </c>
      <c r="M312" s="5" t="str">
        <f>IF(Table24[[#This Row],[Details]]=2,K311-Table24[[#This Row],[Pts]],IF(Table24[[#This Row],[Details]]=17,Table24[[#This Row],[Pts]]-K313,""))</f>
        <v/>
      </c>
      <c r="R312" s="1" t="str">
        <f>IFERROR(IF($Q$1=$P$3,INDEX(prem_analysis!$P$2:$Q$441,ROWS(Data!$P$2:Q312),COLUMNS(Data!$P$3:P313)),IF($Q$1=$P$5,INDEX(prem_analysis!$BH$1:$BS$23,ROWS(Data!$Q$3:Q313),COLUMNS(Data!$Q$3:Q313)),IF($Q$1=$P$6,INDEX(prem_analysis!$BU$1:$CF$67,ROWS(prem_analysis!$N$2:N312),COLUMNS(prem_analysis!$N$2:N312)),IF($Q$1=$P$4,INDEX(Table24[[#All],[Year]:[Details]],ROWS(prem_analysis!$M$420:M730),COLUMNS(Data!$Q$3:Q313)))))),"")</f>
        <v/>
      </c>
      <c r="S312" s="1" t="str">
        <f>IFERROR(IF($Q$1=$P$3,INDEX(prem_analysis!$P$2:$Q$441,ROWS(Data!$P$2:R312),COLUMNS(Data!$P$3:Q313)),IF($Q$1=$P$5,INDEX(prem_analysis!$BH$1:$BS$23,ROWS(Data!$Q$3:R313),COLUMNS(Data!$Q$3:R313)),IF($Q$1=$P$6,INDEX(prem_analysis!$BU$1:$CF$67,ROWS(prem_analysis!$N$2:O312),COLUMNS(prem_analysis!$N$2:O312)),IF($Q$1=$P$4,INDEX(Table24[[#All],[Year]:[Details]],ROWS(prem_analysis!$M$420:N730),COLUMNS(Data!$Q$3:R313)))))),"")</f>
        <v/>
      </c>
      <c r="T312" s="1" t="str">
        <f>IFERROR(IF($Q$1=$P$3,INDEX(prem_analysis!$P$2:$Q$441,ROWS(Data!$P$2:S312),COLUMNS(Data!$P$3:R313)),IF($Q$1=$P$5,INDEX(prem_analysis!$BH$1:$BS$23,ROWS(Data!$Q$3:S313),COLUMNS(Data!$Q$3:S313)),IF($Q$1=$P$6,INDEX(prem_analysis!$BU$1:$CF$67,ROWS(prem_analysis!$N$2:P312),COLUMNS(prem_analysis!$N$2:P312)),IF($Q$1=$P$4,INDEX(Table24[[#All],[Year]:[Details]],ROWS(prem_analysis!$M$420:O730),COLUMNS(Data!$Q$3:S313)))))),"")</f>
        <v/>
      </c>
      <c r="U312" s="1" t="str">
        <f>IFERROR(IF($Q$1=$P$3,INDEX(prem_analysis!$P$2:$Q$441,ROWS(Data!$P$2:T312),COLUMNS(Data!$P$3:S313)),IF($Q$1=$P$5,INDEX(prem_analysis!$BH$1:$BS$23,ROWS(Data!$Q$3:T313),COLUMNS(Data!$Q$3:T313)),IF($Q$1=$P$6,INDEX(prem_analysis!$BU$1:$CF$67,ROWS(prem_analysis!$N$2:Q312),COLUMNS(prem_analysis!$N$2:Q312)),IF($Q$1=$P$4,INDEX(Table24[[#All],[Year]:[Details]],ROWS(prem_analysis!$M$420:P730),COLUMNS(Data!$Q$3:T313)))))),"")</f>
        <v/>
      </c>
      <c r="V312" s="1" t="str">
        <f>IFERROR(IF($Q$1=$P$3,INDEX(prem_analysis!$P$2:$Q$441,ROWS(Data!$P$2:U312),COLUMNS(Data!$P$3:T313)),IF($Q$1=$P$5,INDEX(prem_analysis!$BH$1:$BS$23,ROWS(Data!$Q$3:U313),COLUMNS(Data!$Q$3:U313)),IF($Q$1=$P$6,INDEX(prem_analysis!$BU$1:$CF$67,ROWS(prem_analysis!$N$2:R312),COLUMNS(prem_analysis!$N$2:R312)),IF($Q$1=$P$4,INDEX(Table24[[#All],[Year]:[Details]],ROWS(prem_analysis!$M$420:Q730),COLUMNS(Data!$Q$3:U313)))))),"")</f>
        <v/>
      </c>
      <c r="W312" s="1" t="str">
        <f>IFERROR(IF($Q$1=$P$3,INDEX(prem_analysis!$P$2:$Q$441,ROWS(Data!$P$2:V312),COLUMNS(Data!$P$3:U313)),IF($Q$1=$P$5,INDEX(prem_analysis!$BH$1:$BS$23,ROWS(Data!$Q$3:V313),COLUMNS(Data!$Q$3:V313)),IF($Q$1=$P$6,INDEX(prem_analysis!$BU$1:$CF$67,ROWS(prem_analysis!$N$2:S312),COLUMNS(prem_analysis!$N$2:S312)),IF($Q$1=$P$4,INDEX(Table24[[#All],[Year]:[Details]],ROWS(prem_analysis!$M$420:R730),COLUMNS(Data!$Q$3:V313)))))),"")</f>
        <v/>
      </c>
      <c r="X312" s="1" t="str">
        <f>IFERROR(IF($Q$1=$P$3,INDEX(prem_analysis!$P$2:$Q$441,ROWS(Data!$P$2:W312),COLUMNS(Data!$P$3:V313)),IF($Q$1=$P$5,INDEX(prem_analysis!$BH$1:$BS$23,ROWS(Data!$Q$3:W313),COLUMNS(Data!$Q$3:W313)),IF($Q$1=$P$6,INDEX(prem_analysis!$BU$1:$CF$67,ROWS(prem_analysis!$N$2:T312),COLUMNS(prem_analysis!$N$2:T312)),IF($Q$1=$P$4,INDEX(Table24[[#All],[Year]:[Details]],ROWS(prem_analysis!$M$420:S730),COLUMNS(Data!$Q$3:W313)))))),"")</f>
        <v/>
      </c>
      <c r="Y312" s="1" t="str">
        <f>IFERROR(IF($Q$1=$P$3,INDEX(prem_analysis!$P$2:$Q$441,ROWS(Data!$P$2:X312),COLUMNS(Data!$P$3:W313)),IF($Q$1=$P$5,INDEX(prem_analysis!$BH$1:$BS$23,ROWS(Data!$Q$3:X313),COLUMNS(Data!$Q$3:X313)),IF($Q$1=$P$6,INDEX(prem_analysis!$BU$1:$CF$67,ROWS(prem_analysis!$N$2:U312),COLUMNS(prem_analysis!$N$2:U312)),IF($Q$1=$P$4,INDEX(Table24[[#All],[Year]:[Details]],ROWS(prem_analysis!$M$420:T730),COLUMNS(Data!$Q$3:X313)))))),"")</f>
        <v/>
      </c>
      <c r="Z312" s="1" t="str">
        <f>IFERROR(IF($Q$1=$P$3,INDEX(prem_analysis!$P$2:$Q$441,ROWS(Data!$P$2:Y312),COLUMNS(Data!$P$3:X313)),IF($Q$1=$P$5,INDEX(prem_analysis!$BH$1:$BS$23,ROWS(Data!$Q$3:Y313),COLUMNS(Data!$Q$3:Y313)),IF($Q$1=$P$6,INDEX(prem_analysis!$BU$1:$CF$67,ROWS(prem_analysis!$N$2:V312),COLUMNS(prem_analysis!$N$2:V312)),IF($Q$1=$P$4,INDEX(Table24[[#All],[Year]:[Details]],ROWS(prem_analysis!$M$420:U730),COLUMNS(Data!$Q$3:Y313)))))),"")</f>
        <v/>
      </c>
      <c r="AA312" s="1" t="str">
        <f>IFERROR(IF($Q$1=$P$3,INDEX(prem_analysis!$P$2:$Q$441,ROWS(Data!$P$2:Z312),COLUMNS(Data!$P$3:Y313)),IF($Q$1=$P$5,INDEX(prem_analysis!$BH$1:$BS$23,ROWS(Data!$Q$3:Z313),COLUMNS(Data!$Q$3:Z313)),IF($Q$1=$P$6,INDEX(prem_analysis!$BU$1:$CF$67,ROWS(prem_analysis!$N$2:W312),COLUMNS(prem_analysis!$N$2:W312)),IF($Q$1=$P$4,INDEX(Table24[[#All],[Year]:[Details]],ROWS(prem_analysis!$M$420:V730),COLUMNS(Data!$Q$3:Z313)))))),"")</f>
        <v/>
      </c>
      <c r="AB312" s="1" t="str">
        <f>IFERROR(IF($Q$1=$P$3,INDEX(prem_analysis!$P$2:$Q$441,ROWS(Data!$P$2:AA312),COLUMNS(Data!$P$3:Z313)),IF($Q$1=$P$5,INDEX(prem_analysis!$BH$1:$BS$23,ROWS(Data!$Q$3:AA313),COLUMNS(Data!$Q$3:AA313)),IF($Q$1=$P$6,INDEX(prem_analysis!$BU$1:$CF$67,ROWS(prem_analysis!$N$2:X312),COLUMNS(prem_analysis!$N$2:X312)),IF($Q$1=$P$4,INDEX(Table24[[#All],[Year]:[Details]],ROWS(prem_analysis!$M$420:W730),COLUMNS(Data!$Q$3:AA313)))))),"")</f>
        <v/>
      </c>
      <c r="AC312" s="1" t="str">
        <f>IFERROR(IF($Q$1=$P$3,INDEX(prem_analysis!$P$2:$Q$441,ROWS(Data!$P$2:AB312),COLUMNS(Data!$P$3:AA313)),IF($Q$1=$P$5,INDEX(prem_analysis!$BH$1:$BS$23,ROWS(Data!$Q$3:AB313),COLUMNS(Data!$Q$3:AB313)),IF($Q$1=$P$6,INDEX(prem_analysis!$BU$1:$CF$67,ROWS(prem_analysis!$N$2:Y312),COLUMNS(prem_analysis!$N$2:Y312)),IF($Q$1=$P$4,INDEX(Table24[[#All],[Year]:[Details]],ROWS(prem_analysis!$M$420:X730),COLUMNS(Data!$Q$3:AB313)))))),"")</f>
        <v/>
      </c>
    </row>
    <row r="313" spans="1:29" x14ac:dyDescent="0.2">
      <c r="A313" s="5">
        <v>2015</v>
      </c>
      <c r="B313" s="5">
        <v>12</v>
      </c>
      <c r="C313" s="6" t="s">
        <v>48</v>
      </c>
      <c r="D313" s="5">
        <v>38</v>
      </c>
      <c r="E313" s="5">
        <v>12</v>
      </c>
      <c r="F313" s="5">
        <v>11</v>
      </c>
      <c r="G313" s="5">
        <v>15</v>
      </c>
      <c r="H313" s="5">
        <v>42</v>
      </c>
      <c r="I313" s="5">
        <v>52</v>
      </c>
      <c r="J313" s="5">
        <v>-10</v>
      </c>
      <c r="K313" s="5">
        <v>47</v>
      </c>
      <c r="L313" s="5">
        <f>IF(Table24[[#This Row],['#]]=1,"Champion", IF(Table24[[#This Row],['#]]&gt;=18,"Relegated",Table24[[#This Row],['#]]))</f>
        <v>12</v>
      </c>
      <c r="M313" s="5" t="str">
        <f>IF(Table24[[#This Row],[Details]]=2,K312-Table24[[#This Row],[Pts]],IF(Table24[[#This Row],[Details]]=17,Table24[[#This Row],[Pts]]-K314,""))</f>
        <v/>
      </c>
      <c r="R313" s="1" t="str">
        <f>IFERROR(IF($Q$1=$P$3,INDEX(prem_analysis!$P$2:$Q$441,ROWS(Data!$P$2:Q313),COLUMNS(Data!$P$3:P314)),IF($Q$1=$P$5,INDEX(prem_analysis!$BH$1:$BS$23,ROWS(Data!$Q$3:Q314),COLUMNS(Data!$Q$3:Q314)),IF($Q$1=$P$6,INDEX(prem_analysis!$BU$1:$CF$67,ROWS(prem_analysis!$N$2:N313),COLUMNS(prem_analysis!$N$2:N313)),IF($Q$1=$P$4,INDEX(Table24[[#All],[Year]:[Details]],ROWS(prem_analysis!$M$420:M731),COLUMNS(Data!$Q$3:Q314)))))),"")</f>
        <v/>
      </c>
      <c r="S313" s="1" t="str">
        <f>IFERROR(IF($Q$1=$P$3,INDEX(prem_analysis!$P$2:$Q$441,ROWS(Data!$P$2:R313),COLUMNS(Data!$P$3:Q314)),IF($Q$1=$P$5,INDEX(prem_analysis!$BH$1:$BS$23,ROWS(Data!$Q$3:R314),COLUMNS(Data!$Q$3:R314)),IF($Q$1=$P$6,INDEX(prem_analysis!$BU$1:$CF$67,ROWS(prem_analysis!$N$2:O313),COLUMNS(prem_analysis!$N$2:O313)),IF($Q$1=$P$4,INDEX(Table24[[#All],[Year]:[Details]],ROWS(prem_analysis!$M$420:N731),COLUMNS(Data!$Q$3:R314)))))),"")</f>
        <v/>
      </c>
      <c r="T313" s="1" t="str">
        <f>IFERROR(IF($Q$1=$P$3,INDEX(prem_analysis!$P$2:$Q$441,ROWS(Data!$P$2:S313),COLUMNS(Data!$P$3:R314)),IF($Q$1=$P$5,INDEX(prem_analysis!$BH$1:$BS$23,ROWS(Data!$Q$3:S314),COLUMNS(Data!$Q$3:S314)),IF($Q$1=$P$6,INDEX(prem_analysis!$BU$1:$CF$67,ROWS(prem_analysis!$N$2:P313),COLUMNS(prem_analysis!$N$2:P313)),IF($Q$1=$P$4,INDEX(Table24[[#All],[Year]:[Details]],ROWS(prem_analysis!$M$420:O731),COLUMNS(Data!$Q$3:S314)))))),"")</f>
        <v/>
      </c>
      <c r="U313" s="1" t="str">
        <f>IFERROR(IF($Q$1=$P$3,INDEX(prem_analysis!$P$2:$Q$441,ROWS(Data!$P$2:T313),COLUMNS(Data!$P$3:S314)),IF($Q$1=$P$5,INDEX(prem_analysis!$BH$1:$BS$23,ROWS(Data!$Q$3:T314),COLUMNS(Data!$Q$3:T314)),IF($Q$1=$P$6,INDEX(prem_analysis!$BU$1:$CF$67,ROWS(prem_analysis!$N$2:Q313),COLUMNS(prem_analysis!$N$2:Q313)),IF($Q$1=$P$4,INDEX(Table24[[#All],[Year]:[Details]],ROWS(prem_analysis!$M$420:P731),COLUMNS(Data!$Q$3:T314)))))),"")</f>
        <v/>
      </c>
      <c r="V313" s="1" t="str">
        <f>IFERROR(IF($Q$1=$P$3,INDEX(prem_analysis!$P$2:$Q$441,ROWS(Data!$P$2:U313),COLUMNS(Data!$P$3:T314)),IF($Q$1=$P$5,INDEX(prem_analysis!$BH$1:$BS$23,ROWS(Data!$Q$3:U314),COLUMNS(Data!$Q$3:U314)),IF($Q$1=$P$6,INDEX(prem_analysis!$BU$1:$CF$67,ROWS(prem_analysis!$N$2:R313),COLUMNS(prem_analysis!$N$2:R313)),IF($Q$1=$P$4,INDEX(Table24[[#All],[Year]:[Details]],ROWS(prem_analysis!$M$420:Q731),COLUMNS(Data!$Q$3:U314)))))),"")</f>
        <v/>
      </c>
      <c r="W313" s="1" t="str">
        <f>IFERROR(IF($Q$1=$P$3,INDEX(prem_analysis!$P$2:$Q$441,ROWS(Data!$P$2:V313),COLUMNS(Data!$P$3:U314)),IF($Q$1=$P$5,INDEX(prem_analysis!$BH$1:$BS$23,ROWS(Data!$Q$3:V314),COLUMNS(Data!$Q$3:V314)),IF($Q$1=$P$6,INDEX(prem_analysis!$BU$1:$CF$67,ROWS(prem_analysis!$N$2:S313),COLUMNS(prem_analysis!$N$2:S313)),IF($Q$1=$P$4,INDEX(Table24[[#All],[Year]:[Details]],ROWS(prem_analysis!$M$420:R731),COLUMNS(Data!$Q$3:V314)))))),"")</f>
        <v/>
      </c>
      <c r="X313" s="1" t="str">
        <f>IFERROR(IF($Q$1=$P$3,INDEX(prem_analysis!$P$2:$Q$441,ROWS(Data!$P$2:W313),COLUMNS(Data!$P$3:V314)),IF($Q$1=$P$5,INDEX(prem_analysis!$BH$1:$BS$23,ROWS(Data!$Q$3:W314),COLUMNS(Data!$Q$3:W314)),IF($Q$1=$P$6,INDEX(prem_analysis!$BU$1:$CF$67,ROWS(prem_analysis!$N$2:T313),COLUMNS(prem_analysis!$N$2:T313)),IF($Q$1=$P$4,INDEX(Table24[[#All],[Year]:[Details]],ROWS(prem_analysis!$M$420:S731),COLUMNS(Data!$Q$3:W314)))))),"")</f>
        <v/>
      </c>
      <c r="Y313" s="1" t="str">
        <f>IFERROR(IF($Q$1=$P$3,INDEX(prem_analysis!$P$2:$Q$441,ROWS(Data!$P$2:X313),COLUMNS(Data!$P$3:W314)),IF($Q$1=$P$5,INDEX(prem_analysis!$BH$1:$BS$23,ROWS(Data!$Q$3:X314),COLUMNS(Data!$Q$3:X314)),IF($Q$1=$P$6,INDEX(prem_analysis!$BU$1:$CF$67,ROWS(prem_analysis!$N$2:U313),COLUMNS(prem_analysis!$N$2:U313)),IF($Q$1=$P$4,INDEX(Table24[[#All],[Year]:[Details]],ROWS(prem_analysis!$M$420:T731),COLUMNS(Data!$Q$3:X314)))))),"")</f>
        <v/>
      </c>
      <c r="Z313" s="1" t="str">
        <f>IFERROR(IF($Q$1=$P$3,INDEX(prem_analysis!$P$2:$Q$441,ROWS(Data!$P$2:Y313),COLUMNS(Data!$P$3:X314)),IF($Q$1=$P$5,INDEX(prem_analysis!$BH$1:$BS$23,ROWS(Data!$Q$3:Y314),COLUMNS(Data!$Q$3:Y314)),IF($Q$1=$P$6,INDEX(prem_analysis!$BU$1:$CF$67,ROWS(prem_analysis!$N$2:V313),COLUMNS(prem_analysis!$N$2:V313)),IF($Q$1=$P$4,INDEX(Table24[[#All],[Year]:[Details]],ROWS(prem_analysis!$M$420:U731),COLUMNS(Data!$Q$3:Y314)))))),"")</f>
        <v/>
      </c>
      <c r="AA313" s="1" t="str">
        <f>IFERROR(IF($Q$1=$P$3,INDEX(prem_analysis!$P$2:$Q$441,ROWS(Data!$P$2:Z313),COLUMNS(Data!$P$3:Y314)),IF($Q$1=$P$5,INDEX(prem_analysis!$BH$1:$BS$23,ROWS(Data!$Q$3:Z314),COLUMNS(Data!$Q$3:Z314)),IF($Q$1=$P$6,INDEX(prem_analysis!$BU$1:$CF$67,ROWS(prem_analysis!$N$2:W313),COLUMNS(prem_analysis!$N$2:W313)),IF($Q$1=$P$4,INDEX(Table24[[#All],[Year]:[Details]],ROWS(prem_analysis!$M$420:V731),COLUMNS(Data!$Q$3:Z314)))))),"")</f>
        <v/>
      </c>
      <c r="AB313" s="1" t="str">
        <f>IFERROR(IF($Q$1=$P$3,INDEX(prem_analysis!$P$2:$Q$441,ROWS(Data!$P$2:AA313),COLUMNS(Data!$P$3:Z314)),IF($Q$1=$P$5,INDEX(prem_analysis!$BH$1:$BS$23,ROWS(Data!$Q$3:AA314),COLUMNS(Data!$Q$3:AA314)),IF($Q$1=$P$6,INDEX(prem_analysis!$BU$1:$CF$67,ROWS(prem_analysis!$N$2:X313),COLUMNS(prem_analysis!$N$2:X313)),IF($Q$1=$P$4,INDEX(Table24[[#All],[Year]:[Details]],ROWS(prem_analysis!$M$420:W731),COLUMNS(Data!$Q$3:AA314)))))),"")</f>
        <v/>
      </c>
      <c r="AC313" s="1" t="str">
        <f>IFERROR(IF($Q$1=$P$3,INDEX(prem_analysis!$P$2:$Q$441,ROWS(Data!$P$2:AB313),COLUMNS(Data!$P$3:AA314)),IF($Q$1=$P$5,INDEX(prem_analysis!$BH$1:$BS$23,ROWS(Data!$Q$3:AB314),COLUMNS(Data!$Q$3:AB314)),IF($Q$1=$P$6,INDEX(prem_analysis!$BU$1:$CF$67,ROWS(prem_analysis!$N$2:Y313),COLUMNS(prem_analysis!$N$2:Y313)),IF($Q$1=$P$4,INDEX(Table24[[#All],[Year]:[Details]],ROWS(prem_analysis!$M$420:X731),COLUMNS(Data!$Q$3:AB314)))))),"")</f>
        <v/>
      </c>
    </row>
    <row r="314" spans="1:29" x14ac:dyDescent="0.2">
      <c r="A314" s="3">
        <v>2015</v>
      </c>
      <c r="B314" s="3">
        <v>13</v>
      </c>
      <c r="C314" s="4" t="s">
        <v>43</v>
      </c>
      <c r="D314" s="3">
        <v>38</v>
      </c>
      <c r="E314" s="3">
        <v>12</v>
      </c>
      <c r="F314" s="3">
        <v>9</v>
      </c>
      <c r="G314" s="3">
        <v>17</v>
      </c>
      <c r="H314" s="3">
        <v>40</v>
      </c>
      <c r="I314" s="3">
        <v>50</v>
      </c>
      <c r="J314" s="3">
        <v>-10</v>
      </c>
      <c r="K314" s="3">
        <v>45</v>
      </c>
      <c r="L314" s="5">
        <f>IF(Table24[[#This Row],['#]]=1,"Champion", IF(Table24[[#This Row],['#]]&gt;=18,"Relegated",Table24[[#This Row],['#]]))</f>
        <v>13</v>
      </c>
      <c r="M314" s="5" t="str">
        <f>IF(Table24[[#This Row],[Details]]=2,K313-Table24[[#This Row],[Pts]],IF(Table24[[#This Row],[Details]]=17,Table24[[#This Row],[Pts]]-K315,""))</f>
        <v/>
      </c>
      <c r="R314" s="1" t="str">
        <f>IFERROR(IF($Q$1=$P$3,INDEX(prem_analysis!$P$2:$Q$441,ROWS(Data!$P$2:Q314),COLUMNS(Data!$P$3:P315)),IF($Q$1=$P$5,INDEX(prem_analysis!$BH$1:$BS$23,ROWS(Data!$Q$3:Q315),COLUMNS(Data!$Q$3:Q315)),IF($Q$1=$P$6,INDEX(prem_analysis!$BU$1:$CF$67,ROWS(prem_analysis!$N$2:N314),COLUMNS(prem_analysis!$N$2:N314)),IF($Q$1=$P$4,INDEX(Table24[[#All],[Year]:[Details]],ROWS(prem_analysis!$M$420:M732),COLUMNS(Data!$Q$3:Q315)))))),"")</f>
        <v/>
      </c>
      <c r="S314" s="1" t="str">
        <f>IFERROR(IF($Q$1=$P$3,INDEX(prem_analysis!$P$2:$Q$441,ROWS(Data!$P$2:R314),COLUMNS(Data!$P$3:Q315)),IF($Q$1=$P$5,INDEX(prem_analysis!$BH$1:$BS$23,ROWS(Data!$Q$3:R315),COLUMNS(Data!$Q$3:R315)),IF($Q$1=$P$6,INDEX(prem_analysis!$BU$1:$CF$67,ROWS(prem_analysis!$N$2:O314),COLUMNS(prem_analysis!$N$2:O314)),IF($Q$1=$P$4,INDEX(Table24[[#All],[Year]:[Details]],ROWS(prem_analysis!$M$420:N732),COLUMNS(Data!$Q$3:R315)))))),"")</f>
        <v/>
      </c>
      <c r="T314" s="1" t="str">
        <f>IFERROR(IF($Q$1=$P$3,INDEX(prem_analysis!$P$2:$Q$441,ROWS(Data!$P$2:S314),COLUMNS(Data!$P$3:R315)),IF($Q$1=$P$5,INDEX(prem_analysis!$BH$1:$BS$23,ROWS(Data!$Q$3:S315),COLUMNS(Data!$Q$3:S315)),IF($Q$1=$P$6,INDEX(prem_analysis!$BU$1:$CF$67,ROWS(prem_analysis!$N$2:P314),COLUMNS(prem_analysis!$N$2:P314)),IF($Q$1=$P$4,INDEX(Table24[[#All],[Year]:[Details]],ROWS(prem_analysis!$M$420:O732),COLUMNS(Data!$Q$3:S315)))))),"")</f>
        <v/>
      </c>
      <c r="U314" s="1" t="str">
        <f>IFERROR(IF($Q$1=$P$3,INDEX(prem_analysis!$P$2:$Q$441,ROWS(Data!$P$2:T314),COLUMNS(Data!$P$3:S315)),IF($Q$1=$P$5,INDEX(prem_analysis!$BH$1:$BS$23,ROWS(Data!$Q$3:T315),COLUMNS(Data!$Q$3:T315)),IF($Q$1=$P$6,INDEX(prem_analysis!$BU$1:$CF$67,ROWS(prem_analysis!$N$2:Q314),COLUMNS(prem_analysis!$N$2:Q314)),IF($Q$1=$P$4,INDEX(Table24[[#All],[Year]:[Details]],ROWS(prem_analysis!$M$420:P732),COLUMNS(Data!$Q$3:T315)))))),"")</f>
        <v/>
      </c>
      <c r="V314" s="1" t="str">
        <f>IFERROR(IF($Q$1=$P$3,INDEX(prem_analysis!$P$2:$Q$441,ROWS(Data!$P$2:U314),COLUMNS(Data!$P$3:T315)),IF($Q$1=$P$5,INDEX(prem_analysis!$BH$1:$BS$23,ROWS(Data!$Q$3:U315),COLUMNS(Data!$Q$3:U315)),IF($Q$1=$P$6,INDEX(prem_analysis!$BU$1:$CF$67,ROWS(prem_analysis!$N$2:R314),COLUMNS(prem_analysis!$N$2:R314)),IF($Q$1=$P$4,INDEX(Table24[[#All],[Year]:[Details]],ROWS(prem_analysis!$M$420:Q732),COLUMNS(Data!$Q$3:U315)))))),"")</f>
        <v/>
      </c>
      <c r="W314" s="1" t="str">
        <f>IFERROR(IF($Q$1=$P$3,INDEX(prem_analysis!$P$2:$Q$441,ROWS(Data!$P$2:V314),COLUMNS(Data!$P$3:U315)),IF($Q$1=$P$5,INDEX(prem_analysis!$BH$1:$BS$23,ROWS(Data!$Q$3:V315),COLUMNS(Data!$Q$3:V315)),IF($Q$1=$P$6,INDEX(prem_analysis!$BU$1:$CF$67,ROWS(prem_analysis!$N$2:S314),COLUMNS(prem_analysis!$N$2:S314)),IF($Q$1=$P$4,INDEX(Table24[[#All],[Year]:[Details]],ROWS(prem_analysis!$M$420:R732),COLUMNS(Data!$Q$3:V315)))))),"")</f>
        <v/>
      </c>
      <c r="X314" s="1" t="str">
        <f>IFERROR(IF($Q$1=$P$3,INDEX(prem_analysis!$P$2:$Q$441,ROWS(Data!$P$2:W314),COLUMNS(Data!$P$3:V315)),IF($Q$1=$P$5,INDEX(prem_analysis!$BH$1:$BS$23,ROWS(Data!$Q$3:W315),COLUMNS(Data!$Q$3:W315)),IF($Q$1=$P$6,INDEX(prem_analysis!$BU$1:$CF$67,ROWS(prem_analysis!$N$2:T314),COLUMNS(prem_analysis!$N$2:T314)),IF($Q$1=$P$4,INDEX(Table24[[#All],[Year]:[Details]],ROWS(prem_analysis!$M$420:S732),COLUMNS(Data!$Q$3:W315)))))),"")</f>
        <v/>
      </c>
      <c r="Y314" s="1" t="str">
        <f>IFERROR(IF($Q$1=$P$3,INDEX(prem_analysis!$P$2:$Q$441,ROWS(Data!$P$2:X314),COLUMNS(Data!$P$3:W315)),IF($Q$1=$P$5,INDEX(prem_analysis!$BH$1:$BS$23,ROWS(Data!$Q$3:X315),COLUMNS(Data!$Q$3:X315)),IF($Q$1=$P$6,INDEX(prem_analysis!$BU$1:$CF$67,ROWS(prem_analysis!$N$2:U314),COLUMNS(prem_analysis!$N$2:U314)),IF($Q$1=$P$4,INDEX(Table24[[#All],[Year]:[Details]],ROWS(prem_analysis!$M$420:T732),COLUMNS(Data!$Q$3:X315)))))),"")</f>
        <v/>
      </c>
      <c r="Z314" s="1" t="str">
        <f>IFERROR(IF($Q$1=$P$3,INDEX(prem_analysis!$P$2:$Q$441,ROWS(Data!$P$2:Y314),COLUMNS(Data!$P$3:X315)),IF($Q$1=$P$5,INDEX(prem_analysis!$BH$1:$BS$23,ROWS(Data!$Q$3:Y315),COLUMNS(Data!$Q$3:Y315)),IF($Q$1=$P$6,INDEX(prem_analysis!$BU$1:$CF$67,ROWS(prem_analysis!$N$2:V314),COLUMNS(prem_analysis!$N$2:V314)),IF($Q$1=$P$4,INDEX(Table24[[#All],[Year]:[Details]],ROWS(prem_analysis!$M$420:U732),COLUMNS(Data!$Q$3:Y315)))))),"")</f>
        <v/>
      </c>
      <c r="AA314" s="1" t="str">
        <f>IFERROR(IF($Q$1=$P$3,INDEX(prem_analysis!$P$2:$Q$441,ROWS(Data!$P$2:Z314),COLUMNS(Data!$P$3:Y315)),IF($Q$1=$P$5,INDEX(prem_analysis!$BH$1:$BS$23,ROWS(Data!$Q$3:Z315),COLUMNS(Data!$Q$3:Z315)),IF($Q$1=$P$6,INDEX(prem_analysis!$BU$1:$CF$67,ROWS(prem_analysis!$N$2:W314),COLUMNS(prem_analysis!$N$2:W314)),IF($Q$1=$P$4,INDEX(Table24[[#All],[Year]:[Details]],ROWS(prem_analysis!$M$420:V732),COLUMNS(Data!$Q$3:Z315)))))),"")</f>
        <v/>
      </c>
      <c r="AB314" s="1" t="str">
        <f>IFERROR(IF($Q$1=$P$3,INDEX(prem_analysis!$P$2:$Q$441,ROWS(Data!$P$2:AA314),COLUMNS(Data!$P$3:Z315)),IF($Q$1=$P$5,INDEX(prem_analysis!$BH$1:$BS$23,ROWS(Data!$Q$3:AA315),COLUMNS(Data!$Q$3:AA315)),IF($Q$1=$P$6,INDEX(prem_analysis!$BU$1:$CF$67,ROWS(prem_analysis!$N$2:X314),COLUMNS(prem_analysis!$N$2:X314)),IF($Q$1=$P$4,INDEX(Table24[[#All],[Year]:[Details]],ROWS(prem_analysis!$M$420:W732),COLUMNS(Data!$Q$3:AA315)))))),"")</f>
        <v/>
      </c>
      <c r="AC314" s="1" t="str">
        <f>IFERROR(IF($Q$1=$P$3,INDEX(prem_analysis!$P$2:$Q$441,ROWS(Data!$P$2:AB314),COLUMNS(Data!$P$3:AA315)),IF($Q$1=$P$5,INDEX(prem_analysis!$BH$1:$BS$23,ROWS(Data!$Q$3:AB315),COLUMNS(Data!$Q$3:AB315)),IF($Q$1=$P$6,INDEX(prem_analysis!$BU$1:$CF$67,ROWS(prem_analysis!$N$2:Y314),COLUMNS(prem_analysis!$N$2:Y314)),IF($Q$1=$P$4,INDEX(Table24[[#All],[Year]:[Details]],ROWS(prem_analysis!$M$420:X732),COLUMNS(Data!$Q$3:AB315)))))),"")</f>
        <v/>
      </c>
    </row>
    <row r="315" spans="1:29" x14ac:dyDescent="0.2">
      <c r="A315" s="5">
        <v>2015</v>
      </c>
      <c r="B315" s="5">
        <v>14</v>
      </c>
      <c r="C315" s="6" t="s">
        <v>35</v>
      </c>
      <c r="D315" s="5">
        <v>38</v>
      </c>
      <c r="E315" s="5">
        <v>10</v>
      </c>
      <c r="F315" s="5">
        <v>13</v>
      </c>
      <c r="G315" s="5">
        <v>15</v>
      </c>
      <c r="H315" s="5">
        <v>34</v>
      </c>
      <c r="I315" s="5">
        <v>48</v>
      </c>
      <c r="J315" s="5">
        <v>-14</v>
      </c>
      <c r="K315" s="5">
        <v>43</v>
      </c>
      <c r="L315" s="5">
        <f>IF(Table24[[#This Row],['#]]=1,"Champion", IF(Table24[[#This Row],['#]]&gt;=18,"Relegated",Table24[[#This Row],['#]]))</f>
        <v>14</v>
      </c>
      <c r="M315" s="5" t="str">
        <f>IF(Table24[[#This Row],[Details]]=2,K314-Table24[[#This Row],[Pts]],IF(Table24[[#This Row],[Details]]=17,Table24[[#This Row],[Pts]]-K316,""))</f>
        <v/>
      </c>
      <c r="R315" s="1" t="str">
        <f>IFERROR(IF($Q$1=$P$3,INDEX(prem_analysis!$P$2:$Q$441,ROWS(Data!$P$2:Q315),COLUMNS(Data!$P$3:P316)),IF($Q$1=$P$5,INDEX(prem_analysis!$BH$1:$BS$23,ROWS(Data!$Q$3:Q316),COLUMNS(Data!$Q$3:Q316)),IF($Q$1=$P$6,INDEX(prem_analysis!$BU$1:$CF$67,ROWS(prem_analysis!$N$2:N315),COLUMNS(prem_analysis!$N$2:N315)),IF($Q$1=$P$4,INDEX(Table24[[#All],[Year]:[Details]],ROWS(prem_analysis!$M$420:M733),COLUMNS(Data!$Q$3:Q316)))))),"")</f>
        <v/>
      </c>
      <c r="S315" s="1" t="str">
        <f>IFERROR(IF($Q$1=$P$3,INDEX(prem_analysis!$P$2:$Q$441,ROWS(Data!$P$2:R315),COLUMNS(Data!$P$3:Q316)),IF($Q$1=$P$5,INDEX(prem_analysis!$BH$1:$BS$23,ROWS(Data!$Q$3:R316),COLUMNS(Data!$Q$3:R316)),IF($Q$1=$P$6,INDEX(prem_analysis!$BU$1:$CF$67,ROWS(prem_analysis!$N$2:O315),COLUMNS(prem_analysis!$N$2:O315)),IF($Q$1=$P$4,INDEX(Table24[[#All],[Year]:[Details]],ROWS(prem_analysis!$M$420:N733),COLUMNS(Data!$Q$3:R316)))))),"")</f>
        <v/>
      </c>
      <c r="T315" s="1" t="str">
        <f>IFERROR(IF($Q$1=$P$3,INDEX(prem_analysis!$P$2:$Q$441,ROWS(Data!$P$2:S315),COLUMNS(Data!$P$3:R316)),IF($Q$1=$P$5,INDEX(prem_analysis!$BH$1:$BS$23,ROWS(Data!$Q$3:S316),COLUMNS(Data!$Q$3:S316)),IF($Q$1=$P$6,INDEX(prem_analysis!$BU$1:$CF$67,ROWS(prem_analysis!$N$2:P315),COLUMNS(prem_analysis!$N$2:P315)),IF($Q$1=$P$4,INDEX(Table24[[#All],[Year]:[Details]],ROWS(prem_analysis!$M$420:O733),COLUMNS(Data!$Q$3:S316)))))),"")</f>
        <v/>
      </c>
      <c r="U315" s="1" t="str">
        <f>IFERROR(IF($Q$1=$P$3,INDEX(prem_analysis!$P$2:$Q$441,ROWS(Data!$P$2:T315),COLUMNS(Data!$P$3:S316)),IF($Q$1=$P$5,INDEX(prem_analysis!$BH$1:$BS$23,ROWS(Data!$Q$3:T316),COLUMNS(Data!$Q$3:T316)),IF($Q$1=$P$6,INDEX(prem_analysis!$BU$1:$CF$67,ROWS(prem_analysis!$N$2:Q315),COLUMNS(prem_analysis!$N$2:Q315)),IF($Q$1=$P$4,INDEX(Table24[[#All],[Year]:[Details]],ROWS(prem_analysis!$M$420:P733),COLUMNS(Data!$Q$3:T316)))))),"")</f>
        <v/>
      </c>
      <c r="V315" s="1" t="str">
        <f>IFERROR(IF($Q$1=$P$3,INDEX(prem_analysis!$P$2:$Q$441,ROWS(Data!$P$2:U315),COLUMNS(Data!$P$3:T316)),IF($Q$1=$P$5,INDEX(prem_analysis!$BH$1:$BS$23,ROWS(Data!$Q$3:U316),COLUMNS(Data!$Q$3:U316)),IF($Q$1=$P$6,INDEX(prem_analysis!$BU$1:$CF$67,ROWS(prem_analysis!$N$2:R315),COLUMNS(prem_analysis!$N$2:R315)),IF($Q$1=$P$4,INDEX(Table24[[#All],[Year]:[Details]],ROWS(prem_analysis!$M$420:Q733),COLUMNS(Data!$Q$3:U316)))))),"")</f>
        <v/>
      </c>
      <c r="W315" s="1" t="str">
        <f>IFERROR(IF($Q$1=$P$3,INDEX(prem_analysis!$P$2:$Q$441,ROWS(Data!$P$2:V315),COLUMNS(Data!$P$3:U316)),IF($Q$1=$P$5,INDEX(prem_analysis!$BH$1:$BS$23,ROWS(Data!$Q$3:V316),COLUMNS(Data!$Q$3:V316)),IF($Q$1=$P$6,INDEX(prem_analysis!$BU$1:$CF$67,ROWS(prem_analysis!$N$2:S315),COLUMNS(prem_analysis!$N$2:S315)),IF($Q$1=$P$4,INDEX(Table24[[#All],[Year]:[Details]],ROWS(prem_analysis!$M$420:R733),COLUMNS(Data!$Q$3:V316)))))),"")</f>
        <v/>
      </c>
      <c r="X315" s="1" t="str">
        <f>IFERROR(IF($Q$1=$P$3,INDEX(prem_analysis!$P$2:$Q$441,ROWS(Data!$P$2:W315),COLUMNS(Data!$P$3:V316)),IF($Q$1=$P$5,INDEX(prem_analysis!$BH$1:$BS$23,ROWS(Data!$Q$3:W316),COLUMNS(Data!$Q$3:W316)),IF($Q$1=$P$6,INDEX(prem_analysis!$BU$1:$CF$67,ROWS(prem_analysis!$N$2:T315),COLUMNS(prem_analysis!$N$2:T315)),IF($Q$1=$P$4,INDEX(Table24[[#All],[Year]:[Details]],ROWS(prem_analysis!$M$420:S733),COLUMNS(Data!$Q$3:W316)))))),"")</f>
        <v/>
      </c>
      <c r="Y315" s="1" t="str">
        <f>IFERROR(IF($Q$1=$P$3,INDEX(prem_analysis!$P$2:$Q$441,ROWS(Data!$P$2:X315),COLUMNS(Data!$P$3:W316)),IF($Q$1=$P$5,INDEX(prem_analysis!$BH$1:$BS$23,ROWS(Data!$Q$3:X316),COLUMNS(Data!$Q$3:X316)),IF($Q$1=$P$6,INDEX(prem_analysis!$BU$1:$CF$67,ROWS(prem_analysis!$N$2:U315),COLUMNS(prem_analysis!$N$2:U315)),IF($Q$1=$P$4,INDEX(Table24[[#All],[Year]:[Details]],ROWS(prem_analysis!$M$420:T733),COLUMNS(Data!$Q$3:X316)))))),"")</f>
        <v/>
      </c>
      <c r="Z315" s="1" t="str">
        <f>IFERROR(IF($Q$1=$P$3,INDEX(prem_analysis!$P$2:$Q$441,ROWS(Data!$P$2:Y315),COLUMNS(Data!$P$3:X316)),IF($Q$1=$P$5,INDEX(prem_analysis!$BH$1:$BS$23,ROWS(Data!$Q$3:Y316),COLUMNS(Data!$Q$3:Y316)),IF($Q$1=$P$6,INDEX(prem_analysis!$BU$1:$CF$67,ROWS(prem_analysis!$N$2:V315),COLUMNS(prem_analysis!$N$2:V315)),IF($Q$1=$P$4,INDEX(Table24[[#All],[Year]:[Details]],ROWS(prem_analysis!$M$420:U733),COLUMNS(Data!$Q$3:Y316)))))),"")</f>
        <v/>
      </c>
      <c r="AA315" s="1" t="str">
        <f>IFERROR(IF($Q$1=$P$3,INDEX(prem_analysis!$P$2:$Q$441,ROWS(Data!$P$2:Z315),COLUMNS(Data!$P$3:Y316)),IF($Q$1=$P$5,INDEX(prem_analysis!$BH$1:$BS$23,ROWS(Data!$Q$3:Z316),COLUMNS(Data!$Q$3:Z316)),IF($Q$1=$P$6,INDEX(prem_analysis!$BU$1:$CF$67,ROWS(prem_analysis!$N$2:W315),COLUMNS(prem_analysis!$N$2:W315)),IF($Q$1=$P$4,INDEX(Table24[[#All],[Year]:[Details]],ROWS(prem_analysis!$M$420:V733),COLUMNS(Data!$Q$3:Z316)))))),"")</f>
        <v/>
      </c>
      <c r="AB315" s="1" t="str">
        <f>IFERROR(IF($Q$1=$P$3,INDEX(prem_analysis!$P$2:$Q$441,ROWS(Data!$P$2:AA315),COLUMNS(Data!$P$3:Z316)),IF($Q$1=$P$5,INDEX(prem_analysis!$BH$1:$BS$23,ROWS(Data!$Q$3:AA316),COLUMNS(Data!$Q$3:AA316)),IF($Q$1=$P$6,INDEX(prem_analysis!$BU$1:$CF$67,ROWS(prem_analysis!$N$2:X315),COLUMNS(prem_analysis!$N$2:X315)),IF($Q$1=$P$4,INDEX(Table24[[#All],[Year]:[Details]],ROWS(prem_analysis!$M$420:W733),COLUMNS(Data!$Q$3:AA316)))))),"")</f>
        <v/>
      </c>
      <c r="AC315" s="1" t="str">
        <f>IFERROR(IF($Q$1=$P$3,INDEX(prem_analysis!$P$2:$Q$441,ROWS(Data!$P$2:AB315),COLUMNS(Data!$P$3:AA316)),IF($Q$1=$P$5,INDEX(prem_analysis!$BH$1:$BS$23,ROWS(Data!$Q$3:AB316),COLUMNS(Data!$Q$3:AB316)),IF($Q$1=$P$6,INDEX(prem_analysis!$BU$1:$CF$67,ROWS(prem_analysis!$N$2:Y315),COLUMNS(prem_analysis!$N$2:Y315)),IF($Q$1=$P$4,INDEX(Table24[[#All],[Year]:[Details]],ROWS(prem_analysis!$M$420:X733),COLUMNS(Data!$Q$3:AB316)))))),"")</f>
        <v/>
      </c>
    </row>
    <row r="316" spans="1:29" x14ac:dyDescent="0.2">
      <c r="A316" s="3">
        <v>2015</v>
      </c>
      <c r="B316" s="3">
        <v>15</v>
      </c>
      <c r="C316" s="4" t="s">
        <v>38</v>
      </c>
      <c r="D316" s="3">
        <v>38</v>
      </c>
      <c r="E316" s="3">
        <v>11</v>
      </c>
      <c r="F316" s="3">
        <v>9</v>
      </c>
      <c r="G316" s="3">
        <v>18</v>
      </c>
      <c r="H316" s="3">
        <v>39</v>
      </c>
      <c r="I316" s="3">
        <v>51</v>
      </c>
      <c r="J316" s="3">
        <v>-12</v>
      </c>
      <c r="K316" s="3">
        <v>42</v>
      </c>
      <c r="L316" s="5">
        <f>IF(Table24[[#This Row],['#]]=1,"Champion", IF(Table24[[#This Row],['#]]&gt;=18,"Relegated",Table24[[#This Row],['#]]))</f>
        <v>15</v>
      </c>
      <c r="M316" s="5" t="str">
        <f>IF(Table24[[#This Row],[Details]]=2,K315-Table24[[#This Row],[Pts]],IF(Table24[[#This Row],[Details]]=17,Table24[[#This Row],[Pts]]-K317,""))</f>
        <v/>
      </c>
      <c r="R316" s="1" t="str">
        <f>IFERROR(IF($Q$1=$P$3,INDEX(prem_analysis!$P$2:$Q$441,ROWS(Data!$P$2:Q316),COLUMNS(Data!$P$3:P317)),IF($Q$1=$P$5,INDEX(prem_analysis!$BH$1:$BS$23,ROWS(Data!$Q$3:Q317),COLUMNS(Data!$Q$3:Q317)),IF($Q$1=$P$6,INDEX(prem_analysis!$BU$1:$CF$67,ROWS(prem_analysis!$N$2:N316),COLUMNS(prem_analysis!$N$2:N316)),IF($Q$1=$P$4,INDEX(Table24[[#All],[Year]:[Details]],ROWS(prem_analysis!$M$420:M734),COLUMNS(Data!$Q$3:Q317)))))),"")</f>
        <v/>
      </c>
      <c r="S316" s="1" t="str">
        <f>IFERROR(IF($Q$1=$P$3,INDEX(prem_analysis!$P$2:$Q$441,ROWS(Data!$P$2:R316),COLUMNS(Data!$P$3:Q317)),IF($Q$1=$P$5,INDEX(prem_analysis!$BH$1:$BS$23,ROWS(Data!$Q$3:R317),COLUMNS(Data!$Q$3:R317)),IF($Q$1=$P$6,INDEX(prem_analysis!$BU$1:$CF$67,ROWS(prem_analysis!$N$2:O316),COLUMNS(prem_analysis!$N$2:O316)),IF($Q$1=$P$4,INDEX(Table24[[#All],[Year]:[Details]],ROWS(prem_analysis!$M$420:N734),COLUMNS(Data!$Q$3:R317)))))),"")</f>
        <v/>
      </c>
      <c r="T316" s="1" t="str">
        <f>IFERROR(IF($Q$1=$P$3,INDEX(prem_analysis!$P$2:$Q$441,ROWS(Data!$P$2:S316),COLUMNS(Data!$P$3:R317)),IF($Q$1=$P$5,INDEX(prem_analysis!$BH$1:$BS$23,ROWS(Data!$Q$3:S317),COLUMNS(Data!$Q$3:S317)),IF($Q$1=$P$6,INDEX(prem_analysis!$BU$1:$CF$67,ROWS(prem_analysis!$N$2:P316),COLUMNS(prem_analysis!$N$2:P316)),IF($Q$1=$P$4,INDEX(Table24[[#All],[Year]:[Details]],ROWS(prem_analysis!$M$420:O734),COLUMNS(Data!$Q$3:S317)))))),"")</f>
        <v/>
      </c>
      <c r="U316" s="1" t="str">
        <f>IFERROR(IF($Q$1=$P$3,INDEX(prem_analysis!$P$2:$Q$441,ROWS(Data!$P$2:T316),COLUMNS(Data!$P$3:S317)),IF($Q$1=$P$5,INDEX(prem_analysis!$BH$1:$BS$23,ROWS(Data!$Q$3:T317),COLUMNS(Data!$Q$3:T317)),IF($Q$1=$P$6,INDEX(prem_analysis!$BU$1:$CF$67,ROWS(prem_analysis!$N$2:Q316),COLUMNS(prem_analysis!$N$2:Q316)),IF($Q$1=$P$4,INDEX(Table24[[#All],[Year]:[Details]],ROWS(prem_analysis!$M$420:P734),COLUMNS(Data!$Q$3:T317)))))),"")</f>
        <v/>
      </c>
      <c r="V316" s="1" t="str">
        <f>IFERROR(IF($Q$1=$P$3,INDEX(prem_analysis!$P$2:$Q$441,ROWS(Data!$P$2:U316),COLUMNS(Data!$P$3:T317)),IF($Q$1=$P$5,INDEX(prem_analysis!$BH$1:$BS$23,ROWS(Data!$Q$3:U317),COLUMNS(Data!$Q$3:U317)),IF($Q$1=$P$6,INDEX(prem_analysis!$BU$1:$CF$67,ROWS(prem_analysis!$N$2:R316),COLUMNS(prem_analysis!$N$2:R316)),IF($Q$1=$P$4,INDEX(Table24[[#All],[Year]:[Details]],ROWS(prem_analysis!$M$420:Q734),COLUMNS(Data!$Q$3:U317)))))),"")</f>
        <v/>
      </c>
      <c r="W316" s="1" t="str">
        <f>IFERROR(IF($Q$1=$P$3,INDEX(prem_analysis!$P$2:$Q$441,ROWS(Data!$P$2:V316),COLUMNS(Data!$P$3:U317)),IF($Q$1=$P$5,INDEX(prem_analysis!$BH$1:$BS$23,ROWS(Data!$Q$3:V317),COLUMNS(Data!$Q$3:V317)),IF($Q$1=$P$6,INDEX(prem_analysis!$BU$1:$CF$67,ROWS(prem_analysis!$N$2:S316),COLUMNS(prem_analysis!$N$2:S316)),IF($Q$1=$P$4,INDEX(Table24[[#All],[Year]:[Details]],ROWS(prem_analysis!$M$420:R734),COLUMNS(Data!$Q$3:V317)))))),"")</f>
        <v/>
      </c>
      <c r="X316" s="1" t="str">
        <f>IFERROR(IF($Q$1=$P$3,INDEX(prem_analysis!$P$2:$Q$441,ROWS(Data!$P$2:W316),COLUMNS(Data!$P$3:V317)),IF($Q$1=$P$5,INDEX(prem_analysis!$BH$1:$BS$23,ROWS(Data!$Q$3:W317),COLUMNS(Data!$Q$3:W317)),IF($Q$1=$P$6,INDEX(prem_analysis!$BU$1:$CF$67,ROWS(prem_analysis!$N$2:T316),COLUMNS(prem_analysis!$N$2:T316)),IF($Q$1=$P$4,INDEX(Table24[[#All],[Year]:[Details]],ROWS(prem_analysis!$M$420:S734),COLUMNS(Data!$Q$3:W317)))))),"")</f>
        <v/>
      </c>
      <c r="Y316" s="1" t="str">
        <f>IFERROR(IF($Q$1=$P$3,INDEX(prem_analysis!$P$2:$Q$441,ROWS(Data!$P$2:X316),COLUMNS(Data!$P$3:W317)),IF($Q$1=$P$5,INDEX(prem_analysis!$BH$1:$BS$23,ROWS(Data!$Q$3:X317),COLUMNS(Data!$Q$3:X317)),IF($Q$1=$P$6,INDEX(prem_analysis!$BU$1:$CF$67,ROWS(prem_analysis!$N$2:U316),COLUMNS(prem_analysis!$N$2:U316)),IF($Q$1=$P$4,INDEX(Table24[[#All],[Year]:[Details]],ROWS(prem_analysis!$M$420:T734),COLUMNS(Data!$Q$3:X317)))))),"")</f>
        <v/>
      </c>
      <c r="Z316" s="1" t="str">
        <f>IFERROR(IF($Q$1=$P$3,INDEX(prem_analysis!$P$2:$Q$441,ROWS(Data!$P$2:Y316),COLUMNS(Data!$P$3:X317)),IF($Q$1=$P$5,INDEX(prem_analysis!$BH$1:$BS$23,ROWS(Data!$Q$3:Y317),COLUMNS(Data!$Q$3:Y317)),IF($Q$1=$P$6,INDEX(prem_analysis!$BU$1:$CF$67,ROWS(prem_analysis!$N$2:V316),COLUMNS(prem_analysis!$N$2:V316)),IF($Q$1=$P$4,INDEX(Table24[[#All],[Year]:[Details]],ROWS(prem_analysis!$M$420:U734),COLUMNS(Data!$Q$3:Y317)))))),"")</f>
        <v/>
      </c>
      <c r="AA316" s="1" t="str">
        <f>IFERROR(IF($Q$1=$P$3,INDEX(prem_analysis!$P$2:$Q$441,ROWS(Data!$P$2:Z316),COLUMNS(Data!$P$3:Y317)),IF($Q$1=$P$5,INDEX(prem_analysis!$BH$1:$BS$23,ROWS(Data!$Q$3:Z317),COLUMNS(Data!$Q$3:Z317)),IF($Q$1=$P$6,INDEX(prem_analysis!$BU$1:$CF$67,ROWS(prem_analysis!$N$2:W316),COLUMNS(prem_analysis!$N$2:W316)),IF($Q$1=$P$4,INDEX(Table24[[#All],[Year]:[Details]],ROWS(prem_analysis!$M$420:V734),COLUMNS(Data!$Q$3:Z317)))))),"")</f>
        <v/>
      </c>
      <c r="AB316" s="1" t="str">
        <f>IFERROR(IF($Q$1=$P$3,INDEX(prem_analysis!$P$2:$Q$441,ROWS(Data!$P$2:AA316),COLUMNS(Data!$P$3:Z317)),IF($Q$1=$P$5,INDEX(prem_analysis!$BH$1:$BS$23,ROWS(Data!$Q$3:AA317),COLUMNS(Data!$Q$3:AA317)),IF($Q$1=$P$6,INDEX(prem_analysis!$BU$1:$CF$67,ROWS(prem_analysis!$N$2:X316),COLUMNS(prem_analysis!$N$2:X316)),IF($Q$1=$P$4,INDEX(Table24[[#All],[Year]:[Details]],ROWS(prem_analysis!$M$420:W734),COLUMNS(Data!$Q$3:AA317)))))),"")</f>
        <v/>
      </c>
      <c r="AC316" s="1" t="str">
        <f>IFERROR(IF($Q$1=$P$3,INDEX(prem_analysis!$P$2:$Q$441,ROWS(Data!$P$2:AB316),COLUMNS(Data!$P$3:AA317)),IF($Q$1=$P$5,INDEX(prem_analysis!$BH$1:$BS$23,ROWS(Data!$Q$3:AB317),COLUMNS(Data!$Q$3:AB317)),IF($Q$1=$P$6,INDEX(prem_analysis!$BU$1:$CF$67,ROWS(prem_analysis!$N$2:Y316),COLUMNS(prem_analysis!$N$2:Y316)),IF($Q$1=$P$4,INDEX(Table24[[#All],[Year]:[Details]],ROWS(prem_analysis!$M$420:X734),COLUMNS(Data!$Q$3:AB317)))))),"")</f>
        <v/>
      </c>
    </row>
    <row r="317" spans="1:29" x14ac:dyDescent="0.2">
      <c r="A317" s="5">
        <v>2015</v>
      </c>
      <c r="B317" s="5">
        <v>16</v>
      </c>
      <c r="C317" s="6" t="s">
        <v>51</v>
      </c>
      <c r="D317" s="5">
        <v>38</v>
      </c>
      <c r="E317" s="5">
        <v>11</v>
      </c>
      <c r="F317" s="5">
        <v>9</v>
      </c>
      <c r="G317" s="5">
        <v>18</v>
      </c>
      <c r="H317" s="5">
        <v>45</v>
      </c>
      <c r="I317" s="5">
        <v>67</v>
      </c>
      <c r="J317" s="5">
        <v>-22</v>
      </c>
      <c r="K317" s="5">
        <v>42</v>
      </c>
      <c r="L317" s="5">
        <f>IF(Table24[[#This Row],['#]]=1,"Champion", IF(Table24[[#This Row],['#]]&gt;=18,"Relegated",Table24[[#This Row],['#]]))</f>
        <v>16</v>
      </c>
      <c r="M317" s="5" t="str">
        <f>IF(Table24[[#This Row],[Details]]=2,K316-Table24[[#This Row],[Pts]],IF(Table24[[#This Row],[Details]]=17,Table24[[#This Row],[Pts]]-K318,""))</f>
        <v/>
      </c>
      <c r="R317" s="1" t="str">
        <f>IFERROR(IF($Q$1=$P$3,INDEX(prem_analysis!$P$2:$Q$441,ROWS(Data!$P$2:Q317),COLUMNS(Data!$P$3:P318)),IF($Q$1=$P$5,INDEX(prem_analysis!$BH$1:$BS$23,ROWS(Data!$Q$3:Q318),COLUMNS(Data!$Q$3:Q318)),IF($Q$1=$P$6,INDEX(prem_analysis!$BU$1:$CF$67,ROWS(prem_analysis!$N$2:N317),COLUMNS(prem_analysis!$N$2:N317)),IF($Q$1=$P$4,INDEX(Table24[[#All],[Year]:[Details]],ROWS(prem_analysis!$M$420:M735),COLUMNS(Data!$Q$3:Q318)))))),"")</f>
        <v/>
      </c>
      <c r="S317" s="1" t="str">
        <f>IFERROR(IF($Q$1=$P$3,INDEX(prem_analysis!$P$2:$Q$441,ROWS(Data!$P$2:R317),COLUMNS(Data!$P$3:Q318)),IF($Q$1=$P$5,INDEX(prem_analysis!$BH$1:$BS$23,ROWS(Data!$Q$3:R318),COLUMNS(Data!$Q$3:R318)),IF($Q$1=$P$6,INDEX(prem_analysis!$BU$1:$CF$67,ROWS(prem_analysis!$N$2:O317),COLUMNS(prem_analysis!$N$2:O317)),IF($Q$1=$P$4,INDEX(Table24[[#All],[Year]:[Details]],ROWS(prem_analysis!$M$420:N735),COLUMNS(Data!$Q$3:R318)))))),"")</f>
        <v/>
      </c>
      <c r="T317" s="1" t="str">
        <f>IFERROR(IF($Q$1=$P$3,INDEX(prem_analysis!$P$2:$Q$441,ROWS(Data!$P$2:S317),COLUMNS(Data!$P$3:R318)),IF($Q$1=$P$5,INDEX(prem_analysis!$BH$1:$BS$23,ROWS(Data!$Q$3:S318),COLUMNS(Data!$Q$3:S318)),IF($Q$1=$P$6,INDEX(prem_analysis!$BU$1:$CF$67,ROWS(prem_analysis!$N$2:P317),COLUMNS(prem_analysis!$N$2:P317)),IF($Q$1=$P$4,INDEX(Table24[[#All],[Year]:[Details]],ROWS(prem_analysis!$M$420:O735),COLUMNS(Data!$Q$3:S318)))))),"")</f>
        <v/>
      </c>
      <c r="U317" s="1" t="str">
        <f>IFERROR(IF($Q$1=$P$3,INDEX(prem_analysis!$P$2:$Q$441,ROWS(Data!$P$2:T317),COLUMNS(Data!$P$3:S318)),IF($Q$1=$P$5,INDEX(prem_analysis!$BH$1:$BS$23,ROWS(Data!$Q$3:T318),COLUMNS(Data!$Q$3:T318)),IF($Q$1=$P$6,INDEX(prem_analysis!$BU$1:$CF$67,ROWS(prem_analysis!$N$2:Q317),COLUMNS(prem_analysis!$N$2:Q317)),IF($Q$1=$P$4,INDEX(Table24[[#All],[Year]:[Details]],ROWS(prem_analysis!$M$420:P735),COLUMNS(Data!$Q$3:T318)))))),"")</f>
        <v/>
      </c>
      <c r="V317" s="1" t="str">
        <f>IFERROR(IF($Q$1=$P$3,INDEX(prem_analysis!$P$2:$Q$441,ROWS(Data!$P$2:U317),COLUMNS(Data!$P$3:T318)),IF($Q$1=$P$5,INDEX(prem_analysis!$BH$1:$BS$23,ROWS(Data!$Q$3:U318),COLUMNS(Data!$Q$3:U318)),IF($Q$1=$P$6,INDEX(prem_analysis!$BU$1:$CF$67,ROWS(prem_analysis!$N$2:R317),COLUMNS(prem_analysis!$N$2:R317)),IF($Q$1=$P$4,INDEX(Table24[[#All],[Year]:[Details]],ROWS(prem_analysis!$M$420:Q735),COLUMNS(Data!$Q$3:U318)))))),"")</f>
        <v/>
      </c>
      <c r="W317" s="1" t="str">
        <f>IFERROR(IF($Q$1=$P$3,INDEX(prem_analysis!$P$2:$Q$441,ROWS(Data!$P$2:V317),COLUMNS(Data!$P$3:U318)),IF($Q$1=$P$5,INDEX(prem_analysis!$BH$1:$BS$23,ROWS(Data!$Q$3:V318),COLUMNS(Data!$Q$3:V318)),IF($Q$1=$P$6,INDEX(prem_analysis!$BU$1:$CF$67,ROWS(prem_analysis!$N$2:S317),COLUMNS(prem_analysis!$N$2:S317)),IF($Q$1=$P$4,INDEX(Table24[[#All],[Year]:[Details]],ROWS(prem_analysis!$M$420:R735),COLUMNS(Data!$Q$3:V318)))))),"")</f>
        <v/>
      </c>
      <c r="X317" s="1" t="str">
        <f>IFERROR(IF($Q$1=$P$3,INDEX(prem_analysis!$P$2:$Q$441,ROWS(Data!$P$2:W317),COLUMNS(Data!$P$3:V318)),IF($Q$1=$P$5,INDEX(prem_analysis!$BH$1:$BS$23,ROWS(Data!$Q$3:W318),COLUMNS(Data!$Q$3:W318)),IF($Q$1=$P$6,INDEX(prem_analysis!$BU$1:$CF$67,ROWS(prem_analysis!$N$2:T317),COLUMNS(prem_analysis!$N$2:T317)),IF($Q$1=$P$4,INDEX(Table24[[#All],[Year]:[Details]],ROWS(prem_analysis!$M$420:S735),COLUMNS(Data!$Q$3:W318)))))),"")</f>
        <v/>
      </c>
      <c r="Y317" s="1" t="str">
        <f>IFERROR(IF($Q$1=$P$3,INDEX(prem_analysis!$P$2:$Q$441,ROWS(Data!$P$2:X317),COLUMNS(Data!$P$3:W318)),IF($Q$1=$P$5,INDEX(prem_analysis!$BH$1:$BS$23,ROWS(Data!$Q$3:X318),COLUMNS(Data!$Q$3:X318)),IF($Q$1=$P$6,INDEX(prem_analysis!$BU$1:$CF$67,ROWS(prem_analysis!$N$2:U317),COLUMNS(prem_analysis!$N$2:U317)),IF($Q$1=$P$4,INDEX(Table24[[#All],[Year]:[Details]],ROWS(prem_analysis!$M$420:T735),COLUMNS(Data!$Q$3:X318)))))),"")</f>
        <v/>
      </c>
      <c r="Z317" s="1" t="str">
        <f>IFERROR(IF($Q$1=$P$3,INDEX(prem_analysis!$P$2:$Q$441,ROWS(Data!$P$2:Y317),COLUMNS(Data!$P$3:X318)),IF($Q$1=$P$5,INDEX(prem_analysis!$BH$1:$BS$23,ROWS(Data!$Q$3:Y318),COLUMNS(Data!$Q$3:Y318)),IF($Q$1=$P$6,INDEX(prem_analysis!$BU$1:$CF$67,ROWS(prem_analysis!$N$2:V317),COLUMNS(prem_analysis!$N$2:V317)),IF($Q$1=$P$4,INDEX(Table24[[#All],[Year]:[Details]],ROWS(prem_analysis!$M$420:U735),COLUMNS(Data!$Q$3:Y318)))))),"")</f>
        <v/>
      </c>
      <c r="AA317" s="1" t="str">
        <f>IFERROR(IF($Q$1=$P$3,INDEX(prem_analysis!$P$2:$Q$441,ROWS(Data!$P$2:Z317),COLUMNS(Data!$P$3:Y318)),IF($Q$1=$P$5,INDEX(prem_analysis!$BH$1:$BS$23,ROWS(Data!$Q$3:Z318),COLUMNS(Data!$Q$3:Z318)),IF($Q$1=$P$6,INDEX(prem_analysis!$BU$1:$CF$67,ROWS(prem_analysis!$N$2:W317),COLUMNS(prem_analysis!$N$2:W317)),IF($Q$1=$P$4,INDEX(Table24[[#All],[Year]:[Details]],ROWS(prem_analysis!$M$420:V735),COLUMNS(Data!$Q$3:Z318)))))),"")</f>
        <v/>
      </c>
      <c r="AB317" s="1" t="str">
        <f>IFERROR(IF($Q$1=$P$3,INDEX(prem_analysis!$P$2:$Q$441,ROWS(Data!$P$2:AA317),COLUMNS(Data!$P$3:Z318)),IF($Q$1=$P$5,INDEX(prem_analysis!$BH$1:$BS$23,ROWS(Data!$Q$3:AA318),COLUMNS(Data!$Q$3:AA318)),IF($Q$1=$P$6,INDEX(prem_analysis!$BU$1:$CF$67,ROWS(prem_analysis!$N$2:X317),COLUMNS(prem_analysis!$N$2:X317)),IF($Q$1=$P$4,INDEX(Table24[[#All],[Year]:[Details]],ROWS(prem_analysis!$M$420:W735),COLUMNS(Data!$Q$3:AA318)))))),"")</f>
        <v/>
      </c>
      <c r="AC317" s="1" t="str">
        <f>IFERROR(IF($Q$1=$P$3,INDEX(prem_analysis!$P$2:$Q$441,ROWS(Data!$P$2:AB317),COLUMNS(Data!$P$3:AA318)),IF($Q$1=$P$5,INDEX(prem_analysis!$BH$1:$BS$23,ROWS(Data!$Q$3:AB318),COLUMNS(Data!$Q$3:AB318)),IF($Q$1=$P$6,INDEX(prem_analysis!$BU$1:$CF$67,ROWS(prem_analysis!$N$2:Y317),COLUMNS(prem_analysis!$N$2:Y317)),IF($Q$1=$P$4,INDEX(Table24[[#All],[Year]:[Details]],ROWS(prem_analysis!$M$420:X735),COLUMNS(Data!$Q$3:AB318)))))),"")</f>
        <v/>
      </c>
    </row>
    <row r="318" spans="1:29" x14ac:dyDescent="0.2">
      <c r="A318" s="3">
        <v>2015</v>
      </c>
      <c r="B318" s="3">
        <v>17</v>
      </c>
      <c r="C318" s="4" t="s">
        <v>17</v>
      </c>
      <c r="D318" s="3">
        <v>38</v>
      </c>
      <c r="E318" s="3">
        <v>9</v>
      </c>
      <c r="F318" s="3">
        <v>12</v>
      </c>
      <c r="G318" s="3">
        <v>17</v>
      </c>
      <c r="H318" s="3">
        <v>48</v>
      </c>
      <c r="I318" s="3">
        <v>62</v>
      </c>
      <c r="J318" s="3">
        <v>-14</v>
      </c>
      <c r="K318" s="3">
        <v>39</v>
      </c>
      <c r="L318" s="5">
        <f>IF(Table24[[#This Row],['#]]=1,"Champion", IF(Table24[[#This Row],['#]]&gt;=18,"Relegated",Table24[[#This Row],['#]]))</f>
        <v>17</v>
      </c>
      <c r="M318" s="5">
        <f>IF(Table24[[#This Row],[Details]]=2,K317-Table24[[#This Row],[Pts]],IF(Table24[[#This Row],[Details]]=17,Table24[[#This Row],[Pts]]-K319,""))</f>
        <v>2</v>
      </c>
      <c r="R318" s="1" t="str">
        <f>IFERROR(IF($Q$1=$P$3,INDEX(prem_analysis!$P$2:$Q$441,ROWS(Data!$P$2:Q318),COLUMNS(Data!$P$3:P319)),IF($Q$1=$P$5,INDEX(prem_analysis!$BH$1:$BS$23,ROWS(Data!$Q$3:Q319),COLUMNS(Data!$Q$3:Q319)),IF($Q$1=$P$6,INDEX(prem_analysis!$BU$1:$CF$67,ROWS(prem_analysis!$N$2:N318),COLUMNS(prem_analysis!$N$2:N318)),IF($Q$1=$P$4,INDEX(Table24[[#All],[Year]:[Details]],ROWS(prem_analysis!$M$420:M736),COLUMNS(Data!$Q$3:Q319)))))),"")</f>
        <v/>
      </c>
      <c r="S318" s="1" t="str">
        <f>IFERROR(IF($Q$1=$P$3,INDEX(prem_analysis!$P$2:$Q$441,ROWS(Data!$P$2:R318),COLUMNS(Data!$P$3:Q319)),IF($Q$1=$P$5,INDEX(prem_analysis!$BH$1:$BS$23,ROWS(Data!$Q$3:R319),COLUMNS(Data!$Q$3:R319)),IF($Q$1=$P$6,INDEX(prem_analysis!$BU$1:$CF$67,ROWS(prem_analysis!$N$2:O318),COLUMNS(prem_analysis!$N$2:O318)),IF($Q$1=$P$4,INDEX(Table24[[#All],[Year]:[Details]],ROWS(prem_analysis!$M$420:N736),COLUMNS(Data!$Q$3:R319)))))),"")</f>
        <v/>
      </c>
      <c r="T318" s="1" t="str">
        <f>IFERROR(IF($Q$1=$P$3,INDEX(prem_analysis!$P$2:$Q$441,ROWS(Data!$P$2:S318),COLUMNS(Data!$P$3:R319)),IF($Q$1=$P$5,INDEX(prem_analysis!$BH$1:$BS$23,ROWS(Data!$Q$3:S319),COLUMNS(Data!$Q$3:S319)),IF($Q$1=$P$6,INDEX(prem_analysis!$BU$1:$CF$67,ROWS(prem_analysis!$N$2:P318),COLUMNS(prem_analysis!$N$2:P318)),IF($Q$1=$P$4,INDEX(Table24[[#All],[Year]:[Details]],ROWS(prem_analysis!$M$420:O736),COLUMNS(Data!$Q$3:S319)))))),"")</f>
        <v/>
      </c>
      <c r="U318" s="1" t="str">
        <f>IFERROR(IF($Q$1=$P$3,INDEX(prem_analysis!$P$2:$Q$441,ROWS(Data!$P$2:T318),COLUMNS(Data!$P$3:S319)),IF($Q$1=$P$5,INDEX(prem_analysis!$BH$1:$BS$23,ROWS(Data!$Q$3:T319),COLUMNS(Data!$Q$3:T319)),IF($Q$1=$P$6,INDEX(prem_analysis!$BU$1:$CF$67,ROWS(prem_analysis!$N$2:Q318),COLUMNS(prem_analysis!$N$2:Q318)),IF($Q$1=$P$4,INDEX(Table24[[#All],[Year]:[Details]],ROWS(prem_analysis!$M$420:P736),COLUMNS(Data!$Q$3:T319)))))),"")</f>
        <v/>
      </c>
      <c r="V318" s="1" t="str">
        <f>IFERROR(IF($Q$1=$P$3,INDEX(prem_analysis!$P$2:$Q$441,ROWS(Data!$P$2:U318),COLUMNS(Data!$P$3:T319)),IF($Q$1=$P$5,INDEX(prem_analysis!$BH$1:$BS$23,ROWS(Data!$Q$3:U319),COLUMNS(Data!$Q$3:U319)),IF($Q$1=$P$6,INDEX(prem_analysis!$BU$1:$CF$67,ROWS(prem_analysis!$N$2:R318),COLUMNS(prem_analysis!$N$2:R318)),IF($Q$1=$P$4,INDEX(Table24[[#All],[Year]:[Details]],ROWS(prem_analysis!$M$420:Q736),COLUMNS(Data!$Q$3:U319)))))),"")</f>
        <v/>
      </c>
      <c r="W318" s="1" t="str">
        <f>IFERROR(IF($Q$1=$P$3,INDEX(prem_analysis!$P$2:$Q$441,ROWS(Data!$P$2:V318),COLUMNS(Data!$P$3:U319)),IF($Q$1=$P$5,INDEX(prem_analysis!$BH$1:$BS$23,ROWS(Data!$Q$3:V319),COLUMNS(Data!$Q$3:V319)),IF($Q$1=$P$6,INDEX(prem_analysis!$BU$1:$CF$67,ROWS(prem_analysis!$N$2:S318),COLUMNS(prem_analysis!$N$2:S318)),IF($Q$1=$P$4,INDEX(Table24[[#All],[Year]:[Details]],ROWS(prem_analysis!$M$420:R736),COLUMNS(Data!$Q$3:V319)))))),"")</f>
        <v/>
      </c>
      <c r="X318" s="1" t="str">
        <f>IFERROR(IF($Q$1=$P$3,INDEX(prem_analysis!$P$2:$Q$441,ROWS(Data!$P$2:W318),COLUMNS(Data!$P$3:V319)),IF($Q$1=$P$5,INDEX(prem_analysis!$BH$1:$BS$23,ROWS(Data!$Q$3:W319),COLUMNS(Data!$Q$3:W319)),IF($Q$1=$P$6,INDEX(prem_analysis!$BU$1:$CF$67,ROWS(prem_analysis!$N$2:T318),COLUMNS(prem_analysis!$N$2:T318)),IF($Q$1=$P$4,INDEX(Table24[[#All],[Year]:[Details]],ROWS(prem_analysis!$M$420:S736),COLUMNS(Data!$Q$3:W319)))))),"")</f>
        <v/>
      </c>
      <c r="Y318" s="1" t="str">
        <f>IFERROR(IF($Q$1=$P$3,INDEX(prem_analysis!$P$2:$Q$441,ROWS(Data!$P$2:X318),COLUMNS(Data!$P$3:W319)),IF($Q$1=$P$5,INDEX(prem_analysis!$BH$1:$BS$23,ROWS(Data!$Q$3:X319),COLUMNS(Data!$Q$3:X319)),IF($Q$1=$P$6,INDEX(prem_analysis!$BU$1:$CF$67,ROWS(prem_analysis!$N$2:U318),COLUMNS(prem_analysis!$N$2:U318)),IF($Q$1=$P$4,INDEX(Table24[[#All],[Year]:[Details]],ROWS(prem_analysis!$M$420:T736),COLUMNS(Data!$Q$3:X319)))))),"")</f>
        <v/>
      </c>
      <c r="Z318" s="1" t="str">
        <f>IFERROR(IF($Q$1=$P$3,INDEX(prem_analysis!$P$2:$Q$441,ROWS(Data!$P$2:Y318),COLUMNS(Data!$P$3:X319)),IF($Q$1=$P$5,INDEX(prem_analysis!$BH$1:$BS$23,ROWS(Data!$Q$3:Y319),COLUMNS(Data!$Q$3:Y319)),IF($Q$1=$P$6,INDEX(prem_analysis!$BU$1:$CF$67,ROWS(prem_analysis!$N$2:V318),COLUMNS(prem_analysis!$N$2:V318)),IF($Q$1=$P$4,INDEX(Table24[[#All],[Year]:[Details]],ROWS(prem_analysis!$M$420:U736),COLUMNS(Data!$Q$3:Y319)))))),"")</f>
        <v/>
      </c>
      <c r="AA318" s="1" t="str">
        <f>IFERROR(IF($Q$1=$P$3,INDEX(prem_analysis!$P$2:$Q$441,ROWS(Data!$P$2:Z318),COLUMNS(Data!$P$3:Y319)),IF($Q$1=$P$5,INDEX(prem_analysis!$BH$1:$BS$23,ROWS(Data!$Q$3:Z319),COLUMNS(Data!$Q$3:Z319)),IF($Q$1=$P$6,INDEX(prem_analysis!$BU$1:$CF$67,ROWS(prem_analysis!$N$2:W318),COLUMNS(prem_analysis!$N$2:W318)),IF($Q$1=$P$4,INDEX(Table24[[#All],[Year]:[Details]],ROWS(prem_analysis!$M$420:V736),COLUMNS(Data!$Q$3:Z319)))))),"")</f>
        <v/>
      </c>
      <c r="AB318" s="1" t="str">
        <f>IFERROR(IF($Q$1=$P$3,INDEX(prem_analysis!$P$2:$Q$441,ROWS(Data!$P$2:AA318),COLUMNS(Data!$P$3:Z319)),IF($Q$1=$P$5,INDEX(prem_analysis!$BH$1:$BS$23,ROWS(Data!$Q$3:AA319),COLUMNS(Data!$Q$3:AA319)),IF($Q$1=$P$6,INDEX(prem_analysis!$BU$1:$CF$67,ROWS(prem_analysis!$N$2:X318),COLUMNS(prem_analysis!$N$2:X318)),IF($Q$1=$P$4,INDEX(Table24[[#All],[Year]:[Details]],ROWS(prem_analysis!$M$420:W736),COLUMNS(Data!$Q$3:AA319)))))),"")</f>
        <v/>
      </c>
      <c r="AC318" s="1" t="str">
        <f>IFERROR(IF($Q$1=$P$3,INDEX(prem_analysis!$P$2:$Q$441,ROWS(Data!$P$2:AB318),COLUMNS(Data!$P$3:AA319)),IF($Q$1=$P$5,INDEX(prem_analysis!$BH$1:$BS$23,ROWS(Data!$Q$3:AB319),COLUMNS(Data!$Q$3:AB319)),IF($Q$1=$P$6,INDEX(prem_analysis!$BU$1:$CF$67,ROWS(prem_analysis!$N$2:Y318),COLUMNS(prem_analysis!$N$2:Y318)),IF($Q$1=$P$4,INDEX(Table24[[#All],[Year]:[Details]],ROWS(prem_analysis!$M$420:X736),COLUMNS(Data!$Q$3:AB319)))))),"")</f>
        <v/>
      </c>
    </row>
    <row r="319" spans="1:29" x14ac:dyDescent="0.2">
      <c r="A319" s="5">
        <v>2015</v>
      </c>
      <c r="B319" s="5">
        <v>18</v>
      </c>
      <c r="C319" s="6" t="s">
        <v>21</v>
      </c>
      <c r="D319" s="5">
        <v>38</v>
      </c>
      <c r="E319" s="5">
        <v>9</v>
      </c>
      <c r="F319" s="5">
        <v>10</v>
      </c>
      <c r="G319" s="5">
        <v>19</v>
      </c>
      <c r="H319" s="5">
        <v>44</v>
      </c>
      <c r="I319" s="5">
        <v>65</v>
      </c>
      <c r="J319" s="5">
        <v>-21</v>
      </c>
      <c r="K319" s="5">
        <v>37</v>
      </c>
      <c r="L319" s="5" t="str">
        <f>IF(Table24[[#This Row],['#]]=1,"Champion", IF(Table24[[#This Row],['#]]&gt;=18,"Relegated",Table24[[#This Row],['#]]))</f>
        <v>Relegated</v>
      </c>
      <c r="M319" s="5" t="str">
        <f>IF(Table24[[#This Row],[Details]]=2,K318-Table24[[#This Row],[Pts]],IF(Table24[[#This Row],[Details]]=17,Table24[[#This Row],[Pts]]-K320,""))</f>
        <v/>
      </c>
      <c r="R319" s="1" t="str">
        <f>IFERROR(IF($Q$1=$P$3,INDEX(prem_analysis!$P$2:$Q$441,ROWS(Data!$P$2:Q319),COLUMNS(Data!$P$3:P320)),IF($Q$1=$P$5,INDEX(prem_analysis!$BH$1:$BS$23,ROWS(Data!$Q$3:Q320),COLUMNS(Data!$Q$3:Q320)),IF($Q$1=$P$6,INDEX(prem_analysis!$BU$1:$CF$67,ROWS(prem_analysis!$N$2:N319),COLUMNS(prem_analysis!$N$2:N319)),IF($Q$1=$P$4,INDEX(Table24[[#All],[Year]:[Details]],ROWS(prem_analysis!$M$420:M737),COLUMNS(Data!$Q$3:Q320)))))),"")</f>
        <v/>
      </c>
      <c r="S319" s="1" t="str">
        <f>IFERROR(IF($Q$1=$P$3,INDEX(prem_analysis!$P$2:$Q$441,ROWS(Data!$P$2:R319),COLUMNS(Data!$P$3:Q320)),IF($Q$1=$P$5,INDEX(prem_analysis!$BH$1:$BS$23,ROWS(Data!$Q$3:R320),COLUMNS(Data!$Q$3:R320)),IF($Q$1=$P$6,INDEX(prem_analysis!$BU$1:$CF$67,ROWS(prem_analysis!$N$2:O319),COLUMNS(prem_analysis!$N$2:O319)),IF($Q$1=$P$4,INDEX(Table24[[#All],[Year]:[Details]],ROWS(prem_analysis!$M$420:N737),COLUMNS(Data!$Q$3:R320)))))),"")</f>
        <v/>
      </c>
      <c r="T319" s="1" t="str">
        <f>IFERROR(IF($Q$1=$P$3,INDEX(prem_analysis!$P$2:$Q$441,ROWS(Data!$P$2:S319),COLUMNS(Data!$P$3:R320)),IF($Q$1=$P$5,INDEX(prem_analysis!$BH$1:$BS$23,ROWS(Data!$Q$3:S320),COLUMNS(Data!$Q$3:S320)),IF($Q$1=$P$6,INDEX(prem_analysis!$BU$1:$CF$67,ROWS(prem_analysis!$N$2:P319),COLUMNS(prem_analysis!$N$2:P319)),IF($Q$1=$P$4,INDEX(Table24[[#All],[Year]:[Details]],ROWS(prem_analysis!$M$420:O737),COLUMNS(Data!$Q$3:S320)))))),"")</f>
        <v/>
      </c>
      <c r="U319" s="1" t="str">
        <f>IFERROR(IF($Q$1=$P$3,INDEX(prem_analysis!$P$2:$Q$441,ROWS(Data!$P$2:T319),COLUMNS(Data!$P$3:S320)),IF($Q$1=$P$5,INDEX(prem_analysis!$BH$1:$BS$23,ROWS(Data!$Q$3:T320),COLUMNS(Data!$Q$3:T320)),IF($Q$1=$P$6,INDEX(prem_analysis!$BU$1:$CF$67,ROWS(prem_analysis!$N$2:Q319),COLUMNS(prem_analysis!$N$2:Q319)),IF($Q$1=$P$4,INDEX(Table24[[#All],[Year]:[Details]],ROWS(prem_analysis!$M$420:P737),COLUMNS(Data!$Q$3:T320)))))),"")</f>
        <v/>
      </c>
      <c r="V319" s="1" t="str">
        <f>IFERROR(IF($Q$1=$P$3,INDEX(prem_analysis!$P$2:$Q$441,ROWS(Data!$P$2:U319),COLUMNS(Data!$P$3:T320)),IF($Q$1=$P$5,INDEX(prem_analysis!$BH$1:$BS$23,ROWS(Data!$Q$3:U320),COLUMNS(Data!$Q$3:U320)),IF($Q$1=$P$6,INDEX(prem_analysis!$BU$1:$CF$67,ROWS(prem_analysis!$N$2:R319),COLUMNS(prem_analysis!$N$2:R319)),IF($Q$1=$P$4,INDEX(Table24[[#All],[Year]:[Details]],ROWS(prem_analysis!$M$420:Q737),COLUMNS(Data!$Q$3:U320)))))),"")</f>
        <v/>
      </c>
      <c r="W319" s="1" t="str">
        <f>IFERROR(IF($Q$1=$P$3,INDEX(prem_analysis!$P$2:$Q$441,ROWS(Data!$P$2:V319),COLUMNS(Data!$P$3:U320)),IF($Q$1=$P$5,INDEX(prem_analysis!$BH$1:$BS$23,ROWS(Data!$Q$3:V320),COLUMNS(Data!$Q$3:V320)),IF($Q$1=$P$6,INDEX(prem_analysis!$BU$1:$CF$67,ROWS(prem_analysis!$N$2:S319),COLUMNS(prem_analysis!$N$2:S319)),IF($Q$1=$P$4,INDEX(Table24[[#All],[Year]:[Details]],ROWS(prem_analysis!$M$420:R737),COLUMNS(Data!$Q$3:V320)))))),"")</f>
        <v/>
      </c>
      <c r="X319" s="1" t="str">
        <f>IFERROR(IF($Q$1=$P$3,INDEX(prem_analysis!$P$2:$Q$441,ROWS(Data!$P$2:W319),COLUMNS(Data!$P$3:V320)),IF($Q$1=$P$5,INDEX(prem_analysis!$BH$1:$BS$23,ROWS(Data!$Q$3:W320),COLUMNS(Data!$Q$3:W320)),IF($Q$1=$P$6,INDEX(prem_analysis!$BU$1:$CF$67,ROWS(prem_analysis!$N$2:T319),COLUMNS(prem_analysis!$N$2:T319)),IF($Q$1=$P$4,INDEX(Table24[[#All],[Year]:[Details]],ROWS(prem_analysis!$M$420:S737),COLUMNS(Data!$Q$3:W320)))))),"")</f>
        <v/>
      </c>
      <c r="Y319" s="1" t="str">
        <f>IFERROR(IF($Q$1=$P$3,INDEX(prem_analysis!$P$2:$Q$441,ROWS(Data!$P$2:X319),COLUMNS(Data!$P$3:W320)),IF($Q$1=$P$5,INDEX(prem_analysis!$BH$1:$BS$23,ROWS(Data!$Q$3:X320),COLUMNS(Data!$Q$3:X320)),IF($Q$1=$P$6,INDEX(prem_analysis!$BU$1:$CF$67,ROWS(prem_analysis!$N$2:U319),COLUMNS(prem_analysis!$N$2:U319)),IF($Q$1=$P$4,INDEX(Table24[[#All],[Year]:[Details]],ROWS(prem_analysis!$M$420:T737),COLUMNS(Data!$Q$3:X320)))))),"")</f>
        <v/>
      </c>
      <c r="Z319" s="1" t="str">
        <f>IFERROR(IF($Q$1=$P$3,INDEX(prem_analysis!$P$2:$Q$441,ROWS(Data!$P$2:Y319),COLUMNS(Data!$P$3:X320)),IF($Q$1=$P$5,INDEX(prem_analysis!$BH$1:$BS$23,ROWS(Data!$Q$3:Y320),COLUMNS(Data!$Q$3:Y320)),IF($Q$1=$P$6,INDEX(prem_analysis!$BU$1:$CF$67,ROWS(prem_analysis!$N$2:V319),COLUMNS(prem_analysis!$N$2:V319)),IF($Q$1=$P$4,INDEX(Table24[[#All],[Year]:[Details]],ROWS(prem_analysis!$M$420:U737),COLUMNS(Data!$Q$3:Y320)))))),"")</f>
        <v/>
      </c>
      <c r="AA319" s="1" t="str">
        <f>IFERROR(IF($Q$1=$P$3,INDEX(prem_analysis!$P$2:$Q$441,ROWS(Data!$P$2:Z319),COLUMNS(Data!$P$3:Y320)),IF($Q$1=$P$5,INDEX(prem_analysis!$BH$1:$BS$23,ROWS(Data!$Q$3:Z320),COLUMNS(Data!$Q$3:Z320)),IF($Q$1=$P$6,INDEX(prem_analysis!$BU$1:$CF$67,ROWS(prem_analysis!$N$2:W319),COLUMNS(prem_analysis!$N$2:W319)),IF($Q$1=$P$4,INDEX(Table24[[#All],[Year]:[Details]],ROWS(prem_analysis!$M$420:V737),COLUMNS(Data!$Q$3:Z320)))))),"")</f>
        <v/>
      </c>
      <c r="AB319" s="1" t="str">
        <f>IFERROR(IF($Q$1=$P$3,INDEX(prem_analysis!$P$2:$Q$441,ROWS(Data!$P$2:AA319),COLUMNS(Data!$P$3:Z320)),IF($Q$1=$P$5,INDEX(prem_analysis!$BH$1:$BS$23,ROWS(Data!$Q$3:AA320),COLUMNS(Data!$Q$3:AA320)),IF($Q$1=$P$6,INDEX(prem_analysis!$BU$1:$CF$67,ROWS(prem_analysis!$N$2:X319),COLUMNS(prem_analysis!$N$2:X319)),IF($Q$1=$P$4,INDEX(Table24[[#All],[Year]:[Details]],ROWS(prem_analysis!$M$420:W737),COLUMNS(Data!$Q$3:AA320)))))),"")</f>
        <v/>
      </c>
      <c r="AC319" s="1" t="str">
        <f>IFERROR(IF($Q$1=$P$3,INDEX(prem_analysis!$P$2:$Q$441,ROWS(Data!$P$2:AB319),COLUMNS(Data!$P$3:AA320)),IF($Q$1=$P$5,INDEX(prem_analysis!$BH$1:$BS$23,ROWS(Data!$Q$3:AB320),COLUMNS(Data!$Q$3:AB320)),IF($Q$1=$P$6,INDEX(prem_analysis!$BU$1:$CF$67,ROWS(prem_analysis!$N$2:Y319),COLUMNS(prem_analysis!$N$2:Y319)),IF($Q$1=$P$4,INDEX(Table24[[#All],[Year]:[Details]],ROWS(prem_analysis!$M$420:X737),COLUMNS(Data!$Q$3:AB320)))))),"")</f>
        <v/>
      </c>
    </row>
    <row r="320" spans="1:29" x14ac:dyDescent="0.2">
      <c r="A320" s="3">
        <v>2015</v>
      </c>
      <c r="B320" s="3">
        <v>19</v>
      </c>
      <c r="C320" s="4" t="s">
        <v>39</v>
      </c>
      <c r="D320" s="3">
        <v>38</v>
      </c>
      <c r="E320" s="3">
        <v>9</v>
      </c>
      <c r="F320" s="3">
        <v>7</v>
      </c>
      <c r="G320" s="3">
        <v>22</v>
      </c>
      <c r="H320" s="3">
        <v>39</v>
      </c>
      <c r="I320" s="3">
        <v>67</v>
      </c>
      <c r="J320" s="3">
        <v>-28</v>
      </c>
      <c r="K320" s="3">
        <v>34</v>
      </c>
      <c r="L320" s="5" t="str">
        <f>IF(Table24[[#This Row],['#]]=1,"Champion", IF(Table24[[#This Row],['#]]&gt;=18,"Relegated",Table24[[#This Row],['#]]))</f>
        <v>Relegated</v>
      </c>
      <c r="M320" s="5" t="str">
        <f>IF(Table24[[#This Row],[Details]]=2,K319-Table24[[#This Row],[Pts]],IF(Table24[[#This Row],[Details]]=17,Table24[[#This Row],[Pts]]-K321,""))</f>
        <v/>
      </c>
      <c r="R320" s="1" t="str">
        <f>IFERROR(IF($Q$1=$P$3,INDEX(prem_analysis!$P$2:$Q$441,ROWS(Data!$P$2:Q320),COLUMNS(Data!$P$3:P321)),IF($Q$1=$P$5,INDEX(prem_analysis!$BH$1:$BS$23,ROWS(Data!$Q$3:Q321),COLUMNS(Data!$Q$3:Q321)),IF($Q$1=$P$6,INDEX(prem_analysis!$BU$1:$CF$67,ROWS(prem_analysis!$N$2:N320),COLUMNS(prem_analysis!$N$2:N320)),IF($Q$1=$P$4,INDEX(Table24[[#All],[Year]:[Details]],ROWS(prem_analysis!$M$420:M738),COLUMNS(Data!$Q$3:Q321)))))),"")</f>
        <v/>
      </c>
      <c r="S320" s="1" t="str">
        <f>IFERROR(IF($Q$1=$P$3,INDEX(prem_analysis!$P$2:$Q$441,ROWS(Data!$P$2:R320),COLUMNS(Data!$P$3:Q321)),IF($Q$1=$P$5,INDEX(prem_analysis!$BH$1:$BS$23,ROWS(Data!$Q$3:R321),COLUMNS(Data!$Q$3:R321)),IF($Q$1=$P$6,INDEX(prem_analysis!$BU$1:$CF$67,ROWS(prem_analysis!$N$2:O320),COLUMNS(prem_analysis!$N$2:O320)),IF($Q$1=$P$4,INDEX(Table24[[#All],[Year]:[Details]],ROWS(prem_analysis!$M$420:N738),COLUMNS(Data!$Q$3:R321)))))),"")</f>
        <v/>
      </c>
      <c r="T320" s="1" t="str">
        <f>IFERROR(IF($Q$1=$P$3,INDEX(prem_analysis!$P$2:$Q$441,ROWS(Data!$P$2:S320),COLUMNS(Data!$P$3:R321)),IF($Q$1=$P$5,INDEX(prem_analysis!$BH$1:$BS$23,ROWS(Data!$Q$3:S321),COLUMNS(Data!$Q$3:S321)),IF($Q$1=$P$6,INDEX(prem_analysis!$BU$1:$CF$67,ROWS(prem_analysis!$N$2:P320),COLUMNS(prem_analysis!$N$2:P320)),IF($Q$1=$P$4,INDEX(Table24[[#All],[Year]:[Details]],ROWS(prem_analysis!$M$420:O738),COLUMNS(Data!$Q$3:S321)))))),"")</f>
        <v/>
      </c>
      <c r="U320" s="1" t="str">
        <f>IFERROR(IF($Q$1=$P$3,INDEX(prem_analysis!$P$2:$Q$441,ROWS(Data!$P$2:T320),COLUMNS(Data!$P$3:S321)),IF($Q$1=$P$5,INDEX(prem_analysis!$BH$1:$BS$23,ROWS(Data!$Q$3:T321),COLUMNS(Data!$Q$3:T321)),IF($Q$1=$P$6,INDEX(prem_analysis!$BU$1:$CF$67,ROWS(prem_analysis!$N$2:Q320),COLUMNS(prem_analysis!$N$2:Q320)),IF($Q$1=$P$4,INDEX(Table24[[#All],[Year]:[Details]],ROWS(prem_analysis!$M$420:P738),COLUMNS(Data!$Q$3:T321)))))),"")</f>
        <v/>
      </c>
      <c r="V320" s="1" t="str">
        <f>IFERROR(IF($Q$1=$P$3,INDEX(prem_analysis!$P$2:$Q$441,ROWS(Data!$P$2:U320),COLUMNS(Data!$P$3:T321)),IF($Q$1=$P$5,INDEX(prem_analysis!$BH$1:$BS$23,ROWS(Data!$Q$3:U321),COLUMNS(Data!$Q$3:U321)),IF($Q$1=$P$6,INDEX(prem_analysis!$BU$1:$CF$67,ROWS(prem_analysis!$N$2:R320),COLUMNS(prem_analysis!$N$2:R320)),IF($Q$1=$P$4,INDEX(Table24[[#All],[Year]:[Details]],ROWS(prem_analysis!$M$420:Q738),COLUMNS(Data!$Q$3:U321)))))),"")</f>
        <v/>
      </c>
      <c r="W320" s="1" t="str">
        <f>IFERROR(IF($Q$1=$P$3,INDEX(prem_analysis!$P$2:$Q$441,ROWS(Data!$P$2:V320),COLUMNS(Data!$P$3:U321)),IF($Q$1=$P$5,INDEX(prem_analysis!$BH$1:$BS$23,ROWS(Data!$Q$3:V321),COLUMNS(Data!$Q$3:V321)),IF($Q$1=$P$6,INDEX(prem_analysis!$BU$1:$CF$67,ROWS(prem_analysis!$N$2:S320),COLUMNS(prem_analysis!$N$2:S320)),IF($Q$1=$P$4,INDEX(Table24[[#All],[Year]:[Details]],ROWS(prem_analysis!$M$420:R738),COLUMNS(Data!$Q$3:V321)))))),"")</f>
        <v/>
      </c>
      <c r="X320" s="1" t="str">
        <f>IFERROR(IF($Q$1=$P$3,INDEX(prem_analysis!$P$2:$Q$441,ROWS(Data!$P$2:W320),COLUMNS(Data!$P$3:V321)),IF($Q$1=$P$5,INDEX(prem_analysis!$BH$1:$BS$23,ROWS(Data!$Q$3:W321),COLUMNS(Data!$Q$3:W321)),IF($Q$1=$P$6,INDEX(prem_analysis!$BU$1:$CF$67,ROWS(prem_analysis!$N$2:T320),COLUMNS(prem_analysis!$N$2:T320)),IF($Q$1=$P$4,INDEX(Table24[[#All],[Year]:[Details]],ROWS(prem_analysis!$M$420:S738),COLUMNS(Data!$Q$3:W321)))))),"")</f>
        <v/>
      </c>
      <c r="Y320" s="1" t="str">
        <f>IFERROR(IF($Q$1=$P$3,INDEX(prem_analysis!$P$2:$Q$441,ROWS(Data!$P$2:X320),COLUMNS(Data!$P$3:W321)),IF($Q$1=$P$5,INDEX(prem_analysis!$BH$1:$BS$23,ROWS(Data!$Q$3:X321),COLUMNS(Data!$Q$3:X321)),IF($Q$1=$P$6,INDEX(prem_analysis!$BU$1:$CF$67,ROWS(prem_analysis!$N$2:U320),COLUMNS(prem_analysis!$N$2:U320)),IF($Q$1=$P$4,INDEX(Table24[[#All],[Year]:[Details]],ROWS(prem_analysis!$M$420:T738),COLUMNS(Data!$Q$3:X321)))))),"")</f>
        <v/>
      </c>
      <c r="Z320" s="1" t="str">
        <f>IFERROR(IF($Q$1=$P$3,INDEX(prem_analysis!$P$2:$Q$441,ROWS(Data!$P$2:Y320),COLUMNS(Data!$P$3:X321)),IF($Q$1=$P$5,INDEX(prem_analysis!$BH$1:$BS$23,ROWS(Data!$Q$3:Y321),COLUMNS(Data!$Q$3:Y321)),IF($Q$1=$P$6,INDEX(prem_analysis!$BU$1:$CF$67,ROWS(prem_analysis!$N$2:V320),COLUMNS(prem_analysis!$N$2:V320)),IF($Q$1=$P$4,INDEX(Table24[[#All],[Year]:[Details]],ROWS(prem_analysis!$M$420:U738),COLUMNS(Data!$Q$3:Y321)))))),"")</f>
        <v/>
      </c>
      <c r="AA320" s="1" t="str">
        <f>IFERROR(IF($Q$1=$P$3,INDEX(prem_analysis!$P$2:$Q$441,ROWS(Data!$P$2:Z320),COLUMNS(Data!$P$3:Y321)),IF($Q$1=$P$5,INDEX(prem_analysis!$BH$1:$BS$23,ROWS(Data!$Q$3:Z321),COLUMNS(Data!$Q$3:Z321)),IF($Q$1=$P$6,INDEX(prem_analysis!$BU$1:$CF$67,ROWS(prem_analysis!$N$2:W320),COLUMNS(prem_analysis!$N$2:W320)),IF($Q$1=$P$4,INDEX(Table24[[#All],[Year]:[Details]],ROWS(prem_analysis!$M$420:V738),COLUMNS(Data!$Q$3:Z321)))))),"")</f>
        <v/>
      </c>
      <c r="AB320" s="1" t="str">
        <f>IFERROR(IF($Q$1=$P$3,INDEX(prem_analysis!$P$2:$Q$441,ROWS(Data!$P$2:AA320),COLUMNS(Data!$P$3:Z321)),IF($Q$1=$P$5,INDEX(prem_analysis!$BH$1:$BS$23,ROWS(Data!$Q$3:AA321),COLUMNS(Data!$Q$3:AA321)),IF($Q$1=$P$6,INDEX(prem_analysis!$BU$1:$CF$67,ROWS(prem_analysis!$N$2:X320),COLUMNS(prem_analysis!$N$2:X320)),IF($Q$1=$P$4,INDEX(Table24[[#All],[Year]:[Details]],ROWS(prem_analysis!$M$420:W738),COLUMNS(Data!$Q$3:AA321)))))),"")</f>
        <v/>
      </c>
      <c r="AC320" s="1" t="str">
        <f>IFERROR(IF($Q$1=$P$3,INDEX(prem_analysis!$P$2:$Q$441,ROWS(Data!$P$2:AB320),COLUMNS(Data!$P$3:AA321)),IF($Q$1=$P$5,INDEX(prem_analysis!$BH$1:$BS$23,ROWS(Data!$Q$3:AB321),COLUMNS(Data!$Q$3:AB321)),IF($Q$1=$P$6,INDEX(prem_analysis!$BU$1:$CF$67,ROWS(prem_analysis!$N$2:Y320),COLUMNS(prem_analysis!$N$2:Y320)),IF($Q$1=$P$4,INDEX(Table24[[#All],[Year]:[Details]],ROWS(prem_analysis!$M$420:X738),COLUMNS(Data!$Q$3:AB321)))))),"")</f>
        <v/>
      </c>
    </row>
    <row r="321" spans="1:29" x14ac:dyDescent="0.2">
      <c r="A321" s="5">
        <v>2015</v>
      </c>
      <c r="B321" s="5">
        <v>20</v>
      </c>
      <c r="C321" s="6" t="s">
        <v>18</v>
      </c>
      <c r="D321" s="5">
        <v>38</v>
      </c>
      <c r="E321" s="5">
        <v>3</v>
      </c>
      <c r="F321" s="5">
        <v>8</v>
      </c>
      <c r="G321" s="5">
        <v>27</v>
      </c>
      <c r="H321" s="5">
        <v>27</v>
      </c>
      <c r="I321" s="5">
        <v>76</v>
      </c>
      <c r="J321" s="5">
        <v>-49</v>
      </c>
      <c r="K321" s="5">
        <v>17</v>
      </c>
      <c r="L321" s="5" t="str">
        <f>IF(Table24[[#This Row],['#]]=1,"Champion", IF(Table24[[#This Row],['#]]&gt;=18,"Relegated",Table24[[#This Row],['#]]))</f>
        <v>Relegated</v>
      </c>
      <c r="M321" s="5" t="str">
        <f>IF(Table24[[#This Row],[Details]]=2,K320-Table24[[#This Row],[Pts]],IF(Table24[[#This Row],[Details]]=17,Table24[[#This Row],[Pts]]-K322,""))</f>
        <v/>
      </c>
      <c r="R321" s="1" t="str">
        <f>IFERROR(IF($Q$1=$P$3,INDEX(prem_analysis!$P$2:$Q$441,ROWS(Data!$P$2:Q321),COLUMNS(Data!$P$3:P322)),IF($Q$1=$P$5,INDEX(prem_analysis!$BH$1:$BS$23,ROWS(Data!$Q$3:Q322),COLUMNS(Data!$Q$3:Q322)),IF($Q$1=$P$6,INDEX(prem_analysis!$BU$1:$CF$67,ROWS(prem_analysis!$N$2:N321),COLUMNS(prem_analysis!$N$2:N321)),IF($Q$1=$P$4,INDEX(Table24[[#All],[Year]:[Details]],ROWS(prem_analysis!$M$420:M739),COLUMNS(Data!$Q$3:Q322)))))),"")</f>
        <v/>
      </c>
      <c r="S321" s="1" t="str">
        <f>IFERROR(IF($Q$1=$P$3,INDEX(prem_analysis!$P$2:$Q$441,ROWS(Data!$P$2:R321),COLUMNS(Data!$P$3:Q322)),IF($Q$1=$P$5,INDEX(prem_analysis!$BH$1:$BS$23,ROWS(Data!$Q$3:R322),COLUMNS(Data!$Q$3:R322)),IF($Q$1=$P$6,INDEX(prem_analysis!$BU$1:$CF$67,ROWS(prem_analysis!$N$2:O321),COLUMNS(prem_analysis!$N$2:O321)),IF($Q$1=$P$4,INDEX(Table24[[#All],[Year]:[Details]],ROWS(prem_analysis!$M$420:N739),COLUMNS(Data!$Q$3:R322)))))),"")</f>
        <v/>
      </c>
      <c r="T321" s="1" t="str">
        <f>IFERROR(IF($Q$1=$P$3,INDEX(prem_analysis!$P$2:$Q$441,ROWS(Data!$P$2:S321),COLUMNS(Data!$P$3:R322)),IF($Q$1=$P$5,INDEX(prem_analysis!$BH$1:$BS$23,ROWS(Data!$Q$3:S322),COLUMNS(Data!$Q$3:S322)),IF($Q$1=$P$6,INDEX(prem_analysis!$BU$1:$CF$67,ROWS(prem_analysis!$N$2:P321),COLUMNS(prem_analysis!$N$2:P321)),IF($Q$1=$P$4,INDEX(Table24[[#All],[Year]:[Details]],ROWS(prem_analysis!$M$420:O739),COLUMNS(Data!$Q$3:S322)))))),"")</f>
        <v/>
      </c>
      <c r="U321" s="1" t="str">
        <f>IFERROR(IF($Q$1=$P$3,INDEX(prem_analysis!$P$2:$Q$441,ROWS(Data!$P$2:T321),COLUMNS(Data!$P$3:S322)),IF($Q$1=$P$5,INDEX(prem_analysis!$BH$1:$BS$23,ROWS(Data!$Q$3:T322),COLUMNS(Data!$Q$3:T322)),IF($Q$1=$P$6,INDEX(prem_analysis!$BU$1:$CF$67,ROWS(prem_analysis!$N$2:Q321),COLUMNS(prem_analysis!$N$2:Q321)),IF($Q$1=$P$4,INDEX(Table24[[#All],[Year]:[Details]],ROWS(prem_analysis!$M$420:P739),COLUMNS(Data!$Q$3:T322)))))),"")</f>
        <v/>
      </c>
      <c r="V321" s="1" t="str">
        <f>IFERROR(IF($Q$1=$P$3,INDEX(prem_analysis!$P$2:$Q$441,ROWS(Data!$P$2:U321),COLUMNS(Data!$P$3:T322)),IF($Q$1=$P$5,INDEX(prem_analysis!$BH$1:$BS$23,ROWS(Data!$Q$3:U322),COLUMNS(Data!$Q$3:U322)),IF($Q$1=$P$6,INDEX(prem_analysis!$BU$1:$CF$67,ROWS(prem_analysis!$N$2:R321),COLUMNS(prem_analysis!$N$2:R321)),IF($Q$1=$P$4,INDEX(Table24[[#All],[Year]:[Details]],ROWS(prem_analysis!$M$420:Q739),COLUMNS(Data!$Q$3:U322)))))),"")</f>
        <v/>
      </c>
      <c r="W321" s="1" t="str">
        <f>IFERROR(IF($Q$1=$P$3,INDEX(prem_analysis!$P$2:$Q$441,ROWS(Data!$P$2:V321),COLUMNS(Data!$P$3:U322)),IF($Q$1=$P$5,INDEX(prem_analysis!$BH$1:$BS$23,ROWS(Data!$Q$3:V322),COLUMNS(Data!$Q$3:V322)),IF($Q$1=$P$6,INDEX(prem_analysis!$BU$1:$CF$67,ROWS(prem_analysis!$N$2:S321),COLUMNS(prem_analysis!$N$2:S321)),IF($Q$1=$P$4,INDEX(Table24[[#All],[Year]:[Details]],ROWS(prem_analysis!$M$420:R739),COLUMNS(Data!$Q$3:V322)))))),"")</f>
        <v/>
      </c>
      <c r="X321" s="1" t="str">
        <f>IFERROR(IF($Q$1=$P$3,INDEX(prem_analysis!$P$2:$Q$441,ROWS(Data!$P$2:W321),COLUMNS(Data!$P$3:V322)),IF($Q$1=$P$5,INDEX(prem_analysis!$BH$1:$BS$23,ROWS(Data!$Q$3:W322),COLUMNS(Data!$Q$3:W322)),IF($Q$1=$P$6,INDEX(prem_analysis!$BU$1:$CF$67,ROWS(prem_analysis!$N$2:T321),COLUMNS(prem_analysis!$N$2:T321)),IF($Q$1=$P$4,INDEX(Table24[[#All],[Year]:[Details]],ROWS(prem_analysis!$M$420:S739),COLUMNS(Data!$Q$3:W322)))))),"")</f>
        <v/>
      </c>
      <c r="Y321" s="1" t="str">
        <f>IFERROR(IF($Q$1=$P$3,INDEX(prem_analysis!$P$2:$Q$441,ROWS(Data!$P$2:X321),COLUMNS(Data!$P$3:W322)),IF($Q$1=$P$5,INDEX(prem_analysis!$BH$1:$BS$23,ROWS(Data!$Q$3:X322),COLUMNS(Data!$Q$3:X322)),IF($Q$1=$P$6,INDEX(prem_analysis!$BU$1:$CF$67,ROWS(prem_analysis!$N$2:U321),COLUMNS(prem_analysis!$N$2:U321)),IF($Q$1=$P$4,INDEX(Table24[[#All],[Year]:[Details]],ROWS(prem_analysis!$M$420:T739),COLUMNS(Data!$Q$3:X322)))))),"")</f>
        <v/>
      </c>
      <c r="Z321" s="1" t="str">
        <f>IFERROR(IF($Q$1=$P$3,INDEX(prem_analysis!$P$2:$Q$441,ROWS(Data!$P$2:Y321),COLUMNS(Data!$P$3:X322)),IF($Q$1=$P$5,INDEX(prem_analysis!$BH$1:$BS$23,ROWS(Data!$Q$3:Y322),COLUMNS(Data!$Q$3:Y322)),IF($Q$1=$P$6,INDEX(prem_analysis!$BU$1:$CF$67,ROWS(prem_analysis!$N$2:V321),COLUMNS(prem_analysis!$N$2:V321)),IF($Q$1=$P$4,INDEX(Table24[[#All],[Year]:[Details]],ROWS(prem_analysis!$M$420:U739),COLUMNS(Data!$Q$3:Y322)))))),"")</f>
        <v/>
      </c>
      <c r="AA321" s="1" t="str">
        <f>IFERROR(IF($Q$1=$P$3,INDEX(prem_analysis!$P$2:$Q$441,ROWS(Data!$P$2:Z321),COLUMNS(Data!$P$3:Y322)),IF($Q$1=$P$5,INDEX(prem_analysis!$BH$1:$BS$23,ROWS(Data!$Q$3:Z322),COLUMNS(Data!$Q$3:Z322)),IF($Q$1=$P$6,INDEX(prem_analysis!$BU$1:$CF$67,ROWS(prem_analysis!$N$2:W321),COLUMNS(prem_analysis!$N$2:W321)),IF($Q$1=$P$4,INDEX(Table24[[#All],[Year]:[Details]],ROWS(prem_analysis!$M$420:V739),COLUMNS(Data!$Q$3:Z322)))))),"")</f>
        <v/>
      </c>
      <c r="AB321" s="1" t="str">
        <f>IFERROR(IF($Q$1=$P$3,INDEX(prem_analysis!$P$2:$Q$441,ROWS(Data!$P$2:AA321),COLUMNS(Data!$P$3:Z322)),IF($Q$1=$P$5,INDEX(prem_analysis!$BH$1:$BS$23,ROWS(Data!$Q$3:AA322),COLUMNS(Data!$Q$3:AA322)),IF($Q$1=$P$6,INDEX(prem_analysis!$BU$1:$CF$67,ROWS(prem_analysis!$N$2:X321),COLUMNS(prem_analysis!$N$2:X321)),IF($Q$1=$P$4,INDEX(Table24[[#All],[Year]:[Details]],ROWS(prem_analysis!$M$420:W739),COLUMNS(Data!$Q$3:AA322)))))),"")</f>
        <v/>
      </c>
      <c r="AC321" s="1" t="str">
        <f>IFERROR(IF($Q$1=$P$3,INDEX(prem_analysis!$P$2:$Q$441,ROWS(Data!$P$2:AB321),COLUMNS(Data!$P$3:AA322)),IF($Q$1=$P$5,INDEX(prem_analysis!$BH$1:$BS$23,ROWS(Data!$Q$3:AB322),COLUMNS(Data!$Q$3:AB322)),IF($Q$1=$P$6,INDEX(prem_analysis!$BU$1:$CF$67,ROWS(prem_analysis!$N$2:Y321),COLUMNS(prem_analysis!$N$2:Y321)),IF($Q$1=$P$4,INDEX(Table24[[#All],[Year]:[Details]],ROWS(prem_analysis!$M$420:X739),COLUMNS(Data!$Q$3:AB322)))))),"")</f>
        <v/>
      </c>
    </row>
    <row r="322" spans="1:29" x14ac:dyDescent="0.2">
      <c r="A322" s="3">
        <v>2016</v>
      </c>
      <c r="B322" s="3">
        <v>1</v>
      </c>
      <c r="C322" s="4" t="s">
        <v>16</v>
      </c>
      <c r="D322" s="3">
        <v>38</v>
      </c>
      <c r="E322" s="3">
        <v>30</v>
      </c>
      <c r="F322" s="3">
        <v>3</v>
      </c>
      <c r="G322" s="3">
        <v>5</v>
      </c>
      <c r="H322" s="3">
        <v>85</v>
      </c>
      <c r="I322" s="3">
        <v>33</v>
      </c>
      <c r="J322" s="3">
        <v>52</v>
      </c>
      <c r="K322" s="3">
        <v>93</v>
      </c>
      <c r="L322" s="5" t="str">
        <f>IF(Table24[[#This Row],['#]]=1,"Champion", IF(Table24[[#This Row],['#]]&gt;=18,"Relegated",Table24[[#This Row],['#]]))</f>
        <v>Champion</v>
      </c>
      <c r="M322" s="5" t="str">
        <f>IF(Table24[[#This Row],[Details]]=2,K321-Table24[[#This Row],[Pts]],IF(Table24[[#This Row],[Details]]=17,Table24[[#This Row],[Pts]]-K323,""))</f>
        <v/>
      </c>
      <c r="R322" s="1" t="str">
        <f>IFERROR(IF($Q$1=$P$3,INDEX(prem_analysis!$P$2:$Q$441,ROWS(Data!$P$2:Q322),COLUMNS(Data!$P$3:P323)),IF($Q$1=$P$5,INDEX(prem_analysis!$BH$1:$BS$23,ROWS(Data!$Q$3:Q323),COLUMNS(Data!$Q$3:Q323)),IF($Q$1=$P$6,INDEX(prem_analysis!$BU$1:$CF$67,ROWS(prem_analysis!$N$2:N322),COLUMNS(prem_analysis!$N$2:N322)),IF($Q$1=$P$4,INDEX(Table24[[#All],[Year]:[Details]],ROWS(prem_analysis!$M$420:M740),COLUMNS(Data!$Q$3:Q323)))))),"")</f>
        <v/>
      </c>
      <c r="S322" s="1" t="str">
        <f>IFERROR(IF($Q$1=$P$3,INDEX(prem_analysis!$P$2:$Q$441,ROWS(Data!$P$2:R322),COLUMNS(Data!$P$3:Q323)),IF($Q$1=$P$5,INDEX(prem_analysis!$BH$1:$BS$23,ROWS(Data!$Q$3:R323),COLUMNS(Data!$Q$3:R323)),IF($Q$1=$P$6,INDEX(prem_analysis!$BU$1:$CF$67,ROWS(prem_analysis!$N$2:O322),COLUMNS(prem_analysis!$N$2:O322)),IF($Q$1=$P$4,INDEX(Table24[[#All],[Year]:[Details]],ROWS(prem_analysis!$M$420:N740),COLUMNS(Data!$Q$3:R323)))))),"")</f>
        <v/>
      </c>
      <c r="T322" s="1" t="str">
        <f>IFERROR(IF($Q$1=$P$3,INDEX(prem_analysis!$P$2:$Q$441,ROWS(Data!$P$2:S322),COLUMNS(Data!$P$3:R323)),IF($Q$1=$P$5,INDEX(prem_analysis!$BH$1:$BS$23,ROWS(Data!$Q$3:S323),COLUMNS(Data!$Q$3:S323)),IF($Q$1=$P$6,INDEX(prem_analysis!$BU$1:$CF$67,ROWS(prem_analysis!$N$2:P322),COLUMNS(prem_analysis!$N$2:P322)),IF($Q$1=$P$4,INDEX(Table24[[#All],[Year]:[Details]],ROWS(prem_analysis!$M$420:O740),COLUMNS(Data!$Q$3:S323)))))),"")</f>
        <v/>
      </c>
      <c r="U322" s="1" t="str">
        <f>IFERROR(IF($Q$1=$P$3,INDEX(prem_analysis!$P$2:$Q$441,ROWS(Data!$P$2:T322),COLUMNS(Data!$P$3:S323)),IF($Q$1=$P$5,INDEX(prem_analysis!$BH$1:$BS$23,ROWS(Data!$Q$3:T323),COLUMNS(Data!$Q$3:T323)),IF($Q$1=$P$6,INDEX(prem_analysis!$BU$1:$CF$67,ROWS(prem_analysis!$N$2:Q322),COLUMNS(prem_analysis!$N$2:Q322)),IF($Q$1=$P$4,INDEX(Table24[[#All],[Year]:[Details]],ROWS(prem_analysis!$M$420:P740),COLUMNS(Data!$Q$3:T323)))))),"")</f>
        <v/>
      </c>
      <c r="V322" s="1" t="str">
        <f>IFERROR(IF($Q$1=$P$3,INDEX(prem_analysis!$P$2:$Q$441,ROWS(Data!$P$2:U322),COLUMNS(Data!$P$3:T323)),IF($Q$1=$P$5,INDEX(prem_analysis!$BH$1:$BS$23,ROWS(Data!$Q$3:U323),COLUMNS(Data!$Q$3:U323)),IF($Q$1=$P$6,INDEX(prem_analysis!$BU$1:$CF$67,ROWS(prem_analysis!$N$2:R322),COLUMNS(prem_analysis!$N$2:R322)),IF($Q$1=$P$4,INDEX(Table24[[#All],[Year]:[Details]],ROWS(prem_analysis!$M$420:Q740),COLUMNS(Data!$Q$3:U323)))))),"")</f>
        <v/>
      </c>
      <c r="W322" s="1" t="str">
        <f>IFERROR(IF($Q$1=$P$3,INDEX(prem_analysis!$P$2:$Q$441,ROWS(Data!$P$2:V322),COLUMNS(Data!$P$3:U323)),IF($Q$1=$P$5,INDEX(prem_analysis!$BH$1:$BS$23,ROWS(Data!$Q$3:V323),COLUMNS(Data!$Q$3:V323)),IF($Q$1=$P$6,INDEX(prem_analysis!$BU$1:$CF$67,ROWS(prem_analysis!$N$2:S322),COLUMNS(prem_analysis!$N$2:S322)),IF($Q$1=$P$4,INDEX(Table24[[#All],[Year]:[Details]],ROWS(prem_analysis!$M$420:R740),COLUMNS(Data!$Q$3:V323)))))),"")</f>
        <v/>
      </c>
      <c r="X322" s="1" t="str">
        <f>IFERROR(IF($Q$1=$P$3,INDEX(prem_analysis!$P$2:$Q$441,ROWS(Data!$P$2:W322),COLUMNS(Data!$P$3:V323)),IF($Q$1=$P$5,INDEX(prem_analysis!$BH$1:$BS$23,ROWS(Data!$Q$3:W323),COLUMNS(Data!$Q$3:W323)),IF($Q$1=$P$6,INDEX(prem_analysis!$BU$1:$CF$67,ROWS(prem_analysis!$N$2:T322),COLUMNS(prem_analysis!$N$2:T322)),IF($Q$1=$P$4,INDEX(Table24[[#All],[Year]:[Details]],ROWS(prem_analysis!$M$420:S740),COLUMNS(Data!$Q$3:W323)))))),"")</f>
        <v/>
      </c>
      <c r="Y322" s="1" t="str">
        <f>IFERROR(IF($Q$1=$P$3,INDEX(prem_analysis!$P$2:$Q$441,ROWS(Data!$P$2:X322),COLUMNS(Data!$P$3:W323)),IF($Q$1=$P$5,INDEX(prem_analysis!$BH$1:$BS$23,ROWS(Data!$Q$3:X323),COLUMNS(Data!$Q$3:X323)),IF($Q$1=$P$6,INDEX(prem_analysis!$BU$1:$CF$67,ROWS(prem_analysis!$N$2:U322),COLUMNS(prem_analysis!$N$2:U322)),IF($Q$1=$P$4,INDEX(Table24[[#All],[Year]:[Details]],ROWS(prem_analysis!$M$420:T740),COLUMNS(Data!$Q$3:X323)))))),"")</f>
        <v/>
      </c>
      <c r="Z322" s="1" t="str">
        <f>IFERROR(IF($Q$1=$P$3,INDEX(prem_analysis!$P$2:$Q$441,ROWS(Data!$P$2:Y322),COLUMNS(Data!$P$3:X323)),IF($Q$1=$P$5,INDEX(prem_analysis!$BH$1:$BS$23,ROWS(Data!$Q$3:Y323),COLUMNS(Data!$Q$3:Y323)),IF($Q$1=$P$6,INDEX(prem_analysis!$BU$1:$CF$67,ROWS(prem_analysis!$N$2:V322),COLUMNS(prem_analysis!$N$2:V322)),IF($Q$1=$P$4,INDEX(Table24[[#All],[Year]:[Details]],ROWS(prem_analysis!$M$420:U740),COLUMNS(Data!$Q$3:Y323)))))),"")</f>
        <v/>
      </c>
      <c r="AA322" s="1" t="str">
        <f>IFERROR(IF($Q$1=$P$3,INDEX(prem_analysis!$P$2:$Q$441,ROWS(Data!$P$2:Z322),COLUMNS(Data!$P$3:Y323)),IF($Q$1=$P$5,INDEX(prem_analysis!$BH$1:$BS$23,ROWS(Data!$Q$3:Z323),COLUMNS(Data!$Q$3:Z323)),IF($Q$1=$P$6,INDEX(prem_analysis!$BU$1:$CF$67,ROWS(prem_analysis!$N$2:W322),COLUMNS(prem_analysis!$N$2:W322)),IF($Q$1=$P$4,INDEX(Table24[[#All],[Year]:[Details]],ROWS(prem_analysis!$M$420:V740),COLUMNS(Data!$Q$3:Z323)))))),"")</f>
        <v/>
      </c>
      <c r="AB322" s="1" t="str">
        <f>IFERROR(IF($Q$1=$P$3,INDEX(prem_analysis!$P$2:$Q$441,ROWS(Data!$P$2:AA322),COLUMNS(Data!$P$3:Z323)),IF($Q$1=$P$5,INDEX(prem_analysis!$BH$1:$BS$23,ROWS(Data!$Q$3:AA323),COLUMNS(Data!$Q$3:AA323)),IF($Q$1=$P$6,INDEX(prem_analysis!$BU$1:$CF$67,ROWS(prem_analysis!$N$2:X322),COLUMNS(prem_analysis!$N$2:X322)),IF($Q$1=$P$4,INDEX(Table24[[#All],[Year]:[Details]],ROWS(prem_analysis!$M$420:W740),COLUMNS(Data!$Q$3:AA323)))))),"")</f>
        <v/>
      </c>
      <c r="AC322" s="1" t="str">
        <f>IFERROR(IF($Q$1=$P$3,INDEX(prem_analysis!$P$2:$Q$441,ROWS(Data!$P$2:AB322),COLUMNS(Data!$P$3:AA323)),IF($Q$1=$P$5,INDEX(prem_analysis!$BH$1:$BS$23,ROWS(Data!$Q$3:AB323),COLUMNS(Data!$Q$3:AB323)),IF($Q$1=$P$6,INDEX(prem_analysis!$BU$1:$CF$67,ROWS(prem_analysis!$N$2:Y322),COLUMNS(prem_analysis!$N$2:Y322)),IF($Q$1=$P$4,INDEX(Table24[[#All],[Year]:[Details]],ROWS(prem_analysis!$M$420:X740),COLUMNS(Data!$Q$3:AB323)))))),"")</f>
        <v/>
      </c>
    </row>
    <row r="323" spans="1:29" x14ac:dyDescent="0.2">
      <c r="A323" s="5">
        <v>2016</v>
      </c>
      <c r="B323" s="5">
        <v>2</v>
      </c>
      <c r="C323" s="6" t="s">
        <v>22</v>
      </c>
      <c r="D323" s="5">
        <v>38</v>
      </c>
      <c r="E323" s="5">
        <v>26</v>
      </c>
      <c r="F323" s="5">
        <v>8</v>
      </c>
      <c r="G323" s="5">
        <v>4</v>
      </c>
      <c r="H323" s="5">
        <v>86</v>
      </c>
      <c r="I323" s="5">
        <v>26</v>
      </c>
      <c r="J323" s="5">
        <v>60</v>
      </c>
      <c r="K323" s="5">
        <v>86</v>
      </c>
      <c r="L323" s="5">
        <f>IF(Table24[[#This Row],['#]]=1,"Champion", IF(Table24[[#This Row],['#]]&gt;=18,"Relegated",Table24[[#This Row],['#]]))</f>
        <v>2</v>
      </c>
      <c r="M323" s="5">
        <f>IF(Table24[[#This Row],[Details]]=2,K322-Table24[[#This Row],[Pts]],IF(Table24[[#This Row],[Details]]=17,Table24[[#This Row],[Pts]]-K324,""))</f>
        <v>7</v>
      </c>
      <c r="R323" s="1" t="str">
        <f>IFERROR(IF($Q$1=$P$3,INDEX(prem_analysis!$P$2:$Q$441,ROWS(Data!$P$2:Q323),COLUMNS(Data!$P$3:P324)),IF($Q$1=$P$5,INDEX(prem_analysis!$BH$1:$BS$23,ROWS(Data!$Q$3:Q324),COLUMNS(Data!$Q$3:Q324)),IF($Q$1=$P$6,INDEX(prem_analysis!$BU$1:$CF$67,ROWS(prem_analysis!$N$2:N323),COLUMNS(prem_analysis!$N$2:N323)),IF($Q$1=$P$4,INDEX(Table24[[#All],[Year]:[Details]],ROWS(prem_analysis!$M$420:M741),COLUMNS(Data!$Q$3:Q324)))))),"")</f>
        <v/>
      </c>
      <c r="S323" s="1" t="str">
        <f>IFERROR(IF($Q$1=$P$3,INDEX(prem_analysis!$P$2:$Q$441,ROWS(Data!$P$2:R323),COLUMNS(Data!$P$3:Q324)),IF($Q$1=$P$5,INDEX(prem_analysis!$BH$1:$BS$23,ROWS(Data!$Q$3:R324),COLUMNS(Data!$Q$3:R324)),IF($Q$1=$P$6,INDEX(prem_analysis!$BU$1:$CF$67,ROWS(prem_analysis!$N$2:O323),COLUMNS(prem_analysis!$N$2:O323)),IF($Q$1=$P$4,INDEX(Table24[[#All],[Year]:[Details]],ROWS(prem_analysis!$M$420:N741),COLUMNS(Data!$Q$3:R324)))))),"")</f>
        <v/>
      </c>
      <c r="T323" s="1" t="str">
        <f>IFERROR(IF($Q$1=$P$3,INDEX(prem_analysis!$P$2:$Q$441,ROWS(Data!$P$2:S323),COLUMNS(Data!$P$3:R324)),IF($Q$1=$P$5,INDEX(prem_analysis!$BH$1:$BS$23,ROWS(Data!$Q$3:S324),COLUMNS(Data!$Q$3:S324)),IF($Q$1=$P$6,INDEX(prem_analysis!$BU$1:$CF$67,ROWS(prem_analysis!$N$2:P323),COLUMNS(prem_analysis!$N$2:P323)),IF($Q$1=$P$4,INDEX(Table24[[#All],[Year]:[Details]],ROWS(prem_analysis!$M$420:O741),COLUMNS(Data!$Q$3:S324)))))),"")</f>
        <v/>
      </c>
      <c r="U323" s="1" t="str">
        <f>IFERROR(IF($Q$1=$P$3,INDEX(prem_analysis!$P$2:$Q$441,ROWS(Data!$P$2:T323),COLUMNS(Data!$P$3:S324)),IF($Q$1=$P$5,INDEX(prem_analysis!$BH$1:$BS$23,ROWS(Data!$Q$3:T324),COLUMNS(Data!$Q$3:T324)),IF($Q$1=$P$6,INDEX(prem_analysis!$BU$1:$CF$67,ROWS(prem_analysis!$N$2:Q323),COLUMNS(prem_analysis!$N$2:Q323)),IF($Q$1=$P$4,INDEX(Table24[[#All],[Year]:[Details]],ROWS(prem_analysis!$M$420:P741),COLUMNS(Data!$Q$3:T324)))))),"")</f>
        <v/>
      </c>
      <c r="V323" s="1" t="str">
        <f>IFERROR(IF($Q$1=$P$3,INDEX(prem_analysis!$P$2:$Q$441,ROWS(Data!$P$2:U323),COLUMNS(Data!$P$3:T324)),IF($Q$1=$P$5,INDEX(prem_analysis!$BH$1:$BS$23,ROWS(Data!$Q$3:U324),COLUMNS(Data!$Q$3:U324)),IF($Q$1=$P$6,INDEX(prem_analysis!$BU$1:$CF$67,ROWS(prem_analysis!$N$2:R323),COLUMNS(prem_analysis!$N$2:R323)),IF($Q$1=$P$4,INDEX(Table24[[#All],[Year]:[Details]],ROWS(prem_analysis!$M$420:Q741),COLUMNS(Data!$Q$3:U324)))))),"")</f>
        <v/>
      </c>
      <c r="W323" s="1" t="str">
        <f>IFERROR(IF($Q$1=$P$3,INDEX(prem_analysis!$P$2:$Q$441,ROWS(Data!$P$2:V323),COLUMNS(Data!$P$3:U324)),IF($Q$1=$P$5,INDEX(prem_analysis!$BH$1:$BS$23,ROWS(Data!$Q$3:V324),COLUMNS(Data!$Q$3:V324)),IF($Q$1=$P$6,INDEX(prem_analysis!$BU$1:$CF$67,ROWS(prem_analysis!$N$2:S323),COLUMNS(prem_analysis!$N$2:S323)),IF($Q$1=$P$4,INDEX(Table24[[#All],[Year]:[Details]],ROWS(prem_analysis!$M$420:R741),COLUMNS(Data!$Q$3:V324)))))),"")</f>
        <v/>
      </c>
      <c r="X323" s="1" t="str">
        <f>IFERROR(IF($Q$1=$P$3,INDEX(prem_analysis!$P$2:$Q$441,ROWS(Data!$P$2:W323),COLUMNS(Data!$P$3:V324)),IF($Q$1=$P$5,INDEX(prem_analysis!$BH$1:$BS$23,ROWS(Data!$Q$3:W324),COLUMNS(Data!$Q$3:W324)),IF($Q$1=$P$6,INDEX(prem_analysis!$BU$1:$CF$67,ROWS(prem_analysis!$N$2:T323),COLUMNS(prem_analysis!$N$2:T323)),IF($Q$1=$P$4,INDEX(Table24[[#All],[Year]:[Details]],ROWS(prem_analysis!$M$420:S741),COLUMNS(Data!$Q$3:W324)))))),"")</f>
        <v/>
      </c>
      <c r="Y323" s="1" t="str">
        <f>IFERROR(IF($Q$1=$P$3,INDEX(prem_analysis!$P$2:$Q$441,ROWS(Data!$P$2:X323),COLUMNS(Data!$P$3:W324)),IF($Q$1=$P$5,INDEX(prem_analysis!$BH$1:$BS$23,ROWS(Data!$Q$3:X324),COLUMNS(Data!$Q$3:X324)),IF($Q$1=$P$6,INDEX(prem_analysis!$BU$1:$CF$67,ROWS(prem_analysis!$N$2:U323),COLUMNS(prem_analysis!$N$2:U323)),IF($Q$1=$P$4,INDEX(Table24[[#All],[Year]:[Details]],ROWS(prem_analysis!$M$420:T741),COLUMNS(Data!$Q$3:X324)))))),"")</f>
        <v/>
      </c>
      <c r="Z323" s="1" t="str">
        <f>IFERROR(IF($Q$1=$P$3,INDEX(prem_analysis!$P$2:$Q$441,ROWS(Data!$P$2:Y323),COLUMNS(Data!$P$3:X324)),IF($Q$1=$P$5,INDEX(prem_analysis!$BH$1:$BS$23,ROWS(Data!$Q$3:Y324),COLUMNS(Data!$Q$3:Y324)),IF($Q$1=$P$6,INDEX(prem_analysis!$BU$1:$CF$67,ROWS(prem_analysis!$N$2:V323),COLUMNS(prem_analysis!$N$2:V323)),IF($Q$1=$P$4,INDEX(Table24[[#All],[Year]:[Details]],ROWS(prem_analysis!$M$420:U741),COLUMNS(Data!$Q$3:Y324)))))),"")</f>
        <v/>
      </c>
      <c r="AA323" s="1" t="str">
        <f>IFERROR(IF($Q$1=$P$3,INDEX(prem_analysis!$P$2:$Q$441,ROWS(Data!$P$2:Z323),COLUMNS(Data!$P$3:Y324)),IF($Q$1=$P$5,INDEX(prem_analysis!$BH$1:$BS$23,ROWS(Data!$Q$3:Z324),COLUMNS(Data!$Q$3:Z324)),IF($Q$1=$P$6,INDEX(prem_analysis!$BU$1:$CF$67,ROWS(prem_analysis!$N$2:W323),COLUMNS(prem_analysis!$N$2:W323)),IF($Q$1=$P$4,INDEX(Table24[[#All],[Year]:[Details]],ROWS(prem_analysis!$M$420:V741),COLUMNS(Data!$Q$3:Z324)))))),"")</f>
        <v/>
      </c>
      <c r="AB323" s="1" t="str">
        <f>IFERROR(IF($Q$1=$P$3,INDEX(prem_analysis!$P$2:$Q$441,ROWS(Data!$P$2:AA323),COLUMNS(Data!$P$3:Z324)),IF($Q$1=$P$5,INDEX(prem_analysis!$BH$1:$BS$23,ROWS(Data!$Q$3:AA324),COLUMNS(Data!$Q$3:AA324)),IF($Q$1=$P$6,INDEX(prem_analysis!$BU$1:$CF$67,ROWS(prem_analysis!$N$2:X323),COLUMNS(prem_analysis!$N$2:X323)),IF($Q$1=$P$4,INDEX(Table24[[#All],[Year]:[Details]],ROWS(prem_analysis!$M$420:W741),COLUMNS(Data!$Q$3:AA324)))))),"")</f>
        <v/>
      </c>
      <c r="AC323" s="1" t="str">
        <f>IFERROR(IF($Q$1=$P$3,INDEX(prem_analysis!$P$2:$Q$441,ROWS(Data!$P$2:AB323),COLUMNS(Data!$P$3:AA324)),IF($Q$1=$P$5,INDEX(prem_analysis!$BH$1:$BS$23,ROWS(Data!$Q$3:AB324),COLUMNS(Data!$Q$3:AB324)),IF($Q$1=$P$6,INDEX(prem_analysis!$BU$1:$CF$67,ROWS(prem_analysis!$N$2:Y323),COLUMNS(prem_analysis!$N$2:Y323)),IF($Q$1=$P$4,INDEX(Table24[[#All],[Year]:[Details]],ROWS(prem_analysis!$M$420:X741),COLUMNS(Data!$Q$3:AB324)))))),"")</f>
        <v/>
      </c>
    </row>
    <row r="324" spans="1:29" x14ac:dyDescent="0.2">
      <c r="A324" s="3">
        <v>2016</v>
      </c>
      <c r="B324" s="3">
        <v>3</v>
      </c>
      <c r="C324" s="4" t="s">
        <v>28</v>
      </c>
      <c r="D324" s="3">
        <v>38</v>
      </c>
      <c r="E324" s="3">
        <v>23</v>
      </c>
      <c r="F324" s="3">
        <v>9</v>
      </c>
      <c r="G324" s="3">
        <v>6</v>
      </c>
      <c r="H324" s="3">
        <v>80</v>
      </c>
      <c r="I324" s="3">
        <v>39</v>
      </c>
      <c r="J324" s="3">
        <v>41</v>
      </c>
      <c r="K324" s="3">
        <v>78</v>
      </c>
      <c r="L324" s="5">
        <f>IF(Table24[[#This Row],['#]]=1,"Champion", IF(Table24[[#This Row],['#]]&gt;=18,"Relegated",Table24[[#This Row],['#]]))</f>
        <v>3</v>
      </c>
      <c r="M324" s="5" t="str">
        <f>IF(Table24[[#This Row],[Details]]=2,K323-Table24[[#This Row],[Pts]],IF(Table24[[#This Row],[Details]]=17,Table24[[#This Row],[Pts]]-K325,""))</f>
        <v/>
      </c>
      <c r="R324" s="1" t="str">
        <f>IFERROR(IF($Q$1=$P$3,INDEX(prem_analysis!$P$2:$Q$441,ROWS(Data!$P$2:Q324),COLUMNS(Data!$P$3:P325)),IF($Q$1=$P$5,INDEX(prem_analysis!$BH$1:$BS$23,ROWS(Data!$Q$3:Q325),COLUMNS(Data!$Q$3:Q325)),IF($Q$1=$P$6,INDEX(prem_analysis!$BU$1:$CF$67,ROWS(prem_analysis!$N$2:N324),COLUMNS(prem_analysis!$N$2:N324)),IF($Q$1=$P$4,INDEX(Table24[[#All],[Year]:[Details]],ROWS(prem_analysis!$M$420:M742),COLUMNS(Data!$Q$3:Q325)))))),"")</f>
        <v/>
      </c>
      <c r="S324" s="1" t="str">
        <f>IFERROR(IF($Q$1=$P$3,INDEX(prem_analysis!$P$2:$Q$441,ROWS(Data!$P$2:R324),COLUMNS(Data!$P$3:Q325)),IF($Q$1=$P$5,INDEX(prem_analysis!$BH$1:$BS$23,ROWS(Data!$Q$3:R325),COLUMNS(Data!$Q$3:R325)),IF($Q$1=$P$6,INDEX(prem_analysis!$BU$1:$CF$67,ROWS(prem_analysis!$N$2:O324),COLUMNS(prem_analysis!$N$2:O324)),IF($Q$1=$P$4,INDEX(Table24[[#All],[Year]:[Details]],ROWS(prem_analysis!$M$420:N742),COLUMNS(Data!$Q$3:R325)))))),"")</f>
        <v/>
      </c>
      <c r="T324" s="1" t="str">
        <f>IFERROR(IF($Q$1=$P$3,INDEX(prem_analysis!$P$2:$Q$441,ROWS(Data!$P$2:S324),COLUMNS(Data!$P$3:R325)),IF($Q$1=$P$5,INDEX(prem_analysis!$BH$1:$BS$23,ROWS(Data!$Q$3:S325),COLUMNS(Data!$Q$3:S325)),IF($Q$1=$P$6,INDEX(prem_analysis!$BU$1:$CF$67,ROWS(prem_analysis!$N$2:P324),COLUMNS(prem_analysis!$N$2:P324)),IF($Q$1=$P$4,INDEX(Table24[[#All],[Year]:[Details]],ROWS(prem_analysis!$M$420:O742),COLUMNS(Data!$Q$3:S325)))))),"")</f>
        <v/>
      </c>
      <c r="U324" s="1" t="str">
        <f>IFERROR(IF($Q$1=$P$3,INDEX(prem_analysis!$P$2:$Q$441,ROWS(Data!$P$2:T324),COLUMNS(Data!$P$3:S325)),IF($Q$1=$P$5,INDEX(prem_analysis!$BH$1:$BS$23,ROWS(Data!$Q$3:T325),COLUMNS(Data!$Q$3:T325)),IF($Q$1=$P$6,INDEX(prem_analysis!$BU$1:$CF$67,ROWS(prem_analysis!$N$2:Q324),COLUMNS(prem_analysis!$N$2:Q324)),IF($Q$1=$P$4,INDEX(Table24[[#All],[Year]:[Details]],ROWS(prem_analysis!$M$420:P742),COLUMNS(Data!$Q$3:T325)))))),"")</f>
        <v/>
      </c>
      <c r="V324" s="1" t="str">
        <f>IFERROR(IF($Q$1=$P$3,INDEX(prem_analysis!$P$2:$Q$441,ROWS(Data!$P$2:U324),COLUMNS(Data!$P$3:T325)),IF($Q$1=$P$5,INDEX(prem_analysis!$BH$1:$BS$23,ROWS(Data!$Q$3:U325),COLUMNS(Data!$Q$3:U325)),IF($Q$1=$P$6,INDEX(prem_analysis!$BU$1:$CF$67,ROWS(prem_analysis!$N$2:R324),COLUMNS(prem_analysis!$N$2:R324)),IF($Q$1=$P$4,INDEX(Table24[[#All],[Year]:[Details]],ROWS(prem_analysis!$M$420:Q742),COLUMNS(Data!$Q$3:U325)))))),"")</f>
        <v/>
      </c>
      <c r="W324" s="1" t="str">
        <f>IFERROR(IF($Q$1=$P$3,INDEX(prem_analysis!$P$2:$Q$441,ROWS(Data!$P$2:V324),COLUMNS(Data!$P$3:U325)),IF($Q$1=$P$5,INDEX(prem_analysis!$BH$1:$BS$23,ROWS(Data!$Q$3:V325),COLUMNS(Data!$Q$3:V325)),IF($Q$1=$P$6,INDEX(prem_analysis!$BU$1:$CF$67,ROWS(prem_analysis!$N$2:S324),COLUMNS(prem_analysis!$N$2:S324)),IF($Q$1=$P$4,INDEX(Table24[[#All],[Year]:[Details]],ROWS(prem_analysis!$M$420:R742),COLUMNS(Data!$Q$3:V325)))))),"")</f>
        <v/>
      </c>
      <c r="X324" s="1" t="str">
        <f>IFERROR(IF($Q$1=$P$3,INDEX(prem_analysis!$P$2:$Q$441,ROWS(Data!$P$2:W324),COLUMNS(Data!$P$3:V325)),IF($Q$1=$P$5,INDEX(prem_analysis!$BH$1:$BS$23,ROWS(Data!$Q$3:W325),COLUMNS(Data!$Q$3:W325)),IF($Q$1=$P$6,INDEX(prem_analysis!$BU$1:$CF$67,ROWS(prem_analysis!$N$2:T324),COLUMNS(prem_analysis!$N$2:T324)),IF($Q$1=$P$4,INDEX(Table24[[#All],[Year]:[Details]],ROWS(prem_analysis!$M$420:S742),COLUMNS(Data!$Q$3:W325)))))),"")</f>
        <v/>
      </c>
      <c r="Y324" s="1" t="str">
        <f>IFERROR(IF($Q$1=$P$3,INDEX(prem_analysis!$P$2:$Q$441,ROWS(Data!$P$2:X324),COLUMNS(Data!$P$3:W325)),IF($Q$1=$P$5,INDEX(prem_analysis!$BH$1:$BS$23,ROWS(Data!$Q$3:X325),COLUMNS(Data!$Q$3:X325)),IF($Q$1=$P$6,INDEX(prem_analysis!$BU$1:$CF$67,ROWS(prem_analysis!$N$2:U324),COLUMNS(prem_analysis!$N$2:U324)),IF($Q$1=$P$4,INDEX(Table24[[#All],[Year]:[Details]],ROWS(prem_analysis!$M$420:T742),COLUMNS(Data!$Q$3:X325)))))),"")</f>
        <v/>
      </c>
      <c r="Z324" s="1" t="str">
        <f>IFERROR(IF($Q$1=$P$3,INDEX(prem_analysis!$P$2:$Q$441,ROWS(Data!$P$2:Y324),COLUMNS(Data!$P$3:X325)),IF($Q$1=$P$5,INDEX(prem_analysis!$BH$1:$BS$23,ROWS(Data!$Q$3:Y325),COLUMNS(Data!$Q$3:Y325)),IF($Q$1=$P$6,INDEX(prem_analysis!$BU$1:$CF$67,ROWS(prem_analysis!$N$2:V324),COLUMNS(prem_analysis!$N$2:V324)),IF($Q$1=$P$4,INDEX(Table24[[#All],[Year]:[Details]],ROWS(prem_analysis!$M$420:U742),COLUMNS(Data!$Q$3:Y325)))))),"")</f>
        <v/>
      </c>
      <c r="AA324" s="1" t="str">
        <f>IFERROR(IF($Q$1=$P$3,INDEX(prem_analysis!$P$2:$Q$441,ROWS(Data!$P$2:Z324),COLUMNS(Data!$P$3:Y325)),IF($Q$1=$P$5,INDEX(prem_analysis!$BH$1:$BS$23,ROWS(Data!$Q$3:Z325),COLUMNS(Data!$Q$3:Z325)),IF($Q$1=$P$6,INDEX(prem_analysis!$BU$1:$CF$67,ROWS(prem_analysis!$N$2:W324),COLUMNS(prem_analysis!$N$2:W324)),IF($Q$1=$P$4,INDEX(Table24[[#All],[Year]:[Details]],ROWS(prem_analysis!$M$420:V742),COLUMNS(Data!$Q$3:Z325)))))),"")</f>
        <v/>
      </c>
      <c r="AB324" s="1" t="str">
        <f>IFERROR(IF($Q$1=$P$3,INDEX(prem_analysis!$P$2:$Q$441,ROWS(Data!$P$2:AA324),COLUMNS(Data!$P$3:Z325)),IF($Q$1=$P$5,INDEX(prem_analysis!$BH$1:$BS$23,ROWS(Data!$Q$3:AA325),COLUMNS(Data!$Q$3:AA325)),IF($Q$1=$P$6,INDEX(prem_analysis!$BU$1:$CF$67,ROWS(prem_analysis!$N$2:X324),COLUMNS(prem_analysis!$N$2:X324)),IF($Q$1=$P$4,INDEX(Table24[[#All],[Year]:[Details]],ROWS(prem_analysis!$M$420:W742),COLUMNS(Data!$Q$3:AA325)))))),"")</f>
        <v/>
      </c>
      <c r="AC324" s="1" t="str">
        <f>IFERROR(IF($Q$1=$P$3,INDEX(prem_analysis!$P$2:$Q$441,ROWS(Data!$P$2:AB324),COLUMNS(Data!$P$3:AA325)),IF($Q$1=$P$5,INDEX(prem_analysis!$BH$1:$BS$23,ROWS(Data!$Q$3:AB325),COLUMNS(Data!$Q$3:AB325)),IF($Q$1=$P$6,INDEX(prem_analysis!$BU$1:$CF$67,ROWS(prem_analysis!$N$2:Y324),COLUMNS(prem_analysis!$N$2:Y324)),IF($Q$1=$P$4,INDEX(Table24[[#All],[Year]:[Details]],ROWS(prem_analysis!$M$420:X742),COLUMNS(Data!$Q$3:AB325)))))),"")</f>
        <v/>
      </c>
    </row>
    <row r="325" spans="1:29" x14ac:dyDescent="0.2">
      <c r="A325" s="5">
        <v>2016</v>
      </c>
      <c r="B325" s="5">
        <v>4</v>
      </c>
      <c r="C325" s="4" t="s">
        <v>13</v>
      </c>
      <c r="D325" s="5">
        <v>38</v>
      </c>
      <c r="E325" s="5">
        <v>22</v>
      </c>
      <c r="F325" s="5">
        <v>10</v>
      </c>
      <c r="G325" s="5">
        <v>6</v>
      </c>
      <c r="H325" s="5">
        <v>78</v>
      </c>
      <c r="I325" s="5">
        <v>42</v>
      </c>
      <c r="J325" s="5">
        <v>36</v>
      </c>
      <c r="K325" s="5">
        <v>76</v>
      </c>
      <c r="L325" s="5">
        <f>IF(Table24[[#This Row],['#]]=1,"Champion", IF(Table24[[#This Row],['#]]&gt;=18,"Relegated",Table24[[#This Row],['#]]))</f>
        <v>4</v>
      </c>
      <c r="M325" s="5" t="str">
        <f>IF(Table24[[#This Row],[Details]]=2,K324-Table24[[#This Row],[Pts]],IF(Table24[[#This Row],[Details]]=17,Table24[[#This Row],[Pts]]-K326,""))</f>
        <v/>
      </c>
      <c r="R325" s="1" t="str">
        <f>IFERROR(IF($Q$1=$P$3,INDEX(prem_analysis!$P$2:$Q$441,ROWS(Data!$P$2:Q325),COLUMNS(Data!$P$3:P326)),IF($Q$1=$P$5,INDEX(prem_analysis!$BH$1:$BS$23,ROWS(Data!$Q$3:Q326),COLUMNS(Data!$Q$3:Q326)),IF($Q$1=$P$6,INDEX(prem_analysis!$BU$1:$CF$67,ROWS(prem_analysis!$N$2:N325),COLUMNS(prem_analysis!$N$2:N325)),IF($Q$1=$P$4,INDEX(Table24[[#All],[Year]:[Details]],ROWS(prem_analysis!$M$420:M743),COLUMNS(Data!$Q$3:Q326)))))),"")</f>
        <v/>
      </c>
      <c r="S325" s="1" t="str">
        <f>IFERROR(IF($Q$1=$P$3,INDEX(prem_analysis!$P$2:$Q$441,ROWS(Data!$P$2:R325),COLUMNS(Data!$P$3:Q326)),IF($Q$1=$P$5,INDEX(prem_analysis!$BH$1:$BS$23,ROWS(Data!$Q$3:R326),COLUMNS(Data!$Q$3:R326)),IF($Q$1=$P$6,INDEX(prem_analysis!$BU$1:$CF$67,ROWS(prem_analysis!$N$2:O325),COLUMNS(prem_analysis!$N$2:O325)),IF($Q$1=$P$4,INDEX(Table24[[#All],[Year]:[Details]],ROWS(prem_analysis!$M$420:N743),COLUMNS(Data!$Q$3:R326)))))),"")</f>
        <v/>
      </c>
      <c r="T325" s="1" t="str">
        <f>IFERROR(IF($Q$1=$P$3,INDEX(prem_analysis!$P$2:$Q$441,ROWS(Data!$P$2:S325),COLUMNS(Data!$P$3:R326)),IF($Q$1=$P$5,INDEX(prem_analysis!$BH$1:$BS$23,ROWS(Data!$Q$3:S326),COLUMNS(Data!$Q$3:S326)),IF($Q$1=$P$6,INDEX(prem_analysis!$BU$1:$CF$67,ROWS(prem_analysis!$N$2:P325),COLUMNS(prem_analysis!$N$2:P325)),IF($Q$1=$P$4,INDEX(Table24[[#All],[Year]:[Details]],ROWS(prem_analysis!$M$420:O743),COLUMNS(Data!$Q$3:S326)))))),"")</f>
        <v/>
      </c>
      <c r="U325" s="1" t="str">
        <f>IFERROR(IF($Q$1=$P$3,INDEX(prem_analysis!$P$2:$Q$441,ROWS(Data!$P$2:T325),COLUMNS(Data!$P$3:S326)),IF($Q$1=$P$5,INDEX(prem_analysis!$BH$1:$BS$23,ROWS(Data!$Q$3:T326),COLUMNS(Data!$Q$3:T326)),IF($Q$1=$P$6,INDEX(prem_analysis!$BU$1:$CF$67,ROWS(prem_analysis!$N$2:Q325),COLUMNS(prem_analysis!$N$2:Q325)),IF($Q$1=$P$4,INDEX(Table24[[#All],[Year]:[Details]],ROWS(prem_analysis!$M$420:P743),COLUMNS(Data!$Q$3:T326)))))),"")</f>
        <v/>
      </c>
      <c r="V325" s="1" t="str">
        <f>IFERROR(IF($Q$1=$P$3,INDEX(prem_analysis!$P$2:$Q$441,ROWS(Data!$P$2:U325),COLUMNS(Data!$P$3:T326)),IF($Q$1=$P$5,INDEX(prem_analysis!$BH$1:$BS$23,ROWS(Data!$Q$3:U326),COLUMNS(Data!$Q$3:U326)),IF($Q$1=$P$6,INDEX(prem_analysis!$BU$1:$CF$67,ROWS(prem_analysis!$N$2:R325),COLUMNS(prem_analysis!$N$2:R325)),IF($Q$1=$P$4,INDEX(Table24[[#All],[Year]:[Details]],ROWS(prem_analysis!$M$420:Q743),COLUMNS(Data!$Q$3:U326)))))),"")</f>
        <v/>
      </c>
      <c r="W325" s="1" t="str">
        <f>IFERROR(IF($Q$1=$P$3,INDEX(prem_analysis!$P$2:$Q$441,ROWS(Data!$P$2:V325),COLUMNS(Data!$P$3:U326)),IF($Q$1=$P$5,INDEX(prem_analysis!$BH$1:$BS$23,ROWS(Data!$Q$3:V326),COLUMNS(Data!$Q$3:V326)),IF($Q$1=$P$6,INDEX(prem_analysis!$BU$1:$CF$67,ROWS(prem_analysis!$N$2:S325),COLUMNS(prem_analysis!$N$2:S325)),IF($Q$1=$P$4,INDEX(Table24[[#All],[Year]:[Details]],ROWS(prem_analysis!$M$420:R743),COLUMNS(Data!$Q$3:V326)))))),"")</f>
        <v/>
      </c>
      <c r="X325" s="1" t="str">
        <f>IFERROR(IF($Q$1=$P$3,INDEX(prem_analysis!$P$2:$Q$441,ROWS(Data!$P$2:W325),COLUMNS(Data!$P$3:V326)),IF($Q$1=$P$5,INDEX(prem_analysis!$BH$1:$BS$23,ROWS(Data!$Q$3:W326),COLUMNS(Data!$Q$3:W326)),IF($Q$1=$P$6,INDEX(prem_analysis!$BU$1:$CF$67,ROWS(prem_analysis!$N$2:T325),COLUMNS(prem_analysis!$N$2:T325)),IF($Q$1=$P$4,INDEX(Table24[[#All],[Year]:[Details]],ROWS(prem_analysis!$M$420:S743),COLUMNS(Data!$Q$3:W326)))))),"")</f>
        <v/>
      </c>
      <c r="Y325" s="1" t="str">
        <f>IFERROR(IF($Q$1=$P$3,INDEX(prem_analysis!$P$2:$Q$441,ROWS(Data!$P$2:X325),COLUMNS(Data!$P$3:W326)),IF($Q$1=$P$5,INDEX(prem_analysis!$BH$1:$BS$23,ROWS(Data!$Q$3:X326),COLUMNS(Data!$Q$3:X326)),IF($Q$1=$P$6,INDEX(prem_analysis!$BU$1:$CF$67,ROWS(prem_analysis!$N$2:U325),COLUMNS(prem_analysis!$N$2:U325)),IF($Q$1=$P$4,INDEX(Table24[[#All],[Year]:[Details]],ROWS(prem_analysis!$M$420:T743),COLUMNS(Data!$Q$3:X326)))))),"")</f>
        <v/>
      </c>
      <c r="Z325" s="1" t="str">
        <f>IFERROR(IF($Q$1=$P$3,INDEX(prem_analysis!$P$2:$Q$441,ROWS(Data!$P$2:Y325),COLUMNS(Data!$P$3:X326)),IF($Q$1=$P$5,INDEX(prem_analysis!$BH$1:$BS$23,ROWS(Data!$Q$3:Y326),COLUMNS(Data!$Q$3:Y326)),IF($Q$1=$P$6,INDEX(prem_analysis!$BU$1:$CF$67,ROWS(prem_analysis!$N$2:V325),COLUMNS(prem_analysis!$N$2:V325)),IF($Q$1=$P$4,INDEX(Table24[[#All],[Year]:[Details]],ROWS(prem_analysis!$M$420:U743),COLUMNS(Data!$Q$3:Y326)))))),"")</f>
        <v/>
      </c>
      <c r="AA325" s="1" t="str">
        <f>IFERROR(IF($Q$1=$P$3,INDEX(prem_analysis!$P$2:$Q$441,ROWS(Data!$P$2:Z325),COLUMNS(Data!$P$3:Y326)),IF($Q$1=$P$5,INDEX(prem_analysis!$BH$1:$BS$23,ROWS(Data!$Q$3:Z326),COLUMNS(Data!$Q$3:Z326)),IF($Q$1=$P$6,INDEX(prem_analysis!$BU$1:$CF$67,ROWS(prem_analysis!$N$2:W325),COLUMNS(prem_analysis!$N$2:W325)),IF($Q$1=$P$4,INDEX(Table24[[#All],[Year]:[Details]],ROWS(prem_analysis!$M$420:V743),COLUMNS(Data!$Q$3:Z326)))))),"")</f>
        <v/>
      </c>
      <c r="AB325" s="1" t="str">
        <f>IFERROR(IF($Q$1=$P$3,INDEX(prem_analysis!$P$2:$Q$441,ROWS(Data!$P$2:AA325),COLUMNS(Data!$P$3:Z326)),IF($Q$1=$P$5,INDEX(prem_analysis!$BH$1:$BS$23,ROWS(Data!$Q$3:AA326),COLUMNS(Data!$Q$3:AA326)),IF($Q$1=$P$6,INDEX(prem_analysis!$BU$1:$CF$67,ROWS(prem_analysis!$N$2:X325),COLUMNS(prem_analysis!$N$2:X325)),IF($Q$1=$P$4,INDEX(Table24[[#All],[Year]:[Details]],ROWS(prem_analysis!$M$420:W743),COLUMNS(Data!$Q$3:AA326)))))),"")</f>
        <v/>
      </c>
      <c r="AC325" s="1" t="str">
        <f>IFERROR(IF($Q$1=$P$3,INDEX(prem_analysis!$P$2:$Q$441,ROWS(Data!$P$2:AB325),COLUMNS(Data!$P$3:AA326)),IF($Q$1=$P$5,INDEX(prem_analysis!$BH$1:$BS$23,ROWS(Data!$Q$3:AB326),COLUMNS(Data!$Q$3:AB326)),IF($Q$1=$P$6,INDEX(prem_analysis!$BU$1:$CF$67,ROWS(prem_analysis!$N$2:Y325),COLUMNS(prem_analysis!$N$2:Y325)),IF($Q$1=$P$4,INDEX(Table24[[#All],[Year]:[Details]],ROWS(prem_analysis!$M$420:X743),COLUMNS(Data!$Q$3:AB326)))))),"")</f>
        <v/>
      </c>
    </row>
    <row r="326" spans="1:29" x14ac:dyDescent="0.2">
      <c r="A326" s="3">
        <v>2016</v>
      </c>
      <c r="B326" s="3">
        <v>5</v>
      </c>
      <c r="C326" s="6" t="s">
        <v>12</v>
      </c>
      <c r="D326" s="3">
        <v>38</v>
      </c>
      <c r="E326" s="3">
        <v>23</v>
      </c>
      <c r="F326" s="3">
        <v>6</v>
      </c>
      <c r="G326" s="3">
        <v>9</v>
      </c>
      <c r="H326" s="3">
        <v>77</v>
      </c>
      <c r="I326" s="3">
        <v>44</v>
      </c>
      <c r="J326" s="3">
        <v>33</v>
      </c>
      <c r="K326" s="3">
        <v>75</v>
      </c>
      <c r="L326" s="5">
        <f>IF(Table24[[#This Row],['#]]=1,"Champion", IF(Table24[[#This Row],['#]]&gt;=18,"Relegated",Table24[[#This Row],['#]]))</f>
        <v>5</v>
      </c>
      <c r="M326" s="5" t="str">
        <f>IF(Table24[[#This Row],[Details]]=2,K325-Table24[[#This Row],[Pts]],IF(Table24[[#This Row],[Details]]=17,Table24[[#This Row],[Pts]]-K327,""))</f>
        <v/>
      </c>
      <c r="R326" s="1" t="str">
        <f>IFERROR(IF($Q$1=$P$3,INDEX(prem_analysis!$P$2:$Q$441,ROWS(Data!$P$2:Q326),COLUMNS(Data!$P$3:P327)),IF($Q$1=$P$5,INDEX(prem_analysis!$BH$1:$BS$23,ROWS(Data!$Q$3:Q327),COLUMNS(Data!$Q$3:Q327)),IF($Q$1=$P$6,INDEX(prem_analysis!$BU$1:$CF$67,ROWS(prem_analysis!$N$2:N326),COLUMNS(prem_analysis!$N$2:N326)),IF($Q$1=$P$4,INDEX(Table24[[#All],[Year]:[Details]],ROWS(prem_analysis!$M$420:M744),COLUMNS(Data!$Q$3:Q327)))))),"")</f>
        <v/>
      </c>
      <c r="S326" s="1" t="str">
        <f>IFERROR(IF($Q$1=$P$3,INDEX(prem_analysis!$P$2:$Q$441,ROWS(Data!$P$2:R326),COLUMNS(Data!$P$3:Q327)),IF($Q$1=$P$5,INDEX(prem_analysis!$BH$1:$BS$23,ROWS(Data!$Q$3:R327),COLUMNS(Data!$Q$3:R327)),IF($Q$1=$P$6,INDEX(prem_analysis!$BU$1:$CF$67,ROWS(prem_analysis!$N$2:O326),COLUMNS(prem_analysis!$N$2:O326)),IF($Q$1=$P$4,INDEX(Table24[[#All],[Year]:[Details]],ROWS(prem_analysis!$M$420:N744),COLUMNS(Data!$Q$3:R327)))))),"")</f>
        <v/>
      </c>
      <c r="T326" s="1" t="str">
        <f>IFERROR(IF($Q$1=$P$3,INDEX(prem_analysis!$P$2:$Q$441,ROWS(Data!$P$2:S326),COLUMNS(Data!$P$3:R327)),IF($Q$1=$P$5,INDEX(prem_analysis!$BH$1:$BS$23,ROWS(Data!$Q$3:S327),COLUMNS(Data!$Q$3:S327)),IF($Q$1=$P$6,INDEX(prem_analysis!$BU$1:$CF$67,ROWS(prem_analysis!$N$2:P326),COLUMNS(prem_analysis!$N$2:P326)),IF($Q$1=$P$4,INDEX(Table24[[#All],[Year]:[Details]],ROWS(prem_analysis!$M$420:O744),COLUMNS(Data!$Q$3:S327)))))),"")</f>
        <v/>
      </c>
      <c r="U326" s="1" t="str">
        <f>IFERROR(IF($Q$1=$P$3,INDEX(prem_analysis!$P$2:$Q$441,ROWS(Data!$P$2:T326),COLUMNS(Data!$P$3:S327)),IF($Q$1=$P$5,INDEX(prem_analysis!$BH$1:$BS$23,ROWS(Data!$Q$3:T327),COLUMNS(Data!$Q$3:T327)),IF($Q$1=$P$6,INDEX(prem_analysis!$BU$1:$CF$67,ROWS(prem_analysis!$N$2:Q326),COLUMNS(prem_analysis!$N$2:Q326)),IF($Q$1=$P$4,INDEX(Table24[[#All],[Year]:[Details]],ROWS(prem_analysis!$M$420:P744),COLUMNS(Data!$Q$3:T327)))))),"")</f>
        <v/>
      </c>
      <c r="V326" s="1" t="str">
        <f>IFERROR(IF($Q$1=$P$3,INDEX(prem_analysis!$P$2:$Q$441,ROWS(Data!$P$2:U326),COLUMNS(Data!$P$3:T327)),IF($Q$1=$P$5,INDEX(prem_analysis!$BH$1:$BS$23,ROWS(Data!$Q$3:U327),COLUMNS(Data!$Q$3:U327)),IF($Q$1=$P$6,INDEX(prem_analysis!$BU$1:$CF$67,ROWS(prem_analysis!$N$2:R326),COLUMNS(prem_analysis!$N$2:R326)),IF($Q$1=$P$4,INDEX(Table24[[#All],[Year]:[Details]],ROWS(prem_analysis!$M$420:Q744),COLUMNS(Data!$Q$3:U327)))))),"")</f>
        <v/>
      </c>
      <c r="W326" s="1" t="str">
        <f>IFERROR(IF($Q$1=$P$3,INDEX(prem_analysis!$P$2:$Q$441,ROWS(Data!$P$2:V326),COLUMNS(Data!$P$3:U327)),IF($Q$1=$P$5,INDEX(prem_analysis!$BH$1:$BS$23,ROWS(Data!$Q$3:V327),COLUMNS(Data!$Q$3:V327)),IF($Q$1=$P$6,INDEX(prem_analysis!$BU$1:$CF$67,ROWS(prem_analysis!$N$2:S326),COLUMNS(prem_analysis!$N$2:S326)),IF($Q$1=$P$4,INDEX(Table24[[#All],[Year]:[Details]],ROWS(prem_analysis!$M$420:R744),COLUMNS(Data!$Q$3:V327)))))),"")</f>
        <v/>
      </c>
      <c r="X326" s="1" t="str">
        <f>IFERROR(IF($Q$1=$P$3,INDEX(prem_analysis!$P$2:$Q$441,ROWS(Data!$P$2:W326),COLUMNS(Data!$P$3:V327)),IF($Q$1=$P$5,INDEX(prem_analysis!$BH$1:$BS$23,ROWS(Data!$Q$3:W327),COLUMNS(Data!$Q$3:W327)),IF($Q$1=$P$6,INDEX(prem_analysis!$BU$1:$CF$67,ROWS(prem_analysis!$N$2:T326),COLUMNS(prem_analysis!$N$2:T326)),IF($Q$1=$P$4,INDEX(Table24[[#All],[Year]:[Details]],ROWS(prem_analysis!$M$420:S744),COLUMNS(Data!$Q$3:W327)))))),"")</f>
        <v/>
      </c>
      <c r="Y326" s="1" t="str">
        <f>IFERROR(IF($Q$1=$P$3,INDEX(prem_analysis!$P$2:$Q$441,ROWS(Data!$P$2:X326),COLUMNS(Data!$P$3:W327)),IF($Q$1=$P$5,INDEX(prem_analysis!$BH$1:$BS$23,ROWS(Data!$Q$3:X327),COLUMNS(Data!$Q$3:X327)),IF($Q$1=$P$6,INDEX(prem_analysis!$BU$1:$CF$67,ROWS(prem_analysis!$N$2:U326),COLUMNS(prem_analysis!$N$2:U326)),IF($Q$1=$P$4,INDEX(Table24[[#All],[Year]:[Details]],ROWS(prem_analysis!$M$420:T744),COLUMNS(Data!$Q$3:X327)))))),"")</f>
        <v/>
      </c>
      <c r="Z326" s="1" t="str">
        <f>IFERROR(IF($Q$1=$P$3,INDEX(prem_analysis!$P$2:$Q$441,ROWS(Data!$P$2:Y326),COLUMNS(Data!$P$3:X327)),IF($Q$1=$P$5,INDEX(prem_analysis!$BH$1:$BS$23,ROWS(Data!$Q$3:Y327),COLUMNS(Data!$Q$3:Y327)),IF($Q$1=$P$6,INDEX(prem_analysis!$BU$1:$CF$67,ROWS(prem_analysis!$N$2:V326),COLUMNS(prem_analysis!$N$2:V326)),IF($Q$1=$P$4,INDEX(Table24[[#All],[Year]:[Details]],ROWS(prem_analysis!$M$420:U744),COLUMNS(Data!$Q$3:Y327)))))),"")</f>
        <v/>
      </c>
      <c r="AA326" s="1" t="str">
        <f>IFERROR(IF($Q$1=$P$3,INDEX(prem_analysis!$P$2:$Q$441,ROWS(Data!$P$2:Z326),COLUMNS(Data!$P$3:Y327)),IF($Q$1=$P$5,INDEX(prem_analysis!$BH$1:$BS$23,ROWS(Data!$Q$3:Z327),COLUMNS(Data!$Q$3:Z327)),IF($Q$1=$P$6,INDEX(prem_analysis!$BU$1:$CF$67,ROWS(prem_analysis!$N$2:W326),COLUMNS(prem_analysis!$N$2:W326)),IF($Q$1=$P$4,INDEX(Table24[[#All],[Year]:[Details]],ROWS(prem_analysis!$M$420:V744),COLUMNS(Data!$Q$3:Z327)))))),"")</f>
        <v/>
      </c>
      <c r="AB326" s="1" t="str">
        <f>IFERROR(IF($Q$1=$P$3,INDEX(prem_analysis!$P$2:$Q$441,ROWS(Data!$P$2:AA326),COLUMNS(Data!$P$3:Z327)),IF($Q$1=$P$5,INDEX(prem_analysis!$BH$1:$BS$23,ROWS(Data!$Q$3:AA327),COLUMNS(Data!$Q$3:AA327)),IF($Q$1=$P$6,INDEX(prem_analysis!$BU$1:$CF$67,ROWS(prem_analysis!$N$2:X326),COLUMNS(prem_analysis!$N$2:X326)),IF($Q$1=$P$4,INDEX(Table24[[#All],[Year]:[Details]],ROWS(prem_analysis!$M$420:W744),COLUMNS(Data!$Q$3:AA327)))))),"")</f>
        <v/>
      </c>
      <c r="AC326" s="1" t="str">
        <f>IFERROR(IF($Q$1=$P$3,INDEX(prem_analysis!$P$2:$Q$441,ROWS(Data!$P$2:AB326),COLUMNS(Data!$P$3:AA327)),IF($Q$1=$P$5,INDEX(prem_analysis!$BH$1:$BS$23,ROWS(Data!$Q$3:AB327),COLUMNS(Data!$Q$3:AB327)),IF($Q$1=$P$6,INDEX(prem_analysis!$BU$1:$CF$67,ROWS(prem_analysis!$N$2:Y326),COLUMNS(prem_analysis!$N$2:Y326)),IF($Q$1=$P$4,INDEX(Table24[[#All],[Year]:[Details]],ROWS(prem_analysis!$M$420:X744),COLUMNS(Data!$Q$3:AB327)))))),"")</f>
        <v/>
      </c>
    </row>
    <row r="327" spans="1:29" x14ac:dyDescent="0.2">
      <c r="A327" s="5">
        <v>2016</v>
      </c>
      <c r="B327" s="5">
        <v>6</v>
      </c>
      <c r="C327" s="6" t="s">
        <v>11</v>
      </c>
      <c r="D327" s="5">
        <v>38</v>
      </c>
      <c r="E327" s="5">
        <v>18</v>
      </c>
      <c r="F327" s="5">
        <v>15</v>
      </c>
      <c r="G327" s="5">
        <v>5</v>
      </c>
      <c r="H327" s="5">
        <v>54</v>
      </c>
      <c r="I327" s="5">
        <v>29</v>
      </c>
      <c r="J327" s="5">
        <v>25</v>
      </c>
      <c r="K327" s="5">
        <v>69</v>
      </c>
      <c r="L327" s="5">
        <f>IF(Table24[[#This Row],['#]]=1,"Champion", IF(Table24[[#This Row],['#]]&gt;=18,"Relegated",Table24[[#This Row],['#]]))</f>
        <v>6</v>
      </c>
      <c r="M327" s="5" t="str">
        <f>IF(Table24[[#This Row],[Details]]=2,K326-Table24[[#This Row],[Pts]],IF(Table24[[#This Row],[Details]]=17,Table24[[#This Row],[Pts]]-K328,""))</f>
        <v/>
      </c>
      <c r="R327" s="1" t="str">
        <f>IFERROR(IF($Q$1=$P$3,INDEX(prem_analysis!$P$2:$Q$441,ROWS(Data!$P$2:Q327),COLUMNS(Data!$P$3:P328)),IF($Q$1=$P$5,INDEX(prem_analysis!$BH$1:$BS$23,ROWS(Data!$Q$3:Q328),COLUMNS(Data!$Q$3:Q328)),IF($Q$1=$P$6,INDEX(prem_analysis!$BU$1:$CF$67,ROWS(prem_analysis!$N$2:N327),COLUMNS(prem_analysis!$N$2:N327)),IF($Q$1=$P$4,INDEX(Table24[[#All],[Year]:[Details]],ROWS(prem_analysis!$M$420:M745),COLUMNS(Data!$Q$3:Q328)))))),"")</f>
        <v/>
      </c>
      <c r="S327" s="1" t="str">
        <f>IFERROR(IF($Q$1=$P$3,INDEX(prem_analysis!$P$2:$Q$441,ROWS(Data!$P$2:R327),COLUMNS(Data!$P$3:Q328)),IF($Q$1=$P$5,INDEX(prem_analysis!$BH$1:$BS$23,ROWS(Data!$Q$3:R328),COLUMNS(Data!$Q$3:R328)),IF($Q$1=$P$6,INDEX(prem_analysis!$BU$1:$CF$67,ROWS(prem_analysis!$N$2:O327),COLUMNS(prem_analysis!$N$2:O327)),IF($Q$1=$P$4,INDEX(Table24[[#All],[Year]:[Details]],ROWS(prem_analysis!$M$420:N745),COLUMNS(Data!$Q$3:R328)))))),"")</f>
        <v/>
      </c>
      <c r="T327" s="1" t="str">
        <f>IFERROR(IF($Q$1=$P$3,INDEX(prem_analysis!$P$2:$Q$441,ROWS(Data!$P$2:S327),COLUMNS(Data!$P$3:R328)),IF($Q$1=$P$5,INDEX(prem_analysis!$BH$1:$BS$23,ROWS(Data!$Q$3:S328),COLUMNS(Data!$Q$3:S328)),IF($Q$1=$P$6,INDEX(prem_analysis!$BU$1:$CF$67,ROWS(prem_analysis!$N$2:P327),COLUMNS(prem_analysis!$N$2:P327)),IF($Q$1=$P$4,INDEX(Table24[[#All],[Year]:[Details]],ROWS(prem_analysis!$M$420:O745),COLUMNS(Data!$Q$3:S328)))))),"")</f>
        <v/>
      </c>
      <c r="U327" s="1" t="str">
        <f>IFERROR(IF($Q$1=$P$3,INDEX(prem_analysis!$P$2:$Q$441,ROWS(Data!$P$2:T327),COLUMNS(Data!$P$3:S328)),IF($Q$1=$P$5,INDEX(prem_analysis!$BH$1:$BS$23,ROWS(Data!$Q$3:T328),COLUMNS(Data!$Q$3:T328)),IF($Q$1=$P$6,INDEX(prem_analysis!$BU$1:$CF$67,ROWS(prem_analysis!$N$2:Q327),COLUMNS(prem_analysis!$N$2:Q327)),IF($Q$1=$P$4,INDEX(Table24[[#All],[Year]:[Details]],ROWS(prem_analysis!$M$420:P745),COLUMNS(Data!$Q$3:T328)))))),"")</f>
        <v/>
      </c>
      <c r="V327" s="1" t="str">
        <f>IFERROR(IF($Q$1=$P$3,INDEX(prem_analysis!$P$2:$Q$441,ROWS(Data!$P$2:U327),COLUMNS(Data!$P$3:T328)),IF($Q$1=$P$5,INDEX(prem_analysis!$BH$1:$BS$23,ROWS(Data!$Q$3:U328),COLUMNS(Data!$Q$3:U328)),IF($Q$1=$P$6,INDEX(prem_analysis!$BU$1:$CF$67,ROWS(prem_analysis!$N$2:R327),COLUMNS(prem_analysis!$N$2:R327)),IF($Q$1=$P$4,INDEX(Table24[[#All],[Year]:[Details]],ROWS(prem_analysis!$M$420:Q745),COLUMNS(Data!$Q$3:U328)))))),"")</f>
        <v/>
      </c>
      <c r="W327" s="1" t="str">
        <f>IFERROR(IF($Q$1=$P$3,INDEX(prem_analysis!$P$2:$Q$441,ROWS(Data!$P$2:V327),COLUMNS(Data!$P$3:U328)),IF($Q$1=$P$5,INDEX(prem_analysis!$BH$1:$BS$23,ROWS(Data!$Q$3:V328),COLUMNS(Data!$Q$3:V328)),IF($Q$1=$P$6,INDEX(prem_analysis!$BU$1:$CF$67,ROWS(prem_analysis!$N$2:S327),COLUMNS(prem_analysis!$N$2:S327)),IF($Q$1=$P$4,INDEX(Table24[[#All],[Year]:[Details]],ROWS(prem_analysis!$M$420:R745),COLUMNS(Data!$Q$3:V328)))))),"")</f>
        <v/>
      </c>
      <c r="X327" s="1" t="str">
        <f>IFERROR(IF($Q$1=$P$3,INDEX(prem_analysis!$P$2:$Q$441,ROWS(Data!$P$2:W327),COLUMNS(Data!$P$3:V328)),IF($Q$1=$P$5,INDEX(prem_analysis!$BH$1:$BS$23,ROWS(Data!$Q$3:W328),COLUMNS(Data!$Q$3:W328)),IF($Q$1=$P$6,INDEX(prem_analysis!$BU$1:$CF$67,ROWS(prem_analysis!$N$2:T327),COLUMNS(prem_analysis!$N$2:T327)),IF($Q$1=$P$4,INDEX(Table24[[#All],[Year]:[Details]],ROWS(prem_analysis!$M$420:S745),COLUMNS(Data!$Q$3:W328)))))),"")</f>
        <v/>
      </c>
      <c r="Y327" s="1" t="str">
        <f>IFERROR(IF($Q$1=$P$3,INDEX(prem_analysis!$P$2:$Q$441,ROWS(Data!$P$2:X327),COLUMNS(Data!$P$3:W328)),IF($Q$1=$P$5,INDEX(prem_analysis!$BH$1:$BS$23,ROWS(Data!$Q$3:X328),COLUMNS(Data!$Q$3:X328)),IF($Q$1=$P$6,INDEX(prem_analysis!$BU$1:$CF$67,ROWS(prem_analysis!$N$2:U327),COLUMNS(prem_analysis!$N$2:U327)),IF($Q$1=$P$4,INDEX(Table24[[#All],[Year]:[Details]],ROWS(prem_analysis!$M$420:T745),COLUMNS(Data!$Q$3:X328)))))),"")</f>
        <v/>
      </c>
      <c r="Z327" s="1" t="str">
        <f>IFERROR(IF($Q$1=$P$3,INDEX(prem_analysis!$P$2:$Q$441,ROWS(Data!$P$2:Y327),COLUMNS(Data!$P$3:X328)),IF($Q$1=$P$5,INDEX(prem_analysis!$BH$1:$BS$23,ROWS(Data!$Q$3:Y328),COLUMNS(Data!$Q$3:Y328)),IF($Q$1=$P$6,INDEX(prem_analysis!$BU$1:$CF$67,ROWS(prem_analysis!$N$2:V327),COLUMNS(prem_analysis!$N$2:V327)),IF($Q$1=$P$4,INDEX(Table24[[#All],[Year]:[Details]],ROWS(prem_analysis!$M$420:U745),COLUMNS(Data!$Q$3:Y328)))))),"")</f>
        <v/>
      </c>
      <c r="AA327" s="1" t="str">
        <f>IFERROR(IF($Q$1=$P$3,INDEX(prem_analysis!$P$2:$Q$441,ROWS(Data!$P$2:Z327),COLUMNS(Data!$P$3:Y328)),IF($Q$1=$P$5,INDEX(prem_analysis!$BH$1:$BS$23,ROWS(Data!$Q$3:Z328),COLUMNS(Data!$Q$3:Z328)),IF($Q$1=$P$6,INDEX(prem_analysis!$BU$1:$CF$67,ROWS(prem_analysis!$N$2:W327),COLUMNS(prem_analysis!$N$2:W327)),IF($Q$1=$P$4,INDEX(Table24[[#All],[Year]:[Details]],ROWS(prem_analysis!$M$420:V745),COLUMNS(Data!$Q$3:Z328)))))),"")</f>
        <v/>
      </c>
      <c r="AB327" s="1" t="str">
        <f>IFERROR(IF($Q$1=$P$3,INDEX(prem_analysis!$P$2:$Q$441,ROWS(Data!$P$2:AA327),COLUMNS(Data!$P$3:Z328)),IF($Q$1=$P$5,INDEX(prem_analysis!$BH$1:$BS$23,ROWS(Data!$Q$3:AA328),COLUMNS(Data!$Q$3:AA328)),IF($Q$1=$P$6,INDEX(prem_analysis!$BU$1:$CF$67,ROWS(prem_analysis!$N$2:X327),COLUMNS(prem_analysis!$N$2:X327)),IF($Q$1=$P$4,INDEX(Table24[[#All],[Year]:[Details]],ROWS(prem_analysis!$M$420:W745),COLUMNS(Data!$Q$3:AA328)))))),"")</f>
        <v/>
      </c>
      <c r="AC327" s="1" t="str">
        <f>IFERROR(IF($Q$1=$P$3,INDEX(prem_analysis!$P$2:$Q$441,ROWS(Data!$P$2:AB327),COLUMNS(Data!$P$3:AA328)),IF($Q$1=$P$5,INDEX(prem_analysis!$BH$1:$BS$23,ROWS(Data!$Q$3:AB328),COLUMNS(Data!$Q$3:AB328)),IF($Q$1=$P$6,INDEX(prem_analysis!$BU$1:$CF$67,ROWS(prem_analysis!$N$2:Y327),COLUMNS(prem_analysis!$N$2:Y327)),IF($Q$1=$P$4,INDEX(Table24[[#All],[Year]:[Details]],ROWS(prem_analysis!$M$420:X745),COLUMNS(Data!$Q$3:AB328)))))),"")</f>
        <v/>
      </c>
    </row>
    <row r="328" spans="1:29" x14ac:dyDescent="0.2">
      <c r="A328" s="3">
        <v>2016</v>
      </c>
      <c r="B328" s="3">
        <v>7</v>
      </c>
      <c r="C328" s="4" t="s">
        <v>26</v>
      </c>
      <c r="D328" s="3">
        <v>38</v>
      </c>
      <c r="E328" s="3">
        <v>17</v>
      </c>
      <c r="F328" s="3">
        <v>10</v>
      </c>
      <c r="G328" s="3">
        <v>11</v>
      </c>
      <c r="H328" s="3">
        <v>62</v>
      </c>
      <c r="I328" s="3">
        <v>44</v>
      </c>
      <c r="J328" s="3">
        <v>18</v>
      </c>
      <c r="K328" s="3">
        <v>61</v>
      </c>
      <c r="L328" s="5">
        <f>IF(Table24[[#This Row],['#]]=1,"Champion", IF(Table24[[#This Row],['#]]&gt;=18,"Relegated",Table24[[#This Row],['#]]))</f>
        <v>7</v>
      </c>
      <c r="M328" s="5" t="str">
        <f>IF(Table24[[#This Row],[Details]]=2,K327-Table24[[#This Row],[Pts]],IF(Table24[[#This Row],[Details]]=17,Table24[[#This Row],[Pts]]-K329,""))</f>
        <v/>
      </c>
      <c r="R328" s="1" t="str">
        <f>IFERROR(IF($Q$1=$P$3,INDEX(prem_analysis!$P$2:$Q$441,ROWS(Data!$P$2:Q328),COLUMNS(Data!$P$3:P329)),IF($Q$1=$P$5,INDEX(prem_analysis!$BH$1:$BS$23,ROWS(Data!$Q$3:Q329),COLUMNS(Data!$Q$3:Q329)),IF($Q$1=$P$6,INDEX(prem_analysis!$BU$1:$CF$67,ROWS(prem_analysis!$N$2:N328),COLUMNS(prem_analysis!$N$2:N328)),IF($Q$1=$P$4,INDEX(Table24[[#All],[Year]:[Details]],ROWS(prem_analysis!$M$420:M746),COLUMNS(Data!$Q$3:Q329)))))),"")</f>
        <v/>
      </c>
      <c r="S328" s="1" t="str">
        <f>IFERROR(IF($Q$1=$P$3,INDEX(prem_analysis!$P$2:$Q$441,ROWS(Data!$P$2:R328),COLUMNS(Data!$P$3:Q329)),IF($Q$1=$P$5,INDEX(prem_analysis!$BH$1:$BS$23,ROWS(Data!$Q$3:R329),COLUMNS(Data!$Q$3:R329)),IF($Q$1=$P$6,INDEX(prem_analysis!$BU$1:$CF$67,ROWS(prem_analysis!$N$2:O328),COLUMNS(prem_analysis!$N$2:O328)),IF($Q$1=$P$4,INDEX(Table24[[#All],[Year]:[Details]],ROWS(prem_analysis!$M$420:N746),COLUMNS(Data!$Q$3:R329)))))),"")</f>
        <v/>
      </c>
      <c r="T328" s="1" t="str">
        <f>IFERROR(IF($Q$1=$P$3,INDEX(prem_analysis!$P$2:$Q$441,ROWS(Data!$P$2:S328),COLUMNS(Data!$P$3:R329)),IF($Q$1=$P$5,INDEX(prem_analysis!$BH$1:$BS$23,ROWS(Data!$Q$3:S329),COLUMNS(Data!$Q$3:S329)),IF($Q$1=$P$6,INDEX(prem_analysis!$BU$1:$CF$67,ROWS(prem_analysis!$N$2:P328),COLUMNS(prem_analysis!$N$2:P328)),IF($Q$1=$P$4,INDEX(Table24[[#All],[Year]:[Details]],ROWS(prem_analysis!$M$420:O746),COLUMNS(Data!$Q$3:S329)))))),"")</f>
        <v/>
      </c>
      <c r="U328" s="1" t="str">
        <f>IFERROR(IF($Q$1=$P$3,INDEX(prem_analysis!$P$2:$Q$441,ROWS(Data!$P$2:T328),COLUMNS(Data!$P$3:S329)),IF($Q$1=$P$5,INDEX(prem_analysis!$BH$1:$BS$23,ROWS(Data!$Q$3:T329),COLUMNS(Data!$Q$3:T329)),IF($Q$1=$P$6,INDEX(prem_analysis!$BU$1:$CF$67,ROWS(prem_analysis!$N$2:Q328),COLUMNS(prem_analysis!$N$2:Q328)),IF($Q$1=$P$4,INDEX(Table24[[#All],[Year]:[Details]],ROWS(prem_analysis!$M$420:P746),COLUMNS(Data!$Q$3:T329)))))),"")</f>
        <v/>
      </c>
      <c r="V328" s="1" t="str">
        <f>IFERROR(IF($Q$1=$P$3,INDEX(prem_analysis!$P$2:$Q$441,ROWS(Data!$P$2:U328),COLUMNS(Data!$P$3:T329)),IF($Q$1=$P$5,INDEX(prem_analysis!$BH$1:$BS$23,ROWS(Data!$Q$3:U329),COLUMNS(Data!$Q$3:U329)),IF($Q$1=$P$6,INDEX(prem_analysis!$BU$1:$CF$67,ROWS(prem_analysis!$N$2:R328),COLUMNS(prem_analysis!$N$2:R328)),IF($Q$1=$P$4,INDEX(Table24[[#All],[Year]:[Details]],ROWS(prem_analysis!$M$420:Q746),COLUMNS(Data!$Q$3:U329)))))),"")</f>
        <v/>
      </c>
      <c r="W328" s="1" t="str">
        <f>IFERROR(IF($Q$1=$P$3,INDEX(prem_analysis!$P$2:$Q$441,ROWS(Data!$P$2:V328),COLUMNS(Data!$P$3:U329)),IF($Q$1=$P$5,INDEX(prem_analysis!$BH$1:$BS$23,ROWS(Data!$Q$3:V329),COLUMNS(Data!$Q$3:V329)),IF($Q$1=$P$6,INDEX(prem_analysis!$BU$1:$CF$67,ROWS(prem_analysis!$N$2:S328),COLUMNS(prem_analysis!$N$2:S328)),IF($Q$1=$P$4,INDEX(Table24[[#All],[Year]:[Details]],ROWS(prem_analysis!$M$420:R746),COLUMNS(Data!$Q$3:V329)))))),"")</f>
        <v/>
      </c>
      <c r="X328" s="1" t="str">
        <f>IFERROR(IF($Q$1=$P$3,INDEX(prem_analysis!$P$2:$Q$441,ROWS(Data!$P$2:W328),COLUMNS(Data!$P$3:V329)),IF($Q$1=$P$5,INDEX(prem_analysis!$BH$1:$BS$23,ROWS(Data!$Q$3:W329),COLUMNS(Data!$Q$3:W329)),IF($Q$1=$P$6,INDEX(prem_analysis!$BU$1:$CF$67,ROWS(prem_analysis!$N$2:T328),COLUMNS(prem_analysis!$N$2:T328)),IF($Q$1=$P$4,INDEX(Table24[[#All],[Year]:[Details]],ROWS(prem_analysis!$M$420:S746),COLUMNS(Data!$Q$3:W329)))))),"")</f>
        <v/>
      </c>
      <c r="Y328" s="1" t="str">
        <f>IFERROR(IF($Q$1=$P$3,INDEX(prem_analysis!$P$2:$Q$441,ROWS(Data!$P$2:X328),COLUMNS(Data!$P$3:W329)),IF($Q$1=$P$5,INDEX(prem_analysis!$BH$1:$BS$23,ROWS(Data!$Q$3:X329),COLUMNS(Data!$Q$3:X329)),IF($Q$1=$P$6,INDEX(prem_analysis!$BU$1:$CF$67,ROWS(prem_analysis!$N$2:U328),COLUMNS(prem_analysis!$N$2:U328)),IF($Q$1=$P$4,INDEX(Table24[[#All],[Year]:[Details]],ROWS(prem_analysis!$M$420:T746),COLUMNS(Data!$Q$3:X329)))))),"")</f>
        <v/>
      </c>
      <c r="Z328" s="1" t="str">
        <f>IFERROR(IF($Q$1=$P$3,INDEX(prem_analysis!$P$2:$Q$441,ROWS(Data!$P$2:Y328),COLUMNS(Data!$P$3:X329)),IF($Q$1=$P$5,INDEX(prem_analysis!$BH$1:$BS$23,ROWS(Data!$Q$3:Y329),COLUMNS(Data!$Q$3:Y329)),IF($Q$1=$P$6,INDEX(prem_analysis!$BU$1:$CF$67,ROWS(prem_analysis!$N$2:V328),COLUMNS(prem_analysis!$N$2:V328)),IF($Q$1=$P$4,INDEX(Table24[[#All],[Year]:[Details]],ROWS(prem_analysis!$M$420:U746),COLUMNS(Data!$Q$3:Y329)))))),"")</f>
        <v/>
      </c>
      <c r="AA328" s="1" t="str">
        <f>IFERROR(IF($Q$1=$P$3,INDEX(prem_analysis!$P$2:$Q$441,ROWS(Data!$P$2:Z328),COLUMNS(Data!$P$3:Y329)),IF($Q$1=$P$5,INDEX(prem_analysis!$BH$1:$BS$23,ROWS(Data!$Q$3:Z329),COLUMNS(Data!$Q$3:Z329)),IF($Q$1=$P$6,INDEX(prem_analysis!$BU$1:$CF$67,ROWS(prem_analysis!$N$2:W328),COLUMNS(prem_analysis!$N$2:W328)),IF($Q$1=$P$4,INDEX(Table24[[#All],[Year]:[Details]],ROWS(prem_analysis!$M$420:V746),COLUMNS(Data!$Q$3:Z329)))))),"")</f>
        <v/>
      </c>
      <c r="AB328" s="1" t="str">
        <f>IFERROR(IF($Q$1=$P$3,INDEX(prem_analysis!$P$2:$Q$441,ROWS(Data!$P$2:AA328),COLUMNS(Data!$P$3:Z329)),IF($Q$1=$P$5,INDEX(prem_analysis!$BH$1:$BS$23,ROWS(Data!$Q$3:AA329),COLUMNS(Data!$Q$3:AA329)),IF($Q$1=$P$6,INDEX(prem_analysis!$BU$1:$CF$67,ROWS(prem_analysis!$N$2:X328),COLUMNS(prem_analysis!$N$2:X328)),IF($Q$1=$P$4,INDEX(Table24[[#All],[Year]:[Details]],ROWS(prem_analysis!$M$420:W746),COLUMNS(Data!$Q$3:AA329)))))),"")</f>
        <v/>
      </c>
      <c r="AC328" s="1" t="str">
        <f>IFERROR(IF($Q$1=$P$3,INDEX(prem_analysis!$P$2:$Q$441,ROWS(Data!$P$2:AB328),COLUMNS(Data!$P$3:AA329)),IF($Q$1=$P$5,INDEX(prem_analysis!$BH$1:$BS$23,ROWS(Data!$Q$3:AB329),COLUMNS(Data!$Q$3:AB329)),IF($Q$1=$P$6,INDEX(prem_analysis!$BU$1:$CF$67,ROWS(prem_analysis!$N$2:Y328),COLUMNS(prem_analysis!$N$2:Y328)),IF($Q$1=$P$4,INDEX(Table24[[#All],[Year]:[Details]],ROWS(prem_analysis!$M$420:X746),COLUMNS(Data!$Q$3:AB329)))))),"")</f>
        <v/>
      </c>
    </row>
    <row r="329" spans="1:29" x14ac:dyDescent="0.2">
      <c r="A329" s="5">
        <v>2016</v>
      </c>
      <c r="B329" s="5">
        <v>8</v>
      </c>
      <c r="C329" s="6" t="s">
        <v>20</v>
      </c>
      <c r="D329" s="5">
        <v>38</v>
      </c>
      <c r="E329" s="5">
        <v>12</v>
      </c>
      <c r="F329" s="5">
        <v>10</v>
      </c>
      <c r="G329" s="5">
        <v>16</v>
      </c>
      <c r="H329" s="5">
        <v>41</v>
      </c>
      <c r="I329" s="5">
        <v>48</v>
      </c>
      <c r="J329" s="5">
        <v>-7</v>
      </c>
      <c r="K329" s="5">
        <v>46</v>
      </c>
      <c r="L329" s="5">
        <f>IF(Table24[[#This Row],['#]]=1,"Champion", IF(Table24[[#This Row],['#]]&gt;=18,"Relegated",Table24[[#This Row],['#]]))</f>
        <v>8</v>
      </c>
      <c r="M329" s="5" t="str">
        <f>IF(Table24[[#This Row],[Details]]=2,K328-Table24[[#This Row],[Pts]],IF(Table24[[#This Row],[Details]]=17,Table24[[#This Row],[Pts]]-K330,""))</f>
        <v/>
      </c>
      <c r="R329" s="1" t="str">
        <f>IFERROR(IF($Q$1=$P$3,INDEX(prem_analysis!$P$2:$Q$441,ROWS(Data!$P$2:Q329),COLUMNS(Data!$P$3:P330)),IF($Q$1=$P$5,INDEX(prem_analysis!$BH$1:$BS$23,ROWS(Data!$Q$3:Q330),COLUMNS(Data!$Q$3:Q330)),IF($Q$1=$P$6,INDEX(prem_analysis!$BU$1:$CF$67,ROWS(prem_analysis!$N$2:N329),COLUMNS(prem_analysis!$N$2:N329)),IF($Q$1=$P$4,INDEX(Table24[[#All],[Year]:[Details]],ROWS(prem_analysis!$M$420:M747),COLUMNS(Data!$Q$3:Q330)))))),"")</f>
        <v/>
      </c>
      <c r="S329" s="1" t="str">
        <f>IFERROR(IF($Q$1=$P$3,INDEX(prem_analysis!$P$2:$Q$441,ROWS(Data!$P$2:R329),COLUMNS(Data!$P$3:Q330)),IF($Q$1=$P$5,INDEX(prem_analysis!$BH$1:$BS$23,ROWS(Data!$Q$3:R330),COLUMNS(Data!$Q$3:R330)),IF($Q$1=$P$6,INDEX(prem_analysis!$BU$1:$CF$67,ROWS(prem_analysis!$N$2:O329),COLUMNS(prem_analysis!$N$2:O329)),IF($Q$1=$P$4,INDEX(Table24[[#All],[Year]:[Details]],ROWS(prem_analysis!$M$420:N747),COLUMNS(Data!$Q$3:R330)))))),"")</f>
        <v/>
      </c>
      <c r="T329" s="1" t="str">
        <f>IFERROR(IF($Q$1=$P$3,INDEX(prem_analysis!$P$2:$Q$441,ROWS(Data!$P$2:S329),COLUMNS(Data!$P$3:R330)),IF($Q$1=$P$5,INDEX(prem_analysis!$BH$1:$BS$23,ROWS(Data!$Q$3:S330),COLUMNS(Data!$Q$3:S330)),IF($Q$1=$P$6,INDEX(prem_analysis!$BU$1:$CF$67,ROWS(prem_analysis!$N$2:P329),COLUMNS(prem_analysis!$N$2:P329)),IF($Q$1=$P$4,INDEX(Table24[[#All],[Year]:[Details]],ROWS(prem_analysis!$M$420:O747),COLUMNS(Data!$Q$3:S330)))))),"")</f>
        <v/>
      </c>
      <c r="U329" s="1" t="str">
        <f>IFERROR(IF($Q$1=$P$3,INDEX(prem_analysis!$P$2:$Q$441,ROWS(Data!$P$2:T329),COLUMNS(Data!$P$3:S330)),IF($Q$1=$P$5,INDEX(prem_analysis!$BH$1:$BS$23,ROWS(Data!$Q$3:T330),COLUMNS(Data!$Q$3:T330)),IF($Q$1=$P$6,INDEX(prem_analysis!$BU$1:$CF$67,ROWS(prem_analysis!$N$2:Q329),COLUMNS(prem_analysis!$N$2:Q329)),IF($Q$1=$P$4,INDEX(Table24[[#All],[Year]:[Details]],ROWS(prem_analysis!$M$420:P747),COLUMNS(Data!$Q$3:T330)))))),"")</f>
        <v/>
      </c>
      <c r="V329" s="1" t="str">
        <f>IFERROR(IF($Q$1=$P$3,INDEX(prem_analysis!$P$2:$Q$441,ROWS(Data!$P$2:U329),COLUMNS(Data!$P$3:T330)),IF($Q$1=$P$5,INDEX(prem_analysis!$BH$1:$BS$23,ROWS(Data!$Q$3:U330),COLUMNS(Data!$Q$3:U330)),IF($Q$1=$P$6,INDEX(prem_analysis!$BU$1:$CF$67,ROWS(prem_analysis!$N$2:R329),COLUMNS(prem_analysis!$N$2:R329)),IF($Q$1=$P$4,INDEX(Table24[[#All],[Year]:[Details]],ROWS(prem_analysis!$M$420:Q747),COLUMNS(Data!$Q$3:U330)))))),"")</f>
        <v/>
      </c>
      <c r="W329" s="1" t="str">
        <f>IFERROR(IF($Q$1=$P$3,INDEX(prem_analysis!$P$2:$Q$441,ROWS(Data!$P$2:V329),COLUMNS(Data!$P$3:U330)),IF($Q$1=$P$5,INDEX(prem_analysis!$BH$1:$BS$23,ROWS(Data!$Q$3:V330),COLUMNS(Data!$Q$3:V330)),IF($Q$1=$P$6,INDEX(prem_analysis!$BU$1:$CF$67,ROWS(prem_analysis!$N$2:S329),COLUMNS(prem_analysis!$N$2:S329)),IF($Q$1=$P$4,INDEX(Table24[[#All],[Year]:[Details]],ROWS(prem_analysis!$M$420:R747),COLUMNS(Data!$Q$3:V330)))))),"")</f>
        <v/>
      </c>
      <c r="X329" s="1" t="str">
        <f>IFERROR(IF($Q$1=$P$3,INDEX(prem_analysis!$P$2:$Q$441,ROWS(Data!$P$2:W329),COLUMNS(Data!$P$3:V330)),IF($Q$1=$P$5,INDEX(prem_analysis!$BH$1:$BS$23,ROWS(Data!$Q$3:W330),COLUMNS(Data!$Q$3:W330)),IF($Q$1=$P$6,INDEX(prem_analysis!$BU$1:$CF$67,ROWS(prem_analysis!$N$2:T329),COLUMNS(prem_analysis!$N$2:T329)),IF($Q$1=$P$4,INDEX(Table24[[#All],[Year]:[Details]],ROWS(prem_analysis!$M$420:S747),COLUMNS(Data!$Q$3:W330)))))),"")</f>
        <v/>
      </c>
      <c r="Y329" s="1" t="str">
        <f>IFERROR(IF($Q$1=$P$3,INDEX(prem_analysis!$P$2:$Q$441,ROWS(Data!$P$2:X329),COLUMNS(Data!$P$3:W330)),IF($Q$1=$P$5,INDEX(prem_analysis!$BH$1:$BS$23,ROWS(Data!$Q$3:X330),COLUMNS(Data!$Q$3:X330)),IF($Q$1=$P$6,INDEX(prem_analysis!$BU$1:$CF$67,ROWS(prem_analysis!$N$2:U329),COLUMNS(prem_analysis!$N$2:U329)),IF($Q$1=$P$4,INDEX(Table24[[#All],[Year]:[Details]],ROWS(prem_analysis!$M$420:T747),COLUMNS(Data!$Q$3:X330)))))),"")</f>
        <v/>
      </c>
      <c r="Z329" s="1" t="str">
        <f>IFERROR(IF($Q$1=$P$3,INDEX(prem_analysis!$P$2:$Q$441,ROWS(Data!$P$2:Y329),COLUMNS(Data!$P$3:X330)),IF($Q$1=$P$5,INDEX(prem_analysis!$BH$1:$BS$23,ROWS(Data!$Q$3:Y330),COLUMNS(Data!$Q$3:Y330)),IF($Q$1=$P$6,INDEX(prem_analysis!$BU$1:$CF$67,ROWS(prem_analysis!$N$2:V329),COLUMNS(prem_analysis!$N$2:V329)),IF($Q$1=$P$4,INDEX(Table24[[#All],[Year]:[Details]],ROWS(prem_analysis!$M$420:U747),COLUMNS(Data!$Q$3:Y330)))))),"")</f>
        <v/>
      </c>
      <c r="AA329" s="1" t="str">
        <f>IFERROR(IF($Q$1=$P$3,INDEX(prem_analysis!$P$2:$Q$441,ROWS(Data!$P$2:Z329),COLUMNS(Data!$P$3:Y330)),IF($Q$1=$P$5,INDEX(prem_analysis!$BH$1:$BS$23,ROWS(Data!$Q$3:Z330),COLUMNS(Data!$Q$3:Z330)),IF($Q$1=$P$6,INDEX(prem_analysis!$BU$1:$CF$67,ROWS(prem_analysis!$N$2:W329),COLUMNS(prem_analysis!$N$2:W329)),IF($Q$1=$P$4,INDEX(Table24[[#All],[Year]:[Details]],ROWS(prem_analysis!$M$420:V747),COLUMNS(Data!$Q$3:Z330)))))),"")</f>
        <v/>
      </c>
      <c r="AB329" s="1" t="str">
        <f>IFERROR(IF($Q$1=$P$3,INDEX(prem_analysis!$P$2:$Q$441,ROWS(Data!$P$2:AA329),COLUMNS(Data!$P$3:Z330)),IF($Q$1=$P$5,INDEX(prem_analysis!$BH$1:$BS$23,ROWS(Data!$Q$3:AA330),COLUMNS(Data!$Q$3:AA330)),IF($Q$1=$P$6,INDEX(prem_analysis!$BU$1:$CF$67,ROWS(prem_analysis!$N$2:X329),COLUMNS(prem_analysis!$N$2:X329)),IF($Q$1=$P$4,INDEX(Table24[[#All],[Year]:[Details]],ROWS(prem_analysis!$M$420:W747),COLUMNS(Data!$Q$3:AA330)))))),"")</f>
        <v/>
      </c>
      <c r="AC329" s="1" t="str">
        <f>IFERROR(IF($Q$1=$P$3,INDEX(prem_analysis!$P$2:$Q$441,ROWS(Data!$P$2:AB329),COLUMNS(Data!$P$3:AA330)),IF($Q$1=$P$5,INDEX(prem_analysis!$BH$1:$BS$23,ROWS(Data!$Q$3:AB330),COLUMNS(Data!$Q$3:AB330)),IF($Q$1=$P$6,INDEX(prem_analysis!$BU$1:$CF$67,ROWS(prem_analysis!$N$2:Y329),COLUMNS(prem_analysis!$N$2:Y329)),IF($Q$1=$P$4,INDEX(Table24[[#All],[Year]:[Details]],ROWS(prem_analysis!$M$420:X747),COLUMNS(Data!$Q$3:AB330)))))),"")</f>
        <v/>
      </c>
    </row>
    <row r="330" spans="1:29" x14ac:dyDescent="0.2">
      <c r="A330" s="3">
        <v>2016</v>
      </c>
      <c r="B330" s="3">
        <v>9</v>
      </c>
      <c r="C330" s="4" t="s">
        <v>51</v>
      </c>
      <c r="D330" s="3">
        <v>38</v>
      </c>
      <c r="E330" s="3">
        <v>12</v>
      </c>
      <c r="F330" s="3">
        <v>10</v>
      </c>
      <c r="G330" s="3">
        <v>16</v>
      </c>
      <c r="H330" s="3">
        <v>55</v>
      </c>
      <c r="I330" s="3">
        <v>67</v>
      </c>
      <c r="J330" s="3">
        <v>-12</v>
      </c>
      <c r="K330" s="3">
        <v>46</v>
      </c>
      <c r="L330" s="5">
        <f>IF(Table24[[#This Row],['#]]=1,"Champion", IF(Table24[[#This Row],['#]]&gt;=18,"Relegated",Table24[[#This Row],['#]]))</f>
        <v>9</v>
      </c>
      <c r="M330" s="5" t="str">
        <f>IF(Table24[[#This Row],[Details]]=2,K329-Table24[[#This Row],[Pts]],IF(Table24[[#This Row],[Details]]=17,Table24[[#This Row],[Pts]]-K331,""))</f>
        <v/>
      </c>
      <c r="R330" s="1" t="str">
        <f>IFERROR(IF($Q$1=$P$3,INDEX(prem_analysis!$P$2:$Q$441,ROWS(Data!$P$2:Q330),COLUMNS(Data!$P$3:P331)),IF($Q$1=$P$5,INDEX(prem_analysis!$BH$1:$BS$23,ROWS(Data!$Q$3:Q331),COLUMNS(Data!$Q$3:Q331)),IF($Q$1=$P$6,INDEX(prem_analysis!$BU$1:$CF$67,ROWS(prem_analysis!$N$2:N330),COLUMNS(prem_analysis!$N$2:N330)),IF($Q$1=$P$4,INDEX(Table24[[#All],[Year]:[Details]],ROWS(prem_analysis!$M$420:M748),COLUMNS(Data!$Q$3:Q331)))))),"")</f>
        <v/>
      </c>
      <c r="S330" s="1" t="str">
        <f>IFERROR(IF($Q$1=$P$3,INDEX(prem_analysis!$P$2:$Q$441,ROWS(Data!$P$2:R330),COLUMNS(Data!$P$3:Q331)),IF($Q$1=$P$5,INDEX(prem_analysis!$BH$1:$BS$23,ROWS(Data!$Q$3:R331),COLUMNS(Data!$Q$3:R331)),IF($Q$1=$P$6,INDEX(prem_analysis!$BU$1:$CF$67,ROWS(prem_analysis!$N$2:O330),COLUMNS(prem_analysis!$N$2:O330)),IF($Q$1=$P$4,INDEX(Table24[[#All],[Year]:[Details]],ROWS(prem_analysis!$M$420:N748),COLUMNS(Data!$Q$3:R331)))))),"")</f>
        <v/>
      </c>
      <c r="T330" s="1" t="str">
        <f>IFERROR(IF($Q$1=$P$3,INDEX(prem_analysis!$P$2:$Q$441,ROWS(Data!$P$2:S330),COLUMNS(Data!$P$3:R331)),IF($Q$1=$P$5,INDEX(prem_analysis!$BH$1:$BS$23,ROWS(Data!$Q$3:S331),COLUMNS(Data!$Q$3:S331)),IF($Q$1=$P$6,INDEX(prem_analysis!$BU$1:$CF$67,ROWS(prem_analysis!$N$2:P330),COLUMNS(prem_analysis!$N$2:P330)),IF($Q$1=$P$4,INDEX(Table24[[#All],[Year]:[Details]],ROWS(prem_analysis!$M$420:O748),COLUMNS(Data!$Q$3:S331)))))),"")</f>
        <v/>
      </c>
      <c r="U330" s="1" t="str">
        <f>IFERROR(IF($Q$1=$P$3,INDEX(prem_analysis!$P$2:$Q$441,ROWS(Data!$P$2:T330),COLUMNS(Data!$P$3:S331)),IF($Q$1=$P$5,INDEX(prem_analysis!$BH$1:$BS$23,ROWS(Data!$Q$3:T331),COLUMNS(Data!$Q$3:T331)),IF($Q$1=$P$6,INDEX(prem_analysis!$BU$1:$CF$67,ROWS(prem_analysis!$N$2:Q330),COLUMNS(prem_analysis!$N$2:Q330)),IF($Q$1=$P$4,INDEX(Table24[[#All],[Year]:[Details]],ROWS(prem_analysis!$M$420:P748),COLUMNS(Data!$Q$3:T331)))))),"")</f>
        <v/>
      </c>
      <c r="V330" s="1" t="str">
        <f>IFERROR(IF($Q$1=$P$3,INDEX(prem_analysis!$P$2:$Q$441,ROWS(Data!$P$2:U330),COLUMNS(Data!$P$3:T331)),IF($Q$1=$P$5,INDEX(prem_analysis!$BH$1:$BS$23,ROWS(Data!$Q$3:U331),COLUMNS(Data!$Q$3:U331)),IF($Q$1=$P$6,INDEX(prem_analysis!$BU$1:$CF$67,ROWS(prem_analysis!$N$2:R330),COLUMNS(prem_analysis!$N$2:R330)),IF($Q$1=$P$4,INDEX(Table24[[#All],[Year]:[Details]],ROWS(prem_analysis!$M$420:Q748),COLUMNS(Data!$Q$3:U331)))))),"")</f>
        <v/>
      </c>
      <c r="W330" s="1" t="str">
        <f>IFERROR(IF($Q$1=$P$3,INDEX(prem_analysis!$P$2:$Q$441,ROWS(Data!$P$2:V330),COLUMNS(Data!$P$3:U331)),IF($Q$1=$P$5,INDEX(prem_analysis!$BH$1:$BS$23,ROWS(Data!$Q$3:V331),COLUMNS(Data!$Q$3:V331)),IF($Q$1=$P$6,INDEX(prem_analysis!$BU$1:$CF$67,ROWS(prem_analysis!$N$2:S330),COLUMNS(prem_analysis!$N$2:S330)),IF($Q$1=$P$4,INDEX(Table24[[#All],[Year]:[Details]],ROWS(prem_analysis!$M$420:R748),COLUMNS(Data!$Q$3:V331)))))),"")</f>
        <v/>
      </c>
      <c r="X330" s="1" t="str">
        <f>IFERROR(IF($Q$1=$P$3,INDEX(prem_analysis!$P$2:$Q$441,ROWS(Data!$P$2:W330),COLUMNS(Data!$P$3:V331)),IF($Q$1=$P$5,INDEX(prem_analysis!$BH$1:$BS$23,ROWS(Data!$Q$3:W331),COLUMNS(Data!$Q$3:W331)),IF($Q$1=$P$6,INDEX(prem_analysis!$BU$1:$CF$67,ROWS(prem_analysis!$N$2:T330),COLUMNS(prem_analysis!$N$2:T330)),IF($Q$1=$P$4,INDEX(Table24[[#All],[Year]:[Details]],ROWS(prem_analysis!$M$420:S748),COLUMNS(Data!$Q$3:W331)))))),"")</f>
        <v/>
      </c>
      <c r="Y330" s="1" t="str">
        <f>IFERROR(IF($Q$1=$P$3,INDEX(prem_analysis!$P$2:$Q$441,ROWS(Data!$P$2:X330),COLUMNS(Data!$P$3:W331)),IF($Q$1=$P$5,INDEX(prem_analysis!$BH$1:$BS$23,ROWS(Data!$Q$3:X331),COLUMNS(Data!$Q$3:X331)),IF($Q$1=$P$6,INDEX(prem_analysis!$BU$1:$CF$67,ROWS(prem_analysis!$N$2:U330),COLUMNS(prem_analysis!$N$2:U330)),IF($Q$1=$P$4,INDEX(Table24[[#All],[Year]:[Details]],ROWS(prem_analysis!$M$420:T748),COLUMNS(Data!$Q$3:X331)))))),"")</f>
        <v/>
      </c>
      <c r="Z330" s="1" t="str">
        <f>IFERROR(IF($Q$1=$P$3,INDEX(prem_analysis!$P$2:$Q$441,ROWS(Data!$P$2:Y330),COLUMNS(Data!$P$3:X331)),IF($Q$1=$P$5,INDEX(prem_analysis!$BH$1:$BS$23,ROWS(Data!$Q$3:Y331),COLUMNS(Data!$Q$3:Y331)),IF($Q$1=$P$6,INDEX(prem_analysis!$BU$1:$CF$67,ROWS(prem_analysis!$N$2:V330),COLUMNS(prem_analysis!$N$2:V330)),IF($Q$1=$P$4,INDEX(Table24[[#All],[Year]:[Details]],ROWS(prem_analysis!$M$420:U748),COLUMNS(Data!$Q$3:Y331)))))),"")</f>
        <v/>
      </c>
      <c r="AA330" s="1" t="str">
        <f>IFERROR(IF($Q$1=$P$3,INDEX(prem_analysis!$P$2:$Q$441,ROWS(Data!$P$2:Z330),COLUMNS(Data!$P$3:Y331)),IF($Q$1=$P$5,INDEX(prem_analysis!$BH$1:$BS$23,ROWS(Data!$Q$3:Z331),COLUMNS(Data!$Q$3:Z331)),IF($Q$1=$P$6,INDEX(prem_analysis!$BU$1:$CF$67,ROWS(prem_analysis!$N$2:W330),COLUMNS(prem_analysis!$N$2:W330)),IF($Q$1=$P$4,INDEX(Table24[[#All],[Year]:[Details]],ROWS(prem_analysis!$M$420:V748),COLUMNS(Data!$Q$3:Z331)))))),"")</f>
        <v/>
      </c>
      <c r="AB330" s="1" t="str">
        <f>IFERROR(IF($Q$1=$P$3,INDEX(prem_analysis!$P$2:$Q$441,ROWS(Data!$P$2:AA330),COLUMNS(Data!$P$3:Z331)),IF($Q$1=$P$5,INDEX(prem_analysis!$BH$1:$BS$23,ROWS(Data!$Q$3:AA331),COLUMNS(Data!$Q$3:AA331)),IF($Q$1=$P$6,INDEX(prem_analysis!$BU$1:$CF$67,ROWS(prem_analysis!$N$2:X330),COLUMNS(prem_analysis!$N$2:X330)),IF($Q$1=$P$4,INDEX(Table24[[#All],[Year]:[Details]],ROWS(prem_analysis!$M$420:W748),COLUMNS(Data!$Q$3:AA331)))))),"")</f>
        <v/>
      </c>
      <c r="AC330" s="1" t="str">
        <f>IFERROR(IF($Q$1=$P$3,INDEX(prem_analysis!$P$2:$Q$441,ROWS(Data!$P$2:AB330),COLUMNS(Data!$P$3:AA331)),IF($Q$1=$P$5,INDEX(prem_analysis!$BH$1:$BS$23,ROWS(Data!$Q$3:AB331),COLUMNS(Data!$Q$3:AB331)),IF($Q$1=$P$6,INDEX(prem_analysis!$BU$1:$CF$67,ROWS(prem_analysis!$N$2:Y330),COLUMNS(prem_analysis!$N$2:Y330)),IF($Q$1=$P$4,INDEX(Table24[[#All],[Year]:[Details]],ROWS(prem_analysis!$M$420:X748),COLUMNS(Data!$Q$3:AB331)))))),"")</f>
        <v/>
      </c>
    </row>
    <row r="331" spans="1:29" x14ac:dyDescent="0.2">
      <c r="A331" s="5">
        <v>2016</v>
      </c>
      <c r="B331" s="5">
        <v>10</v>
      </c>
      <c r="C331" s="6" t="s">
        <v>35</v>
      </c>
      <c r="D331" s="5">
        <v>38</v>
      </c>
      <c r="E331" s="5">
        <v>12</v>
      </c>
      <c r="F331" s="5">
        <v>9</v>
      </c>
      <c r="G331" s="5">
        <v>17</v>
      </c>
      <c r="H331" s="5">
        <v>43</v>
      </c>
      <c r="I331" s="5">
        <v>51</v>
      </c>
      <c r="J331" s="5">
        <v>-8</v>
      </c>
      <c r="K331" s="5">
        <v>45</v>
      </c>
      <c r="L331" s="5">
        <f>IF(Table24[[#This Row],['#]]=1,"Champion", IF(Table24[[#This Row],['#]]&gt;=18,"Relegated",Table24[[#This Row],['#]]))</f>
        <v>10</v>
      </c>
      <c r="M331" s="5" t="str">
        <f>IF(Table24[[#This Row],[Details]]=2,K330-Table24[[#This Row],[Pts]],IF(Table24[[#This Row],[Details]]=17,Table24[[#This Row],[Pts]]-K332,""))</f>
        <v/>
      </c>
      <c r="R331" s="1" t="str">
        <f>IFERROR(IF($Q$1=$P$3,INDEX(prem_analysis!$P$2:$Q$441,ROWS(Data!$P$2:Q331),COLUMNS(Data!$P$3:P332)),IF($Q$1=$P$5,INDEX(prem_analysis!$BH$1:$BS$23,ROWS(Data!$Q$3:Q332),COLUMNS(Data!$Q$3:Q332)),IF($Q$1=$P$6,INDEX(prem_analysis!$BU$1:$CF$67,ROWS(prem_analysis!$N$2:N331),COLUMNS(prem_analysis!$N$2:N331)),IF($Q$1=$P$4,INDEX(Table24[[#All],[Year]:[Details]],ROWS(prem_analysis!$M$420:M749),COLUMNS(Data!$Q$3:Q332)))))),"")</f>
        <v/>
      </c>
      <c r="S331" s="1" t="str">
        <f>IFERROR(IF($Q$1=$P$3,INDEX(prem_analysis!$P$2:$Q$441,ROWS(Data!$P$2:R331),COLUMNS(Data!$P$3:Q332)),IF($Q$1=$P$5,INDEX(prem_analysis!$BH$1:$BS$23,ROWS(Data!$Q$3:R332),COLUMNS(Data!$Q$3:R332)),IF($Q$1=$P$6,INDEX(prem_analysis!$BU$1:$CF$67,ROWS(prem_analysis!$N$2:O331),COLUMNS(prem_analysis!$N$2:O331)),IF($Q$1=$P$4,INDEX(Table24[[#All],[Year]:[Details]],ROWS(prem_analysis!$M$420:N749),COLUMNS(Data!$Q$3:R332)))))),"")</f>
        <v/>
      </c>
      <c r="T331" s="1" t="str">
        <f>IFERROR(IF($Q$1=$P$3,INDEX(prem_analysis!$P$2:$Q$441,ROWS(Data!$P$2:S331),COLUMNS(Data!$P$3:R332)),IF($Q$1=$P$5,INDEX(prem_analysis!$BH$1:$BS$23,ROWS(Data!$Q$3:S332),COLUMNS(Data!$Q$3:S332)),IF($Q$1=$P$6,INDEX(prem_analysis!$BU$1:$CF$67,ROWS(prem_analysis!$N$2:P331),COLUMNS(prem_analysis!$N$2:P331)),IF($Q$1=$P$4,INDEX(Table24[[#All],[Year]:[Details]],ROWS(prem_analysis!$M$420:O749),COLUMNS(Data!$Q$3:S332)))))),"")</f>
        <v/>
      </c>
      <c r="U331" s="1" t="str">
        <f>IFERROR(IF($Q$1=$P$3,INDEX(prem_analysis!$P$2:$Q$441,ROWS(Data!$P$2:T331),COLUMNS(Data!$P$3:S332)),IF($Q$1=$P$5,INDEX(prem_analysis!$BH$1:$BS$23,ROWS(Data!$Q$3:T332),COLUMNS(Data!$Q$3:T332)),IF($Q$1=$P$6,INDEX(prem_analysis!$BU$1:$CF$67,ROWS(prem_analysis!$N$2:Q331),COLUMNS(prem_analysis!$N$2:Q331)),IF($Q$1=$P$4,INDEX(Table24[[#All],[Year]:[Details]],ROWS(prem_analysis!$M$420:P749),COLUMNS(Data!$Q$3:T332)))))),"")</f>
        <v/>
      </c>
      <c r="V331" s="1" t="str">
        <f>IFERROR(IF($Q$1=$P$3,INDEX(prem_analysis!$P$2:$Q$441,ROWS(Data!$P$2:U331),COLUMNS(Data!$P$3:T332)),IF($Q$1=$P$5,INDEX(prem_analysis!$BH$1:$BS$23,ROWS(Data!$Q$3:U332),COLUMNS(Data!$Q$3:U332)),IF($Q$1=$P$6,INDEX(prem_analysis!$BU$1:$CF$67,ROWS(prem_analysis!$N$2:R331),COLUMNS(prem_analysis!$N$2:R331)),IF($Q$1=$P$4,INDEX(Table24[[#All],[Year]:[Details]],ROWS(prem_analysis!$M$420:Q749),COLUMNS(Data!$Q$3:U332)))))),"")</f>
        <v/>
      </c>
      <c r="W331" s="1" t="str">
        <f>IFERROR(IF($Q$1=$P$3,INDEX(prem_analysis!$P$2:$Q$441,ROWS(Data!$P$2:V331),COLUMNS(Data!$P$3:U332)),IF($Q$1=$P$5,INDEX(prem_analysis!$BH$1:$BS$23,ROWS(Data!$Q$3:V332),COLUMNS(Data!$Q$3:V332)),IF($Q$1=$P$6,INDEX(prem_analysis!$BU$1:$CF$67,ROWS(prem_analysis!$N$2:S331),COLUMNS(prem_analysis!$N$2:S331)),IF($Q$1=$P$4,INDEX(Table24[[#All],[Year]:[Details]],ROWS(prem_analysis!$M$420:R749),COLUMNS(Data!$Q$3:V332)))))),"")</f>
        <v/>
      </c>
      <c r="X331" s="1" t="str">
        <f>IFERROR(IF($Q$1=$P$3,INDEX(prem_analysis!$P$2:$Q$441,ROWS(Data!$P$2:W331),COLUMNS(Data!$P$3:V332)),IF($Q$1=$P$5,INDEX(prem_analysis!$BH$1:$BS$23,ROWS(Data!$Q$3:W332),COLUMNS(Data!$Q$3:W332)),IF($Q$1=$P$6,INDEX(prem_analysis!$BU$1:$CF$67,ROWS(prem_analysis!$N$2:T331),COLUMNS(prem_analysis!$N$2:T331)),IF($Q$1=$P$4,INDEX(Table24[[#All],[Year]:[Details]],ROWS(prem_analysis!$M$420:S749),COLUMNS(Data!$Q$3:W332)))))),"")</f>
        <v/>
      </c>
      <c r="Y331" s="1" t="str">
        <f>IFERROR(IF($Q$1=$P$3,INDEX(prem_analysis!$P$2:$Q$441,ROWS(Data!$P$2:X331),COLUMNS(Data!$P$3:W332)),IF($Q$1=$P$5,INDEX(prem_analysis!$BH$1:$BS$23,ROWS(Data!$Q$3:X332),COLUMNS(Data!$Q$3:X332)),IF($Q$1=$P$6,INDEX(prem_analysis!$BU$1:$CF$67,ROWS(prem_analysis!$N$2:U331),COLUMNS(prem_analysis!$N$2:U331)),IF($Q$1=$P$4,INDEX(Table24[[#All],[Year]:[Details]],ROWS(prem_analysis!$M$420:T749),COLUMNS(Data!$Q$3:X332)))))),"")</f>
        <v/>
      </c>
      <c r="Z331" s="1" t="str">
        <f>IFERROR(IF($Q$1=$P$3,INDEX(prem_analysis!$P$2:$Q$441,ROWS(Data!$P$2:Y331),COLUMNS(Data!$P$3:X332)),IF($Q$1=$P$5,INDEX(prem_analysis!$BH$1:$BS$23,ROWS(Data!$Q$3:Y332),COLUMNS(Data!$Q$3:Y332)),IF($Q$1=$P$6,INDEX(prem_analysis!$BU$1:$CF$67,ROWS(prem_analysis!$N$2:V331),COLUMNS(prem_analysis!$N$2:V331)),IF($Q$1=$P$4,INDEX(Table24[[#All],[Year]:[Details]],ROWS(prem_analysis!$M$420:U749),COLUMNS(Data!$Q$3:Y332)))))),"")</f>
        <v/>
      </c>
      <c r="AA331" s="1" t="str">
        <f>IFERROR(IF($Q$1=$P$3,INDEX(prem_analysis!$P$2:$Q$441,ROWS(Data!$P$2:Z331),COLUMNS(Data!$P$3:Y332)),IF($Q$1=$P$5,INDEX(prem_analysis!$BH$1:$BS$23,ROWS(Data!$Q$3:Z332),COLUMNS(Data!$Q$3:Z332)),IF($Q$1=$P$6,INDEX(prem_analysis!$BU$1:$CF$67,ROWS(prem_analysis!$N$2:W331),COLUMNS(prem_analysis!$N$2:W331)),IF($Q$1=$P$4,INDEX(Table24[[#All],[Year]:[Details]],ROWS(prem_analysis!$M$420:V749),COLUMNS(Data!$Q$3:Z332)))))),"")</f>
        <v/>
      </c>
      <c r="AB331" s="1" t="str">
        <f>IFERROR(IF($Q$1=$P$3,INDEX(prem_analysis!$P$2:$Q$441,ROWS(Data!$P$2:AA331),COLUMNS(Data!$P$3:Z332)),IF($Q$1=$P$5,INDEX(prem_analysis!$BH$1:$BS$23,ROWS(Data!$Q$3:AA332),COLUMNS(Data!$Q$3:AA332)),IF($Q$1=$P$6,INDEX(prem_analysis!$BU$1:$CF$67,ROWS(prem_analysis!$N$2:X331),COLUMNS(prem_analysis!$N$2:X331)),IF($Q$1=$P$4,INDEX(Table24[[#All],[Year]:[Details]],ROWS(prem_analysis!$M$420:W749),COLUMNS(Data!$Q$3:AA332)))))),"")</f>
        <v/>
      </c>
      <c r="AC331" s="1" t="str">
        <f>IFERROR(IF($Q$1=$P$3,INDEX(prem_analysis!$P$2:$Q$441,ROWS(Data!$P$2:AB331),COLUMNS(Data!$P$3:AA332)),IF($Q$1=$P$5,INDEX(prem_analysis!$BH$1:$BS$23,ROWS(Data!$Q$3:AB332),COLUMNS(Data!$Q$3:AB332)),IF($Q$1=$P$6,INDEX(prem_analysis!$BU$1:$CF$67,ROWS(prem_analysis!$N$2:Y331),COLUMNS(prem_analysis!$N$2:Y331)),IF($Q$1=$P$4,INDEX(Table24[[#All],[Year]:[Details]],ROWS(prem_analysis!$M$420:X749),COLUMNS(Data!$Q$3:AB332)))))),"")</f>
        <v/>
      </c>
    </row>
    <row r="332" spans="1:29" x14ac:dyDescent="0.2">
      <c r="A332" s="3">
        <v>2016</v>
      </c>
      <c r="B332" s="3">
        <v>11</v>
      </c>
      <c r="C332" s="4" t="s">
        <v>25</v>
      </c>
      <c r="D332" s="3">
        <v>38</v>
      </c>
      <c r="E332" s="3">
        <v>12</v>
      </c>
      <c r="F332" s="3">
        <v>9</v>
      </c>
      <c r="G332" s="3">
        <v>17</v>
      </c>
      <c r="H332" s="3">
        <v>47</v>
      </c>
      <c r="I332" s="3">
        <v>64</v>
      </c>
      <c r="J332" s="3">
        <v>-17</v>
      </c>
      <c r="K332" s="3">
        <v>45</v>
      </c>
      <c r="L332" s="5">
        <f>IF(Table24[[#This Row],['#]]=1,"Champion", IF(Table24[[#This Row],['#]]&gt;=18,"Relegated",Table24[[#This Row],['#]]))</f>
        <v>11</v>
      </c>
      <c r="M332" s="5" t="str">
        <f>IF(Table24[[#This Row],[Details]]=2,K331-Table24[[#This Row],[Pts]],IF(Table24[[#This Row],[Details]]=17,Table24[[#This Row],[Pts]]-K333,""))</f>
        <v/>
      </c>
      <c r="R332" s="1" t="str">
        <f>IFERROR(IF($Q$1=$P$3,INDEX(prem_analysis!$P$2:$Q$441,ROWS(Data!$P$2:Q332),COLUMNS(Data!$P$3:P333)),IF($Q$1=$P$5,INDEX(prem_analysis!$BH$1:$BS$23,ROWS(Data!$Q$3:Q333),COLUMNS(Data!$Q$3:Q333)),IF($Q$1=$P$6,INDEX(prem_analysis!$BU$1:$CF$67,ROWS(prem_analysis!$N$2:N332),COLUMNS(prem_analysis!$N$2:N332)),IF($Q$1=$P$4,INDEX(Table24[[#All],[Year]:[Details]],ROWS(prem_analysis!$M$420:M750),COLUMNS(Data!$Q$3:Q333)))))),"")</f>
        <v/>
      </c>
      <c r="S332" s="1" t="str">
        <f>IFERROR(IF($Q$1=$P$3,INDEX(prem_analysis!$P$2:$Q$441,ROWS(Data!$P$2:R332),COLUMNS(Data!$P$3:Q333)),IF($Q$1=$P$5,INDEX(prem_analysis!$BH$1:$BS$23,ROWS(Data!$Q$3:R333),COLUMNS(Data!$Q$3:R333)),IF($Q$1=$P$6,INDEX(prem_analysis!$BU$1:$CF$67,ROWS(prem_analysis!$N$2:O332),COLUMNS(prem_analysis!$N$2:O332)),IF($Q$1=$P$4,INDEX(Table24[[#All],[Year]:[Details]],ROWS(prem_analysis!$M$420:N750),COLUMNS(Data!$Q$3:R333)))))),"")</f>
        <v/>
      </c>
      <c r="T332" s="1" t="str">
        <f>IFERROR(IF($Q$1=$P$3,INDEX(prem_analysis!$P$2:$Q$441,ROWS(Data!$P$2:S332),COLUMNS(Data!$P$3:R333)),IF($Q$1=$P$5,INDEX(prem_analysis!$BH$1:$BS$23,ROWS(Data!$Q$3:S333),COLUMNS(Data!$Q$3:S333)),IF($Q$1=$P$6,INDEX(prem_analysis!$BU$1:$CF$67,ROWS(prem_analysis!$N$2:P332),COLUMNS(prem_analysis!$N$2:P332)),IF($Q$1=$P$4,INDEX(Table24[[#All],[Year]:[Details]],ROWS(prem_analysis!$M$420:O750),COLUMNS(Data!$Q$3:S333)))))),"")</f>
        <v/>
      </c>
      <c r="U332" s="1" t="str">
        <f>IFERROR(IF($Q$1=$P$3,INDEX(prem_analysis!$P$2:$Q$441,ROWS(Data!$P$2:T332),COLUMNS(Data!$P$3:S333)),IF($Q$1=$P$5,INDEX(prem_analysis!$BH$1:$BS$23,ROWS(Data!$Q$3:T333),COLUMNS(Data!$Q$3:T333)),IF($Q$1=$P$6,INDEX(prem_analysis!$BU$1:$CF$67,ROWS(prem_analysis!$N$2:Q332),COLUMNS(prem_analysis!$N$2:Q332)),IF($Q$1=$P$4,INDEX(Table24[[#All],[Year]:[Details]],ROWS(prem_analysis!$M$420:P750),COLUMNS(Data!$Q$3:T333)))))),"")</f>
        <v/>
      </c>
      <c r="V332" s="1" t="str">
        <f>IFERROR(IF($Q$1=$P$3,INDEX(prem_analysis!$P$2:$Q$441,ROWS(Data!$P$2:U332),COLUMNS(Data!$P$3:T333)),IF($Q$1=$P$5,INDEX(prem_analysis!$BH$1:$BS$23,ROWS(Data!$Q$3:U333),COLUMNS(Data!$Q$3:U333)),IF($Q$1=$P$6,INDEX(prem_analysis!$BU$1:$CF$67,ROWS(prem_analysis!$N$2:R332),COLUMNS(prem_analysis!$N$2:R332)),IF($Q$1=$P$4,INDEX(Table24[[#All],[Year]:[Details]],ROWS(prem_analysis!$M$420:Q750),COLUMNS(Data!$Q$3:U333)))))),"")</f>
        <v/>
      </c>
      <c r="W332" s="1" t="str">
        <f>IFERROR(IF($Q$1=$P$3,INDEX(prem_analysis!$P$2:$Q$441,ROWS(Data!$P$2:V332),COLUMNS(Data!$P$3:U333)),IF($Q$1=$P$5,INDEX(prem_analysis!$BH$1:$BS$23,ROWS(Data!$Q$3:V333),COLUMNS(Data!$Q$3:V333)),IF($Q$1=$P$6,INDEX(prem_analysis!$BU$1:$CF$67,ROWS(prem_analysis!$N$2:S332),COLUMNS(prem_analysis!$N$2:S332)),IF($Q$1=$P$4,INDEX(Table24[[#All],[Year]:[Details]],ROWS(prem_analysis!$M$420:R750),COLUMNS(Data!$Q$3:V333)))))),"")</f>
        <v/>
      </c>
      <c r="X332" s="1" t="str">
        <f>IFERROR(IF($Q$1=$P$3,INDEX(prem_analysis!$P$2:$Q$441,ROWS(Data!$P$2:W332),COLUMNS(Data!$P$3:V333)),IF($Q$1=$P$5,INDEX(prem_analysis!$BH$1:$BS$23,ROWS(Data!$Q$3:W333),COLUMNS(Data!$Q$3:W333)),IF($Q$1=$P$6,INDEX(prem_analysis!$BU$1:$CF$67,ROWS(prem_analysis!$N$2:T332),COLUMNS(prem_analysis!$N$2:T332)),IF($Q$1=$P$4,INDEX(Table24[[#All],[Year]:[Details]],ROWS(prem_analysis!$M$420:S750),COLUMNS(Data!$Q$3:W333)))))),"")</f>
        <v/>
      </c>
      <c r="Y332" s="1" t="str">
        <f>IFERROR(IF($Q$1=$P$3,INDEX(prem_analysis!$P$2:$Q$441,ROWS(Data!$P$2:X332),COLUMNS(Data!$P$3:W333)),IF($Q$1=$P$5,INDEX(prem_analysis!$BH$1:$BS$23,ROWS(Data!$Q$3:X333),COLUMNS(Data!$Q$3:X333)),IF($Q$1=$P$6,INDEX(prem_analysis!$BU$1:$CF$67,ROWS(prem_analysis!$N$2:U332),COLUMNS(prem_analysis!$N$2:U332)),IF($Q$1=$P$4,INDEX(Table24[[#All],[Year]:[Details]],ROWS(prem_analysis!$M$420:T750),COLUMNS(Data!$Q$3:X333)))))),"")</f>
        <v/>
      </c>
      <c r="Z332" s="1" t="str">
        <f>IFERROR(IF($Q$1=$P$3,INDEX(prem_analysis!$P$2:$Q$441,ROWS(Data!$P$2:Y332),COLUMNS(Data!$P$3:X333)),IF($Q$1=$P$5,INDEX(prem_analysis!$BH$1:$BS$23,ROWS(Data!$Q$3:Y333),COLUMNS(Data!$Q$3:Y333)),IF($Q$1=$P$6,INDEX(prem_analysis!$BU$1:$CF$67,ROWS(prem_analysis!$N$2:V332),COLUMNS(prem_analysis!$N$2:V332)),IF($Q$1=$P$4,INDEX(Table24[[#All],[Year]:[Details]],ROWS(prem_analysis!$M$420:U750),COLUMNS(Data!$Q$3:Y333)))))),"")</f>
        <v/>
      </c>
      <c r="AA332" s="1" t="str">
        <f>IFERROR(IF($Q$1=$P$3,INDEX(prem_analysis!$P$2:$Q$441,ROWS(Data!$P$2:Z332),COLUMNS(Data!$P$3:Y333)),IF($Q$1=$P$5,INDEX(prem_analysis!$BH$1:$BS$23,ROWS(Data!$Q$3:Z333),COLUMNS(Data!$Q$3:Z333)),IF($Q$1=$P$6,INDEX(prem_analysis!$BU$1:$CF$67,ROWS(prem_analysis!$N$2:W332),COLUMNS(prem_analysis!$N$2:W332)),IF($Q$1=$P$4,INDEX(Table24[[#All],[Year]:[Details]],ROWS(prem_analysis!$M$420:V750),COLUMNS(Data!$Q$3:Z333)))))),"")</f>
        <v/>
      </c>
      <c r="AB332" s="1" t="str">
        <f>IFERROR(IF($Q$1=$P$3,INDEX(prem_analysis!$P$2:$Q$441,ROWS(Data!$P$2:AA332),COLUMNS(Data!$P$3:Z333)),IF($Q$1=$P$5,INDEX(prem_analysis!$BH$1:$BS$23,ROWS(Data!$Q$3:AA333),COLUMNS(Data!$Q$3:AA333)),IF($Q$1=$P$6,INDEX(prem_analysis!$BU$1:$CF$67,ROWS(prem_analysis!$N$2:X332),COLUMNS(prem_analysis!$N$2:X332)),IF($Q$1=$P$4,INDEX(Table24[[#All],[Year]:[Details]],ROWS(prem_analysis!$M$420:W750),COLUMNS(Data!$Q$3:AA333)))))),"")</f>
        <v/>
      </c>
      <c r="AC332" s="1" t="str">
        <f>IFERROR(IF($Q$1=$P$3,INDEX(prem_analysis!$P$2:$Q$441,ROWS(Data!$P$2:AB332),COLUMNS(Data!$P$3:AA333)),IF($Q$1=$P$5,INDEX(prem_analysis!$BH$1:$BS$23,ROWS(Data!$Q$3:AB333),COLUMNS(Data!$Q$3:AB333)),IF($Q$1=$P$6,INDEX(prem_analysis!$BU$1:$CF$67,ROWS(prem_analysis!$N$2:Y332),COLUMNS(prem_analysis!$N$2:Y332)),IF($Q$1=$P$4,INDEX(Table24[[#All],[Year]:[Details]],ROWS(prem_analysis!$M$420:X750),COLUMNS(Data!$Q$3:AB333)))))),"")</f>
        <v/>
      </c>
    </row>
    <row r="333" spans="1:29" x14ac:dyDescent="0.2">
      <c r="A333" s="5">
        <v>2016</v>
      </c>
      <c r="B333" s="5">
        <v>12</v>
      </c>
      <c r="C333" s="6" t="s">
        <v>23</v>
      </c>
      <c r="D333" s="5">
        <v>38</v>
      </c>
      <c r="E333" s="5">
        <v>12</v>
      </c>
      <c r="F333" s="5">
        <v>8</v>
      </c>
      <c r="G333" s="5">
        <v>18</v>
      </c>
      <c r="H333" s="5">
        <v>48</v>
      </c>
      <c r="I333" s="5">
        <v>63</v>
      </c>
      <c r="J333" s="5">
        <v>-15</v>
      </c>
      <c r="K333" s="5">
        <v>44</v>
      </c>
      <c r="L333" s="5">
        <f>IF(Table24[[#This Row],['#]]=1,"Champion", IF(Table24[[#This Row],['#]]&gt;=18,"Relegated",Table24[[#This Row],['#]]))</f>
        <v>12</v>
      </c>
      <c r="M333" s="5" t="str">
        <f>IF(Table24[[#This Row],[Details]]=2,K332-Table24[[#This Row],[Pts]],IF(Table24[[#This Row],[Details]]=17,Table24[[#This Row],[Pts]]-K334,""))</f>
        <v/>
      </c>
      <c r="R333" s="1" t="str">
        <f>IFERROR(IF($Q$1=$P$3,INDEX(prem_analysis!$P$2:$Q$441,ROWS(Data!$P$2:Q333),COLUMNS(Data!$P$3:P334)),IF($Q$1=$P$5,INDEX(prem_analysis!$BH$1:$BS$23,ROWS(Data!$Q$3:Q334),COLUMNS(Data!$Q$3:Q334)),IF($Q$1=$P$6,INDEX(prem_analysis!$BU$1:$CF$67,ROWS(prem_analysis!$N$2:N333),COLUMNS(prem_analysis!$N$2:N333)),IF($Q$1=$P$4,INDEX(Table24[[#All],[Year]:[Details]],ROWS(prem_analysis!$M$420:M751),COLUMNS(Data!$Q$3:Q334)))))),"")</f>
        <v/>
      </c>
      <c r="S333" s="1" t="str">
        <f>IFERROR(IF($Q$1=$P$3,INDEX(prem_analysis!$P$2:$Q$441,ROWS(Data!$P$2:R333),COLUMNS(Data!$P$3:Q334)),IF($Q$1=$P$5,INDEX(prem_analysis!$BH$1:$BS$23,ROWS(Data!$Q$3:R334),COLUMNS(Data!$Q$3:R334)),IF($Q$1=$P$6,INDEX(prem_analysis!$BU$1:$CF$67,ROWS(prem_analysis!$N$2:O333),COLUMNS(prem_analysis!$N$2:O333)),IF($Q$1=$P$4,INDEX(Table24[[#All],[Year]:[Details]],ROWS(prem_analysis!$M$420:N751),COLUMNS(Data!$Q$3:R334)))))),"")</f>
        <v/>
      </c>
      <c r="T333" s="1" t="str">
        <f>IFERROR(IF($Q$1=$P$3,INDEX(prem_analysis!$P$2:$Q$441,ROWS(Data!$P$2:S333),COLUMNS(Data!$P$3:R334)),IF($Q$1=$P$5,INDEX(prem_analysis!$BH$1:$BS$23,ROWS(Data!$Q$3:S334),COLUMNS(Data!$Q$3:S334)),IF($Q$1=$P$6,INDEX(prem_analysis!$BU$1:$CF$67,ROWS(prem_analysis!$N$2:P333),COLUMNS(prem_analysis!$N$2:P333)),IF($Q$1=$P$4,INDEX(Table24[[#All],[Year]:[Details]],ROWS(prem_analysis!$M$420:O751),COLUMNS(Data!$Q$3:S334)))))),"")</f>
        <v/>
      </c>
      <c r="U333" s="1" t="str">
        <f>IFERROR(IF($Q$1=$P$3,INDEX(prem_analysis!$P$2:$Q$441,ROWS(Data!$P$2:T333),COLUMNS(Data!$P$3:S334)),IF($Q$1=$P$5,INDEX(prem_analysis!$BH$1:$BS$23,ROWS(Data!$Q$3:T334),COLUMNS(Data!$Q$3:T334)),IF($Q$1=$P$6,INDEX(prem_analysis!$BU$1:$CF$67,ROWS(prem_analysis!$N$2:Q333),COLUMNS(prem_analysis!$N$2:Q333)),IF($Q$1=$P$4,INDEX(Table24[[#All],[Year]:[Details]],ROWS(prem_analysis!$M$420:P751),COLUMNS(Data!$Q$3:T334)))))),"")</f>
        <v/>
      </c>
      <c r="V333" s="1" t="str">
        <f>IFERROR(IF($Q$1=$P$3,INDEX(prem_analysis!$P$2:$Q$441,ROWS(Data!$P$2:U333),COLUMNS(Data!$P$3:T334)),IF($Q$1=$P$5,INDEX(prem_analysis!$BH$1:$BS$23,ROWS(Data!$Q$3:U334),COLUMNS(Data!$Q$3:U334)),IF($Q$1=$P$6,INDEX(prem_analysis!$BU$1:$CF$67,ROWS(prem_analysis!$N$2:R333),COLUMNS(prem_analysis!$N$2:R333)),IF($Q$1=$P$4,INDEX(Table24[[#All],[Year]:[Details]],ROWS(prem_analysis!$M$420:Q751),COLUMNS(Data!$Q$3:U334)))))),"")</f>
        <v/>
      </c>
      <c r="W333" s="1" t="str">
        <f>IFERROR(IF($Q$1=$P$3,INDEX(prem_analysis!$P$2:$Q$441,ROWS(Data!$P$2:V333),COLUMNS(Data!$P$3:U334)),IF($Q$1=$P$5,INDEX(prem_analysis!$BH$1:$BS$23,ROWS(Data!$Q$3:V334),COLUMNS(Data!$Q$3:V334)),IF($Q$1=$P$6,INDEX(prem_analysis!$BU$1:$CF$67,ROWS(prem_analysis!$N$2:S333),COLUMNS(prem_analysis!$N$2:S333)),IF($Q$1=$P$4,INDEX(Table24[[#All],[Year]:[Details]],ROWS(prem_analysis!$M$420:R751),COLUMNS(Data!$Q$3:V334)))))),"")</f>
        <v/>
      </c>
      <c r="X333" s="1" t="str">
        <f>IFERROR(IF($Q$1=$P$3,INDEX(prem_analysis!$P$2:$Q$441,ROWS(Data!$P$2:W333),COLUMNS(Data!$P$3:V334)),IF($Q$1=$P$5,INDEX(prem_analysis!$BH$1:$BS$23,ROWS(Data!$Q$3:W334),COLUMNS(Data!$Q$3:W334)),IF($Q$1=$P$6,INDEX(prem_analysis!$BU$1:$CF$67,ROWS(prem_analysis!$N$2:T333),COLUMNS(prem_analysis!$N$2:T333)),IF($Q$1=$P$4,INDEX(Table24[[#All],[Year]:[Details]],ROWS(prem_analysis!$M$420:S751),COLUMNS(Data!$Q$3:W334)))))),"")</f>
        <v/>
      </c>
      <c r="Y333" s="1" t="str">
        <f>IFERROR(IF($Q$1=$P$3,INDEX(prem_analysis!$P$2:$Q$441,ROWS(Data!$P$2:X333),COLUMNS(Data!$P$3:W334)),IF($Q$1=$P$5,INDEX(prem_analysis!$BH$1:$BS$23,ROWS(Data!$Q$3:X334),COLUMNS(Data!$Q$3:X334)),IF($Q$1=$P$6,INDEX(prem_analysis!$BU$1:$CF$67,ROWS(prem_analysis!$N$2:U333),COLUMNS(prem_analysis!$N$2:U333)),IF($Q$1=$P$4,INDEX(Table24[[#All],[Year]:[Details]],ROWS(prem_analysis!$M$420:T751),COLUMNS(Data!$Q$3:X334)))))),"")</f>
        <v/>
      </c>
      <c r="Z333" s="1" t="str">
        <f>IFERROR(IF($Q$1=$P$3,INDEX(prem_analysis!$P$2:$Q$441,ROWS(Data!$P$2:Y333),COLUMNS(Data!$P$3:X334)),IF($Q$1=$P$5,INDEX(prem_analysis!$BH$1:$BS$23,ROWS(Data!$Q$3:Y334),COLUMNS(Data!$Q$3:Y334)),IF($Q$1=$P$6,INDEX(prem_analysis!$BU$1:$CF$67,ROWS(prem_analysis!$N$2:V333),COLUMNS(prem_analysis!$N$2:V333)),IF($Q$1=$P$4,INDEX(Table24[[#All],[Year]:[Details]],ROWS(prem_analysis!$M$420:U751),COLUMNS(Data!$Q$3:Y334)))))),"")</f>
        <v/>
      </c>
      <c r="AA333" s="1" t="str">
        <f>IFERROR(IF($Q$1=$P$3,INDEX(prem_analysis!$P$2:$Q$441,ROWS(Data!$P$2:Z333),COLUMNS(Data!$P$3:Y334)),IF($Q$1=$P$5,INDEX(prem_analysis!$BH$1:$BS$23,ROWS(Data!$Q$3:Z334),COLUMNS(Data!$Q$3:Z334)),IF($Q$1=$P$6,INDEX(prem_analysis!$BU$1:$CF$67,ROWS(prem_analysis!$N$2:W333),COLUMNS(prem_analysis!$N$2:W333)),IF($Q$1=$P$4,INDEX(Table24[[#All],[Year]:[Details]],ROWS(prem_analysis!$M$420:V751),COLUMNS(Data!$Q$3:Z334)))))),"")</f>
        <v/>
      </c>
      <c r="AB333" s="1" t="str">
        <f>IFERROR(IF($Q$1=$P$3,INDEX(prem_analysis!$P$2:$Q$441,ROWS(Data!$P$2:AA333),COLUMNS(Data!$P$3:Z334)),IF($Q$1=$P$5,INDEX(prem_analysis!$BH$1:$BS$23,ROWS(Data!$Q$3:AA334),COLUMNS(Data!$Q$3:AA334)),IF($Q$1=$P$6,INDEX(prem_analysis!$BU$1:$CF$67,ROWS(prem_analysis!$N$2:X333),COLUMNS(prem_analysis!$N$2:X333)),IF($Q$1=$P$4,INDEX(Table24[[#All],[Year]:[Details]],ROWS(prem_analysis!$M$420:W751),COLUMNS(Data!$Q$3:AA334)))))),"")</f>
        <v/>
      </c>
      <c r="AC333" s="1" t="str">
        <f>IFERROR(IF($Q$1=$P$3,INDEX(prem_analysis!$P$2:$Q$441,ROWS(Data!$P$2:AB333),COLUMNS(Data!$P$3:AA334)),IF($Q$1=$P$5,INDEX(prem_analysis!$BH$1:$BS$23,ROWS(Data!$Q$3:AB334),COLUMNS(Data!$Q$3:AB334)),IF($Q$1=$P$6,INDEX(prem_analysis!$BU$1:$CF$67,ROWS(prem_analysis!$N$2:Y333),COLUMNS(prem_analysis!$N$2:Y333)),IF($Q$1=$P$4,INDEX(Table24[[#All],[Year]:[Details]],ROWS(prem_analysis!$M$420:X751),COLUMNS(Data!$Q$3:AB334)))))),"")</f>
        <v/>
      </c>
    </row>
    <row r="334" spans="1:29" x14ac:dyDescent="0.2">
      <c r="A334" s="3">
        <v>2016</v>
      </c>
      <c r="B334" s="3">
        <v>13</v>
      </c>
      <c r="C334" s="4" t="s">
        <v>44</v>
      </c>
      <c r="D334" s="3">
        <v>38</v>
      </c>
      <c r="E334" s="3">
        <v>11</v>
      </c>
      <c r="F334" s="3">
        <v>11</v>
      </c>
      <c r="G334" s="3">
        <v>16</v>
      </c>
      <c r="H334" s="3">
        <v>41</v>
      </c>
      <c r="I334" s="3">
        <v>56</v>
      </c>
      <c r="J334" s="3">
        <v>-15</v>
      </c>
      <c r="K334" s="3">
        <v>44</v>
      </c>
      <c r="L334" s="5">
        <f>IF(Table24[[#This Row],['#]]=1,"Champion", IF(Table24[[#This Row],['#]]&gt;=18,"Relegated",Table24[[#This Row],['#]]))</f>
        <v>13</v>
      </c>
      <c r="M334" s="5" t="str">
        <f>IF(Table24[[#This Row],[Details]]=2,K333-Table24[[#This Row],[Pts]],IF(Table24[[#This Row],[Details]]=17,Table24[[#This Row],[Pts]]-K335,""))</f>
        <v/>
      </c>
      <c r="R334" s="1" t="str">
        <f>IFERROR(IF($Q$1=$P$3,INDEX(prem_analysis!$P$2:$Q$441,ROWS(Data!$P$2:Q334),COLUMNS(Data!$P$3:P335)),IF($Q$1=$P$5,INDEX(prem_analysis!$BH$1:$BS$23,ROWS(Data!$Q$3:Q335),COLUMNS(Data!$Q$3:Q335)),IF($Q$1=$P$6,INDEX(prem_analysis!$BU$1:$CF$67,ROWS(prem_analysis!$N$2:N334),COLUMNS(prem_analysis!$N$2:N334)),IF($Q$1=$P$4,INDEX(Table24[[#All],[Year]:[Details]],ROWS(prem_analysis!$M$420:M752),COLUMNS(Data!$Q$3:Q335)))))),"")</f>
        <v/>
      </c>
      <c r="S334" s="1" t="str">
        <f>IFERROR(IF($Q$1=$P$3,INDEX(prem_analysis!$P$2:$Q$441,ROWS(Data!$P$2:R334),COLUMNS(Data!$P$3:Q335)),IF($Q$1=$P$5,INDEX(prem_analysis!$BH$1:$BS$23,ROWS(Data!$Q$3:R335),COLUMNS(Data!$Q$3:R335)),IF($Q$1=$P$6,INDEX(prem_analysis!$BU$1:$CF$67,ROWS(prem_analysis!$N$2:O334),COLUMNS(prem_analysis!$N$2:O334)),IF($Q$1=$P$4,INDEX(Table24[[#All],[Year]:[Details]],ROWS(prem_analysis!$M$420:N752),COLUMNS(Data!$Q$3:R335)))))),"")</f>
        <v/>
      </c>
      <c r="T334" s="1" t="str">
        <f>IFERROR(IF($Q$1=$P$3,INDEX(prem_analysis!$P$2:$Q$441,ROWS(Data!$P$2:S334),COLUMNS(Data!$P$3:R335)),IF($Q$1=$P$5,INDEX(prem_analysis!$BH$1:$BS$23,ROWS(Data!$Q$3:S335),COLUMNS(Data!$Q$3:S335)),IF($Q$1=$P$6,INDEX(prem_analysis!$BU$1:$CF$67,ROWS(prem_analysis!$N$2:P334),COLUMNS(prem_analysis!$N$2:P334)),IF($Q$1=$P$4,INDEX(Table24[[#All],[Year]:[Details]],ROWS(prem_analysis!$M$420:O752),COLUMNS(Data!$Q$3:S335)))))),"")</f>
        <v/>
      </c>
      <c r="U334" s="1" t="str">
        <f>IFERROR(IF($Q$1=$P$3,INDEX(prem_analysis!$P$2:$Q$441,ROWS(Data!$P$2:T334),COLUMNS(Data!$P$3:S335)),IF($Q$1=$P$5,INDEX(prem_analysis!$BH$1:$BS$23,ROWS(Data!$Q$3:T335),COLUMNS(Data!$Q$3:T335)),IF($Q$1=$P$6,INDEX(prem_analysis!$BU$1:$CF$67,ROWS(prem_analysis!$N$2:Q334),COLUMNS(prem_analysis!$N$2:Q334)),IF($Q$1=$P$4,INDEX(Table24[[#All],[Year]:[Details]],ROWS(prem_analysis!$M$420:P752),COLUMNS(Data!$Q$3:T335)))))),"")</f>
        <v/>
      </c>
      <c r="V334" s="1" t="str">
        <f>IFERROR(IF($Q$1=$P$3,INDEX(prem_analysis!$P$2:$Q$441,ROWS(Data!$P$2:U334),COLUMNS(Data!$P$3:T335)),IF($Q$1=$P$5,INDEX(prem_analysis!$BH$1:$BS$23,ROWS(Data!$Q$3:U335),COLUMNS(Data!$Q$3:U335)),IF($Q$1=$P$6,INDEX(prem_analysis!$BU$1:$CF$67,ROWS(prem_analysis!$N$2:R334),COLUMNS(prem_analysis!$N$2:R334)),IF($Q$1=$P$4,INDEX(Table24[[#All],[Year]:[Details]],ROWS(prem_analysis!$M$420:Q752),COLUMNS(Data!$Q$3:U335)))))),"")</f>
        <v/>
      </c>
      <c r="W334" s="1" t="str">
        <f>IFERROR(IF($Q$1=$P$3,INDEX(prem_analysis!$P$2:$Q$441,ROWS(Data!$P$2:V334),COLUMNS(Data!$P$3:U335)),IF($Q$1=$P$5,INDEX(prem_analysis!$BH$1:$BS$23,ROWS(Data!$Q$3:V335),COLUMNS(Data!$Q$3:V335)),IF($Q$1=$P$6,INDEX(prem_analysis!$BU$1:$CF$67,ROWS(prem_analysis!$N$2:S334),COLUMNS(prem_analysis!$N$2:S334)),IF($Q$1=$P$4,INDEX(Table24[[#All],[Year]:[Details]],ROWS(prem_analysis!$M$420:R752),COLUMNS(Data!$Q$3:V335)))))),"")</f>
        <v/>
      </c>
      <c r="X334" s="1" t="str">
        <f>IFERROR(IF($Q$1=$P$3,INDEX(prem_analysis!$P$2:$Q$441,ROWS(Data!$P$2:W334),COLUMNS(Data!$P$3:V335)),IF($Q$1=$P$5,INDEX(prem_analysis!$BH$1:$BS$23,ROWS(Data!$Q$3:W335),COLUMNS(Data!$Q$3:W335)),IF($Q$1=$P$6,INDEX(prem_analysis!$BU$1:$CF$67,ROWS(prem_analysis!$N$2:T334),COLUMNS(prem_analysis!$N$2:T334)),IF($Q$1=$P$4,INDEX(Table24[[#All],[Year]:[Details]],ROWS(prem_analysis!$M$420:S752),COLUMNS(Data!$Q$3:W335)))))),"")</f>
        <v/>
      </c>
      <c r="Y334" s="1" t="str">
        <f>IFERROR(IF($Q$1=$P$3,INDEX(prem_analysis!$P$2:$Q$441,ROWS(Data!$P$2:X334),COLUMNS(Data!$P$3:W335)),IF($Q$1=$P$5,INDEX(prem_analysis!$BH$1:$BS$23,ROWS(Data!$Q$3:X335),COLUMNS(Data!$Q$3:X335)),IF($Q$1=$P$6,INDEX(prem_analysis!$BU$1:$CF$67,ROWS(prem_analysis!$N$2:U334),COLUMNS(prem_analysis!$N$2:U334)),IF($Q$1=$P$4,INDEX(Table24[[#All],[Year]:[Details]],ROWS(prem_analysis!$M$420:T752),COLUMNS(Data!$Q$3:X335)))))),"")</f>
        <v/>
      </c>
      <c r="Z334" s="1" t="str">
        <f>IFERROR(IF($Q$1=$P$3,INDEX(prem_analysis!$P$2:$Q$441,ROWS(Data!$P$2:Y334),COLUMNS(Data!$P$3:X335)),IF($Q$1=$P$5,INDEX(prem_analysis!$BH$1:$BS$23,ROWS(Data!$Q$3:Y335),COLUMNS(Data!$Q$3:Y335)),IF($Q$1=$P$6,INDEX(prem_analysis!$BU$1:$CF$67,ROWS(prem_analysis!$N$2:V334),COLUMNS(prem_analysis!$N$2:V334)),IF($Q$1=$P$4,INDEX(Table24[[#All],[Year]:[Details]],ROWS(prem_analysis!$M$420:U752),COLUMNS(Data!$Q$3:Y335)))))),"")</f>
        <v/>
      </c>
      <c r="AA334" s="1" t="str">
        <f>IFERROR(IF($Q$1=$P$3,INDEX(prem_analysis!$P$2:$Q$441,ROWS(Data!$P$2:Z334),COLUMNS(Data!$P$3:Y335)),IF($Q$1=$P$5,INDEX(prem_analysis!$BH$1:$BS$23,ROWS(Data!$Q$3:Z335),COLUMNS(Data!$Q$3:Z335)),IF($Q$1=$P$6,INDEX(prem_analysis!$BU$1:$CF$67,ROWS(prem_analysis!$N$2:W334),COLUMNS(prem_analysis!$N$2:W334)),IF($Q$1=$P$4,INDEX(Table24[[#All],[Year]:[Details]],ROWS(prem_analysis!$M$420:V752),COLUMNS(Data!$Q$3:Z335)))))),"")</f>
        <v/>
      </c>
      <c r="AB334" s="1" t="str">
        <f>IFERROR(IF($Q$1=$P$3,INDEX(prem_analysis!$P$2:$Q$441,ROWS(Data!$P$2:AA334),COLUMNS(Data!$P$3:Z335)),IF($Q$1=$P$5,INDEX(prem_analysis!$BH$1:$BS$23,ROWS(Data!$Q$3:AA335),COLUMNS(Data!$Q$3:AA335)),IF($Q$1=$P$6,INDEX(prem_analysis!$BU$1:$CF$67,ROWS(prem_analysis!$N$2:X334),COLUMNS(prem_analysis!$N$2:X334)),IF($Q$1=$P$4,INDEX(Table24[[#All],[Year]:[Details]],ROWS(prem_analysis!$M$420:W752),COLUMNS(Data!$Q$3:AA335)))))),"")</f>
        <v/>
      </c>
      <c r="AC334" s="1" t="str">
        <f>IFERROR(IF($Q$1=$P$3,INDEX(prem_analysis!$P$2:$Q$441,ROWS(Data!$P$2:AB334),COLUMNS(Data!$P$3:AA335)),IF($Q$1=$P$5,INDEX(prem_analysis!$BH$1:$BS$23,ROWS(Data!$Q$3:AB335),COLUMNS(Data!$Q$3:AB335)),IF($Q$1=$P$6,INDEX(prem_analysis!$BU$1:$CF$67,ROWS(prem_analysis!$N$2:Y334),COLUMNS(prem_analysis!$N$2:Y334)),IF($Q$1=$P$4,INDEX(Table24[[#All],[Year]:[Details]],ROWS(prem_analysis!$M$420:X752),COLUMNS(Data!$Q$3:AB335)))))),"")</f>
        <v/>
      </c>
    </row>
    <row r="335" spans="1:29" x14ac:dyDescent="0.2">
      <c r="A335" s="5">
        <v>2016</v>
      </c>
      <c r="B335" s="5">
        <v>14</v>
      </c>
      <c r="C335" s="6" t="s">
        <v>38</v>
      </c>
      <c r="D335" s="5">
        <v>38</v>
      </c>
      <c r="E335" s="5">
        <v>12</v>
      </c>
      <c r="F335" s="5">
        <v>5</v>
      </c>
      <c r="G335" s="5">
        <v>21</v>
      </c>
      <c r="H335" s="5">
        <v>50</v>
      </c>
      <c r="I335" s="5">
        <v>63</v>
      </c>
      <c r="J335" s="5">
        <v>-13</v>
      </c>
      <c r="K335" s="5">
        <v>41</v>
      </c>
      <c r="L335" s="5">
        <f>IF(Table24[[#This Row],['#]]=1,"Champion", IF(Table24[[#This Row],['#]]&gt;=18,"Relegated",Table24[[#This Row],['#]]))</f>
        <v>14</v>
      </c>
      <c r="M335" s="5" t="str">
        <f>IF(Table24[[#This Row],[Details]]=2,K334-Table24[[#This Row],[Pts]],IF(Table24[[#This Row],[Details]]=17,Table24[[#This Row],[Pts]]-K336,""))</f>
        <v/>
      </c>
      <c r="R335" s="1" t="str">
        <f>IFERROR(IF($Q$1=$P$3,INDEX(prem_analysis!$P$2:$Q$441,ROWS(Data!$P$2:Q335),COLUMNS(Data!$P$3:P336)),IF($Q$1=$P$5,INDEX(prem_analysis!$BH$1:$BS$23,ROWS(Data!$Q$3:Q336),COLUMNS(Data!$Q$3:Q336)),IF($Q$1=$P$6,INDEX(prem_analysis!$BU$1:$CF$67,ROWS(prem_analysis!$N$2:N335),COLUMNS(prem_analysis!$N$2:N335)),IF($Q$1=$P$4,INDEX(Table24[[#All],[Year]:[Details]],ROWS(prem_analysis!$M$420:M753),COLUMNS(Data!$Q$3:Q336)))))),"")</f>
        <v/>
      </c>
      <c r="S335" s="1" t="str">
        <f>IFERROR(IF($Q$1=$P$3,INDEX(prem_analysis!$P$2:$Q$441,ROWS(Data!$P$2:R335),COLUMNS(Data!$P$3:Q336)),IF($Q$1=$P$5,INDEX(prem_analysis!$BH$1:$BS$23,ROWS(Data!$Q$3:R336),COLUMNS(Data!$Q$3:R336)),IF($Q$1=$P$6,INDEX(prem_analysis!$BU$1:$CF$67,ROWS(prem_analysis!$N$2:O335),COLUMNS(prem_analysis!$N$2:O335)),IF($Q$1=$P$4,INDEX(Table24[[#All],[Year]:[Details]],ROWS(prem_analysis!$M$420:N753),COLUMNS(Data!$Q$3:R336)))))),"")</f>
        <v/>
      </c>
      <c r="T335" s="1" t="str">
        <f>IFERROR(IF($Q$1=$P$3,INDEX(prem_analysis!$P$2:$Q$441,ROWS(Data!$P$2:S335),COLUMNS(Data!$P$3:R336)),IF($Q$1=$P$5,INDEX(prem_analysis!$BH$1:$BS$23,ROWS(Data!$Q$3:S336),COLUMNS(Data!$Q$3:S336)),IF($Q$1=$P$6,INDEX(prem_analysis!$BU$1:$CF$67,ROWS(prem_analysis!$N$2:P335),COLUMNS(prem_analysis!$N$2:P335)),IF($Q$1=$P$4,INDEX(Table24[[#All],[Year]:[Details]],ROWS(prem_analysis!$M$420:O753),COLUMNS(Data!$Q$3:S336)))))),"")</f>
        <v/>
      </c>
      <c r="U335" s="1" t="str">
        <f>IFERROR(IF($Q$1=$P$3,INDEX(prem_analysis!$P$2:$Q$441,ROWS(Data!$P$2:T335),COLUMNS(Data!$P$3:S336)),IF($Q$1=$P$5,INDEX(prem_analysis!$BH$1:$BS$23,ROWS(Data!$Q$3:T336),COLUMNS(Data!$Q$3:T336)),IF($Q$1=$P$6,INDEX(prem_analysis!$BU$1:$CF$67,ROWS(prem_analysis!$N$2:Q335),COLUMNS(prem_analysis!$N$2:Q335)),IF($Q$1=$P$4,INDEX(Table24[[#All],[Year]:[Details]],ROWS(prem_analysis!$M$420:P753),COLUMNS(Data!$Q$3:T336)))))),"")</f>
        <v/>
      </c>
      <c r="V335" s="1" t="str">
        <f>IFERROR(IF($Q$1=$P$3,INDEX(prem_analysis!$P$2:$Q$441,ROWS(Data!$P$2:U335),COLUMNS(Data!$P$3:T336)),IF($Q$1=$P$5,INDEX(prem_analysis!$BH$1:$BS$23,ROWS(Data!$Q$3:U336),COLUMNS(Data!$Q$3:U336)),IF($Q$1=$P$6,INDEX(prem_analysis!$BU$1:$CF$67,ROWS(prem_analysis!$N$2:R335),COLUMNS(prem_analysis!$N$2:R335)),IF($Q$1=$P$4,INDEX(Table24[[#All],[Year]:[Details]],ROWS(prem_analysis!$M$420:Q753),COLUMNS(Data!$Q$3:U336)))))),"")</f>
        <v/>
      </c>
      <c r="W335" s="1" t="str">
        <f>IFERROR(IF($Q$1=$P$3,INDEX(prem_analysis!$P$2:$Q$441,ROWS(Data!$P$2:V335),COLUMNS(Data!$P$3:U336)),IF($Q$1=$P$5,INDEX(prem_analysis!$BH$1:$BS$23,ROWS(Data!$Q$3:V336),COLUMNS(Data!$Q$3:V336)),IF($Q$1=$P$6,INDEX(prem_analysis!$BU$1:$CF$67,ROWS(prem_analysis!$N$2:S335),COLUMNS(prem_analysis!$N$2:S335)),IF($Q$1=$P$4,INDEX(Table24[[#All],[Year]:[Details]],ROWS(prem_analysis!$M$420:R753),COLUMNS(Data!$Q$3:V336)))))),"")</f>
        <v/>
      </c>
      <c r="X335" s="1" t="str">
        <f>IFERROR(IF($Q$1=$P$3,INDEX(prem_analysis!$P$2:$Q$441,ROWS(Data!$P$2:W335),COLUMNS(Data!$P$3:V336)),IF($Q$1=$P$5,INDEX(prem_analysis!$BH$1:$BS$23,ROWS(Data!$Q$3:W336),COLUMNS(Data!$Q$3:W336)),IF($Q$1=$P$6,INDEX(prem_analysis!$BU$1:$CF$67,ROWS(prem_analysis!$N$2:T335),COLUMNS(prem_analysis!$N$2:T335)),IF($Q$1=$P$4,INDEX(Table24[[#All],[Year]:[Details]],ROWS(prem_analysis!$M$420:S753),COLUMNS(Data!$Q$3:W336)))))),"")</f>
        <v/>
      </c>
      <c r="Y335" s="1" t="str">
        <f>IFERROR(IF($Q$1=$P$3,INDEX(prem_analysis!$P$2:$Q$441,ROWS(Data!$P$2:X335),COLUMNS(Data!$P$3:W336)),IF($Q$1=$P$5,INDEX(prem_analysis!$BH$1:$BS$23,ROWS(Data!$Q$3:X336),COLUMNS(Data!$Q$3:X336)),IF($Q$1=$P$6,INDEX(prem_analysis!$BU$1:$CF$67,ROWS(prem_analysis!$N$2:U335),COLUMNS(prem_analysis!$N$2:U335)),IF($Q$1=$P$4,INDEX(Table24[[#All],[Year]:[Details]],ROWS(prem_analysis!$M$420:T753),COLUMNS(Data!$Q$3:X336)))))),"")</f>
        <v/>
      </c>
      <c r="Z335" s="1" t="str">
        <f>IFERROR(IF($Q$1=$P$3,INDEX(prem_analysis!$P$2:$Q$441,ROWS(Data!$P$2:Y335),COLUMNS(Data!$P$3:X336)),IF($Q$1=$P$5,INDEX(prem_analysis!$BH$1:$BS$23,ROWS(Data!$Q$3:Y336),COLUMNS(Data!$Q$3:Y336)),IF($Q$1=$P$6,INDEX(prem_analysis!$BU$1:$CF$67,ROWS(prem_analysis!$N$2:V335),COLUMNS(prem_analysis!$N$2:V335)),IF($Q$1=$P$4,INDEX(Table24[[#All],[Year]:[Details]],ROWS(prem_analysis!$M$420:U753),COLUMNS(Data!$Q$3:Y336)))))),"")</f>
        <v/>
      </c>
      <c r="AA335" s="1" t="str">
        <f>IFERROR(IF($Q$1=$P$3,INDEX(prem_analysis!$P$2:$Q$441,ROWS(Data!$P$2:Z335),COLUMNS(Data!$P$3:Y336)),IF($Q$1=$P$5,INDEX(prem_analysis!$BH$1:$BS$23,ROWS(Data!$Q$3:Z336),COLUMNS(Data!$Q$3:Z336)),IF($Q$1=$P$6,INDEX(prem_analysis!$BU$1:$CF$67,ROWS(prem_analysis!$N$2:W335),COLUMNS(prem_analysis!$N$2:W335)),IF($Q$1=$P$4,INDEX(Table24[[#All],[Year]:[Details]],ROWS(prem_analysis!$M$420:V753),COLUMNS(Data!$Q$3:Z336)))))),"")</f>
        <v/>
      </c>
      <c r="AB335" s="1" t="str">
        <f>IFERROR(IF($Q$1=$P$3,INDEX(prem_analysis!$P$2:$Q$441,ROWS(Data!$P$2:AA335),COLUMNS(Data!$P$3:Z336)),IF($Q$1=$P$5,INDEX(prem_analysis!$BH$1:$BS$23,ROWS(Data!$Q$3:AA336),COLUMNS(Data!$Q$3:AA336)),IF($Q$1=$P$6,INDEX(prem_analysis!$BU$1:$CF$67,ROWS(prem_analysis!$N$2:X335),COLUMNS(prem_analysis!$N$2:X335)),IF($Q$1=$P$4,INDEX(Table24[[#All],[Year]:[Details]],ROWS(prem_analysis!$M$420:W753),COLUMNS(Data!$Q$3:AA336)))))),"")</f>
        <v/>
      </c>
      <c r="AC335" s="1" t="str">
        <f>IFERROR(IF($Q$1=$P$3,INDEX(prem_analysis!$P$2:$Q$441,ROWS(Data!$P$2:AB335),COLUMNS(Data!$P$3:AA336)),IF($Q$1=$P$5,INDEX(prem_analysis!$BH$1:$BS$23,ROWS(Data!$Q$3:AB336),COLUMNS(Data!$Q$3:AB336)),IF($Q$1=$P$6,INDEX(prem_analysis!$BU$1:$CF$67,ROWS(prem_analysis!$N$2:Y335),COLUMNS(prem_analysis!$N$2:Y335)),IF($Q$1=$P$4,INDEX(Table24[[#All],[Year]:[Details]],ROWS(prem_analysis!$M$420:X753),COLUMNS(Data!$Q$3:AB336)))))),"")</f>
        <v/>
      </c>
    </row>
    <row r="336" spans="1:29" x14ac:dyDescent="0.2">
      <c r="A336" s="3">
        <v>2016</v>
      </c>
      <c r="B336" s="3">
        <v>15</v>
      </c>
      <c r="C336" s="4" t="s">
        <v>48</v>
      </c>
      <c r="D336" s="3">
        <v>38</v>
      </c>
      <c r="E336" s="3">
        <v>12</v>
      </c>
      <c r="F336" s="3">
        <v>5</v>
      </c>
      <c r="G336" s="3">
        <v>21</v>
      </c>
      <c r="H336" s="3">
        <v>45</v>
      </c>
      <c r="I336" s="3">
        <v>70</v>
      </c>
      <c r="J336" s="3">
        <v>-25</v>
      </c>
      <c r="K336" s="3">
        <v>41</v>
      </c>
      <c r="L336" s="5">
        <f>IF(Table24[[#This Row],['#]]=1,"Champion", IF(Table24[[#This Row],['#]]&gt;=18,"Relegated",Table24[[#This Row],['#]]))</f>
        <v>15</v>
      </c>
      <c r="M336" s="5" t="str">
        <f>IF(Table24[[#This Row],[Details]]=2,K335-Table24[[#This Row],[Pts]],IF(Table24[[#This Row],[Details]]=17,Table24[[#This Row],[Pts]]-K337,""))</f>
        <v/>
      </c>
      <c r="R336" s="1" t="str">
        <f>IFERROR(IF($Q$1=$P$3,INDEX(prem_analysis!$P$2:$Q$441,ROWS(Data!$P$2:Q336),COLUMNS(Data!$P$3:P337)),IF($Q$1=$P$5,INDEX(prem_analysis!$BH$1:$BS$23,ROWS(Data!$Q$3:Q337),COLUMNS(Data!$Q$3:Q337)),IF($Q$1=$P$6,INDEX(prem_analysis!$BU$1:$CF$67,ROWS(prem_analysis!$N$2:N336),COLUMNS(prem_analysis!$N$2:N336)),IF($Q$1=$P$4,INDEX(Table24[[#All],[Year]:[Details]],ROWS(prem_analysis!$M$420:M754),COLUMNS(Data!$Q$3:Q337)))))),"")</f>
        <v/>
      </c>
      <c r="S336" s="1" t="str">
        <f>IFERROR(IF($Q$1=$P$3,INDEX(prem_analysis!$P$2:$Q$441,ROWS(Data!$P$2:R336),COLUMNS(Data!$P$3:Q337)),IF($Q$1=$P$5,INDEX(prem_analysis!$BH$1:$BS$23,ROWS(Data!$Q$3:R337),COLUMNS(Data!$Q$3:R337)),IF($Q$1=$P$6,INDEX(prem_analysis!$BU$1:$CF$67,ROWS(prem_analysis!$N$2:O336),COLUMNS(prem_analysis!$N$2:O336)),IF($Q$1=$P$4,INDEX(Table24[[#All],[Year]:[Details]],ROWS(prem_analysis!$M$420:N754),COLUMNS(Data!$Q$3:R337)))))),"")</f>
        <v/>
      </c>
      <c r="T336" s="1" t="str">
        <f>IFERROR(IF($Q$1=$P$3,INDEX(prem_analysis!$P$2:$Q$441,ROWS(Data!$P$2:S336),COLUMNS(Data!$P$3:R337)),IF($Q$1=$P$5,INDEX(prem_analysis!$BH$1:$BS$23,ROWS(Data!$Q$3:S337),COLUMNS(Data!$Q$3:S337)),IF($Q$1=$P$6,INDEX(prem_analysis!$BU$1:$CF$67,ROWS(prem_analysis!$N$2:P336),COLUMNS(prem_analysis!$N$2:P336)),IF($Q$1=$P$4,INDEX(Table24[[#All],[Year]:[Details]],ROWS(prem_analysis!$M$420:O754),COLUMNS(Data!$Q$3:S337)))))),"")</f>
        <v/>
      </c>
      <c r="U336" s="1" t="str">
        <f>IFERROR(IF($Q$1=$P$3,INDEX(prem_analysis!$P$2:$Q$441,ROWS(Data!$P$2:T336),COLUMNS(Data!$P$3:S337)),IF($Q$1=$P$5,INDEX(prem_analysis!$BH$1:$BS$23,ROWS(Data!$Q$3:T337),COLUMNS(Data!$Q$3:T337)),IF($Q$1=$P$6,INDEX(prem_analysis!$BU$1:$CF$67,ROWS(prem_analysis!$N$2:Q336),COLUMNS(prem_analysis!$N$2:Q336)),IF($Q$1=$P$4,INDEX(Table24[[#All],[Year]:[Details]],ROWS(prem_analysis!$M$420:P754),COLUMNS(Data!$Q$3:T337)))))),"")</f>
        <v/>
      </c>
      <c r="V336" s="1" t="str">
        <f>IFERROR(IF($Q$1=$P$3,INDEX(prem_analysis!$P$2:$Q$441,ROWS(Data!$P$2:U336),COLUMNS(Data!$P$3:T337)),IF($Q$1=$P$5,INDEX(prem_analysis!$BH$1:$BS$23,ROWS(Data!$Q$3:U337),COLUMNS(Data!$Q$3:U337)),IF($Q$1=$P$6,INDEX(prem_analysis!$BU$1:$CF$67,ROWS(prem_analysis!$N$2:R336),COLUMNS(prem_analysis!$N$2:R336)),IF($Q$1=$P$4,INDEX(Table24[[#All],[Year]:[Details]],ROWS(prem_analysis!$M$420:Q754),COLUMNS(Data!$Q$3:U337)))))),"")</f>
        <v/>
      </c>
      <c r="W336" s="1" t="str">
        <f>IFERROR(IF($Q$1=$P$3,INDEX(prem_analysis!$P$2:$Q$441,ROWS(Data!$P$2:V336),COLUMNS(Data!$P$3:U337)),IF($Q$1=$P$5,INDEX(prem_analysis!$BH$1:$BS$23,ROWS(Data!$Q$3:V337),COLUMNS(Data!$Q$3:V337)),IF($Q$1=$P$6,INDEX(prem_analysis!$BU$1:$CF$67,ROWS(prem_analysis!$N$2:S336),COLUMNS(prem_analysis!$N$2:S336)),IF($Q$1=$P$4,INDEX(Table24[[#All],[Year]:[Details]],ROWS(prem_analysis!$M$420:R754),COLUMNS(Data!$Q$3:V337)))))),"")</f>
        <v/>
      </c>
      <c r="X336" s="1" t="str">
        <f>IFERROR(IF($Q$1=$P$3,INDEX(prem_analysis!$P$2:$Q$441,ROWS(Data!$P$2:W336),COLUMNS(Data!$P$3:V337)),IF($Q$1=$P$5,INDEX(prem_analysis!$BH$1:$BS$23,ROWS(Data!$Q$3:W337),COLUMNS(Data!$Q$3:W337)),IF($Q$1=$P$6,INDEX(prem_analysis!$BU$1:$CF$67,ROWS(prem_analysis!$N$2:T336),COLUMNS(prem_analysis!$N$2:T336)),IF($Q$1=$P$4,INDEX(Table24[[#All],[Year]:[Details]],ROWS(prem_analysis!$M$420:S754),COLUMNS(Data!$Q$3:W337)))))),"")</f>
        <v/>
      </c>
      <c r="Y336" s="1" t="str">
        <f>IFERROR(IF($Q$1=$P$3,INDEX(prem_analysis!$P$2:$Q$441,ROWS(Data!$P$2:X336),COLUMNS(Data!$P$3:W337)),IF($Q$1=$P$5,INDEX(prem_analysis!$BH$1:$BS$23,ROWS(Data!$Q$3:X337),COLUMNS(Data!$Q$3:X337)),IF($Q$1=$P$6,INDEX(prem_analysis!$BU$1:$CF$67,ROWS(prem_analysis!$N$2:U336),COLUMNS(prem_analysis!$N$2:U336)),IF($Q$1=$P$4,INDEX(Table24[[#All],[Year]:[Details]],ROWS(prem_analysis!$M$420:T754),COLUMNS(Data!$Q$3:X337)))))),"")</f>
        <v/>
      </c>
      <c r="Z336" s="1" t="str">
        <f>IFERROR(IF($Q$1=$P$3,INDEX(prem_analysis!$P$2:$Q$441,ROWS(Data!$P$2:Y336),COLUMNS(Data!$P$3:X337)),IF($Q$1=$P$5,INDEX(prem_analysis!$BH$1:$BS$23,ROWS(Data!$Q$3:Y337),COLUMNS(Data!$Q$3:Y337)),IF($Q$1=$P$6,INDEX(prem_analysis!$BU$1:$CF$67,ROWS(prem_analysis!$N$2:V336),COLUMNS(prem_analysis!$N$2:V336)),IF($Q$1=$P$4,INDEX(Table24[[#All],[Year]:[Details]],ROWS(prem_analysis!$M$420:U754),COLUMNS(Data!$Q$3:Y337)))))),"")</f>
        <v/>
      </c>
      <c r="AA336" s="1" t="str">
        <f>IFERROR(IF($Q$1=$P$3,INDEX(prem_analysis!$P$2:$Q$441,ROWS(Data!$P$2:Z336),COLUMNS(Data!$P$3:Y337)),IF($Q$1=$P$5,INDEX(prem_analysis!$BH$1:$BS$23,ROWS(Data!$Q$3:Z337),COLUMNS(Data!$Q$3:Z337)),IF($Q$1=$P$6,INDEX(prem_analysis!$BU$1:$CF$67,ROWS(prem_analysis!$N$2:W336),COLUMNS(prem_analysis!$N$2:W336)),IF($Q$1=$P$4,INDEX(Table24[[#All],[Year]:[Details]],ROWS(prem_analysis!$M$420:V754),COLUMNS(Data!$Q$3:Z337)))))),"")</f>
        <v/>
      </c>
      <c r="AB336" s="1" t="str">
        <f>IFERROR(IF($Q$1=$P$3,INDEX(prem_analysis!$P$2:$Q$441,ROWS(Data!$P$2:AA336),COLUMNS(Data!$P$3:Z337)),IF($Q$1=$P$5,INDEX(prem_analysis!$BH$1:$BS$23,ROWS(Data!$Q$3:AA337),COLUMNS(Data!$Q$3:AA337)),IF($Q$1=$P$6,INDEX(prem_analysis!$BU$1:$CF$67,ROWS(prem_analysis!$N$2:X336),COLUMNS(prem_analysis!$N$2:X336)),IF($Q$1=$P$4,INDEX(Table24[[#All],[Year]:[Details]],ROWS(prem_analysis!$M$420:W754),COLUMNS(Data!$Q$3:AA337)))))),"")</f>
        <v/>
      </c>
      <c r="AC336" s="1" t="str">
        <f>IFERROR(IF($Q$1=$P$3,INDEX(prem_analysis!$P$2:$Q$441,ROWS(Data!$P$2:AB336),COLUMNS(Data!$P$3:AA337)),IF($Q$1=$P$5,INDEX(prem_analysis!$BH$1:$BS$23,ROWS(Data!$Q$3:AB337),COLUMNS(Data!$Q$3:AB337)),IF($Q$1=$P$6,INDEX(prem_analysis!$BU$1:$CF$67,ROWS(prem_analysis!$N$2:Y336),COLUMNS(prem_analysis!$N$2:Y336)),IF($Q$1=$P$4,INDEX(Table24[[#All],[Year]:[Details]],ROWS(prem_analysis!$M$420:X754),COLUMNS(Data!$Q$3:AB337)))))),"")</f>
        <v/>
      </c>
    </row>
    <row r="337" spans="1:29" x14ac:dyDescent="0.2">
      <c r="A337" s="5">
        <v>2016</v>
      </c>
      <c r="B337" s="5">
        <v>16</v>
      </c>
      <c r="C337" s="6" t="s">
        <v>46</v>
      </c>
      <c r="D337" s="5">
        <v>38</v>
      </c>
      <c r="E337" s="5">
        <v>11</v>
      </c>
      <c r="F337" s="5">
        <v>7</v>
      </c>
      <c r="G337" s="5">
        <v>20</v>
      </c>
      <c r="H337" s="5">
        <v>39</v>
      </c>
      <c r="I337" s="5">
        <v>55</v>
      </c>
      <c r="J337" s="5">
        <v>-16</v>
      </c>
      <c r="K337" s="5">
        <v>40</v>
      </c>
      <c r="L337" s="5">
        <f>IF(Table24[[#This Row],['#]]=1,"Champion", IF(Table24[[#This Row],['#]]&gt;=18,"Relegated",Table24[[#This Row],['#]]))</f>
        <v>16</v>
      </c>
      <c r="M337" s="5" t="str">
        <f>IF(Table24[[#This Row],[Details]]=2,K336-Table24[[#This Row],[Pts]],IF(Table24[[#This Row],[Details]]=17,Table24[[#This Row],[Pts]]-K338,""))</f>
        <v/>
      </c>
      <c r="R337" s="1" t="str">
        <f>IFERROR(IF($Q$1=$P$3,INDEX(prem_analysis!$P$2:$Q$441,ROWS(Data!$P$2:Q337),COLUMNS(Data!$P$3:P338)),IF($Q$1=$P$5,INDEX(prem_analysis!$BH$1:$BS$23,ROWS(Data!$Q$3:Q338),COLUMNS(Data!$Q$3:Q338)),IF($Q$1=$P$6,INDEX(prem_analysis!$BU$1:$CF$67,ROWS(prem_analysis!$N$2:N337),COLUMNS(prem_analysis!$N$2:N337)),IF($Q$1=$P$4,INDEX(Table24[[#All],[Year]:[Details]],ROWS(prem_analysis!$M$420:M755),COLUMNS(Data!$Q$3:Q338)))))),"")</f>
        <v/>
      </c>
      <c r="S337" s="1" t="str">
        <f>IFERROR(IF($Q$1=$P$3,INDEX(prem_analysis!$P$2:$Q$441,ROWS(Data!$P$2:R337),COLUMNS(Data!$P$3:Q338)),IF($Q$1=$P$5,INDEX(prem_analysis!$BH$1:$BS$23,ROWS(Data!$Q$3:R338),COLUMNS(Data!$Q$3:R338)),IF($Q$1=$P$6,INDEX(prem_analysis!$BU$1:$CF$67,ROWS(prem_analysis!$N$2:O337),COLUMNS(prem_analysis!$N$2:O337)),IF($Q$1=$P$4,INDEX(Table24[[#All],[Year]:[Details]],ROWS(prem_analysis!$M$420:N755),COLUMNS(Data!$Q$3:R338)))))),"")</f>
        <v/>
      </c>
      <c r="T337" s="1" t="str">
        <f>IFERROR(IF($Q$1=$P$3,INDEX(prem_analysis!$P$2:$Q$441,ROWS(Data!$P$2:S337),COLUMNS(Data!$P$3:R338)),IF($Q$1=$P$5,INDEX(prem_analysis!$BH$1:$BS$23,ROWS(Data!$Q$3:S338),COLUMNS(Data!$Q$3:S338)),IF($Q$1=$P$6,INDEX(prem_analysis!$BU$1:$CF$67,ROWS(prem_analysis!$N$2:P337),COLUMNS(prem_analysis!$N$2:P337)),IF($Q$1=$P$4,INDEX(Table24[[#All],[Year]:[Details]],ROWS(prem_analysis!$M$420:O755),COLUMNS(Data!$Q$3:S338)))))),"")</f>
        <v/>
      </c>
      <c r="U337" s="1" t="str">
        <f>IFERROR(IF($Q$1=$P$3,INDEX(prem_analysis!$P$2:$Q$441,ROWS(Data!$P$2:T337),COLUMNS(Data!$P$3:S338)),IF($Q$1=$P$5,INDEX(prem_analysis!$BH$1:$BS$23,ROWS(Data!$Q$3:T338),COLUMNS(Data!$Q$3:T338)),IF($Q$1=$P$6,INDEX(prem_analysis!$BU$1:$CF$67,ROWS(prem_analysis!$N$2:Q337),COLUMNS(prem_analysis!$N$2:Q337)),IF($Q$1=$P$4,INDEX(Table24[[#All],[Year]:[Details]],ROWS(prem_analysis!$M$420:P755),COLUMNS(Data!$Q$3:T338)))))),"")</f>
        <v/>
      </c>
      <c r="V337" s="1" t="str">
        <f>IFERROR(IF($Q$1=$P$3,INDEX(prem_analysis!$P$2:$Q$441,ROWS(Data!$P$2:U337),COLUMNS(Data!$P$3:T338)),IF($Q$1=$P$5,INDEX(prem_analysis!$BH$1:$BS$23,ROWS(Data!$Q$3:U338),COLUMNS(Data!$Q$3:U338)),IF($Q$1=$P$6,INDEX(prem_analysis!$BU$1:$CF$67,ROWS(prem_analysis!$N$2:R337),COLUMNS(prem_analysis!$N$2:R337)),IF($Q$1=$P$4,INDEX(Table24[[#All],[Year]:[Details]],ROWS(prem_analysis!$M$420:Q755),COLUMNS(Data!$Q$3:U338)))))),"")</f>
        <v/>
      </c>
      <c r="W337" s="1" t="str">
        <f>IFERROR(IF($Q$1=$P$3,INDEX(prem_analysis!$P$2:$Q$441,ROWS(Data!$P$2:V337),COLUMNS(Data!$P$3:U338)),IF($Q$1=$P$5,INDEX(prem_analysis!$BH$1:$BS$23,ROWS(Data!$Q$3:V338),COLUMNS(Data!$Q$3:V338)),IF($Q$1=$P$6,INDEX(prem_analysis!$BU$1:$CF$67,ROWS(prem_analysis!$N$2:S337),COLUMNS(prem_analysis!$N$2:S337)),IF($Q$1=$P$4,INDEX(Table24[[#All],[Year]:[Details]],ROWS(prem_analysis!$M$420:R755),COLUMNS(Data!$Q$3:V338)))))),"")</f>
        <v/>
      </c>
      <c r="X337" s="1" t="str">
        <f>IFERROR(IF($Q$1=$P$3,INDEX(prem_analysis!$P$2:$Q$441,ROWS(Data!$P$2:W337),COLUMNS(Data!$P$3:V338)),IF($Q$1=$P$5,INDEX(prem_analysis!$BH$1:$BS$23,ROWS(Data!$Q$3:W338),COLUMNS(Data!$Q$3:W338)),IF($Q$1=$P$6,INDEX(prem_analysis!$BU$1:$CF$67,ROWS(prem_analysis!$N$2:T337),COLUMNS(prem_analysis!$N$2:T337)),IF($Q$1=$P$4,INDEX(Table24[[#All],[Year]:[Details]],ROWS(prem_analysis!$M$420:S755),COLUMNS(Data!$Q$3:W338)))))),"")</f>
        <v/>
      </c>
      <c r="Y337" s="1" t="str">
        <f>IFERROR(IF($Q$1=$P$3,INDEX(prem_analysis!$P$2:$Q$441,ROWS(Data!$P$2:X337),COLUMNS(Data!$P$3:W338)),IF($Q$1=$P$5,INDEX(prem_analysis!$BH$1:$BS$23,ROWS(Data!$Q$3:X338),COLUMNS(Data!$Q$3:X338)),IF($Q$1=$P$6,INDEX(prem_analysis!$BU$1:$CF$67,ROWS(prem_analysis!$N$2:U337),COLUMNS(prem_analysis!$N$2:U337)),IF($Q$1=$P$4,INDEX(Table24[[#All],[Year]:[Details]],ROWS(prem_analysis!$M$420:T755),COLUMNS(Data!$Q$3:X338)))))),"")</f>
        <v/>
      </c>
      <c r="Z337" s="1" t="str">
        <f>IFERROR(IF($Q$1=$P$3,INDEX(prem_analysis!$P$2:$Q$441,ROWS(Data!$P$2:Y337),COLUMNS(Data!$P$3:X338)),IF($Q$1=$P$5,INDEX(prem_analysis!$BH$1:$BS$23,ROWS(Data!$Q$3:Y338),COLUMNS(Data!$Q$3:Y338)),IF($Q$1=$P$6,INDEX(prem_analysis!$BU$1:$CF$67,ROWS(prem_analysis!$N$2:V337),COLUMNS(prem_analysis!$N$2:V337)),IF($Q$1=$P$4,INDEX(Table24[[#All],[Year]:[Details]],ROWS(prem_analysis!$M$420:U755),COLUMNS(Data!$Q$3:Y338)))))),"")</f>
        <v/>
      </c>
      <c r="AA337" s="1" t="str">
        <f>IFERROR(IF($Q$1=$P$3,INDEX(prem_analysis!$P$2:$Q$441,ROWS(Data!$P$2:Z337),COLUMNS(Data!$P$3:Y338)),IF($Q$1=$P$5,INDEX(prem_analysis!$BH$1:$BS$23,ROWS(Data!$Q$3:Z338),COLUMNS(Data!$Q$3:Z338)),IF($Q$1=$P$6,INDEX(prem_analysis!$BU$1:$CF$67,ROWS(prem_analysis!$N$2:W337),COLUMNS(prem_analysis!$N$2:W337)),IF($Q$1=$P$4,INDEX(Table24[[#All],[Year]:[Details]],ROWS(prem_analysis!$M$420:V755),COLUMNS(Data!$Q$3:Z338)))))),"")</f>
        <v/>
      </c>
      <c r="AB337" s="1" t="str">
        <f>IFERROR(IF($Q$1=$P$3,INDEX(prem_analysis!$P$2:$Q$441,ROWS(Data!$P$2:AA337),COLUMNS(Data!$P$3:Z338)),IF($Q$1=$P$5,INDEX(prem_analysis!$BH$1:$BS$23,ROWS(Data!$Q$3:AA338),COLUMNS(Data!$Q$3:AA338)),IF($Q$1=$P$6,INDEX(prem_analysis!$BU$1:$CF$67,ROWS(prem_analysis!$N$2:X337),COLUMNS(prem_analysis!$N$2:X337)),IF($Q$1=$P$4,INDEX(Table24[[#All],[Year]:[Details]],ROWS(prem_analysis!$M$420:W755),COLUMNS(Data!$Q$3:AA338)))))),"")</f>
        <v/>
      </c>
      <c r="AC337" s="1" t="str">
        <f>IFERROR(IF($Q$1=$P$3,INDEX(prem_analysis!$P$2:$Q$441,ROWS(Data!$P$2:AB337),COLUMNS(Data!$P$3:AA338)),IF($Q$1=$P$5,INDEX(prem_analysis!$BH$1:$BS$23,ROWS(Data!$Q$3:AB338),COLUMNS(Data!$Q$3:AB338)),IF($Q$1=$P$6,INDEX(prem_analysis!$BU$1:$CF$67,ROWS(prem_analysis!$N$2:Y337),COLUMNS(prem_analysis!$N$2:Y337)),IF($Q$1=$P$4,INDEX(Table24[[#All],[Year]:[Details]],ROWS(prem_analysis!$M$420:X755),COLUMNS(Data!$Q$3:AB338)))))),"")</f>
        <v/>
      </c>
    </row>
    <row r="338" spans="1:29" x14ac:dyDescent="0.2">
      <c r="A338" s="3">
        <v>2016</v>
      </c>
      <c r="B338" s="3">
        <v>17</v>
      </c>
      <c r="C338" s="4" t="s">
        <v>43</v>
      </c>
      <c r="D338" s="3">
        <v>38</v>
      </c>
      <c r="E338" s="3">
        <v>11</v>
      </c>
      <c r="F338" s="3">
        <v>7</v>
      </c>
      <c r="G338" s="3">
        <v>20</v>
      </c>
      <c r="H338" s="3">
        <v>40</v>
      </c>
      <c r="I338" s="3">
        <v>68</v>
      </c>
      <c r="J338" s="3">
        <v>-28</v>
      </c>
      <c r="K338" s="3">
        <v>40</v>
      </c>
      <c r="L338" s="5">
        <f>IF(Table24[[#This Row],['#]]=1,"Champion", IF(Table24[[#This Row],['#]]&gt;=18,"Relegated",Table24[[#This Row],['#]]))</f>
        <v>17</v>
      </c>
      <c r="M338" s="5">
        <f>IF(Table24[[#This Row],[Details]]=2,K337-Table24[[#This Row],[Pts]],IF(Table24[[#This Row],[Details]]=17,Table24[[#This Row],[Pts]]-K339,""))</f>
        <v>6</v>
      </c>
      <c r="R338" s="1" t="str">
        <f>IFERROR(IF($Q$1=$P$3,INDEX(prem_analysis!$P$2:$Q$441,ROWS(Data!$P$2:Q338),COLUMNS(Data!$P$3:P339)),IF($Q$1=$P$5,INDEX(prem_analysis!$BH$1:$BS$23,ROWS(Data!$Q$3:Q339),COLUMNS(Data!$Q$3:Q339)),IF($Q$1=$P$6,INDEX(prem_analysis!$BU$1:$CF$67,ROWS(prem_analysis!$N$2:N338),COLUMNS(prem_analysis!$N$2:N338)),IF($Q$1=$P$4,INDEX(Table24[[#All],[Year]:[Details]],ROWS(prem_analysis!$M$420:M756),COLUMNS(Data!$Q$3:Q339)))))),"")</f>
        <v/>
      </c>
      <c r="S338" s="1" t="str">
        <f>IFERROR(IF($Q$1=$P$3,INDEX(prem_analysis!$P$2:$Q$441,ROWS(Data!$P$2:R338),COLUMNS(Data!$P$3:Q339)),IF($Q$1=$P$5,INDEX(prem_analysis!$BH$1:$BS$23,ROWS(Data!$Q$3:R339),COLUMNS(Data!$Q$3:R339)),IF($Q$1=$P$6,INDEX(prem_analysis!$BU$1:$CF$67,ROWS(prem_analysis!$N$2:O338),COLUMNS(prem_analysis!$N$2:O338)),IF($Q$1=$P$4,INDEX(Table24[[#All],[Year]:[Details]],ROWS(prem_analysis!$M$420:N756),COLUMNS(Data!$Q$3:R339)))))),"")</f>
        <v/>
      </c>
      <c r="T338" s="1" t="str">
        <f>IFERROR(IF($Q$1=$P$3,INDEX(prem_analysis!$P$2:$Q$441,ROWS(Data!$P$2:S338),COLUMNS(Data!$P$3:R339)),IF($Q$1=$P$5,INDEX(prem_analysis!$BH$1:$BS$23,ROWS(Data!$Q$3:S339),COLUMNS(Data!$Q$3:S339)),IF($Q$1=$P$6,INDEX(prem_analysis!$BU$1:$CF$67,ROWS(prem_analysis!$N$2:P338),COLUMNS(prem_analysis!$N$2:P338)),IF($Q$1=$P$4,INDEX(Table24[[#All],[Year]:[Details]],ROWS(prem_analysis!$M$420:O756),COLUMNS(Data!$Q$3:S339)))))),"")</f>
        <v/>
      </c>
      <c r="U338" s="1" t="str">
        <f>IFERROR(IF($Q$1=$P$3,INDEX(prem_analysis!$P$2:$Q$441,ROWS(Data!$P$2:T338),COLUMNS(Data!$P$3:S339)),IF($Q$1=$P$5,INDEX(prem_analysis!$BH$1:$BS$23,ROWS(Data!$Q$3:T339),COLUMNS(Data!$Q$3:T339)),IF($Q$1=$P$6,INDEX(prem_analysis!$BU$1:$CF$67,ROWS(prem_analysis!$N$2:Q338),COLUMNS(prem_analysis!$N$2:Q338)),IF($Q$1=$P$4,INDEX(Table24[[#All],[Year]:[Details]],ROWS(prem_analysis!$M$420:P756),COLUMNS(Data!$Q$3:T339)))))),"")</f>
        <v/>
      </c>
      <c r="V338" s="1" t="str">
        <f>IFERROR(IF($Q$1=$P$3,INDEX(prem_analysis!$P$2:$Q$441,ROWS(Data!$P$2:U338),COLUMNS(Data!$P$3:T339)),IF($Q$1=$P$5,INDEX(prem_analysis!$BH$1:$BS$23,ROWS(Data!$Q$3:U339),COLUMNS(Data!$Q$3:U339)),IF($Q$1=$P$6,INDEX(prem_analysis!$BU$1:$CF$67,ROWS(prem_analysis!$N$2:R338),COLUMNS(prem_analysis!$N$2:R338)),IF($Q$1=$P$4,INDEX(Table24[[#All],[Year]:[Details]],ROWS(prem_analysis!$M$420:Q756),COLUMNS(Data!$Q$3:U339)))))),"")</f>
        <v/>
      </c>
      <c r="W338" s="1" t="str">
        <f>IFERROR(IF($Q$1=$P$3,INDEX(prem_analysis!$P$2:$Q$441,ROWS(Data!$P$2:V338),COLUMNS(Data!$P$3:U339)),IF($Q$1=$P$5,INDEX(prem_analysis!$BH$1:$BS$23,ROWS(Data!$Q$3:V339),COLUMNS(Data!$Q$3:V339)),IF($Q$1=$P$6,INDEX(prem_analysis!$BU$1:$CF$67,ROWS(prem_analysis!$N$2:S338),COLUMNS(prem_analysis!$N$2:S338)),IF($Q$1=$P$4,INDEX(Table24[[#All],[Year]:[Details]],ROWS(prem_analysis!$M$420:R756),COLUMNS(Data!$Q$3:V339)))))),"")</f>
        <v/>
      </c>
      <c r="X338" s="1" t="str">
        <f>IFERROR(IF($Q$1=$P$3,INDEX(prem_analysis!$P$2:$Q$441,ROWS(Data!$P$2:W338),COLUMNS(Data!$P$3:V339)),IF($Q$1=$P$5,INDEX(prem_analysis!$BH$1:$BS$23,ROWS(Data!$Q$3:W339),COLUMNS(Data!$Q$3:W339)),IF($Q$1=$P$6,INDEX(prem_analysis!$BU$1:$CF$67,ROWS(prem_analysis!$N$2:T338),COLUMNS(prem_analysis!$N$2:T338)),IF($Q$1=$P$4,INDEX(Table24[[#All],[Year]:[Details]],ROWS(prem_analysis!$M$420:S756),COLUMNS(Data!$Q$3:W339)))))),"")</f>
        <v/>
      </c>
      <c r="Y338" s="1" t="str">
        <f>IFERROR(IF($Q$1=$P$3,INDEX(prem_analysis!$P$2:$Q$441,ROWS(Data!$P$2:X338),COLUMNS(Data!$P$3:W339)),IF($Q$1=$P$5,INDEX(prem_analysis!$BH$1:$BS$23,ROWS(Data!$Q$3:X339),COLUMNS(Data!$Q$3:X339)),IF($Q$1=$P$6,INDEX(prem_analysis!$BU$1:$CF$67,ROWS(prem_analysis!$N$2:U338),COLUMNS(prem_analysis!$N$2:U338)),IF($Q$1=$P$4,INDEX(Table24[[#All],[Year]:[Details]],ROWS(prem_analysis!$M$420:T756),COLUMNS(Data!$Q$3:X339)))))),"")</f>
        <v/>
      </c>
      <c r="Z338" s="1" t="str">
        <f>IFERROR(IF($Q$1=$P$3,INDEX(prem_analysis!$P$2:$Q$441,ROWS(Data!$P$2:Y338),COLUMNS(Data!$P$3:X339)),IF($Q$1=$P$5,INDEX(prem_analysis!$BH$1:$BS$23,ROWS(Data!$Q$3:Y339),COLUMNS(Data!$Q$3:Y339)),IF($Q$1=$P$6,INDEX(prem_analysis!$BU$1:$CF$67,ROWS(prem_analysis!$N$2:V338),COLUMNS(prem_analysis!$N$2:V338)),IF($Q$1=$P$4,INDEX(Table24[[#All],[Year]:[Details]],ROWS(prem_analysis!$M$420:U756),COLUMNS(Data!$Q$3:Y339)))))),"")</f>
        <v/>
      </c>
      <c r="AA338" s="1" t="str">
        <f>IFERROR(IF($Q$1=$P$3,INDEX(prem_analysis!$P$2:$Q$441,ROWS(Data!$P$2:Z338),COLUMNS(Data!$P$3:Y339)),IF($Q$1=$P$5,INDEX(prem_analysis!$BH$1:$BS$23,ROWS(Data!$Q$3:Z339),COLUMNS(Data!$Q$3:Z339)),IF($Q$1=$P$6,INDEX(prem_analysis!$BU$1:$CF$67,ROWS(prem_analysis!$N$2:W338),COLUMNS(prem_analysis!$N$2:W338)),IF($Q$1=$P$4,INDEX(Table24[[#All],[Year]:[Details]],ROWS(prem_analysis!$M$420:V756),COLUMNS(Data!$Q$3:Z339)))))),"")</f>
        <v/>
      </c>
      <c r="AB338" s="1" t="str">
        <f>IFERROR(IF($Q$1=$P$3,INDEX(prem_analysis!$P$2:$Q$441,ROWS(Data!$P$2:AA338),COLUMNS(Data!$P$3:Z339)),IF($Q$1=$P$5,INDEX(prem_analysis!$BH$1:$BS$23,ROWS(Data!$Q$3:AA339),COLUMNS(Data!$Q$3:AA339)),IF($Q$1=$P$6,INDEX(prem_analysis!$BU$1:$CF$67,ROWS(prem_analysis!$N$2:X338),COLUMNS(prem_analysis!$N$2:X338)),IF($Q$1=$P$4,INDEX(Table24[[#All],[Year]:[Details]],ROWS(prem_analysis!$M$420:W756),COLUMNS(Data!$Q$3:AA339)))))),"")</f>
        <v/>
      </c>
      <c r="AC338" s="1" t="str">
        <f>IFERROR(IF($Q$1=$P$3,INDEX(prem_analysis!$P$2:$Q$441,ROWS(Data!$P$2:AB338),COLUMNS(Data!$P$3:AA339)),IF($Q$1=$P$5,INDEX(prem_analysis!$BH$1:$BS$23,ROWS(Data!$Q$3:AB339),COLUMNS(Data!$Q$3:AB339)),IF($Q$1=$P$6,INDEX(prem_analysis!$BU$1:$CF$67,ROWS(prem_analysis!$N$2:Y338),COLUMNS(prem_analysis!$N$2:Y338)),IF($Q$1=$P$4,INDEX(Table24[[#All],[Year]:[Details]],ROWS(prem_analysis!$M$420:X756),COLUMNS(Data!$Q$3:AB339)))))),"")</f>
        <v/>
      </c>
    </row>
    <row r="339" spans="1:29" x14ac:dyDescent="0.2">
      <c r="A339" s="5">
        <v>2016</v>
      </c>
      <c r="B339" s="5">
        <v>18</v>
      </c>
      <c r="C339" s="6" t="s">
        <v>45</v>
      </c>
      <c r="D339" s="5">
        <v>38</v>
      </c>
      <c r="E339" s="5">
        <v>9</v>
      </c>
      <c r="F339" s="5">
        <v>7</v>
      </c>
      <c r="G339" s="5">
        <v>22</v>
      </c>
      <c r="H339" s="5">
        <v>37</v>
      </c>
      <c r="I339" s="5">
        <v>80</v>
      </c>
      <c r="J339" s="5">
        <v>-43</v>
      </c>
      <c r="K339" s="5">
        <v>34</v>
      </c>
      <c r="L339" s="5" t="str">
        <f>IF(Table24[[#This Row],['#]]=1,"Champion", IF(Table24[[#This Row],['#]]&gt;=18,"Relegated",Table24[[#This Row],['#]]))</f>
        <v>Relegated</v>
      </c>
      <c r="M339" s="5" t="str">
        <f>IF(Table24[[#This Row],[Details]]=2,K338-Table24[[#This Row],[Pts]],IF(Table24[[#This Row],[Details]]=17,Table24[[#This Row],[Pts]]-K340,""))</f>
        <v/>
      </c>
      <c r="R339" s="1" t="str">
        <f>IFERROR(IF($Q$1=$P$3,INDEX(prem_analysis!$P$2:$Q$441,ROWS(Data!$P$2:Q339),COLUMNS(Data!$P$3:P340)),IF($Q$1=$P$5,INDEX(prem_analysis!$BH$1:$BS$23,ROWS(Data!$Q$3:Q340),COLUMNS(Data!$Q$3:Q340)),IF($Q$1=$P$6,INDEX(prem_analysis!$BU$1:$CF$67,ROWS(prem_analysis!$N$2:N339),COLUMNS(prem_analysis!$N$2:N339)),IF($Q$1=$P$4,INDEX(Table24[[#All],[Year]:[Details]],ROWS(prem_analysis!$M$420:M757),COLUMNS(Data!$Q$3:Q340)))))),"")</f>
        <v/>
      </c>
      <c r="S339" s="1" t="str">
        <f>IFERROR(IF($Q$1=$P$3,INDEX(prem_analysis!$P$2:$Q$441,ROWS(Data!$P$2:R339),COLUMNS(Data!$P$3:Q340)),IF($Q$1=$P$5,INDEX(prem_analysis!$BH$1:$BS$23,ROWS(Data!$Q$3:R340),COLUMNS(Data!$Q$3:R340)),IF($Q$1=$P$6,INDEX(prem_analysis!$BU$1:$CF$67,ROWS(prem_analysis!$N$2:O339),COLUMNS(prem_analysis!$N$2:O339)),IF($Q$1=$P$4,INDEX(Table24[[#All],[Year]:[Details]],ROWS(prem_analysis!$M$420:N757),COLUMNS(Data!$Q$3:R340)))))),"")</f>
        <v/>
      </c>
      <c r="T339" s="1" t="str">
        <f>IFERROR(IF($Q$1=$P$3,INDEX(prem_analysis!$P$2:$Q$441,ROWS(Data!$P$2:S339),COLUMNS(Data!$P$3:R340)),IF($Q$1=$P$5,INDEX(prem_analysis!$BH$1:$BS$23,ROWS(Data!$Q$3:S340),COLUMNS(Data!$Q$3:S340)),IF($Q$1=$P$6,INDEX(prem_analysis!$BU$1:$CF$67,ROWS(prem_analysis!$N$2:P339),COLUMNS(prem_analysis!$N$2:P339)),IF($Q$1=$P$4,INDEX(Table24[[#All],[Year]:[Details]],ROWS(prem_analysis!$M$420:O757),COLUMNS(Data!$Q$3:S340)))))),"")</f>
        <v/>
      </c>
      <c r="U339" s="1" t="str">
        <f>IFERROR(IF($Q$1=$P$3,INDEX(prem_analysis!$P$2:$Q$441,ROWS(Data!$P$2:T339),COLUMNS(Data!$P$3:S340)),IF($Q$1=$P$5,INDEX(prem_analysis!$BH$1:$BS$23,ROWS(Data!$Q$3:T340),COLUMNS(Data!$Q$3:T340)),IF($Q$1=$P$6,INDEX(prem_analysis!$BU$1:$CF$67,ROWS(prem_analysis!$N$2:Q339),COLUMNS(prem_analysis!$N$2:Q339)),IF($Q$1=$P$4,INDEX(Table24[[#All],[Year]:[Details]],ROWS(prem_analysis!$M$420:P757),COLUMNS(Data!$Q$3:T340)))))),"")</f>
        <v/>
      </c>
      <c r="V339" s="1" t="str">
        <f>IFERROR(IF($Q$1=$P$3,INDEX(prem_analysis!$P$2:$Q$441,ROWS(Data!$P$2:U339),COLUMNS(Data!$P$3:T340)),IF($Q$1=$P$5,INDEX(prem_analysis!$BH$1:$BS$23,ROWS(Data!$Q$3:U340),COLUMNS(Data!$Q$3:U340)),IF($Q$1=$P$6,INDEX(prem_analysis!$BU$1:$CF$67,ROWS(prem_analysis!$N$2:R339),COLUMNS(prem_analysis!$N$2:R339)),IF($Q$1=$P$4,INDEX(Table24[[#All],[Year]:[Details]],ROWS(prem_analysis!$M$420:Q757),COLUMNS(Data!$Q$3:U340)))))),"")</f>
        <v/>
      </c>
      <c r="W339" s="1" t="str">
        <f>IFERROR(IF($Q$1=$P$3,INDEX(prem_analysis!$P$2:$Q$441,ROWS(Data!$P$2:V339),COLUMNS(Data!$P$3:U340)),IF($Q$1=$P$5,INDEX(prem_analysis!$BH$1:$BS$23,ROWS(Data!$Q$3:V340),COLUMNS(Data!$Q$3:V340)),IF($Q$1=$P$6,INDEX(prem_analysis!$BU$1:$CF$67,ROWS(prem_analysis!$N$2:S339),COLUMNS(prem_analysis!$N$2:S339)),IF($Q$1=$P$4,INDEX(Table24[[#All],[Year]:[Details]],ROWS(prem_analysis!$M$420:R757),COLUMNS(Data!$Q$3:V340)))))),"")</f>
        <v/>
      </c>
      <c r="X339" s="1" t="str">
        <f>IFERROR(IF($Q$1=$P$3,INDEX(prem_analysis!$P$2:$Q$441,ROWS(Data!$P$2:W339),COLUMNS(Data!$P$3:V340)),IF($Q$1=$P$5,INDEX(prem_analysis!$BH$1:$BS$23,ROWS(Data!$Q$3:W340),COLUMNS(Data!$Q$3:W340)),IF($Q$1=$P$6,INDEX(prem_analysis!$BU$1:$CF$67,ROWS(prem_analysis!$N$2:T339),COLUMNS(prem_analysis!$N$2:T339)),IF($Q$1=$P$4,INDEX(Table24[[#All],[Year]:[Details]],ROWS(prem_analysis!$M$420:S757),COLUMNS(Data!$Q$3:W340)))))),"")</f>
        <v/>
      </c>
      <c r="Y339" s="1" t="str">
        <f>IFERROR(IF($Q$1=$P$3,INDEX(prem_analysis!$P$2:$Q$441,ROWS(Data!$P$2:X339),COLUMNS(Data!$P$3:W340)),IF($Q$1=$P$5,INDEX(prem_analysis!$BH$1:$BS$23,ROWS(Data!$Q$3:X340),COLUMNS(Data!$Q$3:X340)),IF($Q$1=$P$6,INDEX(prem_analysis!$BU$1:$CF$67,ROWS(prem_analysis!$N$2:U339),COLUMNS(prem_analysis!$N$2:U339)),IF($Q$1=$P$4,INDEX(Table24[[#All],[Year]:[Details]],ROWS(prem_analysis!$M$420:T757),COLUMNS(Data!$Q$3:X340)))))),"")</f>
        <v/>
      </c>
      <c r="Z339" s="1" t="str">
        <f>IFERROR(IF($Q$1=$P$3,INDEX(prem_analysis!$P$2:$Q$441,ROWS(Data!$P$2:Y339),COLUMNS(Data!$P$3:X340)),IF($Q$1=$P$5,INDEX(prem_analysis!$BH$1:$BS$23,ROWS(Data!$Q$3:Y340),COLUMNS(Data!$Q$3:Y340)),IF($Q$1=$P$6,INDEX(prem_analysis!$BU$1:$CF$67,ROWS(prem_analysis!$N$2:V339),COLUMNS(prem_analysis!$N$2:V339)),IF($Q$1=$P$4,INDEX(Table24[[#All],[Year]:[Details]],ROWS(prem_analysis!$M$420:U757),COLUMNS(Data!$Q$3:Y340)))))),"")</f>
        <v/>
      </c>
      <c r="AA339" s="1" t="str">
        <f>IFERROR(IF($Q$1=$P$3,INDEX(prem_analysis!$P$2:$Q$441,ROWS(Data!$P$2:Z339),COLUMNS(Data!$P$3:Y340)),IF($Q$1=$P$5,INDEX(prem_analysis!$BH$1:$BS$23,ROWS(Data!$Q$3:Z340),COLUMNS(Data!$Q$3:Z340)),IF($Q$1=$P$6,INDEX(prem_analysis!$BU$1:$CF$67,ROWS(prem_analysis!$N$2:W339),COLUMNS(prem_analysis!$N$2:W339)),IF($Q$1=$P$4,INDEX(Table24[[#All],[Year]:[Details]],ROWS(prem_analysis!$M$420:V757),COLUMNS(Data!$Q$3:Z340)))))),"")</f>
        <v/>
      </c>
      <c r="AB339" s="1" t="str">
        <f>IFERROR(IF($Q$1=$P$3,INDEX(prem_analysis!$P$2:$Q$441,ROWS(Data!$P$2:AA339),COLUMNS(Data!$P$3:Z340)),IF($Q$1=$P$5,INDEX(prem_analysis!$BH$1:$BS$23,ROWS(Data!$Q$3:AA340),COLUMNS(Data!$Q$3:AA340)),IF($Q$1=$P$6,INDEX(prem_analysis!$BU$1:$CF$67,ROWS(prem_analysis!$N$2:X339),COLUMNS(prem_analysis!$N$2:X339)),IF($Q$1=$P$4,INDEX(Table24[[#All],[Year]:[Details]],ROWS(prem_analysis!$M$420:W757),COLUMNS(Data!$Q$3:AA340)))))),"")</f>
        <v/>
      </c>
      <c r="AC339" s="1" t="str">
        <f>IFERROR(IF($Q$1=$P$3,INDEX(prem_analysis!$P$2:$Q$441,ROWS(Data!$P$2:AB339),COLUMNS(Data!$P$3:AA340)),IF($Q$1=$P$5,INDEX(prem_analysis!$BH$1:$BS$23,ROWS(Data!$Q$3:AB340),COLUMNS(Data!$Q$3:AB340)),IF($Q$1=$P$6,INDEX(prem_analysis!$BU$1:$CF$67,ROWS(prem_analysis!$N$2:Y339),COLUMNS(prem_analysis!$N$2:Y339)),IF($Q$1=$P$4,INDEX(Table24[[#All],[Year]:[Details]],ROWS(prem_analysis!$M$420:X757),COLUMNS(Data!$Q$3:AB340)))))),"")</f>
        <v/>
      </c>
    </row>
    <row r="340" spans="1:29" x14ac:dyDescent="0.2">
      <c r="A340" s="3">
        <v>2016</v>
      </c>
      <c r="B340" s="3">
        <v>19</v>
      </c>
      <c r="C340" s="4" t="s">
        <v>24</v>
      </c>
      <c r="D340" s="3">
        <v>38</v>
      </c>
      <c r="E340" s="3">
        <v>5</v>
      </c>
      <c r="F340" s="3">
        <v>13</v>
      </c>
      <c r="G340" s="3">
        <v>20</v>
      </c>
      <c r="H340" s="3">
        <v>27</v>
      </c>
      <c r="I340" s="3">
        <v>53</v>
      </c>
      <c r="J340" s="3">
        <v>-26</v>
      </c>
      <c r="K340" s="3">
        <v>28</v>
      </c>
      <c r="L340" s="5" t="str">
        <f>IF(Table24[[#This Row],['#]]=1,"Champion", IF(Table24[[#This Row],['#]]&gt;=18,"Relegated",Table24[[#This Row],['#]]))</f>
        <v>Relegated</v>
      </c>
      <c r="M340" s="5" t="str">
        <f>IF(Table24[[#This Row],[Details]]=2,K339-Table24[[#This Row],[Pts]],IF(Table24[[#This Row],[Details]]=17,Table24[[#This Row],[Pts]]-K341,""))</f>
        <v/>
      </c>
      <c r="R340" s="1" t="str">
        <f>IFERROR(IF($Q$1=$P$3,INDEX(prem_analysis!$P$2:$Q$441,ROWS(Data!$P$2:Q340),COLUMNS(Data!$P$3:P341)),IF($Q$1=$P$5,INDEX(prem_analysis!$BH$1:$BS$23,ROWS(Data!$Q$3:Q341),COLUMNS(Data!$Q$3:Q341)),IF($Q$1=$P$6,INDEX(prem_analysis!$BU$1:$CF$67,ROWS(prem_analysis!$N$2:N340),COLUMNS(prem_analysis!$N$2:N340)),IF($Q$1=$P$4,INDEX(Table24[[#All],[Year]:[Details]],ROWS(prem_analysis!$M$420:M758),COLUMNS(Data!$Q$3:Q341)))))),"")</f>
        <v/>
      </c>
      <c r="S340" s="1" t="str">
        <f>IFERROR(IF($Q$1=$P$3,INDEX(prem_analysis!$P$2:$Q$441,ROWS(Data!$P$2:R340),COLUMNS(Data!$P$3:Q341)),IF($Q$1=$P$5,INDEX(prem_analysis!$BH$1:$BS$23,ROWS(Data!$Q$3:R341),COLUMNS(Data!$Q$3:R341)),IF($Q$1=$P$6,INDEX(prem_analysis!$BU$1:$CF$67,ROWS(prem_analysis!$N$2:O340),COLUMNS(prem_analysis!$N$2:O340)),IF($Q$1=$P$4,INDEX(Table24[[#All],[Year]:[Details]],ROWS(prem_analysis!$M$420:N758),COLUMNS(Data!$Q$3:R341)))))),"")</f>
        <v/>
      </c>
      <c r="T340" s="1" t="str">
        <f>IFERROR(IF($Q$1=$P$3,INDEX(prem_analysis!$P$2:$Q$441,ROWS(Data!$P$2:S340),COLUMNS(Data!$P$3:R341)),IF($Q$1=$P$5,INDEX(prem_analysis!$BH$1:$BS$23,ROWS(Data!$Q$3:S341),COLUMNS(Data!$Q$3:S341)),IF($Q$1=$P$6,INDEX(prem_analysis!$BU$1:$CF$67,ROWS(prem_analysis!$N$2:P340),COLUMNS(prem_analysis!$N$2:P340)),IF($Q$1=$P$4,INDEX(Table24[[#All],[Year]:[Details]],ROWS(prem_analysis!$M$420:O758),COLUMNS(Data!$Q$3:S341)))))),"")</f>
        <v/>
      </c>
      <c r="U340" s="1" t="str">
        <f>IFERROR(IF($Q$1=$P$3,INDEX(prem_analysis!$P$2:$Q$441,ROWS(Data!$P$2:T340),COLUMNS(Data!$P$3:S341)),IF($Q$1=$P$5,INDEX(prem_analysis!$BH$1:$BS$23,ROWS(Data!$Q$3:T341),COLUMNS(Data!$Q$3:T341)),IF($Q$1=$P$6,INDEX(prem_analysis!$BU$1:$CF$67,ROWS(prem_analysis!$N$2:Q340),COLUMNS(prem_analysis!$N$2:Q340)),IF($Q$1=$P$4,INDEX(Table24[[#All],[Year]:[Details]],ROWS(prem_analysis!$M$420:P758),COLUMNS(Data!$Q$3:T341)))))),"")</f>
        <v/>
      </c>
      <c r="V340" s="1" t="str">
        <f>IFERROR(IF($Q$1=$P$3,INDEX(prem_analysis!$P$2:$Q$441,ROWS(Data!$P$2:U340),COLUMNS(Data!$P$3:T341)),IF($Q$1=$P$5,INDEX(prem_analysis!$BH$1:$BS$23,ROWS(Data!$Q$3:U341),COLUMNS(Data!$Q$3:U341)),IF($Q$1=$P$6,INDEX(prem_analysis!$BU$1:$CF$67,ROWS(prem_analysis!$N$2:R340),COLUMNS(prem_analysis!$N$2:R340)),IF($Q$1=$P$4,INDEX(Table24[[#All],[Year]:[Details]],ROWS(prem_analysis!$M$420:Q758),COLUMNS(Data!$Q$3:U341)))))),"")</f>
        <v/>
      </c>
      <c r="W340" s="1" t="str">
        <f>IFERROR(IF($Q$1=$P$3,INDEX(prem_analysis!$P$2:$Q$441,ROWS(Data!$P$2:V340),COLUMNS(Data!$P$3:U341)),IF($Q$1=$P$5,INDEX(prem_analysis!$BH$1:$BS$23,ROWS(Data!$Q$3:V341),COLUMNS(Data!$Q$3:V341)),IF($Q$1=$P$6,INDEX(prem_analysis!$BU$1:$CF$67,ROWS(prem_analysis!$N$2:S340),COLUMNS(prem_analysis!$N$2:S340)),IF($Q$1=$P$4,INDEX(Table24[[#All],[Year]:[Details]],ROWS(prem_analysis!$M$420:R758),COLUMNS(Data!$Q$3:V341)))))),"")</f>
        <v/>
      </c>
      <c r="X340" s="1" t="str">
        <f>IFERROR(IF($Q$1=$P$3,INDEX(prem_analysis!$P$2:$Q$441,ROWS(Data!$P$2:W340),COLUMNS(Data!$P$3:V341)),IF($Q$1=$P$5,INDEX(prem_analysis!$BH$1:$BS$23,ROWS(Data!$Q$3:W341),COLUMNS(Data!$Q$3:W341)),IF($Q$1=$P$6,INDEX(prem_analysis!$BU$1:$CF$67,ROWS(prem_analysis!$N$2:T340),COLUMNS(prem_analysis!$N$2:T340)),IF($Q$1=$P$4,INDEX(Table24[[#All],[Year]:[Details]],ROWS(prem_analysis!$M$420:S758),COLUMNS(Data!$Q$3:W341)))))),"")</f>
        <v/>
      </c>
      <c r="Y340" s="1" t="str">
        <f>IFERROR(IF($Q$1=$P$3,INDEX(prem_analysis!$P$2:$Q$441,ROWS(Data!$P$2:X340),COLUMNS(Data!$P$3:W341)),IF($Q$1=$P$5,INDEX(prem_analysis!$BH$1:$BS$23,ROWS(Data!$Q$3:X341),COLUMNS(Data!$Q$3:X341)),IF($Q$1=$P$6,INDEX(prem_analysis!$BU$1:$CF$67,ROWS(prem_analysis!$N$2:U340),COLUMNS(prem_analysis!$N$2:U340)),IF($Q$1=$P$4,INDEX(Table24[[#All],[Year]:[Details]],ROWS(prem_analysis!$M$420:T758),COLUMNS(Data!$Q$3:X341)))))),"")</f>
        <v/>
      </c>
      <c r="Z340" s="1" t="str">
        <f>IFERROR(IF($Q$1=$P$3,INDEX(prem_analysis!$P$2:$Q$441,ROWS(Data!$P$2:Y340),COLUMNS(Data!$P$3:X341)),IF($Q$1=$P$5,INDEX(prem_analysis!$BH$1:$BS$23,ROWS(Data!$Q$3:Y341),COLUMNS(Data!$Q$3:Y341)),IF($Q$1=$P$6,INDEX(prem_analysis!$BU$1:$CF$67,ROWS(prem_analysis!$N$2:V340),COLUMNS(prem_analysis!$N$2:V340)),IF($Q$1=$P$4,INDEX(Table24[[#All],[Year]:[Details]],ROWS(prem_analysis!$M$420:U758),COLUMNS(Data!$Q$3:Y341)))))),"")</f>
        <v/>
      </c>
      <c r="AA340" s="1" t="str">
        <f>IFERROR(IF($Q$1=$P$3,INDEX(prem_analysis!$P$2:$Q$441,ROWS(Data!$P$2:Z340),COLUMNS(Data!$P$3:Y341)),IF($Q$1=$P$5,INDEX(prem_analysis!$BH$1:$BS$23,ROWS(Data!$Q$3:Z341),COLUMNS(Data!$Q$3:Z341)),IF($Q$1=$P$6,INDEX(prem_analysis!$BU$1:$CF$67,ROWS(prem_analysis!$N$2:W340),COLUMNS(prem_analysis!$N$2:W340)),IF($Q$1=$P$4,INDEX(Table24[[#All],[Year]:[Details]],ROWS(prem_analysis!$M$420:V758),COLUMNS(Data!$Q$3:Z341)))))),"")</f>
        <v/>
      </c>
      <c r="AB340" s="1" t="str">
        <f>IFERROR(IF($Q$1=$P$3,INDEX(prem_analysis!$P$2:$Q$441,ROWS(Data!$P$2:AA340),COLUMNS(Data!$P$3:Z341)),IF($Q$1=$P$5,INDEX(prem_analysis!$BH$1:$BS$23,ROWS(Data!$Q$3:AA341),COLUMNS(Data!$Q$3:AA341)),IF($Q$1=$P$6,INDEX(prem_analysis!$BU$1:$CF$67,ROWS(prem_analysis!$N$2:X340),COLUMNS(prem_analysis!$N$2:X340)),IF($Q$1=$P$4,INDEX(Table24[[#All],[Year]:[Details]],ROWS(prem_analysis!$M$420:W758),COLUMNS(Data!$Q$3:AA341)))))),"")</f>
        <v/>
      </c>
      <c r="AC340" s="1" t="str">
        <f>IFERROR(IF($Q$1=$P$3,INDEX(prem_analysis!$P$2:$Q$441,ROWS(Data!$P$2:AB340),COLUMNS(Data!$P$3:AA341)),IF($Q$1=$P$5,INDEX(prem_analysis!$BH$1:$BS$23,ROWS(Data!$Q$3:AB341),COLUMNS(Data!$Q$3:AB341)),IF($Q$1=$P$6,INDEX(prem_analysis!$BU$1:$CF$67,ROWS(prem_analysis!$N$2:Y340),COLUMNS(prem_analysis!$N$2:Y340)),IF($Q$1=$P$4,INDEX(Table24[[#All],[Year]:[Details]],ROWS(prem_analysis!$M$420:X758),COLUMNS(Data!$Q$3:AB341)))))),"")</f>
        <v/>
      </c>
    </row>
    <row r="341" spans="1:29" x14ac:dyDescent="0.2">
      <c r="A341" s="5">
        <v>2016</v>
      </c>
      <c r="B341" s="5">
        <v>20</v>
      </c>
      <c r="C341" s="6" t="s">
        <v>17</v>
      </c>
      <c r="D341" s="5">
        <v>38</v>
      </c>
      <c r="E341" s="5">
        <v>6</v>
      </c>
      <c r="F341" s="5">
        <v>6</v>
      </c>
      <c r="G341" s="5">
        <v>26</v>
      </c>
      <c r="H341" s="5">
        <v>29</v>
      </c>
      <c r="I341" s="5">
        <v>69</v>
      </c>
      <c r="J341" s="5">
        <v>-40</v>
      </c>
      <c r="K341" s="5">
        <v>24</v>
      </c>
      <c r="L341" s="5" t="str">
        <f>IF(Table24[[#This Row],['#]]=1,"Champion", IF(Table24[[#This Row],['#]]&gt;=18,"Relegated",Table24[[#This Row],['#]]))</f>
        <v>Relegated</v>
      </c>
      <c r="M341" s="5" t="str">
        <f>IF(Table24[[#This Row],[Details]]=2,K340-Table24[[#This Row],[Pts]],IF(Table24[[#This Row],[Details]]=17,Table24[[#This Row],[Pts]]-K342,""))</f>
        <v/>
      </c>
      <c r="R341" s="1" t="str">
        <f>IFERROR(IF($Q$1=$P$3,INDEX(prem_analysis!$P$2:$Q$441,ROWS(Data!$P$2:Q341),COLUMNS(Data!$P$3:P342)),IF($Q$1=$P$5,INDEX(prem_analysis!$BH$1:$BS$23,ROWS(Data!$Q$3:Q342),COLUMNS(Data!$Q$3:Q342)),IF($Q$1=$P$6,INDEX(prem_analysis!$BU$1:$CF$67,ROWS(prem_analysis!$N$2:N341),COLUMNS(prem_analysis!$N$2:N341)),IF($Q$1=$P$4,INDEX(Table24[[#All],[Year]:[Details]],ROWS(prem_analysis!$M$420:M759),COLUMNS(Data!$Q$3:Q342)))))),"")</f>
        <v/>
      </c>
      <c r="S341" s="1" t="str">
        <f>IFERROR(IF($Q$1=$P$3,INDEX(prem_analysis!$P$2:$Q$441,ROWS(Data!$P$2:R341),COLUMNS(Data!$P$3:Q342)),IF($Q$1=$P$5,INDEX(prem_analysis!$BH$1:$BS$23,ROWS(Data!$Q$3:R342),COLUMNS(Data!$Q$3:R342)),IF($Q$1=$P$6,INDEX(prem_analysis!$BU$1:$CF$67,ROWS(prem_analysis!$N$2:O341),COLUMNS(prem_analysis!$N$2:O341)),IF($Q$1=$P$4,INDEX(Table24[[#All],[Year]:[Details]],ROWS(prem_analysis!$M$420:N759),COLUMNS(Data!$Q$3:R342)))))),"")</f>
        <v/>
      </c>
      <c r="T341" s="1" t="str">
        <f>IFERROR(IF($Q$1=$P$3,INDEX(prem_analysis!$P$2:$Q$441,ROWS(Data!$P$2:S341),COLUMNS(Data!$P$3:R342)),IF($Q$1=$P$5,INDEX(prem_analysis!$BH$1:$BS$23,ROWS(Data!$Q$3:S342),COLUMNS(Data!$Q$3:S342)),IF($Q$1=$P$6,INDEX(prem_analysis!$BU$1:$CF$67,ROWS(prem_analysis!$N$2:P341),COLUMNS(prem_analysis!$N$2:P341)),IF($Q$1=$P$4,INDEX(Table24[[#All],[Year]:[Details]],ROWS(prem_analysis!$M$420:O759),COLUMNS(Data!$Q$3:S342)))))),"")</f>
        <v/>
      </c>
      <c r="U341" s="1" t="str">
        <f>IFERROR(IF($Q$1=$P$3,INDEX(prem_analysis!$P$2:$Q$441,ROWS(Data!$P$2:T341),COLUMNS(Data!$P$3:S342)),IF($Q$1=$P$5,INDEX(prem_analysis!$BH$1:$BS$23,ROWS(Data!$Q$3:T342),COLUMNS(Data!$Q$3:T342)),IF($Q$1=$P$6,INDEX(prem_analysis!$BU$1:$CF$67,ROWS(prem_analysis!$N$2:Q341),COLUMNS(prem_analysis!$N$2:Q341)),IF($Q$1=$P$4,INDEX(Table24[[#All],[Year]:[Details]],ROWS(prem_analysis!$M$420:P759),COLUMNS(Data!$Q$3:T342)))))),"")</f>
        <v/>
      </c>
      <c r="V341" s="1" t="str">
        <f>IFERROR(IF($Q$1=$P$3,INDEX(prem_analysis!$P$2:$Q$441,ROWS(Data!$P$2:U341),COLUMNS(Data!$P$3:T342)),IF($Q$1=$P$5,INDEX(prem_analysis!$BH$1:$BS$23,ROWS(Data!$Q$3:U342),COLUMNS(Data!$Q$3:U342)),IF($Q$1=$P$6,INDEX(prem_analysis!$BU$1:$CF$67,ROWS(prem_analysis!$N$2:R341),COLUMNS(prem_analysis!$N$2:R341)),IF($Q$1=$P$4,INDEX(Table24[[#All],[Year]:[Details]],ROWS(prem_analysis!$M$420:Q759),COLUMNS(Data!$Q$3:U342)))))),"")</f>
        <v/>
      </c>
      <c r="W341" s="1" t="str">
        <f>IFERROR(IF($Q$1=$P$3,INDEX(prem_analysis!$P$2:$Q$441,ROWS(Data!$P$2:V341),COLUMNS(Data!$P$3:U342)),IF($Q$1=$P$5,INDEX(prem_analysis!$BH$1:$BS$23,ROWS(Data!$Q$3:V342),COLUMNS(Data!$Q$3:V342)),IF($Q$1=$P$6,INDEX(prem_analysis!$BU$1:$CF$67,ROWS(prem_analysis!$N$2:S341),COLUMNS(prem_analysis!$N$2:S341)),IF($Q$1=$P$4,INDEX(Table24[[#All],[Year]:[Details]],ROWS(prem_analysis!$M$420:R759),COLUMNS(Data!$Q$3:V342)))))),"")</f>
        <v/>
      </c>
      <c r="X341" s="1" t="str">
        <f>IFERROR(IF($Q$1=$P$3,INDEX(prem_analysis!$P$2:$Q$441,ROWS(Data!$P$2:W341),COLUMNS(Data!$P$3:V342)),IF($Q$1=$P$5,INDEX(prem_analysis!$BH$1:$BS$23,ROWS(Data!$Q$3:W342),COLUMNS(Data!$Q$3:W342)),IF($Q$1=$P$6,INDEX(prem_analysis!$BU$1:$CF$67,ROWS(prem_analysis!$N$2:T341),COLUMNS(prem_analysis!$N$2:T341)),IF($Q$1=$P$4,INDEX(Table24[[#All],[Year]:[Details]],ROWS(prem_analysis!$M$420:S759),COLUMNS(Data!$Q$3:W342)))))),"")</f>
        <v/>
      </c>
      <c r="Y341" s="1" t="str">
        <f>IFERROR(IF($Q$1=$P$3,INDEX(prem_analysis!$P$2:$Q$441,ROWS(Data!$P$2:X341),COLUMNS(Data!$P$3:W342)),IF($Q$1=$P$5,INDEX(prem_analysis!$BH$1:$BS$23,ROWS(Data!$Q$3:X342),COLUMNS(Data!$Q$3:X342)),IF($Q$1=$P$6,INDEX(prem_analysis!$BU$1:$CF$67,ROWS(prem_analysis!$N$2:U341),COLUMNS(prem_analysis!$N$2:U341)),IF($Q$1=$P$4,INDEX(Table24[[#All],[Year]:[Details]],ROWS(prem_analysis!$M$420:T759),COLUMNS(Data!$Q$3:X342)))))),"")</f>
        <v/>
      </c>
      <c r="Z341" s="1" t="str">
        <f>IFERROR(IF($Q$1=$P$3,INDEX(prem_analysis!$P$2:$Q$441,ROWS(Data!$P$2:Y341),COLUMNS(Data!$P$3:X342)),IF($Q$1=$P$5,INDEX(prem_analysis!$BH$1:$BS$23,ROWS(Data!$Q$3:Y342),COLUMNS(Data!$Q$3:Y342)),IF($Q$1=$P$6,INDEX(prem_analysis!$BU$1:$CF$67,ROWS(prem_analysis!$N$2:V341),COLUMNS(prem_analysis!$N$2:V341)),IF($Q$1=$P$4,INDEX(Table24[[#All],[Year]:[Details]],ROWS(prem_analysis!$M$420:U759),COLUMNS(Data!$Q$3:Y342)))))),"")</f>
        <v/>
      </c>
      <c r="AA341" s="1" t="str">
        <f>IFERROR(IF($Q$1=$P$3,INDEX(prem_analysis!$P$2:$Q$441,ROWS(Data!$P$2:Z341),COLUMNS(Data!$P$3:Y342)),IF($Q$1=$P$5,INDEX(prem_analysis!$BH$1:$BS$23,ROWS(Data!$Q$3:Z342),COLUMNS(Data!$Q$3:Z342)),IF($Q$1=$P$6,INDEX(prem_analysis!$BU$1:$CF$67,ROWS(prem_analysis!$N$2:W341),COLUMNS(prem_analysis!$N$2:W341)),IF($Q$1=$P$4,INDEX(Table24[[#All],[Year]:[Details]],ROWS(prem_analysis!$M$420:V759),COLUMNS(Data!$Q$3:Z342)))))),"")</f>
        <v/>
      </c>
      <c r="AB341" s="1" t="str">
        <f>IFERROR(IF($Q$1=$P$3,INDEX(prem_analysis!$P$2:$Q$441,ROWS(Data!$P$2:AA341),COLUMNS(Data!$P$3:Z342)),IF($Q$1=$P$5,INDEX(prem_analysis!$BH$1:$BS$23,ROWS(Data!$Q$3:AA342),COLUMNS(Data!$Q$3:AA342)),IF($Q$1=$P$6,INDEX(prem_analysis!$BU$1:$CF$67,ROWS(prem_analysis!$N$2:X341),COLUMNS(prem_analysis!$N$2:X341)),IF($Q$1=$P$4,INDEX(Table24[[#All],[Year]:[Details]],ROWS(prem_analysis!$M$420:W759),COLUMNS(Data!$Q$3:AA342)))))),"")</f>
        <v/>
      </c>
      <c r="AC341" s="1" t="str">
        <f>IFERROR(IF($Q$1=$P$3,INDEX(prem_analysis!$P$2:$Q$441,ROWS(Data!$P$2:AB341),COLUMNS(Data!$P$3:AA342)),IF($Q$1=$P$5,INDEX(prem_analysis!$BH$1:$BS$23,ROWS(Data!$Q$3:AB342),COLUMNS(Data!$Q$3:AB342)),IF($Q$1=$P$6,INDEX(prem_analysis!$BU$1:$CF$67,ROWS(prem_analysis!$N$2:Y341),COLUMNS(prem_analysis!$N$2:Y341)),IF($Q$1=$P$4,INDEX(Table24[[#All],[Year]:[Details]],ROWS(prem_analysis!$M$420:X759),COLUMNS(Data!$Q$3:AB342)))))),"")</f>
        <v/>
      </c>
    </row>
    <row r="342" spans="1:29" x14ac:dyDescent="0.2">
      <c r="A342" s="3">
        <v>2017</v>
      </c>
      <c r="B342" s="3">
        <v>1</v>
      </c>
      <c r="C342" s="4" t="s">
        <v>28</v>
      </c>
      <c r="D342" s="3">
        <v>38</v>
      </c>
      <c r="E342" s="3">
        <v>32</v>
      </c>
      <c r="F342" s="3">
        <v>4</v>
      </c>
      <c r="G342" s="3">
        <v>2</v>
      </c>
      <c r="H342" s="3">
        <v>106</v>
      </c>
      <c r="I342" s="3">
        <v>27</v>
      </c>
      <c r="J342" s="3">
        <v>79</v>
      </c>
      <c r="K342" s="3">
        <v>100</v>
      </c>
      <c r="L342" s="5" t="str">
        <f>IF(Table24[[#This Row],['#]]=1,"Champion", IF(Table24[[#This Row],['#]]&gt;=18,"Relegated",Table24[[#This Row],['#]]))</f>
        <v>Champion</v>
      </c>
      <c r="M342" s="5" t="str">
        <f>IF(Table24[[#This Row],[Details]]=2,K341-Table24[[#This Row],[Pts]],IF(Table24[[#This Row],[Details]]=17,Table24[[#This Row],[Pts]]-K343,""))</f>
        <v/>
      </c>
      <c r="R342" s="1" t="str">
        <f>IFERROR(IF($Q$1=$P$3,INDEX(prem_analysis!$P$2:$Q$441,ROWS(Data!$P$2:Q342),COLUMNS(Data!$P$3:P343)),IF($Q$1=$P$5,INDEX(prem_analysis!$BH$1:$BS$23,ROWS(Data!$Q$3:Q343),COLUMNS(Data!$Q$3:Q343)),IF($Q$1=$P$6,INDEX(prem_analysis!$BU$1:$CF$67,ROWS(prem_analysis!$N$2:N342),COLUMNS(prem_analysis!$N$2:N342)),IF($Q$1=$P$4,INDEX(Table24[[#All],[Year]:[Details]],ROWS(prem_analysis!$M$420:M760),COLUMNS(Data!$Q$3:Q343)))))),"")</f>
        <v/>
      </c>
      <c r="S342" s="1" t="str">
        <f>IFERROR(IF($Q$1=$P$3,INDEX(prem_analysis!$P$2:$Q$441,ROWS(Data!$P$2:R342),COLUMNS(Data!$P$3:Q343)),IF($Q$1=$P$5,INDEX(prem_analysis!$BH$1:$BS$23,ROWS(Data!$Q$3:R343),COLUMNS(Data!$Q$3:R343)),IF($Q$1=$P$6,INDEX(prem_analysis!$BU$1:$CF$67,ROWS(prem_analysis!$N$2:O342),COLUMNS(prem_analysis!$N$2:O342)),IF($Q$1=$P$4,INDEX(Table24[[#All],[Year]:[Details]],ROWS(prem_analysis!$M$420:N760),COLUMNS(Data!$Q$3:R343)))))),"")</f>
        <v/>
      </c>
      <c r="T342" s="1" t="str">
        <f>IFERROR(IF($Q$1=$P$3,INDEX(prem_analysis!$P$2:$Q$441,ROWS(Data!$P$2:S342),COLUMNS(Data!$P$3:R343)),IF($Q$1=$P$5,INDEX(prem_analysis!$BH$1:$BS$23,ROWS(Data!$Q$3:S343),COLUMNS(Data!$Q$3:S343)),IF($Q$1=$P$6,INDEX(prem_analysis!$BU$1:$CF$67,ROWS(prem_analysis!$N$2:P342),COLUMNS(prem_analysis!$N$2:P342)),IF($Q$1=$P$4,INDEX(Table24[[#All],[Year]:[Details]],ROWS(prem_analysis!$M$420:O760),COLUMNS(Data!$Q$3:S343)))))),"")</f>
        <v/>
      </c>
      <c r="U342" s="1" t="str">
        <f>IFERROR(IF($Q$1=$P$3,INDEX(prem_analysis!$P$2:$Q$441,ROWS(Data!$P$2:T342),COLUMNS(Data!$P$3:S343)),IF($Q$1=$P$5,INDEX(prem_analysis!$BH$1:$BS$23,ROWS(Data!$Q$3:T343),COLUMNS(Data!$Q$3:T343)),IF($Q$1=$P$6,INDEX(prem_analysis!$BU$1:$CF$67,ROWS(prem_analysis!$N$2:Q342),COLUMNS(prem_analysis!$N$2:Q342)),IF($Q$1=$P$4,INDEX(Table24[[#All],[Year]:[Details]],ROWS(prem_analysis!$M$420:P760),COLUMNS(Data!$Q$3:T343)))))),"")</f>
        <v/>
      </c>
      <c r="V342" s="1" t="str">
        <f>IFERROR(IF($Q$1=$P$3,INDEX(prem_analysis!$P$2:$Q$441,ROWS(Data!$P$2:U342),COLUMNS(Data!$P$3:T343)),IF($Q$1=$P$5,INDEX(prem_analysis!$BH$1:$BS$23,ROWS(Data!$Q$3:U343),COLUMNS(Data!$Q$3:U343)),IF($Q$1=$P$6,INDEX(prem_analysis!$BU$1:$CF$67,ROWS(prem_analysis!$N$2:R342),COLUMNS(prem_analysis!$N$2:R342)),IF($Q$1=$P$4,INDEX(Table24[[#All],[Year]:[Details]],ROWS(prem_analysis!$M$420:Q760),COLUMNS(Data!$Q$3:U343)))))),"")</f>
        <v/>
      </c>
      <c r="W342" s="1" t="str">
        <f>IFERROR(IF($Q$1=$P$3,INDEX(prem_analysis!$P$2:$Q$441,ROWS(Data!$P$2:V342),COLUMNS(Data!$P$3:U343)),IF($Q$1=$P$5,INDEX(prem_analysis!$BH$1:$BS$23,ROWS(Data!$Q$3:V343),COLUMNS(Data!$Q$3:V343)),IF($Q$1=$P$6,INDEX(prem_analysis!$BU$1:$CF$67,ROWS(prem_analysis!$N$2:S342),COLUMNS(prem_analysis!$N$2:S342)),IF($Q$1=$P$4,INDEX(Table24[[#All],[Year]:[Details]],ROWS(prem_analysis!$M$420:R760),COLUMNS(Data!$Q$3:V343)))))),"")</f>
        <v/>
      </c>
      <c r="X342" s="1" t="str">
        <f>IFERROR(IF($Q$1=$P$3,INDEX(prem_analysis!$P$2:$Q$441,ROWS(Data!$P$2:W342),COLUMNS(Data!$P$3:V343)),IF($Q$1=$P$5,INDEX(prem_analysis!$BH$1:$BS$23,ROWS(Data!$Q$3:W343),COLUMNS(Data!$Q$3:W343)),IF($Q$1=$P$6,INDEX(prem_analysis!$BU$1:$CF$67,ROWS(prem_analysis!$N$2:T342),COLUMNS(prem_analysis!$N$2:T342)),IF($Q$1=$P$4,INDEX(Table24[[#All],[Year]:[Details]],ROWS(prem_analysis!$M$420:S760),COLUMNS(Data!$Q$3:W343)))))),"")</f>
        <v/>
      </c>
      <c r="Y342" s="1" t="str">
        <f>IFERROR(IF($Q$1=$P$3,INDEX(prem_analysis!$P$2:$Q$441,ROWS(Data!$P$2:X342),COLUMNS(Data!$P$3:W343)),IF($Q$1=$P$5,INDEX(prem_analysis!$BH$1:$BS$23,ROWS(Data!$Q$3:X343),COLUMNS(Data!$Q$3:X343)),IF($Q$1=$P$6,INDEX(prem_analysis!$BU$1:$CF$67,ROWS(prem_analysis!$N$2:U342),COLUMNS(prem_analysis!$N$2:U342)),IF($Q$1=$P$4,INDEX(Table24[[#All],[Year]:[Details]],ROWS(prem_analysis!$M$420:T760),COLUMNS(Data!$Q$3:X343)))))),"")</f>
        <v/>
      </c>
      <c r="Z342" s="1" t="str">
        <f>IFERROR(IF($Q$1=$P$3,INDEX(prem_analysis!$P$2:$Q$441,ROWS(Data!$P$2:Y342),COLUMNS(Data!$P$3:X343)),IF($Q$1=$P$5,INDEX(prem_analysis!$BH$1:$BS$23,ROWS(Data!$Q$3:Y343),COLUMNS(Data!$Q$3:Y343)),IF($Q$1=$P$6,INDEX(prem_analysis!$BU$1:$CF$67,ROWS(prem_analysis!$N$2:V342),COLUMNS(prem_analysis!$N$2:V342)),IF($Q$1=$P$4,INDEX(Table24[[#All],[Year]:[Details]],ROWS(prem_analysis!$M$420:U760),COLUMNS(Data!$Q$3:Y343)))))),"")</f>
        <v/>
      </c>
      <c r="AA342" s="1" t="str">
        <f>IFERROR(IF($Q$1=$P$3,INDEX(prem_analysis!$P$2:$Q$441,ROWS(Data!$P$2:Z342),COLUMNS(Data!$P$3:Y343)),IF($Q$1=$P$5,INDEX(prem_analysis!$BH$1:$BS$23,ROWS(Data!$Q$3:Z343),COLUMNS(Data!$Q$3:Z343)),IF($Q$1=$P$6,INDEX(prem_analysis!$BU$1:$CF$67,ROWS(prem_analysis!$N$2:W342),COLUMNS(prem_analysis!$N$2:W342)),IF($Q$1=$P$4,INDEX(Table24[[#All],[Year]:[Details]],ROWS(prem_analysis!$M$420:V760),COLUMNS(Data!$Q$3:Z343)))))),"")</f>
        <v/>
      </c>
      <c r="AB342" s="1" t="str">
        <f>IFERROR(IF($Q$1=$P$3,INDEX(prem_analysis!$P$2:$Q$441,ROWS(Data!$P$2:AA342),COLUMNS(Data!$P$3:Z343)),IF($Q$1=$P$5,INDEX(prem_analysis!$BH$1:$BS$23,ROWS(Data!$Q$3:AA343),COLUMNS(Data!$Q$3:AA343)),IF($Q$1=$P$6,INDEX(prem_analysis!$BU$1:$CF$67,ROWS(prem_analysis!$N$2:X342),COLUMNS(prem_analysis!$N$2:X342)),IF($Q$1=$P$4,INDEX(Table24[[#All],[Year]:[Details]],ROWS(prem_analysis!$M$420:W760),COLUMNS(Data!$Q$3:AA343)))))),"")</f>
        <v/>
      </c>
      <c r="AC342" s="1" t="str">
        <f>IFERROR(IF($Q$1=$P$3,INDEX(prem_analysis!$P$2:$Q$441,ROWS(Data!$P$2:AB342),COLUMNS(Data!$P$3:AA343)),IF($Q$1=$P$5,INDEX(prem_analysis!$BH$1:$BS$23,ROWS(Data!$Q$3:AB343),COLUMNS(Data!$Q$3:AB343)),IF($Q$1=$P$6,INDEX(prem_analysis!$BU$1:$CF$67,ROWS(prem_analysis!$N$2:Y342),COLUMNS(prem_analysis!$N$2:Y342)),IF($Q$1=$P$4,INDEX(Table24[[#All],[Year]:[Details]],ROWS(prem_analysis!$M$420:X760),COLUMNS(Data!$Q$3:AB343)))))),"")</f>
        <v/>
      </c>
    </row>
    <row r="343" spans="1:29" x14ac:dyDescent="0.2">
      <c r="A343" s="5">
        <v>2017</v>
      </c>
      <c r="B343" s="5">
        <v>2</v>
      </c>
      <c r="C343" s="6" t="s">
        <v>11</v>
      </c>
      <c r="D343" s="5">
        <v>38</v>
      </c>
      <c r="E343" s="5">
        <v>25</v>
      </c>
      <c r="F343" s="5">
        <v>6</v>
      </c>
      <c r="G343" s="5">
        <v>7</v>
      </c>
      <c r="H343" s="5">
        <v>68</v>
      </c>
      <c r="I343" s="5">
        <v>28</v>
      </c>
      <c r="J343" s="5">
        <v>40</v>
      </c>
      <c r="K343" s="5">
        <v>81</v>
      </c>
      <c r="L343" s="5">
        <f>IF(Table24[[#This Row],['#]]=1,"Champion", IF(Table24[[#This Row],['#]]&gt;=18,"Relegated",Table24[[#This Row],['#]]))</f>
        <v>2</v>
      </c>
      <c r="M343" s="5">
        <f>IF(Table24[[#This Row],[Details]]=2,K342-Table24[[#This Row],[Pts]],IF(Table24[[#This Row],[Details]]=17,Table24[[#This Row],[Pts]]-K344,""))</f>
        <v>19</v>
      </c>
      <c r="R343" s="1" t="str">
        <f>IFERROR(IF($Q$1=$P$3,INDEX(prem_analysis!$P$2:$Q$441,ROWS(Data!$P$2:Q343),COLUMNS(Data!$P$3:P344)),IF($Q$1=$P$5,INDEX(prem_analysis!$BH$1:$BS$23,ROWS(Data!$Q$3:Q344),COLUMNS(Data!$Q$3:Q344)),IF($Q$1=$P$6,INDEX(prem_analysis!$BU$1:$CF$67,ROWS(prem_analysis!$N$2:N343),COLUMNS(prem_analysis!$N$2:N343)),IF($Q$1=$P$4,INDEX(Table24[[#All],[Year]:[Details]],ROWS(prem_analysis!$M$420:M761),COLUMNS(Data!$Q$3:Q344)))))),"")</f>
        <v/>
      </c>
      <c r="S343" s="1" t="str">
        <f>IFERROR(IF($Q$1=$P$3,INDEX(prem_analysis!$P$2:$Q$441,ROWS(Data!$P$2:R343),COLUMNS(Data!$P$3:Q344)),IF($Q$1=$P$5,INDEX(prem_analysis!$BH$1:$BS$23,ROWS(Data!$Q$3:R344),COLUMNS(Data!$Q$3:R344)),IF($Q$1=$P$6,INDEX(prem_analysis!$BU$1:$CF$67,ROWS(prem_analysis!$N$2:O343),COLUMNS(prem_analysis!$N$2:O343)),IF($Q$1=$P$4,INDEX(Table24[[#All],[Year]:[Details]],ROWS(prem_analysis!$M$420:N761),COLUMNS(Data!$Q$3:R344)))))),"")</f>
        <v/>
      </c>
      <c r="T343" s="1" t="str">
        <f>IFERROR(IF($Q$1=$P$3,INDEX(prem_analysis!$P$2:$Q$441,ROWS(Data!$P$2:S343),COLUMNS(Data!$P$3:R344)),IF($Q$1=$P$5,INDEX(prem_analysis!$BH$1:$BS$23,ROWS(Data!$Q$3:S344),COLUMNS(Data!$Q$3:S344)),IF($Q$1=$P$6,INDEX(prem_analysis!$BU$1:$CF$67,ROWS(prem_analysis!$N$2:P343),COLUMNS(prem_analysis!$N$2:P343)),IF($Q$1=$P$4,INDEX(Table24[[#All],[Year]:[Details]],ROWS(prem_analysis!$M$420:O761),COLUMNS(Data!$Q$3:S344)))))),"")</f>
        <v/>
      </c>
      <c r="U343" s="1" t="str">
        <f>IFERROR(IF($Q$1=$P$3,INDEX(prem_analysis!$P$2:$Q$441,ROWS(Data!$P$2:T343),COLUMNS(Data!$P$3:S344)),IF($Q$1=$P$5,INDEX(prem_analysis!$BH$1:$BS$23,ROWS(Data!$Q$3:T344),COLUMNS(Data!$Q$3:T344)),IF($Q$1=$P$6,INDEX(prem_analysis!$BU$1:$CF$67,ROWS(prem_analysis!$N$2:Q343),COLUMNS(prem_analysis!$N$2:Q343)),IF($Q$1=$P$4,INDEX(Table24[[#All],[Year]:[Details]],ROWS(prem_analysis!$M$420:P761),COLUMNS(Data!$Q$3:T344)))))),"")</f>
        <v/>
      </c>
      <c r="V343" s="1" t="str">
        <f>IFERROR(IF($Q$1=$P$3,INDEX(prem_analysis!$P$2:$Q$441,ROWS(Data!$P$2:U343),COLUMNS(Data!$P$3:T344)),IF($Q$1=$P$5,INDEX(prem_analysis!$BH$1:$BS$23,ROWS(Data!$Q$3:U344),COLUMNS(Data!$Q$3:U344)),IF($Q$1=$P$6,INDEX(prem_analysis!$BU$1:$CF$67,ROWS(prem_analysis!$N$2:R343),COLUMNS(prem_analysis!$N$2:R343)),IF($Q$1=$P$4,INDEX(Table24[[#All],[Year]:[Details]],ROWS(prem_analysis!$M$420:Q761),COLUMNS(Data!$Q$3:U344)))))),"")</f>
        <v/>
      </c>
      <c r="W343" s="1" t="str">
        <f>IFERROR(IF($Q$1=$P$3,INDEX(prem_analysis!$P$2:$Q$441,ROWS(Data!$P$2:V343),COLUMNS(Data!$P$3:U344)),IF($Q$1=$P$5,INDEX(prem_analysis!$BH$1:$BS$23,ROWS(Data!$Q$3:V344),COLUMNS(Data!$Q$3:V344)),IF($Q$1=$P$6,INDEX(prem_analysis!$BU$1:$CF$67,ROWS(prem_analysis!$N$2:S343),COLUMNS(prem_analysis!$N$2:S343)),IF($Q$1=$P$4,INDEX(Table24[[#All],[Year]:[Details]],ROWS(prem_analysis!$M$420:R761),COLUMNS(Data!$Q$3:V344)))))),"")</f>
        <v/>
      </c>
      <c r="X343" s="1" t="str">
        <f>IFERROR(IF($Q$1=$P$3,INDEX(prem_analysis!$P$2:$Q$441,ROWS(Data!$P$2:W343),COLUMNS(Data!$P$3:V344)),IF($Q$1=$P$5,INDEX(prem_analysis!$BH$1:$BS$23,ROWS(Data!$Q$3:W344),COLUMNS(Data!$Q$3:W344)),IF($Q$1=$P$6,INDEX(prem_analysis!$BU$1:$CF$67,ROWS(prem_analysis!$N$2:T343),COLUMNS(prem_analysis!$N$2:T343)),IF($Q$1=$P$4,INDEX(Table24[[#All],[Year]:[Details]],ROWS(prem_analysis!$M$420:S761),COLUMNS(Data!$Q$3:W344)))))),"")</f>
        <v/>
      </c>
      <c r="Y343" s="1" t="str">
        <f>IFERROR(IF($Q$1=$P$3,INDEX(prem_analysis!$P$2:$Q$441,ROWS(Data!$P$2:X343),COLUMNS(Data!$P$3:W344)),IF($Q$1=$P$5,INDEX(prem_analysis!$BH$1:$BS$23,ROWS(Data!$Q$3:X344),COLUMNS(Data!$Q$3:X344)),IF($Q$1=$P$6,INDEX(prem_analysis!$BU$1:$CF$67,ROWS(prem_analysis!$N$2:U343),COLUMNS(prem_analysis!$N$2:U343)),IF($Q$1=$P$4,INDEX(Table24[[#All],[Year]:[Details]],ROWS(prem_analysis!$M$420:T761),COLUMNS(Data!$Q$3:X344)))))),"")</f>
        <v/>
      </c>
      <c r="Z343" s="1" t="str">
        <f>IFERROR(IF($Q$1=$P$3,INDEX(prem_analysis!$P$2:$Q$441,ROWS(Data!$P$2:Y343),COLUMNS(Data!$P$3:X344)),IF($Q$1=$P$5,INDEX(prem_analysis!$BH$1:$BS$23,ROWS(Data!$Q$3:Y344),COLUMNS(Data!$Q$3:Y344)),IF($Q$1=$P$6,INDEX(prem_analysis!$BU$1:$CF$67,ROWS(prem_analysis!$N$2:V343),COLUMNS(prem_analysis!$N$2:V343)),IF($Q$1=$P$4,INDEX(Table24[[#All],[Year]:[Details]],ROWS(prem_analysis!$M$420:U761),COLUMNS(Data!$Q$3:Y344)))))),"")</f>
        <v/>
      </c>
      <c r="AA343" s="1" t="str">
        <f>IFERROR(IF($Q$1=$P$3,INDEX(prem_analysis!$P$2:$Q$441,ROWS(Data!$P$2:Z343),COLUMNS(Data!$P$3:Y344)),IF($Q$1=$P$5,INDEX(prem_analysis!$BH$1:$BS$23,ROWS(Data!$Q$3:Z344),COLUMNS(Data!$Q$3:Z344)),IF($Q$1=$P$6,INDEX(prem_analysis!$BU$1:$CF$67,ROWS(prem_analysis!$N$2:W343),COLUMNS(prem_analysis!$N$2:W343)),IF($Q$1=$P$4,INDEX(Table24[[#All],[Year]:[Details]],ROWS(prem_analysis!$M$420:V761),COLUMNS(Data!$Q$3:Z344)))))),"")</f>
        <v/>
      </c>
      <c r="AB343" s="1" t="str">
        <f>IFERROR(IF($Q$1=$P$3,INDEX(prem_analysis!$P$2:$Q$441,ROWS(Data!$P$2:AA343),COLUMNS(Data!$P$3:Z344)),IF($Q$1=$P$5,INDEX(prem_analysis!$BH$1:$BS$23,ROWS(Data!$Q$3:AA344),COLUMNS(Data!$Q$3:AA344)),IF($Q$1=$P$6,INDEX(prem_analysis!$BU$1:$CF$67,ROWS(prem_analysis!$N$2:X343),COLUMNS(prem_analysis!$N$2:X343)),IF($Q$1=$P$4,INDEX(Table24[[#All],[Year]:[Details]],ROWS(prem_analysis!$M$420:W761),COLUMNS(Data!$Q$3:AA344)))))),"")</f>
        <v/>
      </c>
      <c r="AC343" s="1" t="str">
        <f>IFERROR(IF($Q$1=$P$3,INDEX(prem_analysis!$P$2:$Q$441,ROWS(Data!$P$2:AB343),COLUMNS(Data!$P$3:AA344)),IF($Q$1=$P$5,INDEX(prem_analysis!$BH$1:$BS$23,ROWS(Data!$Q$3:AB344),COLUMNS(Data!$Q$3:AB344)),IF($Q$1=$P$6,INDEX(prem_analysis!$BU$1:$CF$67,ROWS(prem_analysis!$N$2:Y343),COLUMNS(prem_analysis!$N$2:Y343)),IF($Q$1=$P$4,INDEX(Table24[[#All],[Year]:[Details]],ROWS(prem_analysis!$M$420:X761),COLUMNS(Data!$Q$3:AB344)))))),"")</f>
        <v/>
      </c>
    </row>
    <row r="344" spans="1:29" x14ac:dyDescent="0.2">
      <c r="A344" s="3">
        <v>2017</v>
      </c>
      <c r="B344" s="3">
        <v>3</v>
      </c>
      <c r="C344" s="4" t="s">
        <v>22</v>
      </c>
      <c r="D344" s="3">
        <v>38</v>
      </c>
      <c r="E344" s="3">
        <v>23</v>
      </c>
      <c r="F344" s="3">
        <v>8</v>
      </c>
      <c r="G344" s="3">
        <v>7</v>
      </c>
      <c r="H344" s="3">
        <v>74</v>
      </c>
      <c r="I344" s="3">
        <v>36</v>
      </c>
      <c r="J344" s="3">
        <v>38</v>
      </c>
      <c r="K344" s="3">
        <v>77</v>
      </c>
      <c r="L344" s="5">
        <f>IF(Table24[[#This Row],['#]]=1,"Champion", IF(Table24[[#This Row],['#]]&gt;=18,"Relegated",Table24[[#This Row],['#]]))</f>
        <v>3</v>
      </c>
      <c r="M344" s="5" t="str">
        <f>IF(Table24[[#This Row],[Details]]=2,K343-Table24[[#This Row],[Pts]],IF(Table24[[#This Row],[Details]]=17,Table24[[#This Row],[Pts]]-K345,""))</f>
        <v/>
      </c>
      <c r="R344" s="1" t="str">
        <f>IFERROR(IF($Q$1=$P$3,INDEX(prem_analysis!$P$2:$Q$441,ROWS(Data!$P$2:Q344),COLUMNS(Data!$P$3:P345)),IF($Q$1=$P$5,INDEX(prem_analysis!$BH$1:$BS$23,ROWS(Data!$Q$3:Q345),COLUMNS(Data!$Q$3:Q345)),IF($Q$1=$P$6,INDEX(prem_analysis!$BU$1:$CF$67,ROWS(prem_analysis!$N$2:N344),COLUMNS(prem_analysis!$N$2:N344)),IF($Q$1=$P$4,INDEX(Table24[[#All],[Year]:[Details]],ROWS(prem_analysis!$M$420:M762),COLUMNS(Data!$Q$3:Q345)))))),"")</f>
        <v/>
      </c>
      <c r="S344" s="1" t="str">
        <f>IFERROR(IF($Q$1=$P$3,INDEX(prem_analysis!$P$2:$Q$441,ROWS(Data!$P$2:R344),COLUMNS(Data!$P$3:Q345)),IF($Q$1=$P$5,INDEX(prem_analysis!$BH$1:$BS$23,ROWS(Data!$Q$3:R345),COLUMNS(Data!$Q$3:R345)),IF($Q$1=$P$6,INDEX(prem_analysis!$BU$1:$CF$67,ROWS(prem_analysis!$N$2:O344),COLUMNS(prem_analysis!$N$2:O344)),IF($Q$1=$P$4,INDEX(Table24[[#All],[Year]:[Details]],ROWS(prem_analysis!$M$420:N762),COLUMNS(Data!$Q$3:R345)))))),"")</f>
        <v/>
      </c>
      <c r="T344" s="1" t="str">
        <f>IFERROR(IF($Q$1=$P$3,INDEX(prem_analysis!$P$2:$Q$441,ROWS(Data!$P$2:S344),COLUMNS(Data!$P$3:R345)),IF($Q$1=$P$5,INDEX(prem_analysis!$BH$1:$BS$23,ROWS(Data!$Q$3:S345),COLUMNS(Data!$Q$3:S345)),IF($Q$1=$P$6,INDEX(prem_analysis!$BU$1:$CF$67,ROWS(prem_analysis!$N$2:P344),COLUMNS(prem_analysis!$N$2:P344)),IF($Q$1=$P$4,INDEX(Table24[[#All],[Year]:[Details]],ROWS(prem_analysis!$M$420:O762),COLUMNS(Data!$Q$3:S345)))))),"")</f>
        <v/>
      </c>
      <c r="U344" s="1" t="str">
        <f>IFERROR(IF($Q$1=$P$3,INDEX(prem_analysis!$P$2:$Q$441,ROWS(Data!$P$2:T344),COLUMNS(Data!$P$3:S345)),IF($Q$1=$P$5,INDEX(prem_analysis!$BH$1:$BS$23,ROWS(Data!$Q$3:T345),COLUMNS(Data!$Q$3:T345)),IF($Q$1=$P$6,INDEX(prem_analysis!$BU$1:$CF$67,ROWS(prem_analysis!$N$2:Q344),COLUMNS(prem_analysis!$N$2:Q344)),IF($Q$1=$P$4,INDEX(Table24[[#All],[Year]:[Details]],ROWS(prem_analysis!$M$420:P762),COLUMNS(Data!$Q$3:T345)))))),"")</f>
        <v/>
      </c>
      <c r="V344" s="1" t="str">
        <f>IFERROR(IF($Q$1=$P$3,INDEX(prem_analysis!$P$2:$Q$441,ROWS(Data!$P$2:U344),COLUMNS(Data!$P$3:T345)),IF($Q$1=$P$5,INDEX(prem_analysis!$BH$1:$BS$23,ROWS(Data!$Q$3:U345),COLUMNS(Data!$Q$3:U345)),IF($Q$1=$P$6,INDEX(prem_analysis!$BU$1:$CF$67,ROWS(prem_analysis!$N$2:R344),COLUMNS(prem_analysis!$N$2:R344)),IF($Q$1=$P$4,INDEX(Table24[[#All],[Year]:[Details]],ROWS(prem_analysis!$M$420:Q762),COLUMNS(Data!$Q$3:U345)))))),"")</f>
        <v/>
      </c>
      <c r="W344" s="1" t="str">
        <f>IFERROR(IF($Q$1=$P$3,INDEX(prem_analysis!$P$2:$Q$441,ROWS(Data!$P$2:V344),COLUMNS(Data!$P$3:U345)),IF($Q$1=$P$5,INDEX(prem_analysis!$BH$1:$BS$23,ROWS(Data!$Q$3:V345),COLUMNS(Data!$Q$3:V345)),IF($Q$1=$P$6,INDEX(prem_analysis!$BU$1:$CF$67,ROWS(prem_analysis!$N$2:S344),COLUMNS(prem_analysis!$N$2:S344)),IF($Q$1=$P$4,INDEX(Table24[[#All],[Year]:[Details]],ROWS(prem_analysis!$M$420:R762),COLUMNS(Data!$Q$3:V345)))))),"")</f>
        <v/>
      </c>
      <c r="X344" s="1" t="str">
        <f>IFERROR(IF($Q$1=$P$3,INDEX(prem_analysis!$P$2:$Q$441,ROWS(Data!$P$2:W344),COLUMNS(Data!$P$3:V345)),IF($Q$1=$P$5,INDEX(prem_analysis!$BH$1:$BS$23,ROWS(Data!$Q$3:W345),COLUMNS(Data!$Q$3:W345)),IF($Q$1=$P$6,INDEX(prem_analysis!$BU$1:$CF$67,ROWS(prem_analysis!$N$2:T344),COLUMNS(prem_analysis!$N$2:T344)),IF($Q$1=$P$4,INDEX(Table24[[#All],[Year]:[Details]],ROWS(prem_analysis!$M$420:S762),COLUMNS(Data!$Q$3:W345)))))),"")</f>
        <v/>
      </c>
      <c r="Y344" s="1" t="str">
        <f>IFERROR(IF($Q$1=$P$3,INDEX(prem_analysis!$P$2:$Q$441,ROWS(Data!$P$2:X344),COLUMNS(Data!$P$3:W345)),IF($Q$1=$P$5,INDEX(prem_analysis!$BH$1:$BS$23,ROWS(Data!$Q$3:X345),COLUMNS(Data!$Q$3:X345)),IF($Q$1=$P$6,INDEX(prem_analysis!$BU$1:$CF$67,ROWS(prem_analysis!$N$2:U344),COLUMNS(prem_analysis!$N$2:U344)),IF($Q$1=$P$4,INDEX(Table24[[#All],[Year]:[Details]],ROWS(prem_analysis!$M$420:T762),COLUMNS(Data!$Q$3:X345)))))),"")</f>
        <v/>
      </c>
      <c r="Z344" s="1" t="str">
        <f>IFERROR(IF($Q$1=$P$3,INDEX(prem_analysis!$P$2:$Q$441,ROWS(Data!$P$2:Y344),COLUMNS(Data!$P$3:X345)),IF($Q$1=$P$5,INDEX(prem_analysis!$BH$1:$BS$23,ROWS(Data!$Q$3:Y345),COLUMNS(Data!$Q$3:Y345)),IF($Q$1=$P$6,INDEX(prem_analysis!$BU$1:$CF$67,ROWS(prem_analysis!$N$2:V344),COLUMNS(prem_analysis!$N$2:V344)),IF($Q$1=$P$4,INDEX(Table24[[#All],[Year]:[Details]],ROWS(prem_analysis!$M$420:U762),COLUMNS(Data!$Q$3:Y345)))))),"")</f>
        <v/>
      </c>
      <c r="AA344" s="1" t="str">
        <f>IFERROR(IF($Q$1=$P$3,INDEX(prem_analysis!$P$2:$Q$441,ROWS(Data!$P$2:Z344),COLUMNS(Data!$P$3:Y345)),IF($Q$1=$P$5,INDEX(prem_analysis!$BH$1:$BS$23,ROWS(Data!$Q$3:Z345),COLUMNS(Data!$Q$3:Z345)),IF($Q$1=$P$6,INDEX(prem_analysis!$BU$1:$CF$67,ROWS(prem_analysis!$N$2:W344),COLUMNS(prem_analysis!$N$2:W344)),IF($Q$1=$P$4,INDEX(Table24[[#All],[Year]:[Details]],ROWS(prem_analysis!$M$420:V762),COLUMNS(Data!$Q$3:Z345)))))),"")</f>
        <v/>
      </c>
      <c r="AB344" s="1" t="str">
        <f>IFERROR(IF($Q$1=$P$3,INDEX(prem_analysis!$P$2:$Q$441,ROWS(Data!$P$2:AA344),COLUMNS(Data!$P$3:Z345)),IF($Q$1=$P$5,INDEX(prem_analysis!$BH$1:$BS$23,ROWS(Data!$Q$3:AA345),COLUMNS(Data!$Q$3:AA345)),IF($Q$1=$P$6,INDEX(prem_analysis!$BU$1:$CF$67,ROWS(prem_analysis!$N$2:X344),COLUMNS(prem_analysis!$N$2:X344)),IF($Q$1=$P$4,INDEX(Table24[[#All],[Year]:[Details]],ROWS(prem_analysis!$M$420:W762),COLUMNS(Data!$Q$3:AA345)))))),"")</f>
        <v/>
      </c>
      <c r="AC344" s="1" t="str">
        <f>IFERROR(IF($Q$1=$P$3,INDEX(prem_analysis!$P$2:$Q$441,ROWS(Data!$P$2:AB344),COLUMNS(Data!$P$3:AA345)),IF($Q$1=$P$5,INDEX(prem_analysis!$BH$1:$BS$23,ROWS(Data!$Q$3:AB345),COLUMNS(Data!$Q$3:AB345)),IF($Q$1=$P$6,INDEX(prem_analysis!$BU$1:$CF$67,ROWS(prem_analysis!$N$2:Y344),COLUMNS(prem_analysis!$N$2:Y344)),IF($Q$1=$P$4,INDEX(Table24[[#All],[Year]:[Details]],ROWS(prem_analysis!$M$420:X762),COLUMNS(Data!$Q$3:AB345)))))),"")</f>
        <v/>
      </c>
    </row>
    <row r="345" spans="1:29" x14ac:dyDescent="0.2">
      <c r="A345" s="5">
        <v>2017</v>
      </c>
      <c r="B345" s="5">
        <v>4</v>
      </c>
      <c r="C345" s="4" t="s">
        <v>13</v>
      </c>
      <c r="D345" s="5">
        <v>38</v>
      </c>
      <c r="E345" s="5">
        <v>21</v>
      </c>
      <c r="F345" s="5">
        <v>12</v>
      </c>
      <c r="G345" s="5">
        <v>5</v>
      </c>
      <c r="H345" s="5">
        <v>84</v>
      </c>
      <c r="I345" s="5">
        <v>38</v>
      </c>
      <c r="J345" s="5">
        <v>46</v>
      </c>
      <c r="K345" s="5">
        <v>75</v>
      </c>
      <c r="L345" s="5">
        <f>IF(Table24[[#This Row],['#]]=1,"Champion", IF(Table24[[#This Row],['#]]&gt;=18,"Relegated",Table24[[#This Row],['#]]))</f>
        <v>4</v>
      </c>
      <c r="M345" s="5" t="str">
        <f>IF(Table24[[#This Row],[Details]]=2,K344-Table24[[#This Row],[Pts]],IF(Table24[[#This Row],[Details]]=17,Table24[[#This Row],[Pts]]-K346,""))</f>
        <v/>
      </c>
      <c r="R345" s="1" t="str">
        <f>IFERROR(IF($Q$1=$P$3,INDEX(prem_analysis!$P$2:$Q$441,ROWS(Data!$P$2:Q345),COLUMNS(Data!$P$3:P346)),IF($Q$1=$P$5,INDEX(prem_analysis!$BH$1:$BS$23,ROWS(Data!$Q$3:Q346),COLUMNS(Data!$Q$3:Q346)),IF($Q$1=$P$6,INDEX(prem_analysis!$BU$1:$CF$67,ROWS(prem_analysis!$N$2:N345),COLUMNS(prem_analysis!$N$2:N345)),IF($Q$1=$P$4,INDEX(Table24[[#All],[Year]:[Details]],ROWS(prem_analysis!$M$420:M763),COLUMNS(Data!$Q$3:Q346)))))),"")</f>
        <v/>
      </c>
      <c r="S345" s="1" t="str">
        <f>IFERROR(IF($Q$1=$P$3,INDEX(prem_analysis!$P$2:$Q$441,ROWS(Data!$P$2:R345),COLUMNS(Data!$P$3:Q346)),IF($Q$1=$P$5,INDEX(prem_analysis!$BH$1:$BS$23,ROWS(Data!$Q$3:R346),COLUMNS(Data!$Q$3:R346)),IF($Q$1=$P$6,INDEX(prem_analysis!$BU$1:$CF$67,ROWS(prem_analysis!$N$2:O345),COLUMNS(prem_analysis!$N$2:O345)),IF($Q$1=$P$4,INDEX(Table24[[#All],[Year]:[Details]],ROWS(prem_analysis!$M$420:N763),COLUMNS(Data!$Q$3:R346)))))),"")</f>
        <v/>
      </c>
      <c r="T345" s="1" t="str">
        <f>IFERROR(IF($Q$1=$P$3,INDEX(prem_analysis!$P$2:$Q$441,ROWS(Data!$P$2:S345),COLUMNS(Data!$P$3:R346)),IF($Q$1=$P$5,INDEX(prem_analysis!$BH$1:$BS$23,ROWS(Data!$Q$3:S346),COLUMNS(Data!$Q$3:S346)),IF($Q$1=$P$6,INDEX(prem_analysis!$BU$1:$CF$67,ROWS(prem_analysis!$N$2:P345),COLUMNS(prem_analysis!$N$2:P345)),IF($Q$1=$P$4,INDEX(Table24[[#All],[Year]:[Details]],ROWS(prem_analysis!$M$420:O763),COLUMNS(Data!$Q$3:S346)))))),"")</f>
        <v/>
      </c>
      <c r="U345" s="1" t="str">
        <f>IFERROR(IF($Q$1=$P$3,INDEX(prem_analysis!$P$2:$Q$441,ROWS(Data!$P$2:T345),COLUMNS(Data!$P$3:S346)),IF($Q$1=$P$5,INDEX(prem_analysis!$BH$1:$BS$23,ROWS(Data!$Q$3:T346),COLUMNS(Data!$Q$3:T346)),IF($Q$1=$P$6,INDEX(prem_analysis!$BU$1:$CF$67,ROWS(prem_analysis!$N$2:Q345),COLUMNS(prem_analysis!$N$2:Q345)),IF($Q$1=$P$4,INDEX(Table24[[#All],[Year]:[Details]],ROWS(prem_analysis!$M$420:P763),COLUMNS(Data!$Q$3:T346)))))),"")</f>
        <v/>
      </c>
      <c r="V345" s="1" t="str">
        <f>IFERROR(IF($Q$1=$P$3,INDEX(prem_analysis!$P$2:$Q$441,ROWS(Data!$P$2:U345),COLUMNS(Data!$P$3:T346)),IF($Q$1=$P$5,INDEX(prem_analysis!$BH$1:$BS$23,ROWS(Data!$Q$3:U346),COLUMNS(Data!$Q$3:U346)),IF($Q$1=$P$6,INDEX(prem_analysis!$BU$1:$CF$67,ROWS(prem_analysis!$N$2:R345),COLUMNS(prem_analysis!$N$2:R345)),IF($Q$1=$P$4,INDEX(Table24[[#All],[Year]:[Details]],ROWS(prem_analysis!$M$420:Q763),COLUMNS(Data!$Q$3:U346)))))),"")</f>
        <v/>
      </c>
      <c r="W345" s="1" t="str">
        <f>IFERROR(IF($Q$1=$P$3,INDEX(prem_analysis!$P$2:$Q$441,ROWS(Data!$P$2:V345),COLUMNS(Data!$P$3:U346)),IF($Q$1=$P$5,INDEX(prem_analysis!$BH$1:$BS$23,ROWS(Data!$Q$3:V346),COLUMNS(Data!$Q$3:V346)),IF($Q$1=$P$6,INDEX(prem_analysis!$BU$1:$CF$67,ROWS(prem_analysis!$N$2:S345),COLUMNS(prem_analysis!$N$2:S345)),IF($Q$1=$P$4,INDEX(Table24[[#All],[Year]:[Details]],ROWS(prem_analysis!$M$420:R763),COLUMNS(Data!$Q$3:V346)))))),"")</f>
        <v/>
      </c>
      <c r="X345" s="1" t="str">
        <f>IFERROR(IF($Q$1=$P$3,INDEX(prem_analysis!$P$2:$Q$441,ROWS(Data!$P$2:W345),COLUMNS(Data!$P$3:V346)),IF($Q$1=$P$5,INDEX(prem_analysis!$BH$1:$BS$23,ROWS(Data!$Q$3:W346),COLUMNS(Data!$Q$3:W346)),IF($Q$1=$P$6,INDEX(prem_analysis!$BU$1:$CF$67,ROWS(prem_analysis!$N$2:T345),COLUMNS(prem_analysis!$N$2:T345)),IF($Q$1=$P$4,INDEX(Table24[[#All],[Year]:[Details]],ROWS(prem_analysis!$M$420:S763),COLUMNS(Data!$Q$3:W346)))))),"")</f>
        <v/>
      </c>
      <c r="Y345" s="1" t="str">
        <f>IFERROR(IF($Q$1=$P$3,INDEX(prem_analysis!$P$2:$Q$441,ROWS(Data!$P$2:X345),COLUMNS(Data!$P$3:W346)),IF($Q$1=$P$5,INDEX(prem_analysis!$BH$1:$BS$23,ROWS(Data!$Q$3:X346),COLUMNS(Data!$Q$3:X346)),IF($Q$1=$P$6,INDEX(prem_analysis!$BU$1:$CF$67,ROWS(prem_analysis!$N$2:U345),COLUMNS(prem_analysis!$N$2:U345)),IF($Q$1=$P$4,INDEX(Table24[[#All],[Year]:[Details]],ROWS(prem_analysis!$M$420:T763),COLUMNS(Data!$Q$3:X346)))))),"")</f>
        <v/>
      </c>
      <c r="Z345" s="1" t="str">
        <f>IFERROR(IF($Q$1=$P$3,INDEX(prem_analysis!$P$2:$Q$441,ROWS(Data!$P$2:Y345),COLUMNS(Data!$P$3:X346)),IF($Q$1=$P$5,INDEX(prem_analysis!$BH$1:$BS$23,ROWS(Data!$Q$3:Y346),COLUMNS(Data!$Q$3:Y346)),IF($Q$1=$P$6,INDEX(prem_analysis!$BU$1:$CF$67,ROWS(prem_analysis!$N$2:V345),COLUMNS(prem_analysis!$N$2:V345)),IF($Q$1=$P$4,INDEX(Table24[[#All],[Year]:[Details]],ROWS(prem_analysis!$M$420:U763),COLUMNS(Data!$Q$3:Y346)))))),"")</f>
        <v/>
      </c>
      <c r="AA345" s="1" t="str">
        <f>IFERROR(IF($Q$1=$P$3,INDEX(prem_analysis!$P$2:$Q$441,ROWS(Data!$P$2:Z345),COLUMNS(Data!$P$3:Y346)),IF($Q$1=$P$5,INDEX(prem_analysis!$BH$1:$BS$23,ROWS(Data!$Q$3:Z346),COLUMNS(Data!$Q$3:Z346)),IF($Q$1=$P$6,INDEX(prem_analysis!$BU$1:$CF$67,ROWS(prem_analysis!$N$2:W345),COLUMNS(prem_analysis!$N$2:W345)),IF($Q$1=$P$4,INDEX(Table24[[#All],[Year]:[Details]],ROWS(prem_analysis!$M$420:V763),COLUMNS(Data!$Q$3:Z346)))))),"")</f>
        <v/>
      </c>
      <c r="AB345" s="1" t="str">
        <f>IFERROR(IF($Q$1=$P$3,INDEX(prem_analysis!$P$2:$Q$441,ROWS(Data!$P$2:AA345),COLUMNS(Data!$P$3:Z346)),IF($Q$1=$P$5,INDEX(prem_analysis!$BH$1:$BS$23,ROWS(Data!$Q$3:AA346),COLUMNS(Data!$Q$3:AA346)),IF($Q$1=$P$6,INDEX(prem_analysis!$BU$1:$CF$67,ROWS(prem_analysis!$N$2:X345),COLUMNS(prem_analysis!$N$2:X345)),IF($Q$1=$P$4,INDEX(Table24[[#All],[Year]:[Details]],ROWS(prem_analysis!$M$420:W763),COLUMNS(Data!$Q$3:AA346)))))),"")</f>
        <v/>
      </c>
      <c r="AC345" s="1" t="str">
        <f>IFERROR(IF($Q$1=$P$3,INDEX(prem_analysis!$P$2:$Q$441,ROWS(Data!$P$2:AB345),COLUMNS(Data!$P$3:AA346)),IF($Q$1=$P$5,INDEX(prem_analysis!$BH$1:$BS$23,ROWS(Data!$Q$3:AB346),COLUMNS(Data!$Q$3:AB346)),IF($Q$1=$P$6,INDEX(prem_analysis!$BU$1:$CF$67,ROWS(prem_analysis!$N$2:Y345),COLUMNS(prem_analysis!$N$2:Y345)),IF($Q$1=$P$4,INDEX(Table24[[#All],[Year]:[Details]],ROWS(prem_analysis!$M$420:X763),COLUMNS(Data!$Q$3:AB346)))))),"")</f>
        <v/>
      </c>
    </row>
    <row r="346" spans="1:29" x14ac:dyDescent="0.2">
      <c r="A346" s="3">
        <v>2017</v>
      </c>
      <c r="B346" s="3">
        <v>5</v>
      </c>
      <c r="C346" s="4" t="s">
        <v>16</v>
      </c>
      <c r="D346" s="3">
        <v>38</v>
      </c>
      <c r="E346" s="3">
        <v>21</v>
      </c>
      <c r="F346" s="3">
        <v>7</v>
      </c>
      <c r="G346" s="3">
        <v>10</v>
      </c>
      <c r="H346" s="3">
        <v>62</v>
      </c>
      <c r="I346" s="3">
        <v>38</v>
      </c>
      <c r="J346" s="3">
        <v>24</v>
      </c>
      <c r="K346" s="3">
        <v>70</v>
      </c>
      <c r="L346" s="5">
        <f>IF(Table24[[#This Row],['#]]=1,"Champion", IF(Table24[[#This Row],['#]]&gt;=18,"Relegated",Table24[[#This Row],['#]]))</f>
        <v>5</v>
      </c>
      <c r="M346" s="5" t="str">
        <f>IF(Table24[[#This Row],[Details]]=2,K345-Table24[[#This Row],[Pts]],IF(Table24[[#This Row],[Details]]=17,Table24[[#This Row],[Pts]]-K347,""))</f>
        <v/>
      </c>
      <c r="R346" s="1" t="str">
        <f>IFERROR(IF($Q$1=$P$3,INDEX(prem_analysis!$P$2:$Q$441,ROWS(Data!$P$2:Q346),COLUMNS(Data!$P$3:P347)),IF($Q$1=$P$5,INDEX(prem_analysis!$BH$1:$BS$23,ROWS(Data!$Q$3:Q347),COLUMNS(Data!$Q$3:Q347)),IF($Q$1=$P$6,INDEX(prem_analysis!$BU$1:$CF$67,ROWS(prem_analysis!$N$2:N346),COLUMNS(prem_analysis!$N$2:N346)),IF($Q$1=$P$4,INDEX(Table24[[#All],[Year]:[Details]],ROWS(prem_analysis!$M$420:M764),COLUMNS(Data!$Q$3:Q347)))))),"")</f>
        <v/>
      </c>
      <c r="S346" s="1" t="str">
        <f>IFERROR(IF($Q$1=$P$3,INDEX(prem_analysis!$P$2:$Q$441,ROWS(Data!$P$2:R346),COLUMNS(Data!$P$3:Q347)),IF($Q$1=$P$5,INDEX(prem_analysis!$BH$1:$BS$23,ROWS(Data!$Q$3:R347),COLUMNS(Data!$Q$3:R347)),IF($Q$1=$P$6,INDEX(prem_analysis!$BU$1:$CF$67,ROWS(prem_analysis!$N$2:O346),COLUMNS(prem_analysis!$N$2:O346)),IF($Q$1=$P$4,INDEX(Table24[[#All],[Year]:[Details]],ROWS(prem_analysis!$M$420:N764),COLUMNS(Data!$Q$3:R347)))))),"")</f>
        <v/>
      </c>
      <c r="T346" s="1" t="str">
        <f>IFERROR(IF($Q$1=$P$3,INDEX(prem_analysis!$P$2:$Q$441,ROWS(Data!$P$2:S346),COLUMNS(Data!$P$3:R347)),IF($Q$1=$P$5,INDEX(prem_analysis!$BH$1:$BS$23,ROWS(Data!$Q$3:S347),COLUMNS(Data!$Q$3:S347)),IF($Q$1=$P$6,INDEX(prem_analysis!$BU$1:$CF$67,ROWS(prem_analysis!$N$2:P346),COLUMNS(prem_analysis!$N$2:P346)),IF($Q$1=$P$4,INDEX(Table24[[#All],[Year]:[Details]],ROWS(prem_analysis!$M$420:O764),COLUMNS(Data!$Q$3:S347)))))),"")</f>
        <v/>
      </c>
      <c r="U346" s="1" t="str">
        <f>IFERROR(IF($Q$1=$P$3,INDEX(prem_analysis!$P$2:$Q$441,ROWS(Data!$P$2:T346),COLUMNS(Data!$P$3:S347)),IF($Q$1=$P$5,INDEX(prem_analysis!$BH$1:$BS$23,ROWS(Data!$Q$3:T347),COLUMNS(Data!$Q$3:T347)),IF($Q$1=$P$6,INDEX(prem_analysis!$BU$1:$CF$67,ROWS(prem_analysis!$N$2:Q346),COLUMNS(prem_analysis!$N$2:Q346)),IF($Q$1=$P$4,INDEX(Table24[[#All],[Year]:[Details]],ROWS(prem_analysis!$M$420:P764),COLUMNS(Data!$Q$3:T347)))))),"")</f>
        <v/>
      </c>
      <c r="V346" s="1" t="str">
        <f>IFERROR(IF($Q$1=$P$3,INDEX(prem_analysis!$P$2:$Q$441,ROWS(Data!$P$2:U346),COLUMNS(Data!$P$3:T347)),IF($Q$1=$P$5,INDEX(prem_analysis!$BH$1:$BS$23,ROWS(Data!$Q$3:U347),COLUMNS(Data!$Q$3:U347)),IF($Q$1=$P$6,INDEX(prem_analysis!$BU$1:$CF$67,ROWS(prem_analysis!$N$2:R346),COLUMNS(prem_analysis!$N$2:R346)),IF($Q$1=$P$4,INDEX(Table24[[#All],[Year]:[Details]],ROWS(prem_analysis!$M$420:Q764),COLUMNS(Data!$Q$3:U347)))))),"")</f>
        <v/>
      </c>
      <c r="W346" s="1" t="str">
        <f>IFERROR(IF($Q$1=$P$3,INDEX(prem_analysis!$P$2:$Q$441,ROWS(Data!$P$2:V346),COLUMNS(Data!$P$3:U347)),IF($Q$1=$P$5,INDEX(prem_analysis!$BH$1:$BS$23,ROWS(Data!$Q$3:V347),COLUMNS(Data!$Q$3:V347)),IF($Q$1=$P$6,INDEX(prem_analysis!$BU$1:$CF$67,ROWS(prem_analysis!$N$2:S346),COLUMNS(prem_analysis!$N$2:S346)),IF($Q$1=$P$4,INDEX(Table24[[#All],[Year]:[Details]],ROWS(prem_analysis!$M$420:R764),COLUMNS(Data!$Q$3:V347)))))),"")</f>
        <v/>
      </c>
      <c r="X346" s="1" t="str">
        <f>IFERROR(IF($Q$1=$P$3,INDEX(prem_analysis!$P$2:$Q$441,ROWS(Data!$P$2:W346),COLUMNS(Data!$P$3:V347)),IF($Q$1=$P$5,INDEX(prem_analysis!$BH$1:$BS$23,ROWS(Data!$Q$3:W347),COLUMNS(Data!$Q$3:W347)),IF($Q$1=$P$6,INDEX(prem_analysis!$BU$1:$CF$67,ROWS(prem_analysis!$N$2:T346),COLUMNS(prem_analysis!$N$2:T346)),IF($Q$1=$P$4,INDEX(Table24[[#All],[Year]:[Details]],ROWS(prem_analysis!$M$420:S764),COLUMNS(Data!$Q$3:W347)))))),"")</f>
        <v/>
      </c>
      <c r="Y346" s="1" t="str">
        <f>IFERROR(IF($Q$1=$P$3,INDEX(prem_analysis!$P$2:$Q$441,ROWS(Data!$P$2:X346),COLUMNS(Data!$P$3:W347)),IF($Q$1=$P$5,INDEX(prem_analysis!$BH$1:$BS$23,ROWS(Data!$Q$3:X347),COLUMNS(Data!$Q$3:X347)),IF($Q$1=$P$6,INDEX(prem_analysis!$BU$1:$CF$67,ROWS(prem_analysis!$N$2:U346),COLUMNS(prem_analysis!$N$2:U346)),IF($Q$1=$P$4,INDEX(Table24[[#All],[Year]:[Details]],ROWS(prem_analysis!$M$420:T764),COLUMNS(Data!$Q$3:X347)))))),"")</f>
        <v/>
      </c>
      <c r="Z346" s="1" t="str">
        <f>IFERROR(IF($Q$1=$P$3,INDEX(prem_analysis!$P$2:$Q$441,ROWS(Data!$P$2:Y346),COLUMNS(Data!$P$3:X347)),IF($Q$1=$P$5,INDEX(prem_analysis!$BH$1:$BS$23,ROWS(Data!$Q$3:Y347),COLUMNS(Data!$Q$3:Y347)),IF($Q$1=$P$6,INDEX(prem_analysis!$BU$1:$CF$67,ROWS(prem_analysis!$N$2:V346),COLUMNS(prem_analysis!$N$2:V346)),IF($Q$1=$P$4,INDEX(Table24[[#All],[Year]:[Details]],ROWS(prem_analysis!$M$420:U764),COLUMNS(Data!$Q$3:Y347)))))),"")</f>
        <v/>
      </c>
      <c r="AA346" s="1" t="str">
        <f>IFERROR(IF($Q$1=$P$3,INDEX(prem_analysis!$P$2:$Q$441,ROWS(Data!$P$2:Z346),COLUMNS(Data!$P$3:Y347)),IF($Q$1=$P$5,INDEX(prem_analysis!$BH$1:$BS$23,ROWS(Data!$Q$3:Z347),COLUMNS(Data!$Q$3:Z347)),IF($Q$1=$P$6,INDEX(prem_analysis!$BU$1:$CF$67,ROWS(prem_analysis!$N$2:W346),COLUMNS(prem_analysis!$N$2:W346)),IF($Q$1=$P$4,INDEX(Table24[[#All],[Year]:[Details]],ROWS(prem_analysis!$M$420:V764),COLUMNS(Data!$Q$3:Z347)))))),"")</f>
        <v/>
      </c>
      <c r="AB346" s="1" t="str">
        <f>IFERROR(IF($Q$1=$P$3,INDEX(prem_analysis!$P$2:$Q$441,ROWS(Data!$P$2:AA346),COLUMNS(Data!$P$3:Z347)),IF($Q$1=$P$5,INDEX(prem_analysis!$BH$1:$BS$23,ROWS(Data!$Q$3:AA347),COLUMNS(Data!$Q$3:AA347)),IF($Q$1=$P$6,INDEX(prem_analysis!$BU$1:$CF$67,ROWS(prem_analysis!$N$2:X346),COLUMNS(prem_analysis!$N$2:X346)),IF($Q$1=$P$4,INDEX(Table24[[#All],[Year]:[Details]],ROWS(prem_analysis!$M$420:W764),COLUMNS(Data!$Q$3:AA347)))))),"")</f>
        <v/>
      </c>
      <c r="AC346" s="1" t="str">
        <f>IFERROR(IF($Q$1=$P$3,INDEX(prem_analysis!$P$2:$Q$441,ROWS(Data!$P$2:AB346),COLUMNS(Data!$P$3:AA347)),IF($Q$1=$P$5,INDEX(prem_analysis!$BH$1:$BS$23,ROWS(Data!$Q$3:AB347),COLUMNS(Data!$Q$3:AB347)),IF($Q$1=$P$6,INDEX(prem_analysis!$BU$1:$CF$67,ROWS(prem_analysis!$N$2:Y346),COLUMNS(prem_analysis!$N$2:Y346)),IF($Q$1=$P$4,INDEX(Table24[[#All],[Year]:[Details]],ROWS(prem_analysis!$M$420:X764),COLUMNS(Data!$Q$3:AB347)))))),"")</f>
        <v/>
      </c>
    </row>
    <row r="347" spans="1:29" x14ac:dyDescent="0.2">
      <c r="A347" s="5">
        <v>2017</v>
      </c>
      <c r="B347" s="5">
        <v>6</v>
      </c>
      <c r="C347" s="6" t="s">
        <v>12</v>
      </c>
      <c r="D347" s="5">
        <v>38</v>
      </c>
      <c r="E347" s="5">
        <v>19</v>
      </c>
      <c r="F347" s="5">
        <v>6</v>
      </c>
      <c r="G347" s="5">
        <v>13</v>
      </c>
      <c r="H347" s="5">
        <v>74</v>
      </c>
      <c r="I347" s="5">
        <v>51</v>
      </c>
      <c r="J347" s="5">
        <v>23</v>
      </c>
      <c r="K347" s="5">
        <v>63</v>
      </c>
      <c r="L347" s="5">
        <f>IF(Table24[[#This Row],['#]]=1,"Champion", IF(Table24[[#This Row],['#]]&gt;=18,"Relegated",Table24[[#This Row],['#]]))</f>
        <v>6</v>
      </c>
      <c r="M347" s="5" t="str">
        <f>IF(Table24[[#This Row],[Details]]=2,K346-Table24[[#This Row],[Pts]],IF(Table24[[#This Row],[Details]]=17,Table24[[#This Row],[Pts]]-K348,""))</f>
        <v/>
      </c>
      <c r="R347" s="1" t="str">
        <f>IFERROR(IF($Q$1=$P$3,INDEX(prem_analysis!$P$2:$Q$441,ROWS(Data!$P$2:Q347),COLUMNS(Data!$P$3:P348)),IF($Q$1=$P$5,INDEX(prem_analysis!$BH$1:$BS$23,ROWS(Data!$Q$3:Q348),COLUMNS(Data!$Q$3:Q348)),IF($Q$1=$P$6,INDEX(prem_analysis!$BU$1:$CF$67,ROWS(prem_analysis!$N$2:N347),COLUMNS(prem_analysis!$N$2:N347)),IF($Q$1=$P$4,INDEX(Table24[[#All],[Year]:[Details]],ROWS(prem_analysis!$M$420:M765),COLUMNS(Data!$Q$3:Q348)))))),"")</f>
        <v/>
      </c>
      <c r="S347" s="1" t="str">
        <f>IFERROR(IF($Q$1=$P$3,INDEX(prem_analysis!$P$2:$Q$441,ROWS(Data!$P$2:R347),COLUMNS(Data!$P$3:Q348)),IF($Q$1=$P$5,INDEX(prem_analysis!$BH$1:$BS$23,ROWS(Data!$Q$3:R348),COLUMNS(Data!$Q$3:R348)),IF($Q$1=$P$6,INDEX(prem_analysis!$BU$1:$CF$67,ROWS(prem_analysis!$N$2:O347),COLUMNS(prem_analysis!$N$2:O347)),IF($Q$1=$P$4,INDEX(Table24[[#All],[Year]:[Details]],ROWS(prem_analysis!$M$420:N765),COLUMNS(Data!$Q$3:R348)))))),"")</f>
        <v/>
      </c>
      <c r="T347" s="1" t="str">
        <f>IFERROR(IF($Q$1=$P$3,INDEX(prem_analysis!$P$2:$Q$441,ROWS(Data!$P$2:S347),COLUMNS(Data!$P$3:R348)),IF($Q$1=$P$5,INDEX(prem_analysis!$BH$1:$BS$23,ROWS(Data!$Q$3:S348),COLUMNS(Data!$Q$3:S348)),IF($Q$1=$P$6,INDEX(prem_analysis!$BU$1:$CF$67,ROWS(prem_analysis!$N$2:P347),COLUMNS(prem_analysis!$N$2:P347)),IF($Q$1=$P$4,INDEX(Table24[[#All],[Year]:[Details]],ROWS(prem_analysis!$M$420:O765),COLUMNS(Data!$Q$3:S348)))))),"")</f>
        <v/>
      </c>
      <c r="U347" s="1" t="str">
        <f>IFERROR(IF($Q$1=$P$3,INDEX(prem_analysis!$P$2:$Q$441,ROWS(Data!$P$2:T347),COLUMNS(Data!$P$3:S348)),IF($Q$1=$P$5,INDEX(prem_analysis!$BH$1:$BS$23,ROWS(Data!$Q$3:T348),COLUMNS(Data!$Q$3:T348)),IF($Q$1=$P$6,INDEX(prem_analysis!$BU$1:$CF$67,ROWS(prem_analysis!$N$2:Q347),COLUMNS(prem_analysis!$N$2:Q347)),IF($Q$1=$P$4,INDEX(Table24[[#All],[Year]:[Details]],ROWS(prem_analysis!$M$420:P765),COLUMNS(Data!$Q$3:T348)))))),"")</f>
        <v/>
      </c>
      <c r="V347" s="1" t="str">
        <f>IFERROR(IF($Q$1=$P$3,INDEX(prem_analysis!$P$2:$Q$441,ROWS(Data!$P$2:U347),COLUMNS(Data!$P$3:T348)),IF($Q$1=$P$5,INDEX(prem_analysis!$BH$1:$BS$23,ROWS(Data!$Q$3:U348),COLUMNS(Data!$Q$3:U348)),IF($Q$1=$P$6,INDEX(prem_analysis!$BU$1:$CF$67,ROWS(prem_analysis!$N$2:R347),COLUMNS(prem_analysis!$N$2:R347)),IF($Q$1=$P$4,INDEX(Table24[[#All],[Year]:[Details]],ROWS(prem_analysis!$M$420:Q765),COLUMNS(Data!$Q$3:U348)))))),"")</f>
        <v/>
      </c>
      <c r="W347" s="1" t="str">
        <f>IFERROR(IF($Q$1=$P$3,INDEX(prem_analysis!$P$2:$Q$441,ROWS(Data!$P$2:V347),COLUMNS(Data!$P$3:U348)),IF($Q$1=$P$5,INDEX(prem_analysis!$BH$1:$BS$23,ROWS(Data!$Q$3:V348),COLUMNS(Data!$Q$3:V348)),IF($Q$1=$P$6,INDEX(prem_analysis!$BU$1:$CF$67,ROWS(prem_analysis!$N$2:S347),COLUMNS(prem_analysis!$N$2:S347)),IF($Q$1=$P$4,INDEX(Table24[[#All],[Year]:[Details]],ROWS(prem_analysis!$M$420:R765),COLUMNS(Data!$Q$3:V348)))))),"")</f>
        <v/>
      </c>
      <c r="X347" s="1" t="str">
        <f>IFERROR(IF($Q$1=$P$3,INDEX(prem_analysis!$P$2:$Q$441,ROWS(Data!$P$2:W347),COLUMNS(Data!$P$3:V348)),IF($Q$1=$P$5,INDEX(prem_analysis!$BH$1:$BS$23,ROWS(Data!$Q$3:W348),COLUMNS(Data!$Q$3:W348)),IF($Q$1=$P$6,INDEX(prem_analysis!$BU$1:$CF$67,ROWS(prem_analysis!$N$2:T347),COLUMNS(prem_analysis!$N$2:T347)),IF($Q$1=$P$4,INDEX(Table24[[#All],[Year]:[Details]],ROWS(prem_analysis!$M$420:S765),COLUMNS(Data!$Q$3:W348)))))),"")</f>
        <v/>
      </c>
      <c r="Y347" s="1" t="str">
        <f>IFERROR(IF($Q$1=$P$3,INDEX(prem_analysis!$P$2:$Q$441,ROWS(Data!$P$2:X347),COLUMNS(Data!$P$3:W348)),IF($Q$1=$P$5,INDEX(prem_analysis!$BH$1:$BS$23,ROWS(Data!$Q$3:X348),COLUMNS(Data!$Q$3:X348)),IF($Q$1=$P$6,INDEX(prem_analysis!$BU$1:$CF$67,ROWS(prem_analysis!$N$2:U347),COLUMNS(prem_analysis!$N$2:U347)),IF($Q$1=$P$4,INDEX(Table24[[#All],[Year]:[Details]],ROWS(prem_analysis!$M$420:T765),COLUMNS(Data!$Q$3:X348)))))),"")</f>
        <v/>
      </c>
      <c r="Z347" s="1" t="str">
        <f>IFERROR(IF($Q$1=$P$3,INDEX(prem_analysis!$P$2:$Q$441,ROWS(Data!$P$2:Y347),COLUMNS(Data!$P$3:X348)),IF($Q$1=$P$5,INDEX(prem_analysis!$BH$1:$BS$23,ROWS(Data!$Q$3:Y348),COLUMNS(Data!$Q$3:Y348)),IF($Q$1=$P$6,INDEX(prem_analysis!$BU$1:$CF$67,ROWS(prem_analysis!$N$2:V347),COLUMNS(prem_analysis!$N$2:V347)),IF($Q$1=$P$4,INDEX(Table24[[#All],[Year]:[Details]],ROWS(prem_analysis!$M$420:U765),COLUMNS(Data!$Q$3:Y348)))))),"")</f>
        <v/>
      </c>
      <c r="AA347" s="1" t="str">
        <f>IFERROR(IF($Q$1=$P$3,INDEX(prem_analysis!$P$2:$Q$441,ROWS(Data!$P$2:Z347),COLUMNS(Data!$P$3:Y348)),IF($Q$1=$P$5,INDEX(prem_analysis!$BH$1:$BS$23,ROWS(Data!$Q$3:Z348),COLUMNS(Data!$Q$3:Z348)),IF($Q$1=$P$6,INDEX(prem_analysis!$BU$1:$CF$67,ROWS(prem_analysis!$N$2:W347),COLUMNS(prem_analysis!$N$2:W347)),IF($Q$1=$P$4,INDEX(Table24[[#All],[Year]:[Details]],ROWS(prem_analysis!$M$420:V765),COLUMNS(Data!$Q$3:Z348)))))),"")</f>
        <v/>
      </c>
      <c r="AB347" s="1" t="str">
        <f>IFERROR(IF($Q$1=$P$3,INDEX(prem_analysis!$P$2:$Q$441,ROWS(Data!$P$2:AA347),COLUMNS(Data!$P$3:Z348)),IF($Q$1=$P$5,INDEX(prem_analysis!$BH$1:$BS$23,ROWS(Data!$Q$3:AA348),COLUMNS(Data!$Q$3:AA348)),IF($Q$1=$P$6,INDEX(prem_analysis!$BU$1:$CF$67,ROWS(prem_analysis!$N$2:X347),COLUMNS(prem_analysis!$N$2:X347)),IF($Q$1=$P$4,INDEX(Table24[[#All],[Year]:[Details]],ROWS(prem_analysis!$M$420:W765),COLUMNS(Data!$Q$3:AA348)))))),"")</f>
        <v/>
      </c>
      <c r="AC347" s="1" t="str">
        <f>IFERROR(IF($Q$1=$P$3,INDEX(prem_analysis!$P$2:$Q$441,ROWS(Data!$P$2:AB347),COLUMNS(Data!$P$3:AA348)),IF($Q$1=$P$5,INDEX(prem_analysis!$BH$1:$BS$23,ROWS(Data!$Q$3:AB348),COLUMNS(Data!$Q$3:AB348)),IF($Q$1=$P$6,INDEX(prem_analysis!$BU$1:$CF$67,ROWS(prem_analysis!$N$2:Y347),COLUMNS(prem_analysis!$N$2:Y347)),IF($Q$1=$P$4,INDEX(Table24[[#All],[Year]:[Details]],ROWS(prem_analysis!$M$420:X765),COLUMNS(Data!$Q$3:AB348)))))),"")</f>
        <v/>
      </c>
    </row>
    <row r="348" spans="1:29" x14ac:dyDescent="0.2">
      <c r="A348" s="3">
        <v>2017</v>
      </c>
      <c r="B348" s="3">
        <v>7</v>
      </c>
      <c r="C348" s="4" t="s">
        <v>46</v>
      </c>
      <c r="D348" s="3">
        <v>38</v>
      </c>
      <c r="E348" s="3">
        <v>14</v>
      </c>
      <c r="F348" s="3">
        <v>12</v>
      </c>
      <c r="G348" s="3">
        <v>12</v>
      </c>
      <c r="H348" s="3">
        <v>36</v>
      </c>
      <c r="I348" s="3">
        <v>39</v>
      </c>
      <c r="J348" s="3">
        <v>-3</v>
      </c>
      <c r="K348" s="3">
        <v>54</v>
      </c>
      <c r="L348" s="5">
        <f>IF(Table24[[#This Row],['#]]=1,"Champion", IF(Table24[[#This Row],['#]]&gt;=18,"Relegated",Table24[[#This Row],['#]]))</f>
        <v>7</v>
      </c>
      <c r="M348" s="5" t="str">
        <f>IF(Table24[[#This Row],[Details]]=2,K347-Table24[[#This Row],[Pts]],IF(Table24[[#This Row],[Details]]=17,Table24[[#This Row],[Pts]]-K349,""))</f>
        <v/>
      </c>
      <c r="R348" s="1" t="str">
        <f>IFERROR(IF($Q$1=$P$3,INDEX(prem_analysis!$P$2:$Q$441,ROWS(Data!$P$2:Q348),COLUMNS(Data!$P$3:P349)),IF($Q$1=$P$5,INDEX(prem_analysis!$BH$1:$BS$23,ROWS(Data!$Q$3:Q349),COLUMNS(Data!$Q$3:Q349)),IF($Q$1=$P$6,INDEX(prem_analysis!$BU$1:$CF$67,ROWS(prem_analysis!$N$2:N348),COLUMNS(prem_analysis!$N$2:N348)),IF($Q$1=$P$4,INDEX(Table24[[#All],[Year]:[Details]],ROWS(prem_analysis!$M$420:M766),COLUMNS(Data!$Q$3:Q349)))))),"")</f>
        <v/>
      </c>
      <c r="S348" s="1" t="str">
        <f>IFERROR(IF($Q$1=$P$3,INDEX(prem_analysis!$P$2:$Q$441,ROWS(Data!$P$2:R348),COLUMNS(Data!$P$3:Q349)),IF($Q$1=$P$5,INDEX(prem_analysis!$BH$1:$BS$23,ROWS(Data!$Q$3:R349),COLUMNS(Data!$Q$3:R349)),IF($Q$1=$P$6,INDEX(prem_analysis!$BU$1:$CF$67,ROWS(prem_analysis!$N$2:O348),COLUMNS(prem_analysis!$N$2:O348)),IF($Q$1=$P$4,INDEX(Table24[[#All],[Year]:[Details]],ROWS(prem_analysis!$M$420:N766),COLUMNS(Data!$Q$3:R349)))))),"")</f>
        <v/>
      </c>
      <c r="T348" s="1" t="str">
        <f>IFERROR(IF($Q$1=$P$3,INDEX(prem_analysis!$P$2:$Q$441,ROWS(Data!$P$2:S348),COLUMNS(Data!$P$3:R349)),IF($Q$1=$P$5,INDEX(prem_analysis!$BH$1:$BS$23,ROWS(Data!$Q$3:S349),COLUMNS(Data!$Q$3:S349)),IF($Q$1=$P$6,INDEX(prem_analysis!$BU$1:$CF$67,ROWS(prem_analysis!$N$2:P348),COLUMNS(prem_analysis!$N$2:P348)),IF($Q$1=$P$4,INDEX(Table24[[#All],[Year]:[Details]],ROWS(prem_analysis!$M$420:O766),COLUMNS(Data!$Q$3:S349)))))),"")</f>
        <v/>
      </c>
      <c r="U348" s="1" t="str">
        <f>IFERROR(IF($Q$1=$P$3,INDEX(prem_analysis!$P$2:$Q$441,ROWS(Data!$P$2:T348),COLUMNS(Data!$P$3:S349)),IF($Q$1=$P$5,INDEX(prem_analysis!$BH$1:$BS$23,ROWS(Data!$Q$3:T349),COLUMNS(Data!$Q$3:T349)),IF($Q$1=$P$6,INDEX(prem_analysis!$BU$1:$CF$67,ROWS(prem_analysis!$N$2:Q348),COLUMNS(prem_analysis!$N$2:Q348)),IF($Q$1=$P$4,INDEX(Table24[[#All],[Year]:[Details]],ROWS(prem_analysis!$M$420:P766),COLUMNS(Data!$Q$3:T349)))))),"")</f>
        <v/>
      </c>
      <c r="V348" s="1" t="str">
        <f>IFERROR(IF($Q$1=$P$3,INDEX(prem_analysis!$P$2:$Q$441,ROWS(Data!$P$2:U348),COLUMNS(Data!$P$3:T349)),IF($Q$1=$P$5,INDEX(prem_analysis!$BH$1:$BS$23,ROWS(Data!$Q$3:U349),COLUMNS(Data!$Q$3:U349)),IF($Q$1=$P$6,INDEX(prem_analysis!$BU$1:$CF$67,ROWS(prem_analysis!$N$2:R348),COLUMNS(prem_analysis!$N$2:R348)),IF($Q$1=$P$4,INDEX(Table24[[#All],[Year]:[Details]],ROWS(prem_analysis!$M$420:Q766),COLUMNS(Data!$Q$3:U349)))))),"")</f>
        <v/>
      </c>
      <c r="W348" s="1" t="str">
        <f>IFERROR(IF($Q$1=$P$3,INDEX(prem_analysis!$P$2:$Q$441,ROWS(Data!$P$2:V348),COLUMNS(Data!$P$3:U349)),IF($Q$1=$P$5,INDEX(prem_analysis!$BH$1:$BS$23,ROWS(Data!$Q$3:V349),COLUMNS(Data!$Q$3:V349)),IF($Q$1=$P$6,INDEX(prem_analysis!$BU$1:$CF$67,ROWS(prem_analysis!$N$2:S348),COLUMNS(prem_analysis!$N$2:S348)),IF($Q$1=$P$4,INDEX(Table24[[#All],[Year]:[Details]],ROWS(prem_analysis!$M$420:R766),COLUMNS(Data!$Q$3:V349)))))),"")</f>
        <v/>
      </c>
      <c r="X348" s="1" t="str">
        <f>IFERROR(IF($Q$1=$P$3,INDEX(prem_analysis!$P$2:$Q$441,ROWS(Data!$P$2:W348),COLUMNS(Data!$P$3:V349)),IF($Q$1=$P$5,INDEX(prem_analysis!$BH$1:$BS$23,ROWS(Data!$Q$3:W349),COLUMNS(Data!$Q$3:W349)),IF($Q$1=$P$6,INDEX(prem_analysis!$BU$1:$CF$67,ROWS(prem_analysis!$N$2:T348),COLUMNS(prem_analysis!$N$2:T348)),IF($Q$1=$P$4,INDEX(Table24[[#All],[Year]:[Details]],ROWS(prem_analysis!$M$420:S766),COLUMNS(Data!$Q$3:W349)))))),"")</f>
        <v/>
      </c>
      <c r="Y348" s="1" t="str">
        <f>IFERROR(IF($Q$1=$P$3,INDEX(prem_analysis!$P$2:$Q$441,ROWS(Data!$P$2:X348),COLUMNS(Data!$P$3:W349)),IF($Q$1=$P$5,INDEX(prem_analysis!$BH$1:$BS$23,ROWS(Data!$Q$3:X349),COLUMNS(Data!$Q$3:X349)),IF($Q$1=$P$6,INDEX(prem_analysis!$BU$1:$CF$67,ROWS(prem_analysis!$N$2:U348),COLUMNS(prem_analysis!$N$2:U348)),IF($Q$1=$P$4,INDEX(Table24[[#All],[Year]:[Details]],ROWS(prem_analysis!$M$420:T766),COLUMNS(Data!$Q$3:X349)))))),"")</f>
        <v/>
      </c>
      <c r="Z348" s="1" t="str">
        <f>IFERROR(IF($Q$1=$P$3,INDEX(prem_analysis!$P$2:$Q$441,ROWS(Data!$P$2:Y348),COLUMNS(Data!$P$3:X349)),IF($Q$1=$P$5,INDEX(prem_analysis!$BH$1:$BS$23,ROWS(Data!$Q$3:Y349),COLUMNS(Data!$Q$3:Y349)),IF($Q$1=$P$6,INDEX(prem_analysis!$BU$1:$CF$67,ROWS(prem_analysis!$N$2:V348),COLUMNS(prem_analysis!$N$2:V348)),IF($Q$1=$P$4,INDEX(Table24[[#All],[Year]:[Details]],ROWS(prem_analysis!$M$420:U766),COLUMNS(Data!$Q$3:Y349)))))),"")</f>
        <v/>
      </c>
      <c r="AA348" s="1" t="str">
        <f>IFERROR(IF($Q$1=$P$3,INDEX(prem_analysis!$P$2:$Q$441,ROWS(Data!$P$2:Z348),COLUMNS(Data!$P$3:Y349)),IF($Q$1=$P$5,INDEX(prem_analysis!$BH$1:$BS$23,ROWS(Data!$Q$3:Z349),COLUMNS(Data!$Q$3:Z349)),IF($Q$1=$P$6,INDEX(prem_analysis!$BU$1:$CF$67,ROWS(prem_analysis!$N$2:W348),COLUMNS(prem_analysis!$N$2:W348)),IF($Q$1=$P$4,INDEX(Table24[[#All],[Year]:[Details]],ROWS(prem_analysis!$M$420:V766),COLUMNS(Data!$Q$3:Z349)))))),"")</f>
        <v/>
      </c>
      <c r="AB348" s="1" t="str">
        <f>IFERROR(IF($Q$1=$P$3,INDEX(prem_analysis!$P$2:$Q$441,ROWS(Data!$P$2:AA348),COLUMNS(Data!$P$3:Z349)),IF($Q$1=$P$5,INDEX(prem_analysis!$BH$1:$BS$23,ROWS(Data!$Q$3:AA349),COLUMNS(Data!$Q$3:AA349)),IF($Q$1=$P$6,INDEX(prem_analysis!$BU$1:$CF$67,ROWS(prem_analysis!$N$2:X348),COLUMNS(prem_analysis!$N$2:X348)),IF($Q$1=$P$4,INDEX(Table24[[#All],[Year]:[Details]],ROWS(prem_analysis!$M$420:W766),COLUMNS(Data!$Q$3:AA349)))))),"")</f>
        <v/>
      </c>
      <c r="AC348" s="1" t="str">
        <f>IFERROR(IF($Q$1=$P$3,INDEX(prem_analysis!$P$2:$Q$441,ROWS(Data!$P$2:AB348),COLUMNS(Data!$P$3:AA349)),IF($Q$1=$P$5,INDEX(prem_analysis!$BH$1:$BS$23,ROWS(Data!$Q$3:AB349),COLUMNS(Data!$Q$3:AB349)),IF($Q$1=$P$6,INDEX(prem_analysis!$BU$1:$CF$67,ROWS(prem_analysis!$N$2:Y348),COLUMNS(prem_analysis!$N$2:Y348)),IF($Q$1=$P$4,INDEX(Table24[[#All],[Year]:[Details]],ROWS(prem_analysis!$M$420:X766),COLUMNS(Data!$Q$3:AB349)))))),"")</f>
        <v/>
      </c>
    </row>
    <row r="349" spans="1:29" x14ac:dyDescent="0.2">
      <c r="A349" s="5">
        <v>2017</v>
      </c>
      <c r="B349" s="5">
        <v>8</v>
      </c>
      <c r="C349" s="6" t="s">
        <v>26</v>
      </c>
      <c r="D349" s="5">
        <v>38</v>
      </c>
      <c r="E349" s="5">
        <v>13</v>
      </c>
      <c r="F349" s="5">
        <v>10</v>
      </c>
      <c r="G349" s="5">
        <v>15</v>
      </c>
      <c r="H349" s="5">
        <v>44</v>
      </c>
      <c r="I349" s="5">
        <v>58</v>
      </c>
      <c r="J349" s="5">
        <v>-14</v>
      </c>
      <c r="K349" s="5">
        <v>49</v>
      </c>
      <c r="L349" s="5">
        <f>IF(Table24[[#This Row],['#]]=1,"Champion", IF(Table24[[#This Row],['#]]&gt;=18,"Relegated",Table24[[#This Row],['#]]))</f>
        <v>8</v>
      </c>
      <c r="M349" s="5" t="str">
        <f>IF(Table24[[#This Row],[Details]]=2,K348-Table24[[#This Row],[Pts]],IF(Table24[[#This Row],[Details]]=17,Table24[[#This Row],[Pts]]-K350,""))</f>
        <v/>
      </c>
      <c r="R349" s="1" t="str">
        <f>IFERROR(IF($Q$1=$P$3,INDEX(prem_analysis!$P$2:$Q$441,ROWS(Data!$P$2:Q349),COLUMNS(Data!$P$3:P350)),IF($Q$1=$P$5,INDEX(prem_analysis!$BH$1:$BS$23,ROWS(Data!$Q$3:Q350),COLUMNS(Data!$Q$3:Q350)),IF($Q$1=$P$6,INDEX(prem_analysis!$BU$1:$CF$67,ROWS(prem_analysis!$N$2:N349),COLUMNS(prem_analysis!$N$2:N349)),IF($Q$1=$P$4,INDEX(Table24[[#All],[Year]:[Details]],ROWS(prem_analysis!$M$420:M767),COLUMNS(Data!$Q$3:Q350)))))),"")</f>
        <v/>
      </c>
      <c r="S349" s="1" t="str">
        <f>IFERROR(IF($Q$1=$P$3,INDEX(prem_analysis!$P$2:$Q$441,ROWS(Data!$P$2:R349),COLUMNS(Data!$P$3:Q350)),IF($Q$1=$P$5,INDEX(prem_analysis!$BH$1:$BS$23,ROWS(Data!$Q$3:R350),COLUMNS(Data!$Q$3:R350)),IF($Q$1=$P$6,INDEX(prem_analysis!$BU$1:$CF$67,ROWS(prem_analysis!$N$2:O349),COLUMNS(prem_analysis!$N$2:O349)),IF($Q$1=$P$4,INDEX(Table24[[#All],[Year]:[Details]],ROWS(prem_analysis!$M$420:N767),COLUMNS(Data!$Q$3:R350)))))),"")</f>
        <v/>
      </c>
      <c r="T349" s="1" t="str">
        <f>IFERROR(IF($Q$1=$P$3,INDEX(prem_analysis!$P$2:$Q$441,ROWS(Data!$P$2:S349),COLUMNS(Data!$P$3:R350)),IF($Q$1=$P$5,INDEX(prem_analysis!$BH$1:$BS$23,ROWS(Data!$Q$3:S350),COLUMNS(Data!$Q$3:S350)),IF($Q$1=$P$6,INDEX(prem_analysis!$BU$1:$CF$67,ROWS(prem_analysis!$N$2:P349),COLUMNS(prem_analysis!$N$2:P349)),IF($Q$1=$P$4,INDEX(Table24[[#All],[Year]:[Details]],ROWS(prem_analysis!$M$420:O767),COLUMNS(Data!$Q$3:S350)))))),"")</f>
        <v/>
      </c>
      <c r="U349" s="1" t="str">
        <f>IFERROR(IF($Q$1=$P$3,INDEX(prem_analysis!$P$2:$Q$441,ROWS(Data!$P$2:T349),COLUMNS(Data!$P$3:S350)),IF($Q$1=$P$5,INDEX(prem_analysis!$BH$1:$BS$23,ROWS(Data!$Q$3:T350),COLUMNS(Data!$Q$3:T350)),IF($Q$1=$P$6,INDEX(prem_analysis!$BU$1:$CF$67,ROWS(prem_analysis!$N$2:Q349),COLUMNS(prem_analysis!$N$2:Q349)),IF($Q$1=$P$4,INDEX(Table24[[#All],[Year]:[Details]],ROWS(prem_analysis!$M$420:P767),COLUMNS(Data!$Q$3:T350)))))),"")</f>
        <v/>
      </c>
      <c r="V349" s="1" t="str">
        <f>IFERROR(IF($Q$1=$P$3,INDEX(prem_analysis!$P$2:$Q$441,ROWS(Data!$P$2:U349),COLUMNS(Data!$P$3:T350)),IF($Q$1=$P$5,INDEX(prem_analysis!$BH$1:$BS$23,ROWS(Data!$Q$3:U350),COLUMNS(Data!$Q$3:U350)),IF($Q$1=$P$6,INDEX(prem_analysis!$BU$1:$CF$67,ROWS(prem_analysis!$N$2:R349),COLUMNS(prem_analysis!$N$2:R349)),IF($Q$1=$P$4,INDEX(Table24[[#All],[Year]:[Details]],ROWS(prem_analysis!$M$420:Q767),COLUMNS(Data!$Q$3:U350)))))),"")</f>
        <v/>
      </c>
      <c r="W349" s="1" t="str">
        <f>IFERROR(IF($Q$1=$P$3,INDEX(prem_analysis!$P$2:$Q$441,ROWS(Data!$P$2:V349),COLUMNS(Data!$P$3:U350)),IF($Q$1=$P$5,INDEX(prem_analysis!$BH$1:$BS$23,ROWS(Data!$Q$3:V350),COLUMNS(Data!$Q$3:V350)),IF($Q$1=$P$6,INDEX(prem_analysis!$BU$1:$CF$67,ROWS(prem_analysis!$N$2:S349),COLUMNS(prem_analysis!$N$2:S349)),IF($Q$1=$P$4,INDEX(Table24[[#All],[Year]:[Details]],ROWS(prem_analysis!$M$420:R767),COLUMNS(Data!$Q$3:V350)))))),"")</f>
        <v/>
      </c>
      <c r="X349" s="1" t="str">
        <f>IFERROR(IF($Q$1=$P$3,INDEX(prem_analysis!$P$2:$Q$441,ROWS(Data!$P$2:W349),COLUMNS(Data!$P$3:V350)),IF($Q$1=$P$5,INDEX(prem_analysis!$BH$1:$BS$23,ROWS(Data!$Q$3:W350),COLUMNS(Data!$Q$3:W350)),IF($Q$1=$P$6,INDEX(prem_analysis!$BU$1:$CF$67,ROWS(prem_analysis!$N$2:T349),COLUMNS(prem_analysis!$N$2:T349)),IF($Q$1=$P$4,INDEX(Table24[[#All],[Year]:[Details]],ROWS(prem_analysis!$M$420:S767),COLUMNS(Data!$Q$3:W350)))))),"")</f>
        <v/>
      </c>
      <c r="Y349" s="1" t="str">
        <f>IFERROR(IF($Q$1=$P$3,INDEX(prem_analysis!$P$2:$Q$441,ROWS(Data!$P$2:X349),COLUMNS(Data!$P$3:W350)),IF($Q$1=$P$5,INDEX(prem_analysis!$BH$1:$BS$23,ROWS(Data!$Q$3:X350),COLUMNS(Data!$Q$3:X350)),IF($Q$1=$P$6,INDEX(prem_analysis!$BU$1:$CF$67,ROWS(prem_analysis!$N$2:U349),COLUMNS(prem_analysis!$N$2:U349)),IF($Q$1=$P$4,INDEX(Table24[[#All],[Year]:[Details]],ROWS(prem_analysis!$M$420:T767),COLUMNS(Data!$Q$3:X350)))))),"")</f>
        <v/>
      </c>
      <c r="Z349" s="1" t="str">
        <f>IFERROR(IF($Q$1=$P$3,INDEX(prem_analysis!$P$2:$Q$441,ROWS(Data!$P$2:Y349),COLUMNS(Data!$P$3:X350)),IF($Q$1=$P$5,INDEX(prem_analysis!$BH$1:$BS$23,ROWS(Data!$Q$3:Y350),COLUMNS(Data!$Q$3:Y350)),IF($Q$1=$P$6,INDEX(prem_analysis!$BU$1:$CF$67,ROWS(prem_analysis!$N$2:V349),COLUMNS(prem_analysis!$N$2:V349)),IF($Q$1=$P$4,INDEX(Table24[[#All],[Year]:[Details]],ROWS(prem_analysis!$M$420:U767),COLUMNS(Data!$Q$3:Y350)))))),"")</f>
        <v/>
      </c>
      <c r="AA349" s="1" t="str">
        <f>IFERROR(IF($Q$1=$P$3,INDEX(prem_analysis!$P$2:$Q$441,ROWS(Data!$P$2:Z349),COLUMNS(Data!$P$3:Y350)),IF($Q$1=$P$5,INDEX(prem_analysis!$BH$1:$BS$23,ROWS(Data!$Q$3:Z350),COLUMNS(Data!$Q$3:Z350)),IF($Q$1=$P$6,INDEX(prem_analysis!$BU$1:$CF$67,ROWS(prem_analysis!$N$2:W349),COLUMNS(prem_analysis!$N$2:W349)),IF($Q$1=$P$4,INDEX(Table24[[#All],[Year]:[Details]],ROWS(prem_analysis!$M$420:V767),COLUMNS(Data!$Q$3:Z350)))))),"")</f>
        <v/>
      </c>
      <c r="AB349" s="1" t="str">
        <f>IFERROR(IF($Q$1=$P$3,INDEX(prem_analysis!$P$2:$Q$441,ROWS(Data!$P$2:AA349),COLUMNS(Data!$P$3:Z350)),IF($Q$1=$P$5,INDEX(prem_analysis!$BH$1:$BS$23,ROWS(Data!$Q$3:AA350),COLUMNS(Data!$Q$3:AA350)),IF($Q$1=$P$6,INDEX(prem_analysis!$BU$1:$CF$67,ROWS(prem_analysis!$N$2:X349),COLUMNS(prem_analysis!$N$2:X349)),IF($Q$1=$P$4,INDEX(Table24[[#All],[Year]:[Details]],ROWS(prem_analysis!$M$420:W767),COLUMNS(Data!$Q$3:AA350)))))),"")</f>
        <v/>
      </c>
      <c r="AC349" s="1" t="str">
        <f>IFERROR(IF($Q$1=$P$3,INDEX(prem_analysis!$P$2:$Q$441,ROWS(Data!$P$2:AB349),COLUMNS(Data!$P$3:AA350)),IF($Q$1=$P$5,INDEX(prem_analysis!$BH$1:$BS$23,ROWS(Data!$Q$3:AB350),COLUMNS(Data!$Q$3:AB350)),IF($Q$1=$P$6,INDEX(prem_analysis!$BU$1:$CF$67,ROWS(prem_analysis!$N$2:Y349),COLUMNS(prem_analysis!$N$2:Y349)),IF($Q$1=$P$4,INDEX(Table24[[#All],[Year]:[Details]],ROWS(prem_analysis!$M$420:X767),COLUMNS(Data!$Q$3:AB350)))))),"")</f>
        <v/>
      </c>
    </row>
    <row r="350" spans="1:29" x14ac:dyDescent="0.2">
      <c r="A350" s="3">
        <v>2017</v>
      </c>
      <c r="B350" s="3">
        <v>9</v>
      </c>
      <c r="C350" s="4" t="s">
        <v>23</v>
      </c>
      <c r="D350" s="3">
        <v>38</v>
      </c>
      <c r="E350" s="3">
        <v>12</v>
      </c>
      <c r="F350" s="3">
        <v>11</v>
      </c>
      <c r="G350" s="3">
        <v>15</v>
      </c>
      <c r="H350" s="3">
        <v>56</v>
      </c>
      <c r="I350" s="3">
        <v>60</v>
      </c>
      <c r="J350" s="3">
        <v>-4</v>
      </c>
      <c r="K350" s="3">
        <v>47</v>
      </c>
      <c r="L350" s="5">
        <f>IF(Table24[[#This Row],['#]]=1,"Champion", IF(Table24[[#This Row],['#]]&gt;=18,"Relegated",Table24[[#This Row],['#]]))</f>
        <v>9</v>
      </c>
      <c r="M350" s="5" t="str">
        <f>IF(Table24[[#This Row],[Details]]=2,K349-Table24[[#This Row],[Pts]],IF(Table24[[#This Row],[Details]]=17,Table24[[#This Row],[Pts]]-K351,""))</f>
        <v/>
      </c>
      <c r="R350" s="1" t="str">
        <f>IFERROR(IF($Q$1=$P$3,INDEX(prem_analysis!$P$2:$Q$441,ROWS(Data!$P$2:Q350),COLUMNS(Data!$P$3:P351)),IF($Q$1=$P$5,INDEX(prem_analysis!$BH$1:$BS$23,ROWS(Data!$Q$3:Q351),COLUMNS(Data!$Q$3:Q351)),IF($Q$1=$P$6,INDEX(prem_analysis!$BU$1:$CF$67,ROWS(prem_analysis!$N$2:N350),COLUMNS(prem_analysis!$N$2:N350)),IF($Q$1=$P$4,INDEX(Table24[[#All],[Year]:[Details]],ROWS(prem_analysis!$M$420:M768),COLUMNS(Data!$Q$3:Q351)))))),"")</f>
        <v/>
      </c>
      <c r="S350" s="1" t="str">
        <f>IFERROR(IF($Q$1=$P$3,INDEX(prem_analysis!$P$2:$Q$441,ROWS(Data!$P$2:R350),COLUMNS(Data!$P$3:Q351)),IF($Q$1=$P$5,INDEX(prem_analysis!$BH$1:$BS$23,ROWS(Data!$Q$3:R351),COLUMNS(Data!$Q$3:R351)),IF($Q$1=$P$6,INDEX(prem_analysis!$BU$1:$CF$67,ROWS(prem_analysis!$N$2:O350),COLUMNS(prem_analysis!$N$2:O350)),IF($Q$1=$P$4,INDEX(Table24[[#All],[Year]:[Details]],ROWS(prem_analysis!$M$420:N768),COLUMNS(Data!$Q$3:R351)))))),"")</f>
        <v/>
      </c>
      <c r="T350" s="1" t="str">
        <f>IFERROR(IF($Q$1=$P$3,INDEX(prem_analysis!$P$2:$Q$441,ROWS(Data!$P$2:S350),COLUMNS(Data!$P$3:R351)),IF($Q$1=$P$5,INDEX(prem_analysis!$BH$1:$BS$23,ROWS(Data!$Q$3:S351),COLUMNS(Data!$Q$3:S351)),IF($Q$1=$P$6,INDEX(prem_analysis!$BU$1:$CF$67,ROWS(prem_analysis!$N$2:P350),COLUMNS(prem_analysis!$N$2:P350)),IF($Q$1=$P$4,INDEX(Table24[[#All],[Year]:[Details]],ROWS(prem_analysis!$M$420:O768),COLUMNS(Data!$Q$3:S351)))))),"")</f>
        <v/>
      </c>
      <c r="U350" s="1" t="str">
        <f>IFERROR(IF($Q$1=$P$3,INDEX(prem_analysis!$P$2:$Q$441,ROWS(Data!$P$2:T350),COLUMNS(Data!$P$3:S351)),IF($Q$1=$P$5,INDEX(prem_analysis!$BH$1:$BS$23,ROWS(Data!$Q$3:T351),COLUMNS(Data!$Q$3:T351)),IF($Q$1=$P$6,INDEX(prem_analysis!$BU$1:$CF$67,ROWS(prem_analysis!$N$2:Q350),COLUMNS(prem_analysis!$N$2:Q350)),IF($Q$1=$P$4,INDEX(Table24[[#All],[Year]:[Details]],ROWS(prem_analysis!$M$420:P768),COLUMNS(Data!$Q$3:T351)))))),"")</f>
        <v/>
      </c>
      <c r="V350" s="1" t="str">
        <f>IFERROR(IF($Q$1=$P$3,INDEX(prem_analysis!$P$2:$Q$441,ROWS(Data!$P$2:U350),COLUMNS(Data!$P$3:T351)),IF($Q$1=$P$5,INDEX(prem_analysis!$BH$1:$BS$23,ROWS(Data!$Q$3:U351),COLUMNS(Data!$Q$3:U351)),IF($Q$1=$P$6,INDEX(prem_analysis!$BU$1:$CF$67,ROWS(prem_analysis!$N$2:R350),COLUMNS(prem_analysis!$N$2:R350)),IF($Q$1=$P$4,INDEX(Table24[[#All],[Year]:[Details]],ROWS(prem_analysis!$M$420:Q768),COLUMNS(Data!$Q$3:U351)))))),"")</f>
        <v/>
      </c>
      <c r="W350" s="1" t="str">
        <f>IFERROR(IF($Q$1=$P$3,INDEX(prem_analysis!$P$2:$Q$441,ROWS(Data!$P$2:V350),COLUMNS(Data!$P$3:U351)),IF($Q$1=$P$5,INDEX(prem_analysis!$BH$1:$BS$23,ROWS(Data!$Q$3:V351),COLUMNS(Data!$Q$3:V351)),IF($Q$1=$P$6,INDEX(prem_analysis!$BU$1:$CF$67,ROWS(prem_analysis!$N$2:S350),COLUMNS(prem_analysis!$N$2:S350)),IF($Q$1=$P$4,INDEX(Table24[[#All],[Year]:[Details]],ROWS(prem_analysis!$M$420:R768),COLUMNS(Data!$Q$3:V351)))))),"")</f>
        <v/>
      </c>
      <c r="X350" s="1" t="str">
        <f>IFERROR(IF($Q$1=$P$3,INDEX(prem_analysis!$P$2:$Q$441,ROWS(Data!$P$2:W350),COLUMNS(Data!$P$3:V351)),IF($Q$1=$P$5,INDEX(prem_analysis!$BH$1:$BS$23,ROWS(Data!$Q$3:W351),COLUMNS(Data!$Q$3:W351)),IF($Q$1=$P$6,INDEX(prem_analysis!$BU$1:$CF$67,ROWS(prem_analysis!$N$2:T350),COLUMNS(prem_analysis!$N$2:T350)),IF($Q$1=$P$4,INDEX(Table24[[#All],[Year]:[Details]],ROWS(prem_analysis!$M$420:S768),COLUMNS(Data!$Q$3:W351)))))),"")</f>
        <v/>
      </c>
      <c r="Y350" s="1" t="str">
        <f>IFERROR(IF($Q$1=$P$3,INDEX(prem_analysis!$P$2:$Q$441,ROWS(Data!$P$2:X350),COLUMNS(Data!$P$3:W351)),IF($Q$1=$P$5,INDEX(prem_analysis!$BH$1:$BS$23,ROWS(Data!$Q$3:X351),COLUMNS(Data!$Q$3:X351)),IF($Q$1=$P$6,INDEX(prem_analysis!$BU$1:$CF$67,ROWS(prem_analysis!$N$2:U350),COLUMNS(prem_analysis!$N$2:U350)),IF($Q$1=$P$4,INDEX(Table24[[#All],[Year]:[Details]],ROWS(prem_analysis!$M$420:T768),COLUMNS(Data!$Q$3:X351)))))),"")</f>
        <v/>
      </c>
      <c r="Z350" s="1" t="str">
        <f>IFERROR(IF($Q$1=$P$3,INDEX(prem_analysis!$P$2:$Q$441,ROWS(Data!$P$2:Y350),COLUMNS(Data!$P$3:X351)),IF($Q$1=$P$5,INDEX(prem_analysis!$BH$1:$BS$23,ROWS(Data!$Q$3:Y351),COLUMNS(Data!$Q$3:Y351)),IF($Q$1=$P$6,INDEX(prem_analysis!$BU$1:$CF$67,ROWS(prem_analysis!$N$2:V350),COLUMNS(prem_analysis!$N$2:V350)),IF($Q$1=$P$4,INDEX(Table24[[#All],[Year]:[Details]],ROWS(prem_analysis!$M$420:U768),COLUMNS(Data!$Q$3:Y351)))))),"")</f>
        <v/>
      </c>
      <c r="AA350" s="1" t="str">
        <f>IFERROR(IF($Q$1=$P$3,INDEX(prem_analysis!$P$2:$Q$441,ROWS(Data!$P$2:Z350),COLUMNS(Data!$P$3:Y351)),IF($Q$1=$P$5,INDEX(prem_analysis!$BH$1:$BS$23,ROWS(Data!$Q$3:Z351),COLUMNS(Data!$Q$3:Z351)),IF($Q$1=$P$6,INDEX(prem_analysis!$BU$1:$CF$67,ROWS(prem_analysis!$N$2:W350),COLUMNS(prem_analysis!$N$2:W350)),IF($Q$1=$P$4,INDEX(Table24[[#All],[Year]:[Details]],ROWS(prem_analysis!$M$420:V768),COLUMNS(Data!$Q$3:Z351)))))),"")</f>
        <v/>
      </c>
      <c r="AB350" s="1" t="str">
        <f>IFERROR(IF($Q$1=$P$3,INDEX(prem_analysis!$P$2:$Q$441,ROWS(Data!$P$2:AA350),COLUMNS(Data!$P$3:Z351)),IF($Q$1=$P$5,INDEX(prem_analysis!$BH$1:$BS$23,ROWS(Data!$Q$3:AA351),COLUMNS(Data!$Q$3:AA351)),IF($Q$1=$P$6,INDEX(prem_analysis!$BU$1:$CF$67,ROWS(prem_analysis!$N$2:X350),COLUMNS(prem_analysis!$N$2:X350)),IF($Q$1=$P$4,INDEX(Table24[[#All],[Year]:[Details]],ROWS(prem_analysis!$M$420:W768),COLUMNS(Data!$Q$3:AA351)))))),"")</f>
        <v/>
      </c>
      <c r="AC350" s="1" t="str">
        <f>IFERROR(IF($Q$1=$P$3,INDEX(prem_analysis!$P$2:$Q$441,ROWS(Data!$P$2:AB350),COLUMNS(Data!$P$3:AA351)),IF($Q$1=$P$5,INDEX(prem_analysis!$BH$1:$BS$23,ROWS(Data!$Q$3:AB351),COLUMNS(Data!$Q$3:AB351)),IF($Q$1=$P$6,INDEX(prem_analysis!$BU$1:$CF$67,ROWS(prem_analysis!$N$2:Y350),COLUMNS(prem_analysis!$N$2:Y350)),IF($Q$1=$P$4,INDEX(Table24[[#All],[Year]:[Details]],ROWS(prem_analysis!$M$420:X768),COLUMNS(Data!$Q$3:AB351)))))),"")</f>
        <v/>
      </c>
    </row>
    <row r="351" spans="1:29" x14ac:dyDescent="0.2">
      <c r="A351" s="5">
        <v>2017</v>
      </c>
      <c r="B351" s="5">
        <v>10</v>
      </c>
      <c r="C351" s="6" t="s">
        <v>21</v>
      </c>
      <c r="D351" s="5">
        <v>38</v>
      </c>
      <c r="E351" s="5">
        <v>12</v>
      </c>
      <c r="F351" s="5">
        <v>8</v>
      </c>
      <c r="G351" s="5">
        <v>18</v>
      </c>
      <c r="H351" s="5">
        <v>39</v>
      </c>
      <c r="I351" s="5">
        <v>47</v>
      </c>
      <c r="J351" s="5">
        <v>-8</v>
      </c>
      <c r="K351" s="5">
        <v>44</v>
      </c>
      <c r="L351" s="5">
        <f>IF(Table24[[#This Row],['#]]=1,"Champion", IF(Table24[[#This Row],['#]]&gt;=18,"Relegated",Table24[[#This Row],['#]]))</f>
        <v>10</v>
      </c>
      <c r="M351" s="5" t="str">
        <f>IF(Table24[[#This Row],[Details]]=2,K350-Table24[[#This Row],[Pts]],IF(Table24[[#This Row],[Details]]=17,Table24[[#This Row],[Pts]]-K352,""))</f>
        <v/>
      </c>
      <c r="R351" s="1" t="str">
        <f>IFERROR(IF($Q$1=$P$3,INDEX(prem_analysis!$P$2:$Q$441,ROWS(Data!$P$2:Q351),COLUMNS(Data!$P$3:P352)),IF($Q$1=$P$5,INDEX(prem_analysis!$BH$1:$BS$23,ROWS(Data!$Q$3:Q352),COLUMNS(Data!$Q$3:Q352)),IF($Q$1=$P$6,INDEX(prem_analysis!$BU$1:$CF$67,ROWS(prem_analysis!$N$2:N351),COLUMNS(prem_analysis!$N$2:N351)),IF($Q$1=$P$4,INDEX(Table24[[#All],[Year]:[Details]],ROWS(prem_analysis!$M$420:M769),COLUMNS(Data!$Q$3:Q352)))))),"")</f>
        <v/>
      </c>
      <c r="S351" s="1" t="str">
        <f>IFERROR(IF($Q$1=$P$3,INDEX(prem_analysis!$P$2:$Q$441,ROWS(Data!$P$2:R351),COLUMNS(Data!$P$3:Q352)),IF($Q$1=$P$5,INDEX(prem_analysis!$BH$1:$BS$23,ROWS(Data!$Q$3:R352),COLUMNS(Data!$Q$3:R352)),IF($Q$1=$P$6,INDEX(prem_analysis!$BU$1:$CF$67,ROWS(prem_analysis!$N$2:O351),COLUMNS(prem_analysis!$N$2:O351)),IF($Q$1=$P$4,INDEX(Table24[[#All],[Year]:[Details]],ROWS(prem_analysis!$M$420:N769),COLUMNS(Data!$Q$3:R352)))))),"")</f>
        <v/>
      </c>
      <c r="T351" s="1" t="str">
        <f>IFERROR(IF($Q$1=$P$3,INDEX(prem_analysis!$P$2:$Q$441,ROWS(Data!$P$2:S351),COLUMNS(Data!$P$3:R352)),IF($Q$1=$P$5,INDEX(prem_analysis!$BH$1:$BS$23,ROWS(Data!$Q$3:S352),COLUMNS(Data!$Q$3:S352)),IF($Q$1=$P$6,INDEX(prem_analysis!$BU$1:$CF$67,ROWS(prem_analysis!$N$2:P351),COLUMNS(prem_analysis!$N$2:P351)),IF($Q$1=$P$4,INDEX(Table24[[#All],[Year]:[Details]],ROWS(prem_analysis!$M$420:O769),COLUMNS(Data!$Q$3:S352)))))),"")</f>
        <v/>
      </c>
      <c r="U351" s="1" t="str">
        <f>IFERROR(IF($Q$1=$P$3,INDEX(prem_analysis!$P$2:$Q$441,ROWS(Data!$P$2:T351),COLUMNS(Data!$P$3:S352)),IF($Q$1=$P$5,INDEX(prem_analysis!$BH$1:$BS$23,ROWS(Data!$Q$3:T352),COLUMNS(Data!$Q$3:T352)),IF($Q$1=$P$6,INDEX(prem_analysis!$BU$1:$CF$67,ROWS(prem_analysis!$N$2:Q351),COLUMNS(prem_analysis!$N$2:Q351)),IF($Q$1=$P$4,INDEX(Table24[[#All],[Year]:[Details]],ROWS(prem_analysis!$M$420:P769),COLUMNS(Data!$Q$3:T352)))))),"")</f>
        <v/>
      </c>
      <c r="V351" s="1" t="str">
        <f>IFERROR(IF($Q$1=$P$3,INDEX(prem_analysis!$P$2:$Q$441,ROWS(Data!$P$2:U351),COLUMNS(Data!$P$3:T352)),IF($Q$1=$P$5,INDEX(prem_analysis!$BH$1:$BS$23,ROWS(Data!$Q$3:U352),COLUMNS(Data!$Q$3:U352)),IF($Q$1=$P$6,INDEX(prem_analysis!$BU$1:$CF$67,ROWS(prem_analysis!$N$2:R351),COLUMNS(prem_analysis!$N$2:R351)),IF($Q$1=$P$4,INDEX(Table24[[#All],[Year]:[Details]],ROWS(prem_analysis!$M$420:Q769),COLUMNS(Data!$Q$3:U352)))))),"")</f>
        <v/>
      </c>
      <c r="W351" s="1" t="str">
        <f>IFERROR(IF($Q$1=$P$3,INDEX(prem_analysis!$P$2:$Q$441,ROWS(Data!$P$2:V351),COLUMNS(Data!$P$3:U352)),IF($Q$1=$P$5,INDEX(prem_analysis!$BH$1:$BS$23,ROWS(Data!$Q$3:V352),COLUMNS(Data!$Q$3:V352)),IF($Q$1=$P$6,INDEX(prem_analysis!$BU$1:$CF$67,ROWS(prem_analysis!$N$2:S351),COLUMNS(prem_analysis!$N$2:S351)),IF($Q$1=$P$4,INDEX(Table24[[#All],[Year]:[Details]],ROWS(prem_analysis!$M$420:R769),COLUMNS(Data!$Q$3:V352)))))),"")</f>
        <v/>
      </c>
      <c r="X351" s="1" t="str">
        <f>IFERROR(IF($Q$1=$P$3,INDEX(prem_analysis!$P$2:$Q$441,ROWS(Data!$P$2:W351),COLUMNS(Data!$P$3:V352)),IF($Q$1=$P$5,INDEX(prem_analysis!$BH$1:$BS$23,ROWS(Data!$Q$3:W352),COLUMNS(Data!$Q$3:W352)),IF($Q$1=$P$6,INDEX(prem_analysis!$BU$1:$CF$67,ROWS(prem_analysis!$N$2:T351),COLUMNS(prem_analysis!$N$2:T351)),IF($Q$1=$P$4,INDEX(Table24[[#All],[Year]:[Details]],ROWS(prem_analysis!$M$420:S769),COLUMNS(Data!$Q$3:W352)))))),"")</f>
        <v/>
      </c>
      <c r="Y351" s="1" t="str">
        <f>IFERROR(IF($Q$1=$P$3,INDEX(prem_analysis!$P$2:$Q$441,ROWS(Data!$P$2:X351),COLUMNS(Data!$P$3:W352)),IF($Q$1=$P$5,INDEX(prem_analysis!$BH$1:$BS$23,ROWS(Data!$Q$3:X352),COLUMNS(Data!$Q$3:X352)),IF($Q$1=$P$6,INDEX(prem_analysis!$BU$1:$CF$67,ROWS(prem_analysis!$N$2:U351),COLUMNS(prem_analysis!$N$2:U351)),IF($Q$1=$P$4,INDEX(Table24[[#All],[Year]:[Details]],ROWS(prem_analysis!$M$420:T769),COLUMNS(Data!$Q$3:X352)))))),"")</f>
        <v/>
      </c>
      <c r="Z351" s="1" t="str">
        <f>IFERROR(IF($Q$1=$P$3,INDEX(prem_analysis!$P$2:$Q$441,ROWS(Data!$P$2:Y351),COLUMNS(Data!$P$3:X352)),IF($Q$1=$P$5,INDEX(prem_analysis!$BH$1:$BS$23,ROWS(Data!$Q$3:Y352),COLUMNS(Data!$Q$3:Y352)),IF($Q$1=$P$6,INDEX(prem_analysis!$BU$1:$CF$67,ROWS(prem_analysis!$N$2:V351),COLUMNS(prem_analysis!$N$2:V351)),IF($Q$1=$P$4,INDEX(Table24[[#All],[Year]:[Details]],ROWS(prem_analysis!$M$420:U769),COLUMNS(Data!$Q$3:Y352)))))),"")</f>
        <v/>
      </c>
      <c r="AA351" s="1" t="str">
        <f>IFERROR(IF($Q$1=$P$3,INDEX(prem_analysis!$P$2:$Q$441,ROWS(Data!$P$2:Z351),COLUMNS(Data!$P$3:Y352)),IF($Q$1=$P$5,INDEX(prem_analysis!$BH$1:$BS$23,ROWS(Data!$Q$3:Z352),COLUMNS(Data!$Q$3:Z352)),IF($Q$1=$P$6,INDEX(prem_analysis!$BU$1:$CF$67,ROWS(prem_analysis!$N$2:W351),COLUMNS(prem_analysis!$N$2:W351)),IF($Q$1=$P$4,INDEX(Table24[[#All],[Year]:[Details]],ROWS(prem_analysis!$M$420:V769),COLUMNS(Data!$Q$3:Z352)))))),"")</f>
        <v/>
      </c>
      <c r="AB351" s="1" t="str">
        <f>IFERROR(IF($Q$1=$P$3,INDEX(prem_analysis!$P$2:$Q$441,ROWS(Data!$P$2:AA351),COLUMNS(Data!$P$3:Z352)),IF($Q$1=$P$5,INDEX(prem_analysis!$BH$1:$BS$23,ROWS(Data!$Q$3:AA352),COLUMNS(Data!$Q$3:AA352)),IF($Q$1=$P$6,INDEX(prem_analysis!$BU$1:$CF$67,ROWS(prem_analysis!$N$2:X351),COLUMNS(prem_analysis!$N$2:X351)),IF($Q$1=$P$4,INDEX(Table24[[#All],[Year]:[Details]],ROWS(prem_analysis!$M$420:W769),COLUMNS(Data!$Q$3:AA352)))))),"")</f>
        <v/>
      </c>
      <c r="AC351" s="1" t="str">
        <f>IFERROR(IF($Q$1=$P$3,INDEX(prem_analysis!$P$2:$Q$441,ROWS(Data!$P$2:AB351),COLUMNS(Data!$P$3:AA352)),IF($Q$1=$P$5,INDEX(prem_analysis!$BH$1:$BS$23,ROWS(Data!$Q$3:AB352),COLUMNS(Data!$Q$3:AB352)),IF($Q$1=$P$6,INDEX(prem_analysis!$BU$1:$CF$67,ROWS(prem_analysis!$N$2:Y351),COLUMNS(prem_analysis!$N$2:Y351)),IF($Q$1=$P$4,INDEX(Table24[[#All],[Year]:[Details]],ROWS(prem_analysis!$M$420:X769),COLUMNS(Data!$Q$3:AB352)))))),"")</f>
        <v/>
      </c>
    </row>
    <row r="352" spans="1:29" x14ac:dyDescent="0.2">
      <c r="A352" s="3">
        <v>2017</v>
      </c>
      <c r="B352" s="3">
        <v>11</v>
      </c>
      <c r="C352" s="4" t="s">
        <v>38</v>
      </c>
      <c r="D352" s="3">
        <v>38</v>
      </c>
      <c r="E352" s="3">
        <v>11</v>
      </c>
      <c r="F352" s="3">
        <v>11</v>
      </c>
      <c r="G352" s="3">
        <v>16</v>
      </c>
      <c r="H352" s="3">
        <v>45</v>
      </c>
      <c r="I352" s="3">
        <v>55</v>
      </c>
      <c r="J352" s="3">
        <v>-10</v>
      </c>
      <c r="K352" s="3">
        <v>44</v>
      </c>
      <c r="L352" s="5">
        <f>IF(Table24[[#This Row],['#]]=1,"Champion", IF(Table24[[#This Row],['#]]&gt;=18,"Relegated",Table24[[#This Row],['#]]))</f>
        <v>11</v>
      </c>
      <c r="M352" s="5" t="str">
        <f>IF(Table24[[#This Row],[Details]]=2,K351-Table24[[#This Row],[Pts]],IF(Table24[[#This Row],[Details]]=17,Table24[[#This Row],[Pts]]-K353,""))</f>
        <v/>
      </c>
      <c r="R352" s="1" t="str">
        <f>IFERROR(IF($Q$1=$P$3,INDEX(prem_analysis!$P$2:$Q$441,ROWS(Data!$P$2:Q352),COLUMNS(Data!$P$3:P353)),IF($Q$1=$P$5,INDEX(prem_analysis!$BH$1:$BS$23,ROWS(Data!$Q$3:Q353),COLUMNS(Data!$Q$3:Q353)),IF($Q$1=$P$6,INDEX(prem_analysis!$BU$1:$CF$67,ROWS(prem_analysis!$N$2:N352),COLUMNS(prem_analysis!$N$2:N352)),IF($Q$1=$P$4,INDEX(Table24[[#All],[Year]:[Details]],ROWS(prem_analysis!$M$420:M770),COLUMNS(Data!$Q$3:Q353)))))),"")</f>
        <v/>
      </c>
      <c r="S352" s="1" t="str">
        <f>IFERROR(IF($Q$1=$P$3,INDEX(prem_analysis!$P$2:$Q$441,ROWS(Data!$P$2:R352),COLUMNS(Data!$P$3:Q353)),IF($Q$1=$P$5,INDEX(prem_analysis!$BH$1:$BS$23,ROWS(Data!$Q$3:R353),COLUMNS(Data!$Q$3:R353)),IF($Q$1=$P$6,INDEX(prem_analysis!$BU$1:$CF$67,ROWS(prem_analysis!$N$2:O352),COLUMNS(prem_analysis!$N$2:O352)),IF($Q$1=$P$4,INDEX(Table24[[#All],[Year]:[Details]],ROWS(prem_analysis!$M$420:N770),COLUMNS(Data!$Q$3:R353)))))),"")</f>
        <v/>
      </c>
      <c r="T352" s="1" t="str">
        <f>IFERROR(IF($Q$1=$P$3,INDEX(prem_analysis!$P$2:$Q$441,ROWS(Data!$P$2:S352),COLUMNS(Data!$P$3:R353)),IF($Q$1=$P$5,INDEX(prem_analysis!$BH$1:$BS$23,ROWS(Data!$Q$3:S353),COLUMNS(Data!$Q$3:S353)),IF($Q$1=$P$6,INDEX(prem_analysis!$BU$1:$CF$67,ROWS(prem_analysis!$N$2:P352),COLUMNS(prem_analysis!$N$2:P352)),IF($Q$1=$P$4,INDEX(Table24[[#All],[Year]:[Details]],ROWS(prem_analysis!$M$420:O770),COLUMNS(Data!$Q$3:S353)))))),"")</f>
        <v/>
      </c>
      <c r="U352" s="1" t="str">
        <f>IFERROR(IF($Q$1=$P$3,INDEX(prem_analysis!$P$2:$Q$441,ROWS(Data!$P$2:T352),COLUMNS(Data!$P$3:S353)),IF($Q$1=$P$5,INDEX(prem_analysis!$BH$1:$BS$23,ROWS(Data!$Q$3:T353),COLUMNS(Data!$Q$3:T353)),IF($Q$1=$P$6,INDEX(prem_analysis!$BU$1:$CF$67,ROWS(prem_analysis!$N$2:Q352),COLUMNS(prem_analysis!$N$2:Q352)),IF($Q$1=$P$4,INDEX(Table24[[#All],[Year]:[Details]],ROWS(prem_analysis!$M$420:P770),COLUMNS(Data!$Q$3:T353)))))),"")</f>
        <v/>
      </c>
      <c r="V352" s="1" t="str">
        <f>IFERROR(IF($Q$1=$P$3,INDEX(prem_analysis!$P$2:$Q$441,ROWS(Data!$P$2:U352),COLUMNS(Data!$P$3:T353)),IF($Q$1=$P$5,INDEX(prem_analysis!$BH$1:$BS$23,ROWS(Data!$Q$3:U353),COLUMNS(Data!$Q$3:U353)),IF($Q$1=$P$6,INDEX(prem_analysis!$BU$1:$CF$67,ROWS(prem_analysis!$N$2:R352),COLUMNS(prem_analysis!$N$2:R352)),IF($Q$1=$P$4,INDEX(Table24[[#All],[Year]:[Details]],ROWS(prem_analysis!$M$420:Q770),COLUMNS(Data!$Q$3:U353)))))),"")</f>
        <v/>
      </c>
      <c r="W352" s="1" t="str">
        <f>IFERROR(IF($Q$1=$P$3,INDEX(prem_analysis!$P$2:$Q$441,ROWS(Data!$P$2:V352),COLUMNS(Data!$P$3:U353)),IF($Q$1=$P$5,INDEX(prem_analysis!$BH$1:$BS$23,ROWS(Data!$Q$3:V353),COLUMNS(Data!$Q$3:V353)),IF($Q$1=$P$6,INDEX(prem_analysis!$BU$1:$CF$67,ROWS(prem_analysis!$N$2:S352),COLUMNS(prem_analysis!$N$2:S352)),IF($Q$1=$P$4,INDEX(Table24[[#All],[Year]:[Details]],ROWS(prem_analysis!$M$420:R770),COLUMNS(Data!$Q$3:V353)))))),"")</f>
        <v/>
      </c>
      <c r="X352" s="1" t="str">
        <f>IFERROR(IF($Q$1=$P$3,INDEX(prem_analysis!$P$2:$Q$441,ROWS(Data!$P$2:W352),COLUMNS(Data!$P$3:V353)),IF($Q$1=$P$5,INDEX(prem_analysis!$BH$1:$BS$23,ROWS(Data!$Q$3:W353),COLUMNS(Data!$Q$3:W353)),IF($Q$1=$P$6,INDEX(prem_analysis!$BU$1:$CF$67,ROWS(prem_analysis!$N$2:T352),COLUMNS(prem_analysis!$N$2:T352)),IF($Q$1=$P$4,INDEX(Table24[[#All],[Year]:[Details]],ROWS(prem_analysis!$M$420:S770),COLUMNS(Data!$Q$3:W353)))))),"")</f>
        <v/>
      </c>
      <c r="Y352" s="1" t="str">
        <f>IFERROR(IF($Q$1=$P$3,INDEX(prem_analysis!$P$2:$Q$441,ROWS(Data!$P$2:X352),COLUMNS(Data!$P$3:W353)),IF($Q$1=$P$5,INDEX(prem_analysis!$BH$1:$BS$23,ROWS(Data!$Q$3:X353),COLUMNS(Data!$Q$3:X353)),IF($Q$1=$P$6,INDEX(prem_analysis!$BU$1:$CF$67,ROWS(prem_analysis!$N$2:U352),COLUMNS(prem_analysis!$N$2:U352)),IF($Q$1=$P$4,INDEX(Table24[[#All],[Year]:[Details]],ROWS(prem_analysis!$M$420:T770),COLUMNS(Data!$Q$3:X353)))))),"")</f>
        <v/>
      </c>
      <c r="Z352" s="1" t="str">
        <f>IFERROR(IF($Q$1=$P$3,INDEX(prem_analysis!$P$2:$Q$441,ROWS(Data!$P$2:Y352),COLUMNS(Data!$P$3:X353)),IF($Q$1=$P$5,INDEX(prem_analysis!$BH$1:$BS$23,ROWS(Data!$Q$3:Y353),COLUMNS(Data!$Q$3:Y353)),IF($Q$1=$P$6,INDEX(prem_analysis!$BU$1:$CF$67,ROWS(prem_analysis!$N$2:V352),COLUMNS(prem_analysis!$N$2:V352)),IF($Q$1=$P$4,INDEX(Table24[[#All],[Year]:[Details]],ROWS(prem_analysis!$M$420:U770),COLUMNS(Data!$Q$3:Y353)))))),"")</f>
        <v/>
      </c>
      <c r="AA352" s="1" t="str">
        <f>IFERROR(IF($Q$1=$P$3,INDEX(prem_analysis!$P$2:$Q$441,ROWS(Data!$P$2:Z352),COLUMNS(Data!$P$3:Y353)),IF($Q$1=$P$5,INDEX(prem_analysis!$BH$1:$BS$23,ROWS(Data!$Q$3:Z353),COLUMNS(Data!$Q$3:Z353)),IF($Q$1=$P$6,INDEX(prem_analysis!$BU$1:$CF$67,ROWS(prem_analysis!$N$2:W352),COLUMNS(prem_analysis!$N$2:W352)),IF($Q$1=$P$4,INDEX(Table24[[#All],[Year]:[Details]],ROWS(prem_analysis!$M$420:V770),COLUMNS(Data!$Q$3:Z353)))))),"")</f>
        <v/>
      </c>
      <c r="AB352" s="1" t="str">
        <f>IFERROR(IF($Q$1=$P$3,INDEX(prem_analysis!$P$2:$Q$441,ROWS(Data!$P$2:AA352),COLUMNS(Data!$P$3:Z353)),IF($Q$1=$P$5,INDEX(prem_analysis!$BH$1:$BS$23,ROWS(Data!$Q$3:AA353),COLUMNS(Data!$Q$3:AA353)),IF($Q$1=$P$6,INDEX(prem_analysis!$BU$1:$CF$67,ROWS(prem_analysis!$N$2:X352),COLUMNS(prem_analysis!$N$2:X352)),IF($Q$1=$P$4,INDEX(Table24[[#All],[Year]:[Details]],ROWS(prem_analysis!$M$420:W770),COLUMNS(Data!$Q$3:AA353)))))),"")</f>
        <v/>
      </c>
      <c r="AC352" s="1" t="str">
        <f>IFERROR(IF($Q$1=$P$3,INDEX(prem_analysis!$P$2:$Q$441,ROWS(Data!$P$2:AB352),COLUMNS(Data!$P$3:AA353)),IF($Q$1=$P$5,INDEX(prem_analysis!$BH$1:$BS$23,ROWS(Data!$Q$3:AB353),COLUMNS(Data!$Q$3:AB353)),IF($Q$1=$P$6,INDEX(prem_analysis!$BU$1:$CF$67,ROWS(prem_analysis!$N$2:Y352),COLUMNS(prem_analysis!$N$2:Y352)),IF($Q$1=$P$4,INDEX(Table24[[#All],[Year]:[Details]],ROWS(prem_analysis!$M$420:X770),COLUMNS(Data!$Q$3:AB353)))))),"")</f>
        <v/>
      </c>
    </row>
    <row r="353" spans="1:29" x14ac:dyDescent="0.2">
      <c r="A353" s="5">
        <v>2017</v>
      </c>
      <c r="B353" s="5">
        <v>12</v>
      </c>
      <c r="C353" s="6" t="s">
        <v>51</v>
      </c>
      <c r="D353" s="5">
        <v>38</v>
      </c>
      <c r="E353" s="5">
        <v>11</v>
      </c>
      <c r="F353" s="5">
        <v>11</v>
      </c>
      <c r="G353" s="5">
        <v>16</v>
      </c>
      <c r="H353" s="5">
        <v>45</v>
      </c>
      <c r="I353" s="5">
        <v>61</v>
      </c>
      <c r="J353" s="5">
        <v>-16</v>
      </c>
      <c r="K353" s="5">
        <v>44</v>
      </c>
      <c r="L353" s="5">
        <f>IF(Table24[[#This Row],['#]]=1,"Champion", IF(Table24[[#This Row],['#]]&gt;=18,"Relegated",Table24[[#This Row],['#]]))</f>
        <v>12</v>
      </c>
      <c r="M353" s="5" t="str">
        <f>IF(Table24[[#This Row],[Details]]=2,K352-Table24[[#This Row],[Pts]],IF(Table24[[#This Row],[Details]]=17,Table24[[#This Row],[Pts]]-K354,""))</f>
        <v/>
      </c>
      <c r="R353" s="1" t="str">
        <f>IFERROR(IF($Q$1=$P$3,INDEX(prem_analysis!$P$2:$Q$441,ROWS(Data!$P$2:Q353),COLUMNS(Data!$P$3:P354)),IF($Q$1=$P$5,INDEX(prem_analysis!$BH$1:$BS$23,ROWS(Data!$Q$3:Q354),COLUMNS(Data!$Q$3:Q354)),IF($Q$1=$P$6,INDEX(prem_analysis!$BU$1:$CF$67,ROWS(prem_analysis!$N$2:N353),COLUMNS(prem_analysis!$N$2:N353)),IF($Q$1=$P$4,INDEX(Table24[[#All],[Year]:[Details]],ROWS(prem_analysis!$M$420:M771),COLUMNS(Data!$Q$3:Q354)))))),"")</f>
        <v/>
      </c>
      <c r="S353" s="1" t="str">
        <f>IFERROR(IF($Q$1=$P$3,INDEX(prem_analysis!$P$2:$Q$441,ROWS(Data!$P$2:R353),COLUMNS(Data!$P$3:Q354)),IF($Q$1=$P$5,INDEX(prem_analysis!$BH$1:$BS$23,ROWS(Data!$Q$3:R354),COLUMNS(Data!$Q$3:R354)),IF($Q$1=$P$6,INDEX(prem_analysis!$BU$1:$CF$67,ROWS(prem_analysis!$N$2:O353),COLUMNS(prem_analysis!$N$2:O353)),IF($Q$1=$P$4,INDEX(Table24[[#All],[Year]:[Details]],ROWS(prem_analysis!$M$420:N771),COLUMNS(Data!$Q$3:R354)))))),"")</f>
        <v/>
      </c>
      <c r="T353" s="1" t="str">
        <f>IFERROR(IF($Q$1=$P$3,INDEX(prem_analysis!$P$2:$Q$441,ROWS(Data!$P$2:S353),COLUMNS(Data!$P$3:R354)),IF($Q$1=$P$5,INDEX(prem_analysis!$BH$1:$BS$23,ROWS(Data!$Q$3:S354),COLUMNS(Data!$Q$3:S354)),IF($Q$1=$P$6,INDEX(prem_analysis!$BU$1:$CF$67,ROWS(prem_analysis!$N$2:P353),COLUMNS(prem_analysis!$N$2:P353)),IF($Q$1=$P$4,INDEX(Table24[[#All],[Year]:[Details]],ROWS(prem_analysis!$M$420:O771),COLUMNS(Data!$Q$3:S354)))))),"")</f>
        <v/>
      </c>
      <c r="U353" s="1" t="str">
        <f>IFERROR(IF($Q$1=$P$3,INDEX(prem_analysis!$P$2:$Q$441,ROWS(Data!$P$2:T353),COLUMNS(Data!$P$3:S354)),IF($Q$1=$P$5,INDEX(prem_analysis!$BH$1:$BS$23,ROWS(Data!$Q$3:T354),COLUMNS(Data!$Q$3:T354)),IF($Q$1=$P$6,INDEX(prem_analysis!$BU$1:$CF$67,ROWS(prem_analysis!$N$2:Q353),COLUMNS(prem_analysis!$N$2:Q353)),IF($Q$1=$P$4,INDEX(Table24[[#All],[Year]:[Details]],ROWS(prem_analysis!$M$420:P771),COLUMNS(Data!$Q$3:T354)))))),"")</f>
        <v/>
      </c>
      <c r="V353" s="1" t="str">
        <f>IFERROR(IF($Q$1=$P$3,INDEX(prem_analysis!$P$2:$Q$441,ROWS(Data!$P$2:U353),COLUMNS(Data!$P$3:T354)),IF($Q$1=$P$5,INDEX(prem_analysis!$BH$1:$BS$23,ROWS(Data!$Q$3:U354),COLUMNS(Data!$Q$3:U354)),IF($Q$1=$P$6,INDEX(prem_analysis!$BU$1:$CF$67,ROWS(prem_analysis!$N$2:R353),COLUMNS(prem_analysis!$N$2:R353)),IF($Q$1=$P$4,INDEX(Table24[[#All],[Year]:[Details]],ROWS(prem_analysis!$M$420:Q771),COLUMNS(Data!$Q$3:U354)))))),"")</f>
        <v/>
      </c>
      <c r="W353" s="1" t="str">
        <f>IFERROR(IF($Q$1=$P$3,INDEX(prem_analysis!$P$2:$Q$441,ROWS(Data!$P$2:V353),COLUMNS(Data!$P$3:U354)),IF($Q$1=$P$5,INDEX(prem_analysis!$BH$1:$BS$23,ROWS(Data!$Q$3:V354),COLUMNS(Data!$Q$3:V354)),IF($Q$1=$P$6,INDEX(prem_analysis!$BU$1:$CF$67,ROWS(prem_analysis!$N$2:S353),COLUMNS(prem_analysis!$N$2:S353)),IF($Q$1=$P$4,INDEX(Table24[[#All],[Year]:[Details]],ROWS(prem_analysis!$M$420:R771),COLUMNS(Data!$Q$3:V354)))))),"")</f>
        <v/>
      </c>
      <c r="X353" s="1" t="str">
        <f>IFERROR(IF($Q$1=$P$3,INDEX(prem_analysis!$P$2:$Q$441,ROWS(Data!$P$2:W353),COLUMNS(Data!$P$3:V354)),IF($Q$1=$P$5,INDEX(prem_analysis!$BH$1:$BS$23,ROWS(Data!$Q$3:W354),COLUMNS(Data!$Q$3:W354)),IF($Q$1=$P$6,INDEX(prem_analysis!$BU$1:$CF$67,ROWS(prem_analysis!$N$2:T353),COLUMNS(prem_analysis!$N$2:T353)),IF($Q$1=$P$4,INDEX(Table24[[#All],[Year]:[Details]],ROWS(prem_analysis!$M$420:S771),COLUMNS(Data!$Q$3:W354)))))),"")</f>
        <v/>
      </c>
      <c r="Y353" s="1" t="str">
        <f>IFERROR(IF($Q$1=$P$3,INDEX(prem_analysis!$P$2:$Q$441,ROWS(Data!$P$2:X353),COLUMNS(Data!$P$3:W354)),IF($Q$1=$P$5,INDEX(prem_analysis!$BH$1:$BS$23,ROWS(Data!$Q$3:X354),COLUMNS(Data!$Q$3:X354)),IF($Q$1=$P$6,INDEX(prem_analysis!$BU$1:$CF$67,ROWS(prem_analysis!$N$2:U353),COLUMNS(prem_analysis!$N$2:U353)),IF($Q$1=$P$4,INDEX(Table24[[#All],[Year]:[Details]],ROWS(prem_analysis!$M$420:T771),COLUMNS(Data!$Q$3:X354)))))),"")</f>
        <v/>
      </c>
      <c r="Z353" s="1" t="str">
        <f>IFERROR(IF($Q$1=$P$3,INDEX(prem_analysis!$P$2:$Q$441,ROWS(Data!$P$2:Y353),COLUMNS(Data!$P$3:X354)),IF($Q$1=$P$5,INDEX(prem_analysis!$BH$1:$BS$23,ROWS(Data!$Q$3:Y354),COLUMNS(Data!$Q$3:Y354)),IF($Q$1=$P$6,INDEX(prem_analysis!$BU$1:$CF$67,ROWS(prem_analysis!$N$2:V353),COLUMNS(prem_analysis!$N$2:V353)),IF($Q$1=$P$4,INDEX(Table24[[#All],[Year]:[Details]],ROWS(prem_analysis!$M$420:U771),COLUMNS(Data!$Q$3:Y354)))))),"")</f>
        <v/>
      </c>
      <c r="AA353" s="1" t="str">
        <f>IFERROR(IF($Q$1=$P$3,INDEX(prem_analysis!$P$2:$Q$441,ROWS(Data!$P$2:Z353),COLUMNS(Data!$P$3:Y354)),IF($Q$1=$P$5,INDEX(prem_analysis!$BH$1:$BS$23,ROWS(Data!$Q$3:Z354),COLUMNS(Data!$Q$3:Z354)),IF($Q$1=$P$6,INDEX(prem_analysis!$BU$1:$CF$67,ROWS(prem_analysis!$N$2:W353),COLUMNS(prem_analysis!$N$2:W353)),IF($Q$1=$P$4,INDEX(Table24[[#All],[Year]:[Details]],ROWS(prem_analysis!$M$420:V771),COLUMNS(Data!$Q$3:Z354)))))),"")</f>
        <v/>
      </c>
      <c r="AB353" s="1" t="str">
        <f>IFERROR(IF($Q$1=$P$3,INDEX(prem_analysis!$P$2:$Q$441,ROWS(Data!$P$2:AA353),COLUMNS(Data!$P$3:Z354)),IF($Q$1=$P$5,INDEX(prem_analysis!$BH$1:$BS$23,ROWS(Data!$Q$3:AA354),COLUMNS(Data!$Q$3:AA354)),IF($Q$1=$P$6,INDEX(prem_analysis!$BU$1:$CF$67,ROWS(prem_analysis!$N$2:X353),COLUMNS(prem_analysis!$N$2:X353)),IF($Q$1=$P$4,INDEX(Table24[[#All],[Year]:[Details]],ROWS(prem_analysis!$M$420:W771),COLUMNS(Data!$Q$3:AA354)))))),"")</f>
        <v/>
      </c>
      <c r="AC353" s="1" t="str">
        <f>IFERROR(IF($Q$1=$P$3,INDEX(prem_analysis!$P$2:$Q$441,ROWS(Data!$P$2:AB353),COLUMNS(Data!$P$3:AA354)),IF($Q$1=$P$5,INDEX(prem_analysis!$BH$1:$BS$23,ROWS(Data!$Q$3:AB354),COLUMNS(Data!$Q$3:AB354)),IF($Q$1=$P$6,INDEX(prem_analysis!$BU$1:$CF$67,ROWS(prem_analysis!$N$2:Y353),COLUMNS(prem_analysis!$N$2:Y353)),IF($Q$1=$P$4,INDEX(Table24[[#All],[Year]:[Details]],ROWS(prem_analysis!$M$420:X771),COLUMNS(Data!$Q$3:AB354)))))),"")</f>
        <v/>
      </c>
    </row>
    <row r="354" spans="1:29" x14ac:dyDescent="0.2">
      <c r="A354" s="3">
        <v>2017</v>
      </c>
      <c r="B354" s="3">
        <v>13</v>
      </c>
      <c r="C354" s="4" t="s">
        <v>25</v>
      </c>
      <c r="D354" s="3">
        <v>38</v>
      </c>
      <c r="E354" s="3">
        <v>10</v>
      </c>
      <c r="F354" s="3">
        <v>12</v>
      </c>
      <c r="G354" s="3">
        <v>16</v>
      </c>
      <c r="H354" s="3">
        <v>48</v>
      </c>
      <c r="I354" s="3">
        <v>68</v>
      </c>
      <c r="J354" s="3">
        <v>-20</v>
      </c>
      <c r="K354" s="3">
        <v>42</v>
      </c>
      <c r="L354" s="5">
        <f>IF(Table24[[#This Row],['#]]=1,"Champion", IF(Table24[[#This Row],['#]]&gt;=18,"Relegated",Table24[[#This Row],['#]]))</f>
        <v>13</v>
      </c>
      <c r="M354" s="5" t="str">
        <f>IF(Table24[[#This Row],[Details]]=2,K353-Table24[[#This Row],[Pts]],IF(Table24[[#This Row],[Details]]=17,Table24[[#This Row],[Pts]]-K355,""))</f>
        <v/>
      </c>
      <c r="R354" s="1" t="str">
        <f>IFERROR(IF($Q$1=$P$3,INDEX(prem_analysis!$P$2:$Q$441,ROWS(Data!$P$2:Q354),COLUMNS(Data!$P$3:P355)),IF($Q$1=$P$5,INDEX(prem_analysis!$BH$1:$BS$23,ROWS(Data!$Q$3:Q355),COLUMNS(Data!$Q$3:Q355)),IF($Q$1=$P$6,INDEX(prem_analysis!$BU$1:$CF$67,ROWS(prem_analysis!$N$2:N354),COLUMNS(prem_analysis!$N$2:N354)),IF($Q$1=$P$4,INDEX(Table24[[#All],[Year]:[Details]],ROWS(prem_analysis!$M$420:M772),COLUMNS(Data!$Q$3:Q355)))))),"")</f>
        <v/>
      </c>
      <c r="S354" s="1" t="str">
        <f>IFERROR(IF($Q$1=$P$3,INDEX(prem_analysis!$P$2:$Q$441,ROWS(Data!$P$2:R354),COLUMNS(Data!$P$3:Q355)),IF($Q$1=$P$5,INDEX(prem_analysis!$BH$1:$BS$23,ROWS(Data!$Q$3:R355),COLUMNS(Data!$Q$3:R355)),IF($Q$1=$P$6,INDEX(prem_analysis!$BU$1:$CF$67,ROWS(prem_analysis!$N$2:O354),COLUMNS(prem_analysis!$N$2:O354)),IF($Q$1=$P$4,INDEX(Table24[[#All],[Year]:[Details]],ROWS(prem_analysis!$M$420:N772),COLUMNS(Data!$Q$3:R355)))))),"")</f>
        <v/>
      </c>
      <c r="T354" s="1" t="str">
        <f>IFERROR(IF($Q$1=$P$3,INDEX(prem_analysis!$P$2:$Q$441,ROWS(Data!$P$2:S354),COLUMNS(Data!$P$3:R355)),IF($Q$1=$P$5,INDEX(prem_analysis!$BH$1:$BS$23,ROWS(Data!$Q$3:S355),COLUMNS(Data!$Q$3:S355)),IF($Q$1=$P$6,INDEX(prem_analysis!$BU$1:$CF$67,ROWS(prem_analysis!$N$2:P354),COLUMNS(prem_analysis!$N$2:P354)),IF($Q$1=$P$4,INDEX(Table24[[#All],[Year]:[Details]],ROWS(prem_analysis!$M$420:O772),COLUMNS(Data!$Q$3:S355)))))),"")</f>
        <v/>
      </c>
      <c r="U354" s="1" t="str">
        <f>IFERROR(IF($Q$1=$P$3,INDEX(prem_analysis!$P$2:$Q$441,ROWS(Data!$P$2:T354),COLUMNS(Data!$P$3:S355)),IF($Q$1=$P$5,INDEX(prem_analysis!$BH$1:$BS$23,ROWS(Data!$Q$3:T355),COLUMNS(Data!$Q$3:T355)),IF($Q$1=$P$6,INDEX(prem_analysis!$BU$1:$CF$67,ROWS(prem_analysis!$N$2:Q354),COLUMNS(prem_analysis!$N$2:Q354)),IF($Q$1=$P$4,INDEX(Table24[[#All],[Year]:[Details]],ROWS(prem_analysis!$M$420:P772),COLUMNS(Data!$Q$3:T355)))))),"")</f>
        <v/>
      </c>
      <c r="V354" s="1" t="str">
        <f>IFERROR(IF($Q$1=$P$3,INDEX(prem_analysis!$P$2:$Q$441,ROWS(Data!$P$2:U354),COLUMNS(Data!$P$3:T355)),IF($Q$1=$P$5,INDEX(prem_analysis!$BH$1:$BS$23,ROWS(Data!$Q$3:U355),COLUMNS(Data!$Q$3:U355)),IF($Q$1=$P$6,INDEX(prem_analysis!$BU$1:$CF$67,ROWS(prem_analysis!$N$2:R354),COLUMNS(prem_analysis!$N$2:R354)),IF($Q$1=$P$4,INDEX(Table24[[#All],[Year]:[Details]],ROWS(prem_analysis!$M$420:Q772),COLUMNS(Data!$Q$3:U355)))))),"")</f>
        <v/>
      </c>
      <c r="W354" s="1" t="str">
        <f>IFERROR(IF($Q$1=$P$3,INDEX(prem_analysis!$P$2:$Q$441,ROWS(Data!$P$2:V354),COLUMNS(Data!$P$3:U355)),IF($Q$1=$P$5,INDEX(prem_analysis!$BH$1:$BS$23,ROWS(Data!$Q$3:V355),COLUMNS(Data!$Q$3:V355)),IF($Q$1=$P$6,INDEX(prem_analysis!$BU$1:$CF$67,ROWS(prem_analysis!$N$2:S354),COLUMNS(prem_analysis!$N$2:S354)),IF($Q$1=$P$4,INDEX(Table24[[#All],[Year]:[Details]],ROWS(prem_analysis!$M$420:R772),COLUMNS(Data!$Q$3:V355)))))),"")</f>
        <v/>
      </c>
      <c r="X354" s="1" t="str">
        <f>IFERROR(IF($Q$1=$P$3,INDEX(prem_analysis!$P$2:$Q$441,ROWS(Data!$P$2:W354),COLUMNS(Data!$P$3:V355)),IF($Q$1=$P$5,INDEX(prem_analysis!$BH$1:$BS$23,ROWS(Data!$Q$3:W355),COLUMNS(Data!$Q$3:W355)),IF($Q$1=$P$6,INDEX(prem_analysis!$BU$1:$CF$67,ROWS(prem_analysis!$N$2:T354),COLUMNS(prem_analysis!$N$2:T354)),IF($Q$1=$P$4,INDEX(Table24[[#All],[Year]:[Details]],ROWS(prem_analysis!$M$420:S772),COLUMNS(Data!$Q$3:W355)))))),"")</f>
        <v/>
      </c>
      <c r="Y354" s="1" t="str">
        <f>IFERROR(IF($Q$1=$P$3,INDEX(prem_analysis!$P$2:$Q$441,ROWS(Data!$P$2:X354),COLUMNS(Data!$P$3:W355)),IF($Q$1=$P$5,INDEX(prem_analysis!$BH$1:$BS$23,ROWS(Data!$Q$3:X355),COLUMNS(Data!$Q$3:X355)),IF($Q$1=$P$6,INDEX(prem_analysis!$BU$1:$CF$67,ROWS(prem_analysis!$N$2:U354),COLUMNS(prem_analysis!$N$2:U354)),IF($Q$1=$P$4,INDEX(Table24[[#All],[Year]:[Details]],ROWS(prem_analysis!$M$420:T772),COLUMNS(Data!$Q$3:X355)))))),"")</f>
        <v/>
      </c>
      <c r="Z354" s="1" t="str">
        <f>IFERROR(IF($Q$1=$P$3,INDEX(prem_analysis!$P$2:$Q$441,ROWS(Data!$P$2:Y354),COLUMNS(Data!$P$3:X355)),IF($Q$1=$P$5,INDEX(prem_analysis!$BH$1:$BS$23,ROWS(Data!$Q$3:Y355),COLUMNS(Data!$Q$3:Y355)),IF($Q$1=$P$6,INDEX(prem_analysis!$BU$1:$CF$67,ROWS(prem_analysis!$N$2:V354),COLUMNS(prem_analysis!$N$2:V354)),IF($Q$1=$P$4,INDEX(Table24[[#All],[Year]:[Details]],ROWS(prem_analysis!$M$420:U772),COLUMNS(Data!$Q$3:Y355)))))),"")</f>
        <v/>
      </c>
      <c r="AA354" s="1" t="str">
        <f>IFERROR(IF($Q$1=$P$3,INDEX(prem_analysis!$P$2:$Q$441,ROWS(Data!$P$2:Z354),COLUMNS(Data!$P$3:Y355)),IF($Q$1=$P$5,INDEX(prem_analysis!$BH$1:$BS$23,ROWS(Data!$Q$3:Z355),COLUMNS(Data!$Q$3:Z355)),IF($Q$1=$P$6,INDEX(prem_analysis!$BU$1:$CF$67,ROWS(prem_analysis!$N$2:W354),COLUMNS(prem_analysis!$N$2:W354)),IF($Q$1=$P$4,INDEX(Table24[[#All],[Year]:[Details]],ROWS(prem_analysis!$M$420:V772),COLUMNS(Data!$Q$3:Z355)))))),"")</f>
        <v/>
      </c>
      <c r="AB354" s="1" t="str">
        <f>IFERROR(IF($Q$1=$P$3,INDEX(prem_analysis!$P$2:$Q$441,ROWS(Data!$P$2:AA354),COLUMNS(Data!$P$3:Z355)),IF($Q$1=$P$5,INDEX(prem_analysis!$BH$1:$BS$23,ROWS(Data!$Q$3:AA355),COLUMNS(Data!$Q$3:AA355)),IF($Q$1=$P$6,INDEX(prem_analysis!$BU$1:$CF$67,ROWS(prem_analysis!$N$2:X354),COLUMNS(prem_analysis!$N$2:X354)),IF($Q$1=$P$4,INDEX(Table24[[#All],[Year]:[Details]],ROWS(prem_analysis!$M$420:W772),COLUMNS(Data!$Q$3:AA355)))))),"")</f>
        <v/>
      </c>
      <c r="AC354" s="1" t="str">
        <f>IFERROR(IF($Q$1=$P$3,INDEX(prem_analysis!$P$2:$Q$441,ROWS(Data!$P$2:AB354),COLUMNS(Data!$P$3:AA355)),IF($Q$1=$P$5,INDEX(prem_analysis!$BH$1:$BS$23,ROWS(Data!$Q$3:AB355),COLUMNS(Data!$Q$3:AB355)),IF($Q$1=$P$6,INDEX(prem_analysis!$BU$1:$CF$67,ROWS(prem_analysis!$N$2:Y354),COLUMNS(prem_analysis!$N$2:Y354)),IF($Q$1=$P$4,INDEX(Table24[[#All],[Year]:[Details]],ROWS(prem_analysis!$M$420:X772),COLUMNS(Data!$Q$3:AB355)))))),"")</f>
        <v/>
      </c>
    </row>
    <row r="355" spans="1:29" x14ac:dyDescent="0.2">
      <c r="A355" s="5">
        <v>2017</v>
      </c>
      <c r="B355" s="5">
        <v>14</v>
      </c>
      <c r="C355" s="6" t="s">
        <v>43</v>
      </c>
      <c r="D355" s="5">
        <v>38</v>
      </c>
      <c r="E355" s="5">
        <v>11</v>
      </c>
      <c r="F355" s="5">
        <v>8</v>
      </c>
      <c r="G355" s="5">
        <v>19</v>
      </c>
      <c r="H355" s="5">
        <v>44</v>
      </c>
      <c r="I355" s="5">
        <v>64</v>
      </c>
      <c r="J355" s="5">
        <v>-20</v>
      </c>
      <c r="K355" s="5">
        <v>41</v>
      </c>
      <c r="L355" s="5">
        <f>IF(Table24[[#This Row],['#]]=1,"Champion", IF(Table24[[#This Row],['#]]&gt;=18,"Relegated",Table24[[#This Row],['#]]))</f>
        <v>14</v>
      </c>
      <c r="M355" s="5" t="str">
        <f>IF(Table24[[#This Row],[Details]]=2,K354-Table24[[#This Row],[Pts]],IF(Table24[[#This Row],[Details]]=17,Table24[[#This Row],[Pts]]-K356,""))</f>
        <v/>
      </c>
      <c r="R355" s="1" t="str">
        <f>IFERROR(IF($Q$1=$P$3,INDEX(prem_analysis!$P$2:$Q$441,ROWS(Data!$P$2:Q355),COLUMNS(Data!$P$3:P356)),IF($Q$1=$P$5,INDEX(prem_analysis!$BH$1:$BS$23,ROWS(Data!$Q$3:Q356),COLUMNS(Data!$Q$3:Q356)),IF($Q$1=$P$6,INDEX(prem_analysis!$BU$1:$CF$67,ROWS(prem_analysis!$N$2:N355),COLUMNS(prem_analysis!$N$2:N355)),IF($Q$1=$P$4,INDEX(Table24[[#All],[Year]:[Details]],ROWS(prem_analysis!$M$420:M773),COLUMNS(Data!$Q$3:Q356)))))),"")</f>
        <v/>
      </c>
      <c r="S355" s="1" t="str">
        <f>IFERROR(IF($Q$1=$P$3,INDEX(prem_analysis!$P$2:$Q$441,ROWS(Data!$P$2:R355),COLUMNS(Data!$P$3:Q356)),IF($Q$1=$P$5,INDEX(prem_analysis!$BH$1:$BS$23,ROWS(Data!$Q$3:R356),COLUMNS(Data!$Q$3:R356)),IF($Q$1=$P$6,INDEX(prem_analysis!$BU$1:$CF$67,ROWS(prem_analysis!$N$2:O355),COLUMNS(prem_analysis!$N$2:O355)),IF($Q$1=$P$4,INDEX(Table24[[#All],[Year]:[Details]],ROWS(prem_analysis!$M$420:N773),COLUMNS(Data!$Q$3:R356)))))),"")</f>
        <v/>
      </c>
      <c r="T355" s="1" t="str">
        <f>IFERROR(IF($Q$1=$P$3,INDEX(prem_analysis!$P$2:$Q$441,ROWS(Data!$P$2:S355),COLUMNS(Data!$P$3:R356)),IF($Q$1=$P$5,INDEX(prem_analysis!$BH$1:$BS$23,ROWS(Data!$Q$3:S356),COLUMNS(Data!$Q$3:S356)),IF($Q$1=$P$6,INDEX(prem_analysis!$BU$1:$CF$67,ROWS(prem_analysis!$N$2:P355),COLUMNS(prem_analysis!$N$2:P355)),IF($Q$1=$P$4,INDEX(Table24[[#All],[Year]:[Details]],ROWS(prem_analysis!$M$420:O773),COLUMNS(Data!$Q$3:S356)))))),"")</f>
        <v/>
      </c>
      <c r="U355" s="1" t="str">
        <f>IFERROR(IF($Q$1=$P$3,INDEX(prem_analysis!$P$2:$Q$441,ROWS(Data!$P$2:T355),COLUMNS(Data!$P$3:S356)),IF($Q$1=$P$5,INDEX(prem_analysis!$BH$1:$BS$23,ROWS(Data!$Q$3:T356),COLUMNS(Data!$Q$3:T356)),IF($Q$1=$P$6,INDEX(prem_analysis!$BU$1:$CF$67,ROWS(prem_analysis!$N$2:Q355),COLUMNS(prem_analysis!$N$2:Q355)),IF($Q$1=$P$4,INDEX(Table24[[#All],[Year]:[Details]],ROWS(prem_analysis!$M$420:P773),COLUMNS(Data!$Q$3:T356)))))),"")</f>
        <v/>
      </c>
      <c r="V355" s="1" t="str">
        <f>IFERROR(IF($Q$1=$P$3,INDEX(prem_analysis!$P$2:$Q$441,ROWS(Data!$P$2:U355),COLUMNS(Data!$P$3:T356)),IF($Q$1=$P$5,INDEX(prem_analysis!$BH$1:$BS$23,ROWS(Data!$Q$3:U356),COLUMNS(Data!$Q$3:U356)),IF($Q$1=$P$6,INDEX(prem_analysis!$BU$1:$CF$67,ROWS(prem_analysis!$N$2:R355),COLUMNS(prem_analysis!$N$2:R355)),IF($Q$1=$P$4,INDEX(Table24[[#All],[Year]:[Details]],ROWS(prem_analysis!$M$420:Q773),COLUMNS(Data!$Q$3:U356)))))),"")</f>
        <v/>
      </c>
      <c r="W355" s="1" t="str">
        <f>IFERROR(IF($Q$1=$P$3,INDEX(prem_analysis!$P$2:$Q$441,ROWS(Data!$P$2:V355),COLUMNS(Data!$P$3:U356)),IF($Q$1=$P$5,INDEX(prem_analysis!$BH$1:$BS$23,ROWS(Data!$Q$3:V356),COLUMNS(Data!$Q$3:V356)),IF($Q$1=$P$6,INDEX(prem_analysis!$BU$1:$CF$67,ROWS(prem_analysis!$N$2:S355),COLUMNS(prem_analysis!$N$2:S355)),IF($Q$1=$P$4,INDEX(Table24[[#All],[Year]:[Details]],ROWS(prem_analysis!$M$420:R773),COLUMNS(Data!$Q$3:V356)))))),"")</f>
        <v/>
      </c>
      <c r="X355" s="1" t="str">
        <f>IFERROR(IF($Q$1=$P$3,INDEX(prem_analysis!$P$2:$Q$441,ROWS(Data!$P$2:W355),COLUMNS(Data!$P$3:V356)),IF($Q$1=$P$5,INDEX(prem_analysis!$BH$1:$BS$23,ROWS(Data!$Q$3:W356),COLUMNS(Data!$Q$3:W356)),IF($Q$1=$P$6,INDEX(prem_analysis!$BU$1:$CF$67,ROWS(prem_analysis!$N$2:T355),COLUMNS(prem_analysis!$N$2:T355)),IF($Q$1=$P$4,INDEX(Table24[[#All],[Year]:[Details]],ROWS(prem_analysis!$M$420:S773),COLUMNS(Data!$Q$3:W356)))))),"")</f>
        <v/>
      </c>
      <c r="Y355" s="1" t="str">
        <f>IFERROR(IF($Q$1=$P$3,INDEX(prem_analysis!$P$2:$Q$441,ROWS(Data!$P$2:X355),COLUMNS(Data!$P$3:W356)),IF($Q$1=$P$5,INDEX(prem_analysis!$BH$1:$BS$23,ROWS(Data!$Q$3:X356),COLUMNS(Data!$Q$3:X356)),IF($Q$1=$P$6,INDEX(prem_analysis!$BU$1:$CF$67,ROWS(prem_analysis!$N$2:U355),COLUMNS(prem_analysis!$N$2:U355)),IF($Q$1=$P$4,INDEX(Table24[[#All],[Year]:[Details]],ROWS(prem_analysis!$M$420:T773),COLUMNS(Data!$Q$3:X356)))))),"")</f>
        <v/>
      </c>
      <c r="Z355" s="1" t="str">
        <f>IFERROR(IF($Q$1=$P$3,INDEX(prem_analysis!$P$2:$Q$441,ROWS(Data!$P$2:Y355),COLUMNS(Data!$P$3:X356)),IF($Q$1=$P$5,INDEX(prem_analysis!$BH$1:$BS$23,ROWS(Data!$Q$3:Y356),COLUMNS(Data!$Q$3:Y356)),IF($Q$1=$P$6,INDEX(prem_analysis!$BU$1:$CF$67,ROWS(prem_analysis!$N$2:V355),COLUMNS(prem_analysis!$N$2:V355)),IF($Q$1=$P$4,INDEX(Table24[[#All],[Year]:[Details]],ROWS(prem_analysis!$M$420:U773),COLUMNS(Data!$Q$3:Y356)))))),"")</f>
        <v/>
      </c>
      <c r="AA355" s="1" t="str">
        <f>IFERROR(IF($Q$1=$P$3,INDEX(prem_analysis!$P$2:$Q$441,ROWS(Data!$P$2:Z355),COLUMNS(Data!$P$3:Y356)),IF($Q$1=$P$5,INDEX(prem_analysis!$BH$1:$BS$23,ROWS(Data!$Q$3:Z356),COLUMNS(Data!$Q$3:Z356)),IF($Q$1=$P$6,INDEX(prem_analysis!$BU$1:$CF$67,ROWS(prem_analysis!$N$2:W355),COLUMNS(prem_analysis!$N$2:W355)),IF($Q$1=$P$4,INDEX(Table24[[#All],[Year]:[Details]],ROWS(prem_analysis!$M$420:V773),COLUMNS(Data!$Q$3:Z356)))))),"")</f>
        <v/>
      </c>
      <c r="AB355" s="1" t="str">
        <f>IFERROR(IF($Q$1=$P$3,INDEX(prem_analysis!$P$2:$Q$441,ROWS(Data!$P$2:AA355),COLUMNS(Data!$P$3:Z356)),IF($Q$1=$P$5,INDEX(prem_analysis!$BH$1:$BS$23,ROWS(Data!$Q$3:AA356),COLUMNS(Data!$Q$3:AA356)),IF($Q$1=$P$6,INDEX(prem_analysis!$BU$1:$CF$67,ROWS(prem_analysis!$N$2:X355),COLUMNS(prem_analysis!$N$2:X355)),IF($Q$1=$P$4,INDEX(Table24[[#All],[Year]:[Details]],ROWS(prem_analysis!$M$420:W773),COLUMNS(Data!$Q$3:AA356)))))),"")</f>
        <v/>
      </c>
      <c r="AC355" s="1" t="str">
        <f>IFERROR(IF($Q$1=$P$3,INDEX(prem_analysis!$P$2:$Q$441,ROWS(Data!$P$2:AB355),COLUMNS(Data!$P$3:AA356)),IF($Q$1=$P$5,INDEX(prem_analysis!$BH$1:$BS$23,ROWS(Data!$Q$3:AB356),COLUMNS(Data!$Q$3:AB356)),IF($Q$1=$P$6,INDEX(prem_analysis!$BU$1:$CF$67,ROWS(prem_analysis!$N$2:Y355),COLUMNS(prem_analysis!$N$2:Y355)),IF($Q$1=$P$4,INDEX(Table24[[#All],[Year]:[Details]],ROWS(prem_analysis!$M$420:X773),COLUMNS(Data!$Q$3:AB356)))))),"")</f>
        <v/>
      </c>
    </row>
    <row r="356" spans="1:29" x14ac:dyDescent="0.2">
      <c r="A356" s="3">
        <v>2017</v>
      </c>
      <c r="B356" s="3">
        <v>15</v>
      </c>
      <c r="C356" s="4" t="s">
        <v>55</v>
      </c>
      <c r="D356" s="3">
        <v>38</v>
      </c>
      <c r="E356" s="3">
        <v>9</v>
      </c>
      <c r="F356" s="3">
        <v>13</v>
      </c>
      <c r="G356" s="3">
        <v>16</v>
      </c>
      <c r="H356" s="3">
        <v>34</v>
      </c>
      <c r="I356" s="3">
        <v>54</v>
      </c>
      <c r="J356" s="3">
        <v>-20</v>
      </c>
      <c r="K356" s="3">
        <v>40</v>
      </c>
      <c r="L356" s="5">
        <f>IF(Table24[[#This Row],['#]]=1,"Champion", IF(Table24[[#This Row],['#]]&gt;=18,"Relegated",Table24[[#This Row],['#]]))</f>
        <v>15</v>
      </c>
      <c r="M356" s="5" t="str">
        <f>IF(Table24[[#This Row],[Details]]=2,K355-Table24[[#This Row],[Pts]],IF(Table24[[#This Row],[Details]]=17,Table24[[#This Row],[Pts]]-K357,""))</f>
        <v/>
      </c>
      <c r="R356" s="1" t="str">
        <f>IFERROR(IF($Q$1=$P$3,INDEX(prem_analysis!$P$2:$Q$441,ROWS(Data!$P$2:Q356),COLUMNS(Data!$P$3:P357)),IF($Q$1=$P$5,INDEX(prem_analysis!$BH$1:$BS$23,ROWS(Data!$Q$3:Q357),COLUMNS(Data!$Q$3:Q357)),IF($Q$1=$P$6,INDEX(prem_analysis!$BU$1:$CF$67,ROWS(prem_analysis!$N$2:N356),COLUMNS(prem_analysis!$N$2:N356)),IF($Q$1=$P$4,INDEX(Table24[[#All],[Year]:[Details]],ROWS(prem_analysis!$M$420:M774),COLUMNS(Data!$Q$3:Q357)))))),"")</f>
        <v/>
      </c>
      <c r="S356" s="1" t="str">
        <f>IFERROR(IF($Q$1=$P$3,INDEX(prem_analysis!$P$2:$Q$441,ROWS(Data!$P$2:R356),COLUMNS(Data!$P$3:Q357)),IF($Q$1=$P$5,INDEX(prem_analysis!$BH$1:$BS$23,ROWS(Data!$Q$3:R357),COLUMNS(Data!$Q$3:R357)),IF($Q$1=$P$6,INDEX(prem_analysis!$BU$1:$CF$67,ROWS(prem_analysis!$N$2:O356),COLUMNS(prem_analysis!$N$2:O356)),IF($Q$1=$P$4,INDEX(Table24[[#All],[Year]:[Details]],ROWS(prem_analysis!$M$420:N774),COLUMNS(Data!$Q$3:R357)))))),"")</f>
        <v/>
      </c>
      <c r="T356" s="1" t="str">
        <f>IFERROR(IF($Q$1=$P$3,INDEX(prem_analysis!$P$2:$Q$441,ROWS(Data!$P$2:S356),COLUMNS(Data!$P$3:R357)),IF($Q$1=$P$5,INDEX(prem_analysis!$BH$1:$BS$23,ROWS(Data!$Q$3:S357),COLUMNS(Data!$Q$3:S357)),IF($Q$1=$P$6,INDEX(prem_analysis!$BU$1:$CF$67,ROWS(prem_analysis!$N$2:P356),COLUMNS(prem_analysis!$N$2:P356)),IF($Q$1=$P$4,INDEX(Table24[[#All],[Year]:[Details]],ROWS(prem_analysis!$M$420:O774),COLUMNS(Data!$Q$3:S357)))))),"")</f>
        <v/>
      </c>
      <c r="U356" s="1" t="str">
        <f>IFERROR(IF($Q$1=$P$3,INDEX(prem_analysis!$P$2:$Q$441,ROWS(Data!$P$2:T356),COLUMNS(Data!$P$3:S357)),IF($Q$1=$P$5,INDEX(prem_analysis!$BH$1:$BS$23,ROWS(Data!$Q$3:T357),COLUMNS(Data!$Q$3:T357)),IF($Q$1=$P$6,INDEX(prem_analysis!$BU$1:$CF$67,ROWS(prem_analysis!$N$2:Q356),COLUMNS(prem_analysis!$N$2:Q356)),IF($Q$1=$P$4,INDEX(Table24[[#All],[Year]:[Details]],ROWS(prem_analysis!$M$420:P774),COLUMNS(Data!$Q$3:T357)))))),"")</f>
        <v/>
      </c>
      <c r="V356" s="1" t="str">
        <f>IFERROR(IF($Q$1=$P$3,INDEX(prem_analysis!$P$2:$Q$441,ROWS(Data!$P$2:U356),COLUMNS(Data!$P$3:T357)),IF($Q$1=$P$5,INDEX(prem_analysis!$BH$1:$BS$23,ROWS(Data!$Q$3:U357),COLUMNS(Data!$Q$3:U357)),IF($Q$1=$P$6,INDEX(prem_analysis!$BU$1:$CF$67,ROWS(prem_analysis!$N$2:R356),COLUMNS(prem_analysis!$N$2:R356)),IF($Q$1=$P$4,INDEX(Table24[[#All],[Year]:[Details]],ROWS(prem_analysis!$M$420:Q774),COLUMNS(Data!$Q$3:U357)))))),"")</f>
        <v/>
      </c>
      <c r="W356" s="1" t="str">
        <f>IFERROR(IF($Q$1=$P$3,INDEX(prem_analysis!$P$2:$Q$441,ROWS(Data!$P$2:V356),COLUMNS(Data!$P$3:U357)),IF($Q$1=$P$5,INDEX(prem_analysis!$BH$1:$BS$23,ROWS(Data!$Q$3:V357),COLUMNS(Data!$Q$3:V357)),IF($Q$1=$P$6,INDEX(prem_analysis!$BU$1:$CF$67,ROWS(prem_analysis!$N$2:S356),COLUMNS(prem_analysis!$N$2:S356)),IF($Q$1=$P$4,INDEX(Table24[[#All],[Year]:[Details]],ROWS(prem_analysis!$M$420:R774),COLUMNS(Data!$Q$3:V357)))))),"")</f>
        <v/>
      </c>
      <c r="X356" s="1" t="str">
        <f>IFERROR(IF($Q$1=$P$3,INDEX(prem_analysis!$P$2:$Q$441,ROWS(Data!$P$2:W356),COLUMNS(Data!$P$3:V357)),IF($Q$1=$P$5,INDEX(prem_analysis!$BH$1:$BS$23,ROWS(Data!$Q$3:W357),COLUMNS(Data!$Q$3:W357)),IF($Q$1=$P$6,INDEX(prem_analysis!$BU$1:$CF$67,ROWS(prem_analysis!$N$2:T356),COLUMNS(prem_analysis!$N$2:T356)),IF($Q$1=$P$4,INDEX(Table24[[#All],[Year]:[Details]],ROWS(prem_analysis!$M$420:S774),COLUMNS(Data!$Q$3:W357)))))),"")</f>
        <v/>
      </c>
      <c r="Y356" s="1" t="str">
        <f>IFERROR(IF($Q$1=$P$3,INDEX(prem_analysis!$P$2:$Q$441,ROWS(Data!$P$2:X356),COLUMNS(Data!$P$3:W357)),IF($Q$1=$P$5,INDEX(prem_analysis!$BH$1:$BS$23,ROWS(Data!$Q$3:X357),COLUMNS(Data!$Q$3:X357)),IF($Q$1=$P$6,INDEX(prem_analysis!$BU$1:$CF$67,ROWS(prem_analysis!$N$2:U356),COLUMNS(prem_analysis!$N$2:U356)),IF($Q$1=$P$4,INDEX(Table24[[#All],[Year]:[Details]],ROWS(prem_analysis!$M$420:T774),COLUMNS(Data!$Q$3:X357)))))),"")</f>
        <v/>
      </c>
      <c r="Z356" s="1" t="str">
        <f>IFERROR(IF($Q$1=$P$3,INDEX(prem_analysis!$P$2:$Q$441,ROWS(Data!$P$2:Y356),COLUMNS(Data!$P$3:X357)),IF($Q$1=$P$5,INDEX(prem_analysis!$BH$1:$BS$23,ROWS(Data!$Q$3:Y357),COLUMNS(Data!$Q$3:Y357)),IF($Q$1=$P$6,INDEX(prem_analysis!$BU$1:$CF$67,ROWS(prem_analysis!$N$2:V356),COLUMNS(prem_analysis!$N$2:V356)),IF($Q$1=$P$4,INDEX(Table24[[#All],[Year]:[Details]],ROWS(prem_analysis!$M$420:U774),COLUMNS(Data!$Q$3:Y357)))))),"")</f>
        <v/>
      </c>
      <c r="AA356" s="1" t="str">
        <f>IFERROR(IF($Q$1=$P$3,INDEX(prem_analysis!$P$2:$Q$441,ROWS(Data!$P$2:Z356),COLUMNS(Data!$P$3:Y357)),IF($Q$1=$P$5,INDEX(prem_analysis!$BH$1:$BS$23,ROWS(Data!$Q$3:Z357),COLUMNS(Data!$Q$3:Z357)),IF($Q$1=$P$6,INDEX(prem_analysis!$BU$1:$CF$67,ROWS(prem_analysis!$N$2:W356),COLUMNS(prem_analysis!$N$2:W356)),IF($Q$1=$P$4,INDEX(Table24[[#All],[Year]:[Details]],ROWS(prem_analysis!$M$420:V774),COLUMNS(Data!$Q$3:Z357)))))),"")</f>
        <v/>
      </c>
      <c r="AB356" s="1" t="str">
        <f>IFERROR(IF($Q$1=$P$3,INDEX(prem_analysis!$P$2:$Q$441,ROWS(Data!$P$2:AA356),COLUMNS(Data!$P$3:Z357)),IF($Q$1=$P$5,INDEX(prem_analysis!$BH$1:$BS$23,ROWS(Data!$Q$3:AA357),COLUMNS(Data!$Q$3:AA357)),IF($Q$1=$P$6,INDEX(prem_analysis!$BU$1:$CF$67,ROWS(prem_analysis!$N$2:X356),COLUMNS(prem_analysis!$N$2:X356)),IF($Q$1=$P$4,INDEX(Table24[[#All],[Year]:[Details]],ROWS(prem_analysis!$M$420:W774),COLUMNS(Data!$Q$3:AA357)))))),"")</f>
        <v/>
      </c>
      <c r="AC356" s="1" t="str">
        <f>IFERROR(IF($Q$1=$P$3,INDEX(prem_analysis!$P$2:$Q$441,ROWS(Data!$P$2:AB356),COLUMNS(Data!$P$3:AA357)),IF($Q$1=$P$5,INDEX(prem_analysis!$BH$1:$BS$23,ROWS(Data!$Q$3:AB357),COLUMNS(Data!$Q$3:AB357)),IF($Q$1=$P$6,INDEX(prem_analysis!$BU$1:$CF$67,ROWS(prem_analysis!$N$2:Y356),COLUMNS(prem_analysis!$N$2:Y356)),IF($Q$1=$P$4,INDEX(Table24[[#All],[Year]:[Details]],ROWS(prem_analysis!$M$420:X774),COLUMNS(Data!$Q$3:AB357)))))),"")</f>
        <v/>
      </c>
    </row>
    <row r="357" spans="1:29" x14ac:dyDescent="0.2">
      <c r="A357" s="5">
        <v>2017</v>
      </c>
      <c r="B357" s="5">
        <v>16</v>
      </c>
      <c r="C357" s="6" t="s">
        <v>52</v>
      </c>
      <c r="D357" s="5">
        <v>38</v>
      </c>
      <c r="E357" s="5">
        <v>9</v>
      </c>
      <c r="F357" s="5">
        <v>10</v>
      </c>
      <c r="G357" s="5">
        <v>19</v>
      </c>
      <c r="H357" s="5">
        <v>28</v>
      </c>
      <c r="I357" s="5">
        <v>58</v>
      </c>
      <c r="J357" s="5">
        <v>-30</v>
      </c>
      <c r="K357" s="5">
        <v>37</v>
      </c>
      <c r="L357" s="5">
        <f>IF(Table24[[#This Row],['#]]=1,"Champion", IF(Table24[[#This Row],['#]]&gt;=18,"Relegated",Table24[[#This Row],['#]]))</f>
        <v>16</v>
      </c>
      <c r="M357" s="5" t="str">
        <f>IF(Table24[[#This Row],[Details]]=2,K356-Table24[[#This Row],[Pts]],IF(Table24[[#This Row],[Details]]=17,Table24[[#This Row],[Pts]]-K358,""))</f>
        <v/>
      </c>
      <c r="R357" s="1" t="str">
        <f>IFERROR(IF($Q$1=$P$3,INDEX(prem_analysis!$P$2:$Q$441,ROWS(Data!$P$2:Q357),COLUMNS(Data!$P$3:P358)),IF($Q$1=$P$5,INDEX(prem_analysis!$BH$1:$BS$23,ROWS(Data!$Q$3:Q358),COLUMNS(Data!$Q$3:Q358)),IF($Q$1=$P$6,INDEX(prem_analysis!$BU$1:$CF$67,ROWS(prem_analysis!$N$2:N357),COLUMNS(prem_analysis!$N$2:N357)),IF($Q$1=$P$4,INDEX(Table24[[#All],[Year]:[Details]],ROWS(prem_analysis!$M$420:M775),COLUMNS(Data!$Q$3:Q358)))))),"")</f>
        <v/>
      </c>
      <c r="S357" s="1" t="str">
        <f>IFERROR(IF($Q$1=$P$3,INDEX(prem_analysis!$P$2:$Q$441,ROWS(Data!$P$2:R357),COLUMNS(Data!$P$3:Q358)),IF($Q$1=$P$5,INDEX(prem_analysis!$BH$1:$BS$23,ROWS(Data!$Q$3:R358),COLUMNS(Data!$Q$3:R358)),IF($Q$1=$P$6,INDEX(prem_analysis!$BU$1:$CF$67,ROWS(prem_analysis!$N$2:O357),COLUMNS(prem_analysis!$N$2:O357)),IF($Q$1=$P$4,INDEX(Table24[[#All],[Year]:[Details]],ROWS(prem_analysis!$M$420:N775),COLUMNS(Data!$Q$3:R358)))))),"")</f>
        <v/>
      </c>
      <c r="T357" s="1" t="str">
        <f>IFERROR(IF($Q$1=$P$3,INDEX(prem_analysis!$P$2:$Q$441,ROWS(Data!$P$2:S357),COLUMNS(Data!$P$3:R358)),IF($Q$1=$P$5,INDEX(prem_analysis!$BH$1:$BS$23,ROWS(Data!$Q$3:S358),COLUMNS(Data!$Q$3:S358)),IF($Q$1=$P$6,INDEX(prem_analysis!$BU$1:$CF$67,ROWS(prem_analysis!$N$2:P357),COLUMNS(prem_analysis!$N$2:P357)),IF($Q$1=$P$4,INDEX(Table24[[#All],[Year]:[Details]],ROWS(prem_analysis!$M$420:O775),COLUMNS(Data!$Q$3:S358)))))),"")</f>
        <v/>
      </c>
      <c r="U357" s="1" t="str">
        <f>IFERROR(IF($Q$1=$P$3,INDEX(prem_analysis!$P$2:$Q$441,ROWS(Data!$P$2:T357),COLUMNS(Data!$P$3:S358)),IF($Q$1=$P$5,INDEX(prem_analysis!$BH$1:$BS$23,ROWS(Data!$Q$3:T358),COLUMNS(Data!$Q$3:T358)),IF($Q$1=$P$6,INDEX(prem_analysis!$BU$1:$CF$67,ROWS(prem_analysis!$N$2:Q357),COLUMNS(prem_analysis!$N$2:Q357)),IF($Q$1=$P$4,INDEX(Table24[[#All],[Year]:[Details]],ROWS(prem_analysis!$M$420:P775),COLUMNS(Data!$Q$3:T358)))))),"")</f>
        <v/>
      </c>
      <c r="V357" s="1" t="str">
        <f>IFERROR(IF($Q$1=$P$3,INDEX(prem_analysis!$P$2:$Q$441,ROWS(Data!$P$2:U357),COLUMNS(Data!$P$3:T358)),IF($Q$1=$P$5,INDEX(prem_analysis!$BH$1:$BS$23,ROWS(Data!$Q$3:U358),COLUMNS(Data!$Q$3:U358)),IF($Q$1=$P$6,INDEX(prem_analysis!$BU$1:$CF$67,ROWS(prem_analysis!$N$2:R357),COLUMNS(prem_analysis!$N$2:R357)),IF($Q$1=$P$4,INDEX(Table24[[#All],[Year]:[Details]],ROWS(prem_analysis!$M$420:Q775),COLUMNS(Data!$Q$3:U358)))))),"")</f>
        <v/>
      </c>
      <c r="W357" s="1" t="str">
        <f>IFERROR(IF($Q$1=$P$3,INDEX(prem_analysis!$P$2:$Q$441,ROWS(Data!$P$2:V357),COLUMNS(Data!$P$3:U358)),IF($Q$1=$P$5,INDEX(prem_analysis!$BH$1:$BS$23,ROWS(Data!$Q$3:V358),COLUMNS(Data!$Q$3:V358)),IF($Q$1=$P$6,INDEX(prem_analysis!$BU$1:$CF$67,ROWS(prem_analysis!$N$2:S357),COLUMNS(prem_analysis!$N$2:S357)),IF($Q$1=$P$4,INDEX(Table24[[#All],[Year]:[Details]],ROWS(prem_analysis!$M$420:R775),COLUMNS(Data!$Q$3:V358)))))),"")</f>
        <v/>
      </c>
      <c r="X357" s="1" t="str">
        <f>IFERROR(IF($Q$1=$P$3,INDEX(prem_analysis!$P$2:$Q$441,ROWS(Data!$P$2:W357),COLUMNS(Data!$P$3:V358)),IF($Q$1=$P$5,INDEX(prem_analysis!$BH$1:$BS$23,ROWS(Data!$Q$3:W358),COLUMNS(Data!$Q$3:W358)),IF($Q$1=$P$6,INDEX(prem_analysis!$BU$1:$CF$67,ROWS(prem_analysis!$N$2:T357),COLUMNS(prem_analysis!$N$2:T357)),IF($Q$1=$P$4,INDEX(Table24[[#All],[Year]:[Details]],ROWS(prem_analysis!$M$420:S775),COLUMNS(Data!$Q$3:W358)))))),"")</f>
        <v/>
      </c>
      <c r="Y357" s="1" t="str">
        <f>IFERROR(IF($Q$1=$P$3,INDEX(prem_analysis!$P$2:$Q$441,ROWS(Data!$P$2:X357),COLUMNS(Data!$P$3:W358)),IF($Q$1=$P$5,INDEX(prem_analysis!$BH$1:$BS$23,ROWS(Data!$Q$3:X358),COLUMNS(Data!$Q$3:X358)),IF($Q$1=$P$6,INDEX(prem_analysis!$BU$1:$CF$67,ROWS(prem_analysis!$N$2:U357),COLUMNS(prem_analysis!$N$2:U357)),IF($Q$1=$P$4,INDEX(Table24[[#All],[Year]:[Details]],ROWS(prem_analysis!$M$420:T775),COLUMNS(Data!$Q$3:X358)))))),"")</f>
        <v/>
      </c>
      <c r="Z357" s="1" t="str">
        <f>IFERROR(IF($Q$1=$P$3,INDEX(prem_analysis!$P$2:$Q$441,ROWS(Data!$P$2:Y357),COLUMNS(Data!$P$3:X358)),IF($Q$1=$P$5,INDEX(prem_analysis!$BH$1:$BS$23,ROWS(Data!$Q$3:Y358),COLUMNS(Data!$Q$3:Y358)),IF($Q$1=$P$6,INDEX(prem_analysis!$BU$1:$CF$67,ROWS(prem_analysis!$N$2:V357),COLUMNS(prem_analysis!$N$2:V357)),IF($Q$1=$P$4,INDEX(Table24[[#All],[Year]:[Details]],ROWS(prem_analysis!$M$420:U775),COLUMNS(Data!$Q$3:Y358)))))),"")</f>
        <v/>
      </c>
      <c r="AA357" s="1" t="str">
        <f>IFERROR(IF($Q$1=$P$3,INDEX(prem_analysis!$P$2:$Q$441,ROWS(Data!$P$2:Z357),COLUMNS(Data!$P$3:Y358)),IF($Q$1=$P$5,INDEX(prem_analysis!$BH$1:$BS$23,ROWS(Data!$Q$3:Z358),COLUMNS(Data!$Q$3:Z358)),IF($Q$1=$P$6,INDEX(prem_analysis!$BU$1:$CF$67,ROWS(prem_analysis!$N$2:W357),COLUMNS(prem_analysis!$N$2:W357)),IF($Q$1=$P$4,INDEX(Table24[[#All],[Year]:[Details]],ROWS(prem_analysis!$M$420:V775),COLUMNS(Data!$Q$3:Z358)))))),"")</f>
        <v/>
      </c>
      <c r="AB357" s="1" t="str">
        <f>IFERROR(IF($Q$1=$P$3,INDEX(prem_analysis!$P$2:$Q$441,ROWS(Data!$P$2:AA357),COLUMNS(Data!$P$3:Z358)),IF($Q$1=$P$5,INDEX(prem_analysis!$BH$1:$BS$23,ROWS(Data!$Q$3:AA358),COLUMNS(Data!$Q$3:AA358)),IF($Q$1=$P$6,INDEX(prem_analysis!$BU$1:$CF$67,ROWS(prem_analysis!$N$2:X357),COLUMNS(prem_analysis!$N$2:X357)),IF($Q$1=$P$4,INDEX(Table24[[#All],[Year]:[Details]],ROWS(prem_analysis!$M$420:W775),COLUMNS(Data!$Q$3:AA358)))))),"")</f>
        <v/>
      </c>
      <c r="AC357" s="1" t="str">
        <f>IFERROR(IF($Q$1=$P$3,INDEX(prem_analysis!$P$2:$Q$441,ROWS(Data!$P$2:AB357),COLUMNS(Data!$P$3:AA358)),IF($Q$1=$P$5,INDEX(prem_analysis!$BH$1:$BS$23,ROWS(Data!$Q$3:AB358),COLUMNS(Data!$Q$3:AB358)),IF($Q$1=$P$6,INDEX(prem_analysis!$BU$1:$CF$67,ROWS(prem_analysis!$N$2:Y357),COLUMNS(prem_analysis!$N$2:Y357)),IF($Q$1=$P$4,INDEX(Table24[[#All],[Year]:[Details]],ROWS(prem_analysis!$M$420:X775),COLUMNS(Data!$Q$3:AB358)))))),"")</f>
        <v/>
      </c>
    </row>
    <row r="358" spans="1:29" x14ac:dyDescent="0.2">
      <c r="A358" s="3">
        <v>2017</v>
      </c>
      <c r="B358" s="3">
        <v>17</v>
      </c>
      <c r="C358" s="4" t="s">
        <v>20</v>
      </c>
      <c r="D358" s="3">
        <v>38</v>
      </c>
      <c r="E358" s="3">
        <v>7</v>
      </c>
      <c r="F358" s="3">
        <v>15</v>
      </c>
      <c r="G358" s="3">
        <v>16</v>
      </c>
      <c r="H358" s="3">
        <v>37</v>
      </c>
      <c r="I358" s="3">
        <v>56</v>
      </c>
      <c r="J358" s="3">
        <v>-19</v>
      </c>
      <c r="K358" s="3">
        <v>36</v>
      </c>
      <c r="L358" s="5">
        <f>IF(Table24[[#This Row],['#]]=1,"Champion", IF(Table24[[#This Row],['#]]&gt;=18,"Relegated",Table24[[#This Row],['#]]))</f>
        <v>17</v>
      </c>
      <c r="M358" s="5">
        <f>IF(Table24[[#This Row],[Details]]=2,K357-Table24[[#This Row],[Pts]],IF(Table24[[#This Row],[Details]]=17,Table24[[#This Row],[Pts]]-K359,""))</f>
        <v>3</v>
      </c>
      <c r="R358" s="1" t="str">
        <f>IFERROR(IF($Q$1=$P$3,INDEX(prem_analysis!$P$2:$Q$441,ROWS(Data!$P$2:Q358),COLUMNS(Data!$P$3:P359)),IF($Q$1=$P$5,INDEX(prem_analysis!$BH$1:$BS$23,ROWS(Data!$Q$3:Q359),COLUMNS(Data!$Q$3:Q359)),IF($Q$1=$P$6,INDEX(prem_analysis!$BU$1:$CF$67,ROWS(prem_analysis!$N$2:N358),COLUMNS(prem_analysis!$N$2:N358)),IF($Q$1=$P$4,INDEX(Table24[[#All],[Year]:[Details]],ROWS(prem_analysis!$M$420:M776),COLUMNS(Data!$Q$3:Q359)))))),"")</f>
        <v/>
      </c>
      <c r="S358" s="1" t="str">
        <f>IFERROR(IF($Q$1=$P$3,INDEX(prem_analysis!$P$2:$Q$441,ROWS(Data!$P$2:R358),COLUMNS(Data!$P$3:Q359)),IF($Q$1=$P$5,INDEX(prem_analysis!$BH$1:$BS$23,ROWS(Data!$Q$3:R359),COLUMNS(Data!$Q$3:R359)),IF($Q$1=$P$6,INDEX(prem_analysis!$BU$1:$CF$67,ROWS(prem_analysis!$N$2:O358),COLUMNS(prem_analysis!$N$2:O358)),IF($Q$1=$P$4,INDEX(Table24[[#All],[Year]:[Details]],ROWS(prem_analysis!$M$420:N776),COLUMNS(Data!$Q$3:R359)))))),"")</f>
        <v/>
      </c>
      <c r="T358" s="1" t="str">
        <f>IFERROR(IF($Q$1=$P$3,INDEX(prem_analysis!$P$2:$Q$441,ROWS(Data!$P$2:S358),COLUMNS(Data!$P$3:R359)),IF($Q$1=$P$5,INDEX(prem_analysis!$BH$1:$BS$23,ROWS(Data!$Q$3:S359),COLUMNS(Data!$Q$3:S359)),IF($Q$1=$P$6,INDEX(prem_analysis!$BU$1:$CF$67,ROWS(prem_analysis!$N$2:P358),COLUMNS(prem_analysis!$N$2:P358)),IF($Q$1=$P$4,INDEX(Table24[[#All],[Year]:[Details]],ROWS(prem_analysis!$M$420:O776),COLUMNS(Data!$Q$3:S359)))))),"")</f>
        <v/>
      </c>
      <c r="U358" s="1" t="str">
        <f>IFERROR(IF($Q$1=$P$3,INDEX(prem_analysis!$P$2:$Q$441,ROWS(Data!$P$2:T358),COLUMNS(Data!$P$3:S359)),IF($Q$1=$P$5,INDEX(prem_analysis!$BH$1:$BS$23,ROWS(Data!$Q$3:T359),COLUMNS(Data!$Q$3:T359)),IF($Q$1=$P$6,INDEX(prem_analysis!$BU$1:$CF$67,ROWS(prem_analysis!$N$2:Q358),COLUMNS(prem_analysis!$N$2:Q358)),IF($Q$1=$P$4,INDEX(Table24[[#All],[Year]:[Details]],ROWS(prem_analysis!$M$420:P776),COLUMNS(Data!$Q$3:T359)))))),"")</f>
        <v/>
      </c>
      <c r="V358" s="1" t="str">
        <f>IFERROR(IF($Q$1=$P$3,INDEX(prem_analysis!$P$2:$Q$441,ROWS(Data!$P$2:U358),COLUMNS(Data!$P$3:T359)),IF($Q$1=$P$5,INDEX(prem_analysis!$BH$1:$BS$23,ROWS(Data!$Q$3:U359),COLUMNS(Data!$Q$3:U359)),IF($Q$1=$P$6,INDEX(prem_analysis!$BU$1:$CF$67,ROWS(prem_analysis!$N$2:R358),COLUMNS(prem_analysis!$N$2:R358)),IF($Q$1=$P$4,INDEX(Table24[[#All],[Year]:[Details]],ROWS(prem_analysis!$M$420:Q776),COLUMNS(Data!$Q$3:U359)))))),"")</f>
        <v/>
      </c>
      <c r="W358" s="1" t="str">
        <f>IFERROR(IF($Q$1=$P$3,INDEX(prem_analysis!$P$2:$Q$441,ROWS(Data!$P$2:V358),COLUMNS(Data!$P$3:U359)),IF($Q$1=$P$5,INDEX(prem_analysis!$BH$1:$BS$23,ROWS(Data!$Q$3:V359),COLUMNS(Data!$Q$3:V359)),IF($Q$1=$P$6,INDEX(prem_analysis!$BU$1:$CF$67,ROWS(prem_analysis!$N$2:S358),COLUMNS(prem_analysis!$N$2:S358)),IF($Q$1=$P$4,INDEX(Table24[[#All],[Year]:[Details]],ROWS(prem_analysis!$M$420:R776),COLUMNS(Data!$Q$3:V359)))))),"")</f>
        <v/>
      </c>
      <c r="X358" s="1" t="str">
        <f>IFERROR(IF($Q$1=$P$3,INDEX(prem_analysis!$P$2:$Q$441,ROWS(Data!$P$2:W358),COLUMNS(Data!$P$3:V359)),IF($Q$1=$P$5,INDEX(prem_analysis!$BH$1:$BS$23,ROWS(Data!$Q$3:W359),COLUMNS(Data!$Q$3:W359)),IF($Q$1=$P$6,INDEX(prem_analysis!$BU$1:$CF$67,ROWS(prem_analysis!$N$2:T358),COLUMNS(prem_analysis!$N$2:T358)),IF($Q$1=$P$4,INDEX(Table24[[#All],[Year]:[Details]],ROWS(prem_analysis!$M$420:S776),COLUMNS(Data!$Q$3:W359)))))),"")</f>
        <v/>
      </c>
      <c r="Y358" s="1" t="str">
        <f>IFERROR(IF($Q$1=$P$3,INDEX(prem_analysis!$P$2:$Q$441,ROWS(Data!$P$2:X358),COLUMNS(Data!$P$3:W359)),IF($Q$1=$P$5,INDEX(prem_analysis!$BH$1:$BS$23,ROWS(Data!$Q$3:X359),COLUMNS(Data!$Q$3:X359)),IF($Q$1=$P$6,INDEX(prem_analysis!$BU$1:$CF$67,ROWS(prem_analysis!$N$2:U358),COLUMNS(prem_analysis!$N$2:U358)),IF($Q$1=$P$4,INDEX(Table24[[#All],[Year]:[Details]],ROWS(prem_analysis!$M$420:T776),COLUMNS(Data!$Q$3:X359)))))),"")</f>
        <v/>
      </c>
      <c r="Z358" s="1" t="str">
        <f>IFERROR(IF($Q$1=$P$3,INDEX(prem_analysis!$P$2:$Q$441,ROWS(Data!$P$2:Y358),COLUMNS(Data!$P$3:X359)),IF($Q$1=$P$5,INDEX(prem_analysis!$BH$1:$BS$23,ROWS(Data!$Q$3:Y359),COLUMNS(Data!$Q$3:Y359)),IF($Q$1=$P$6,INDEX(prem_analysis!$BU$1:$CF$67,ROWS(prem_analysis!$N$2:V358),COLUMNS(prem_analysis!$N$2:V358)),IF($Q$1=$P$4,INDEX(Table24[[#All],[Year]:[Details]],ROWS(prem_analysis!$M$420:U776),COLUMNS(Data!$Q$3:Y359)))))),"")</f>
        <v/>
      </c>
      <c r="AA358" s="1" t="str">
        <f>IFERROR(IF($Q$1=$P$3,INDEX(prem_analysis!$P$2:$Q$441,ROWS(Data!$P$2:Z358),COLUMNS(Data!$P$3:Y359)),IF($Q$1=$P$5,INDEX(prem_analysis!$BH$1:$BS$23,ROWS(Data!$Q$3:Z359),COLUMNS(Data!$Q$3:Z359)),IF($Q$1=$P$6,INDEX(prem_analysis!$BU$1:$CF$67,ROWS(prem_analysis!$N$2:W358),COLUMNS(prem_analysis!$N$2:W358)),IF($Q$1=$P$4,INDEX(Table24[[#All],[Year]:[Details]],ROWS(prem_analysis!$M$420:V776),COLUMNS(Data!$Q$3:Z359)))))),"")</f>
        <v/>
      </c>
      <c r="AB358" s="1" t="str">
        <f>IFERROR(IF($Q$1=$P$3,INDEX(prem_analysis!$P$2:$Q$441,ROWS(Data!$P$2:AA358),COLUMNS(Data!$P$3:Z359)),IF($Q$1=$P$5,INDEX(prem_analysis!$BH$1:$BS$23,ROWS(Data!$Q$3:AA359),COLUMNS(Data!$Q$3:AA359)),IF($Q$1=$P$6,INDEX(prem_analysis!$BU$1:$CF$67,ROWS(prem_analysis!$N$2:X358),COLUMNS(prem_analysis!$N$2:X358)),IF($Q$1=$P$4,INDEX(Table24[[#All],[Year]:[Details]],ROWS(prem_analysis!$M$420:W776),COLUMNS(Data!$Q$3:AA359)))))),"")</f>
        <v/>
      </c>
      <c r="AC358" s="1" t="str">
        <f>IFERROR(IF($Q$1=$P$3,INDEX(prem_analysis!$P$2:$Q$441,ROWS(Data!$P$2:AB358),COLUMNS(Data!$P$3:AA359)),IF($Q$1=$P$5,INDEX(prem_analysis!$BH$1:$BS$23,ROWS(Data!$Q$3:AB359),COLUMNS(Data!$Q$3:AB359)),IF($Q$1=$P$6,INDEX(prem_analysis!$BU$1:$CF$67,ROWS(prem_analysis!$N$2:Y358),COLUMNS(prem_analysis!$N$2:Y358)),IF($Q$1=$P$4,INDEX(Table24[[#All],[Year]:[Details]],ROWS(prem_analysis!$M$420:X776),COLUMNS(Data!$Q$3:AB359)))))),"")</f>
        <v/>
      </c>
    </row>
    <row r="359" spans="1:29" x14ac:dyDescent="0.2">
      <c r="A359" s="5">
        <v>2017</v>
      </c>
      <c r="B359" s="5">
        <v>18</v>
      </c>
      <c r="C359" s="6" t="s">
        <v>48</v>
      </c>
      <c r="D359" s="5">
        <v>38</v>
      </c>
      <c r="E359" s="5">
        <v>8</v>
      </c>
      <c r="F359" s="5">
        <v>9</v>
      </c>
      <c r="G359" s="5">
        <v>21</v>
      </c>
      <c r="H359" s="5">
        <v>28</v>
      </c>
      <c r="I359" s="5">
        <v>56</v>
      </c>
      <c r="J359" s="5">
        <v>-28</v>
      </c>
      <c r="K359" s="5">
        <v>33</v>
      </c>
      <c r="L359" s="5" t="str">
        <f>IF(Table24[[#This Row],['#]]=1,"Champion", IF(Table24[[#This Row],['#]]&gt;=18,"Relegated",Table24[[#This Row],['#]]))</f>
        <v>Relegated</v>
      </c>
      <c r="M359" s="5" t="str">
        <f>IF(Table24[[#This Row],[Details]]=2,K358-Table24[[#This Row],[Pts]],IF(Table24[[#This Row],[Details]]=17,Table24[[#This Row],[Pts]]-K360,""))</f>
        <v/>
      </c>
      <c r="R359" s="1" t="str">
        <f>IFERROR(IF($Q$1=$P$3,INDEX(prem_analysis!$P$2:$Q$441,ROWS(Data!$P$2:Q359),COLUMNS(Data!$P$3:P360)),IF($Q$1=$P$5,INDEX(prem_analysis!$BH$1:$BS$23,ROWS(Data!$Q$3:Q360),COLUMNS(Data!$Q$3:Q360)),IF($Q$1=$P$6,INDEX(prem_analysis!$BU$1:$CF$67,ROWS(prem_analysis!$N$2:N359),COLUMNS(prem_analysis!$N$2:N359)),IF($Q$1=$P$4,INDEX(Table24[[#All],[Year]:[Details]],ROWS(prem_analysis!$M$420:M777),COLUMNS(Data!$Q$3:Q360)))))),"")</f>
        <v/>
      </c>
      <c r="S359" s="1" t="str">
        <f>IFERROR(IF($Q$1=$P$3,INDEX(prem_analysis!$P$2:$Q$441,ROWS(Data!$P$2:R359),COLUMNS(Data!$P$3:Q360)),IF($Q$1=$P$5,INDEX(prem_analysis!$BH$1:$BS$23,ROWS(Data!$Q$3:R360),COLUMNS(Data!$Q$3:R360)),IF($Q$1=$P$6,INDEX(prem_analysis!$BU$1:$CF$67,ROWS(prem_analysis!$N$2:O359),COLUMNS(prem_analysis!$N$2:O359)),IF($Q$1=$P$4,INDEX(Table24[[#All],[Year]:[Details]],ROWS(prem_analysis!$M$420:N777),COLUMNS(Data!$Q$3:R360)))))),"")</f>
        <v/>
      </c>
      <c r="T359" s="1" t="str">
        <f>IFERROR(IF($Q$1=$P$3,INDEX(prem_analysis!$P$2:$Q$441,ROWS(Data!$P$2:S359),COLUMNS(Data!$P$3:R360)),IF($Q$1=$P$5,INDEX(prem_analysis!$BH$1:$BS$23,ROWS(Data!$Q$3:S360),COLUMNS(Data!$Q$3:S360)),IF($Q$1=$P$6,INDEX(prem_analysis!$BU$1:$CF$67,ROWS(prem_analysis!$N$2:P359),COLUMNS(prem_analysis!$N$2:P359)),IF($Q$1=$P$4,INDEX(Table24[[#All],[Year]:[Details]],ROWS(prem_analysis!$M$420:O777),COLUMNS(Data!$Q$3:S360)))))),"")</f>
        <v/>
      </c>
      <c r="U359" s="1" t="str">
        <f>IFERROR(IF($Q$1=$P$3,INDEX(prem_analysis!$P$2:$Q$441,ROWS(Data!$P$2:T359),COLUMNS(Data!$P$3:S360)),IF($Q$1=$P$5,INDEX(prem_analysis!$BH$1:$BS$23,ROWS(Data!$Q$3:T360),COLUMNS(Data!$Q$3:T360)),IF($Q$1=$P$6,INDEX(prem_analysis!$BU$1:$CF$67,ROWS(prem_analysis!$N$2:Q359),COLUMNS(prem_analysis!$N$2:Q359)),IF($Q$1=$P$4,INDEX(Table24[[#All],[Year]:[Details]],ROWS(prem_analysis!$M$420:P777),COLUMNS(Data!$Q$3:T360)))))),"")</f>
        <v/>
      </c>
      <c r="V359" s="1" t="str">
        <f>IFERROR(IF($Q$1=$P$3,INDEX(prem_analysis!$P$2:$Q$441,ROWS(Data!$P$2:U359),COLUMNS(Data!$P$3:T360)),IF($Q$1=$P$5,INDEX(prem_analysis!$BH$1:$BS$23,ROWS(Data!$Q$3:U360),COLUMNS(Data!$Q$3:U360)),IF($Q$1=$P$6,INDEX(prem_analysis!$BU$1:$CF$67,ROWS(prem_analysis!$N$2:R359),COLUMNS(prem_analysis!$N$2:R359)),IF($Q$1=$P$4,INDEX(Table24[[#All],[Year]:[Details]],ROWS(prem_analysis!$M$420:Q777),COLUMNS(Data!$Q$3:U360)))))),"")</f>
        <v/>
      </c>
      <c r="W359" s="1" t="str">
        <f>IFERROR(IF($Q$1=$P$3,INDEX(prem_analysis!$P$2:$Q$441,ROWS(Data!$P$2:V359),COLUMNS(Data!$P$3:U360)),IF($Q$1=$P$5,INDEX(prem_analysis!$BH$1:$BS$23,ROWS(Data!$Q$3:V360),COLUMNS(Data!$Q$3:V360)),IF($Q$1=$P$6,INDEX(prem_analysis!$BU$1:$CF$67,ROWS(prem_analysis!$N$2:S359),COLUMNS(prem_analysis!$N$2:S359)),IF($Q$1=$P$4,INDEX(Table24[[#All],[Year]:[Details]],ROWS(prem_analysis!$M$420:R777),COLUMNS(Data!$Q$3:V360)))))),"")</f>
        <v/>
      </c>
      <c r="X359" s="1" t="str">
        <f>IFERROR(IF($Q$1=$P$3,INDEX(prem_analysis!$P$2:$Q$441,ROWS(Data!$P$2:W359),COLUMNS(Data!$P$3:V360)),IF($Q$1=$P$5,INDEX(prem_analysis!$BH$1:$BS$23,ROWS(Data!$Q$3:W360),COLUMNS(Data!$Q$3:W360)),IF($Q$1=$P$6,INDEX(prem_analysis!$BU$1:$CF$67,ROWS(prem_analysis!$N$2:T359),COLUMNS(prem_analysis!$N$2:T359)),IF($Q$1=$P$4,INDEX(Table24[[#All],[Year]:[Details]],ROWS(prem_analysis!$M$420:S777),COLUMNS(Data!$Q$3:W360)))))),"")</f>
        <v/>
      </c>
      <c r="Y359" s="1" t="str">
        <f>IFERROR(IF($Q$1=$P$3,INDEX(prem_analysis!$P$2:$Q$441,ROWS(Data!$P$2:X359),COLUMNS(Data!$P$3:W360)),IF($Q$1=$P$5,INDEX(prem_analysis!$BH$1:$BS$23,ROWS(Data!$Q$3:X360),COLUMNS(Data!$Q$3:X360)),IF($Q$1=$P$6,INDEX(prem_analysis!$BU$1:$CF$67,ROWS(prem_analysis!$N$2:U359),COLUMNS(prem_analysis!$N$2:U359)),IF($Q$1=$P$4,INDEX(Table24[[#All],[Year]:[Details]],ROWS(prem_analysis!$M$420:T777),COLUMNS(Data!$Q$3:X360)))))),"")</f>
        <v/>
      </c>
      <c r="Z359" s="1" t="str">
        <f>IFERROR(IF($Q$1=$P$3,INDEX(prem_analysis!$P$2:$Q$441,ROWS(Data!$P$2:Y359),COLUMNS(Data!$P$3:X360)),IF($Q$1=$P$5,INDEX(prem_analysis!$BH$1:$BS$23,ROWS(Data!$Q$3:Y360),COLUMNS(Data!$Q$3:Y360)),IF($Q$1=$P$6,INDEX(prem_analysis!$BU$1:$CF$67,ROWS(prem_analysis!$N$2:V359),COLUMNS(prem_analysis!$N$2:V359)),IF($Q$1=$P$4,INDEX(Table24[[#All],[Year]:[Details]],ROWS(prem_analysis!$M$420:U777),COLUMNS(Data!$Q$3:Y360)))))),"")</f>
        <v/>
      </c>
      <c r="AA359" s="1" t="str">
        <f>IFERROR(IF($Q$1=$P$3,INDEX(prem_analysis!$P$2:$Q$441,ROWS(Data!$P$2:Z359),COLUMNS(Data!$P$3:Y360)),IF($Q$1=$P$5,INDEX(prem_analysis!$BH$1:$BS$23,ROWS(Data!$Q$3:Z360),COLUMNS(Data!$Q$3:Z360)),IF($Q$1=$P$6,INDEX(prem_analysis!$BU$1:$CF$67,ROWS(prem_analysis!$N$2:W359),COLUMNS(prem_analysis!$N$2:W359)),IF($Q$1=$P$4,INDEX(Table24[[#All],[Year]:[Details]],ROWS(prem_analysis!$M$420:V777),COLUMNS(Data!$Q$3:Z360)))))),"")</f>
        <v/>
      </c>
      <c r="AB359" s="1" t="str">
        <f>IFERROR(IF($Q$1=$P$3,INDEX(prem_analysis!$P$2:$Q$441,ROWS(Data!$P$2:AA359),COLUMNS(Data!$P$3:Z360)),IF($Q$1=$P$5,INDEX(prem_analysis!$BH$1:$BS$23,ROWS(Data!$Q$3:AA360),COLUMNS(Data!$Q$3:AA360)),IF($Q$1=$P$6,INDEX(prem_analysis!$BU$1:$CF$67,ROWS(prem_analysis!$N$2:X359),COLUMNS(prem_analysis!$N$2:X359)),IF($Q$1=$P$4,INDEX(Table24[[#All],[Year]:[Details]],ROWS(prem_analysis!$M$420:W777),COLUMNS(Data!$Q$3:AA360)))))),"")</f>
        <v/>
      </c>
      <c r="AC359" s="1" t="str">
        <f>IFERROR(IF($Q$1=$P$3,INDEX(prem_analysis!$P$2:$Q$441,ROWS(Data!$P$2:AB359),COLUMNS(Data!$P$3:AA360)),IF($Q$1=$P$5,INDEX(prem_analysis!$BH$1:$BS$23,ROWS(Data!$Q$3:AB360),COLUMNS(Data!$Q$3:AB360)),IF($Q$1=$P$6,INDEX(prem_analysis!$BU$1:$CF$67,ROWS(prem_analysis!$N$2:Y359),COLUMNS(prem_analysis!$N$2:Y359)),IF($Q$1=$P$4,INDEX(Table24[[#All],[Year]:[Details]],ROWS(prem_analysis!$M$420:X777),COLUMNS(Data!$Q$3:AB360)))))),"")</f>
        <v/>
      </c>
    </row>
    <row r="360" spans="1:29" x14ac:dyDescent="0.2">
      <c r="A360" s="3">
        <v>2017</v>
      </c>
      <c r="B360" s="3">
        <v>19</v>
      </c>
      <c r="C360" s="4" t="s">
        <v>44</v>
      </c>
      <c r="D360" s="3">
        <v>38</v>
      </c>
      <c r="E360" s="3">
        <v>7</v>
      </c>
      <c r="F360" s="3">
        <v>12</v>
      </c>
      <c r="G360" s="3">
        <v>19</v>
      </c>
      <c r="H360" s="3">
        <v>35</v>
      </c>
      <c r="I360" s="3">
        <v>68</v>
      </c>
      <c r="J360" s="3">
        <v>-33</v>
      </c>
      <c r="K360" s="3">
        <v>33</v>
      </c>
      <c r="L360" s="5" t="str">
        <f>IF(Table24[[#This Row],['#]]=1,"Champion", IF(Table24[[#This Row],['#]]&gt;=18,"Relegated",Table24[[#This Row],['#]]))</f>
        <v>Relegated</v>
      </c>
      <c r="M360" s="5" t="str">
        <f>IF(Table24[[#This Row],[Details]]=2,K359-Table24[[#This Row],[Pts]],IF(Table24[[#This Row],[Details]]=17,Table24[[#This Row],[Pts]]-K361,""))</f>
        <v/>
      </c>
      <c r="R360" s="1" t="str">
        <f>IFERROR(IF($Q$1=$P$3,INDEX(prem_analysis!$P$2:$Q$441,ROWS(Data!$P$2:Q360),COLUMNS(Data!$P$3:P361)),IF($Q$1=$P$5,INDEX(prem_analysis!$BH$1:$BS$23,ROWS(Data!$Q$3:Q361),COLUMNS(Data!$Q$3:Q361)),IF($Q$1=$P$6,INDEX(prem_analysis!$BU$1:$CF$67,ROWS(prem_analysis!$N$2:N360),COLUMNS(prem_analysis!$N$2:N360)),IF($Q$1=$P$4,INDEX(Table24[[#All],[Year]:[Details]],ROWS(prem_analysis!$M$420:M778),COLUMNS(Data!$Q$3:Q361)))))),"")</f>
        <v/>
      </c>
      <c r="S360" s="1" t="str">
        <f>IFERROR(IF($Q$1=$P$3,INDEX(prem_analysis!$P$2:$Q$441,ROWS(Data!$P$2:R360),COLUMNS(Data!$P$3:Q361)),IF($Q$1=$P$5,INDEX(prem_analysis!$BH$1:$BS$23,ROWS(Data!$Q$3:R361),COLUMNS(Data!$Q$3:R361)),IF($Q$1=$P$6,INDEX(prem_analysis!$BU$1:$CF$67,ROWS(prem_analysis!$N$2:O360),COLUMNS(prem_analysis!$N$2:O360)),IF($Q$1=$P$4,INDEX(Table24[[#All],[Year]:[Details]],ROWS(prem_analysis!$M$420:N778),COLUMNS(Data!$Q$3:R361)))))),"")</f>
        <v/>
      </c>
      <c r="T360" s="1" t="str">
        <f>IFERROR(IF($Q$1=$P$3,INDEX(prem_analysis!$P$2:$Q$441,ROWS(Data!$P$2:S360),COLUMNS(Data!$P$3:R361)),IF($Q$1=$P$5,INDEX(prem_analysis!$BH$1:$BS$23,ROWS(Data!$Q$3:S361),COLUMNS(Data!$Q$3:S361)),IF($Q$1=$P$6,INDEX(prem_analysis!$BU$1:$CF$67,ROWS(prem_analysis!$N$2:P360),COLUMNS(prem_analysis!$N$2:P360)),IF($Q$1=$P$4,INDEX(Table24[[#All],[Year]:[Details]],ROWS(prem_analysis!$M$420:O778),COLUMNS(Data!$Q$3:S361)))))),"")</f>
        <v/>
      </c>
      <c r="U360" s="1" t="str">
        <f>IFERROR(IF($Q$1=$P$3,INDEX(prem_analysis!$P$2:$Q$441,ROWS(Data!$P$2:T360),COLUMNS(Data!$P$3:S361)),IF($Q$1=$P$5,INDEX(prem_analysis!$BH$1:$BS$23,ROWS(Data!$Q$3:T361),COLUMNS(Data!$Q$3:T361)),IF($Q$1=$P$6,INDEX(prem_analysis!$BU$1:$CF$67,ROWS(prem_analysis!$N$2:Q360),COLUMNS(prem_analysis!$N$2:Q360)),IF($Q$1=$P$4,INDEX(Table24[[#All],[Year]:[Details]],ROWS(prem_analysis!$M$420:P778),COLUMNS(Data!$Q$3:T361)))))),"")</f>
        <v/>
      </c>
      <c r="V360" s="1" t="str">
        <f>IFERROR(IF($Q$1=$P$3,INDEX(prem_analysis!$P$2:$Q$441,ROWS(Data!$P$2:U360),COLUMNS(Data!$P$3:T361)),IF($Q$1=$P$5,INDEX(prem_analysis!$BH$1:$BS$23,ROWS(Data!$Q$3:U361),COLUMNS(Data!$Q$3:U361)),IF($Q$1=$P$6,INDEX(prem_analysis!$BU$1:$CF$67,ROWS(prem_analysis!$N$2:R360),COLUMNS(prem_analysis!$N$2:R360)),IF($Q$1=$P$4,INDEX(Table24[[#All],[Year]:[Details]],ROWS(prem_analysis!$M$420:Q778),COLUMNS(Data!$Q$3:U361)))))),"")</f>
        <v/>
      </c>
      <c r="W360" s="1" t="str">
        <f>IFERROR(IF($Q$1=$P$3,INDEX(prem_analysis!$P$2:$Q$441,ROWS(Data!$P$2:V360),COLUMNS(Data!$P$3:U361)),IF($Q$1=$P$5,INDEX(prem_analysis!$BH$1:$BS$23,ROWS(Data!$Q$3:V361),COLUMNS(Data!$Q$3:V361)),IF($Q$1=$P$6,INDEX(prem_analysis!$BU$1:$CF$67,ROWS(prem_analysis!$N$2:S360),COLUMNS(prem_analysis!$N$2:S360)),IF($Q$1=$P$4,INDEX(Table24[[#All],[Year]:[Details]],ROWS(prem_analysis!$M$420:R778),COLUMNS(Data!$Q$3:V361)))))),"")</f>
        <v/>
      </c>
      <c r="X360" s="1" t="str">
        <f>IFERROR(IF($Q$1=$P$3,INDEX(prem_analysis!$P$2:$Q$441,ROWS(Data!$P$2:W360),COLUMNS(Data!$P$3:V361)),IF($Q$1=$P$5,INDEX(prem_analysis!$BH$1:$BS$23,ROWS(Data!$Q$3:W361),COLUMNS(Data!$Q$3:W361)),IF($Q$1=$P$6,INDEX(prem_analysis!$BU$1:$CF$67,ROWS(prem_analysis!$N$2:T360),COLUMNS(prem_analysis!$N$2:T360)),IF($Q$1=$P$4,INDEX(Table24[[#All],[Year]:[Details]],ROWS(prem_analysis!$M$420:S778),COLUMNS(Data!$Q$3:W361)))))),"")</f>
        <v/>
      </c>
      <c r="Y360" s="1" t="str">
        <f>IFERROR(IF($Q$1=$P$3,INDEX(prem_analysis!$P$2:$Q$441,ROWS(Data!$P$2:X360),COLUMNS(Data!$P$3:W361)),IF($Q$1=$P$5,INDEX(prem_analysis!$BH$1:$BS$23,ROWS(Data!$Q$3:X361),COLUMNS(Data!$Q$3:X361)),IF($Q$1=$P$6,INDEX(prem_analysis!$BU$1:$CF$67,ROWS(prem_analysis!$N$2:U360),COLUMNS(prem_analysis!$N$2:U360)),IF($Q$1=$P$4,INDEX(Table24[[#All],[Year]:[Details]],ROWS(prem_analysis!$M$420:T778),COLUMNS(Data!$Q$3:X361)))))),"")</f>
        <v/>
      </c>
      <c r="Z360" s="1" t="str">
        <f>IFERROR(IF($Q$1=$P$3,INDEX(prem_analysis!$P$2:$Q$441,ROWS(Data!$P$2:Y360),COLUMNS(Data!$P$3:X361)),IF($Q$1=$P$5,INDEX(prem_analysis!$BH$1:$BS$23,ROWS(Data!$Q$3:Y361),COLUMNS(Data!$Q$3:Y361)),IF($Q$1=$P$6,INDEX(prem_analysis!$BU$1:$CF$67,ROWS(prem_analysis!$N$2:V360),COLUMNS(prem_analysis!$N$2:V360)),IF($Q$1=$P$4,INDEX(Table24[[#All],[Year]:[Details]],ROWS(prem_analysis!$M$420:U778),COLUMNS(Data!$Q$3:Y361)))))),"")</f>
        <v/>
      </c>
      <c r="AA360" s="1" t="str">
        <f>IFERROR(IF($Q$1=$P$3,INDEX(prem_analysis!$P$2:$Q$441,ROWS(Data!$P$2:Z360),COLUMNS(Data!$P$3:Y361)),IF($Q$1=$P$5,INDEX(prem_analysis!$BH$1:$BS$23,ROWS(Data!$Q$3:Z361),COLUMNS(Data!$Q$3:Z361)),IF($Q$1=$P$6,INDEX(prem_analysis!$BU$1:$CF$67,ROWS(prem_analysis!$N$2:W360),COLUMNS(prem_analysis!$N$2:W360)),IF($Q$1=$P$4,INDEX(Table24[[#All],[Year]:[Details]],ROWS(prem_analysis!$M$420:V778),COLUMNS(Data!$Q$3:Z361)))))),"")</f>
        <v/>
      </c>
      <c r="AB360" s="1" t="str">
        <f>IFERROR(IF($Q$1=$P$3,INDEX(prem_analysis!$P$2:$Q$441,ROWS(Data!$P$2:AA360),COLUMNS(Data!$P$3:Z361)),IF($Q$1=$P$5,INDEX(prem_analysis!$BH$1:$BS$23,ROWS(Data!$Q$3:AA361),COLUMNS(Data!$Q$3:AA361)),IF($Q$1=$P$6,INDEX(prem_analysis!$BU$1:$CF$67,ROWS(prem_analysis!$N$2:X360),COLUMNS(prem_analysis!$N$2:X360)),IF($Q$1=$P$4,INDEX(Table24[[#All],[Year]:[Details]],ROWS(prem_analysis!$M$420:W778),COLUMNS(Data!$Q$3:AA361)))))),"")</f>
        <v/>
      </c>
      <c r="AC360" s="1" t="str">
        <f>IFERROR(IF($Q$1=$P$3,INDEX(prem_analysis!$P$2:$Q$441,ROWS(Data!$P$2:AB360),COLUMNS(Data!$P$3:AA361)),IF($Q$1=$P$5,INDEX(prem_analysis!$BH$1:$BS$23,ROWS(Data!$Q$3:AB361),COLUMNS(Data!$Q$3:AB361)),IF($Q$1=$P$6,INDEX(prem_analysis!$BU$1:$CF$67,ROWS(prem_analysis!$N$2:Y360),COLUMNS(prem_analysis!$N$2:Y360)),IF($Q$1=$P$4,INDEX(Table24[[#All],[Year]:[Details]],ROWS(prem_analysis!$M$420:X778),COLUMNS(Data!$Q$3:AB361)))))),"")</f>
        <v/>
      </c>
    </row>
    <row r="361" spans="1:29" x14ac:dyDescent="0.2">
      <c r="A361" s="5">
        <v>2017</v>
      </c>
      <c r="B361" s="5">
        <v>20</v>
      </c>
      <c r="C361" s="6" t="s">
        <v>35</v>
      </c>
      <c r="D361" s="5">
        <v>38</v>
      </c>
      <c r="E361" s="5">
        <v>6</v>
      </c>
      <c r="F361" s="5">
        <v>13</v>
      </c>
      <c r="G361" s="5">
        <v>19</v>
      </c>
      <c r="H361" s="5">
        <v>31</v>
      </c>
      <c r="I361" s="5">
        <v>56</v>
      </c>
      <c r="J361" s="5">
        <v>-25</v>
      </c>
      <c r="K361" s="5">
        <v>31</v>
      </c>
      <c r="L361" s="5" t="str">
        <f>IF(Table24[[#This Row],['#]]=1,"Champion", IF(Table24[[#This Row],['#]]&gt;=18,"Relegated",Table24[[#This Row],['#]]))</f>
        <v>Relegated</v>
      </c>
      <c r="M361" s="5" t="str">
        <f>IF(Table24[[#This Row],[Details]]=2,K360-Table24[[#This Row],[Pts]],IF(Table24[[#This Row],[Details]]=17,Table24[[#This Row],[Pts]]-K362,""))</f>
        <v/>
      </c>
      <c r="R361" s="1" t="str">
        <f>IFERROR(IF($Q$1=$P$3,INDEX(prem_analysis!$P$2:$Q$441,ROWS(Data!$P$2:Q361),COLUMNS(Data!$P$3:P362)),IF($Q$1=$P$5,INDEX(prem_analysis!$BH$1:$BS$23,ROWS(Data!$Q$3:Q362),COLUMNS(Data!$Q$3:Q362)),IF($Q$1=$P$6,INDEX(prem_analysis!$BU$1:$CF$67,ROWS(prem_analysis!$N$2:N361),COLUMNS(prem_analysis!$N$2:N361)),IF($Q$1=$P$4,INDEX(Table24[[#All],[Year]:[Details]],ROWS(prem_analysis!$M$420:M779),COLUMNS(Data!$Q$3:Q362)))))),"")</f>
        <v/>
      </c>
      <c r="S361" s="1" t="str">
        <f>IFERROR(IF($Q$1=$P$3,INDEX(prem_analysis!$P$2:$Q$441,ROWS(Data!$P$2:R361),COLUMNS(Data!$P$3:Q362)),IF($Q$1=$P$5,INDEX(prem_analysis!$BH$1:$BS$23,ROWS(Data!$Q$3:R362),COLUMNS(Data!$Q$3:R362)),IF($Q$1=$P$6,INDEX(prem_analysis!$BU$1:$CF$67,ROWS(prem_analysis!$N$2:O361),COLUMNS(prem_analysis!$N$2:O361)),IF($Q$1=$P$4,INDEX(Table24[[#All],[Year]:[Details]],ROWS(prem_analysis!$M$420:N779),COLUMNS(Data!$Q$3:R362)))))),"")</f>
        <v/>
      </c>
      <c r="T361" s="1" t="str">
        <f>IFERROR(IF($Q$1=$P$3,INDEX(prem_analysis!$P$2:$Q$441,ROWS(Data!$P$2:S361),COLUMNS(Data!$P$3:R362)),IF($Q$1=$P$5,INDEX(prem_analysis!$BH$1:$BS$23,ROWS(Data!$Q$3:S362),COLUMNS(Data!$Q$3:S362)),IF($Q$1=$P$6,INDEX(prem_analysis!$BU$1:$CF$67,ROWS(prem_analysis!$N$2:P361),COLUMNS(prem_analysis!$N$2:P361)),IF($Q$1=$P$4,INDEX(Table24[[#All],[Year]:[Details]],ROWS(prem_analysis!$M$420:O779),COLUMNS(Data!$Q$3:S362)))))),"")</f>
        <v/>
      </c>
      <c r="U361" s="1" t="str">
        <f>IFERROR(IF($Q$1=$P$3,INDEX(prem_analysis!$P$2:$Q$441,ROWS(Data!$P$2:T361),COLUMNS(Data!$P$3:S362)),IF($Q$1=$P$5,INDEX(prem_analysis!$BH$1:$BS$23,ROWS(Data!$Q$3:T362),COLUMNS(Data!$Q$3:T362)),IF($Q$1=$P$6,INDEX(prem_analysis!$BU$1:$CF$67,ROWS(prem_analysis!$N$2:Q361),COLUMNS(prem_analysis!$N$2:Q361)),IF($Q$1=$P$4,INDEX(Table24[[#All],[Year]:[Details]],ROWS(prem_analysis!$M$420:P779),COLUMNS(Data!$Q$3:T362)))))),"")</f>
        <v/>
      </c>
      <c r="V361" s="1" t="str">
        <f>IFERROR(IF($Q$1=$P$3,INDEX(prem_analysis!$P$2:$Q$441,ROWS(Data!$P$2:U361),COLUMNS(Data!$P$3:T362)),IF($Q$1=$P$5,INDEX(prem_analysis!$BH$1:$BS$23,ROWS(Data!$Q$3:U362),COLUMNS(Data!$Q$3:U362)),IF($Q$1=$P$6,INDEX(prem_analysis!$BU$1:$CF$67,ROWS(prem_analysis!$N$2:R361),COLUMNS(prem_analysis!$N$2:R361)),IF($Q$1=$P$4,INDEX(Table24[[#All],[Year]:[Details]],ROWS(prem_analysis!$M$420:Q779),COLUMNS(Data!$Q$3:U362)))))),"")</f>
        <v/>
      </c>
      <c r="W361" s="1" t="str">
        <f>IFERROR(IF($Q$1=$P$3,INDEX(prem_analysis!$P$2:$Q$441,ROWS(Data!$P$2:V361),COLUMNS(Data!$P$3:U362)),IF($Q$1=$P$5,INDEX(prem_analysis!$BH$1:$BS$23,ROWS(Data!$Q$3:V362),COLUMNS(Data!$Q$3:V362)),IF($Q$1=$P$6,INDEX(prem_analysis!$BU$1:$CF$67,ROWS(prem_analysis!$N$2:S361),COLUMNS(prem_analysis!$N$2:S361)),IF($Q$1=$P$4,INDEX(Table24[[#All],[Year]:[Details]],ROWS(prem_analysis!$M$420:R779),COLUMNS(Data!$Q$3:V362)))))),"")</f>
        <v/>
      </c>
      <c r="X361" s="1" t="str">
        <f>IFERROR(IF($Q$1=$P$3,INDEX(prem_analysis!$P$2:$Q$441,ROWS(Data!$P$2:W361),COLUMNS(Data!$P$3:V362)),IF($Q$1=$P$5,INDEX(prem_analysis!$BH$1:$BS$23,ROWS(Data!$Q$3:W362),COLUMNS(Data!$Q$3:W362)),IF($Q$1=$P$6,INDEX(prem_analysis!$BU$1:$CF$67,ROWS(prem_analysis!$N$2:T361),COLUMNS(prem_analysis!$N$2:T361)),IF($Q$1=$P$4,INDEX(Table24[[#All],[Year]:[Details]],ROWS(prem_analysis!$M$420:S779),COLUMNS(Data!$Q$3:W362)))))),"")</f>
        <v/>
      </c>
      <c r="Y361" s="1" t="str">
        <f>IFERROR(IF($Q$1=$P$3,INDEX(prem_analysis!$P$2:$Q$441,ROWS(Data!$P$2:X361),COLUMNS(Data!$P$3:W362)),IF($Q$1=$P$5,INDEX(prem_analysis!$BH$1:$BS$23,ROWS(Data!$Q$3:X362),COLUMNS(Data!$Q$3:X362)),IF($Q$1=$P$6,INDEX(prem_analysis!$BU$1:$CF$67,ROWS(prem_analysis!$N$2:U361),COLUMNS(prem_analysis!$N$2:U361)),IF($Q$1=$P$4,INDEX(Table24[[#All],[Year]:[Details]],ROWS(prem_analysis!$M$420:T779),COLUMNS(Data!$Q$3:X362)))))),"")</f>
        <v/>
      </c>
      <c r="Z361" s="1" t="str">
        <f>IFERROR(IF($Q$1=$P$3,INDEX(prem_analysis!$P$2:$Q$441,ROWS(Data!$P$2:Y361),COLUMNS(Data!$P$3:X362)),IF($Q$1=$P$5,INDEX(prem_analysis!$BH$1:$BS$23,ROWS(Data!$Q$3:Y362),COLUMNS(Data!$Q$3:Y362)),IF($Q$1=$P$6,INDEX(prem_analysis!$BU$1:$CF$67,ROWS(prem_analysis!$N$2:V361),COLUMNS(prem_analysis!$N$2:V361)),IF($Q$1=$P$4,INDEX(Table24[[#All],[Year]:[Details]],ROWS(prem_analysis!$M$420:U779),COLUMNS(Data!$Q$3:Y362)))))),"")</f>
        <v/>
      </c>
      <c r="AA361" s="1" t="str">
        <f>IFERROR(IF($Q$1=$P$3,INDEX(prem_analysis!$P$2:$Q$441,ROWS(Data!$P$2:Z361),COLUMNS(Data!$P$3:Y362)),IF($Q$1=$P$5,INDEX(prem_analysis!$BH$1:$BS$23,ROWS(Data!$Q$3:Z362),COLUMNS(Data!$Q$3:Z362)),IF($Q$1=$P$6,INDEX(prem_analysis!$BU$1:$CF$67,ROWS(prem_analysis!$N$2:W361),COLUMNS(prem_analysis!$N$2:W361)),IF($Q$1=$P$4,INDEX(Table24[[#All],[Year]:[Details]],ROWS(prem_analysis!$M$420:V779),COLUMNS(Data!$Q$3:Z362)))))),"")</f>
        <v/>
      </c>
      <c r="AB361" s="1" t="str">
        <f>IFERROR(IF($Q$1=$P$3,INDEX(prem_analysis!$P$2:$Q$441,ROWS(Data!$P$2:AA361),COLUMNS(Data!$P$3:Z362)),IF($Q$1=$P$5,INDEX(prem_analysis!$BH$1:$BS$23,ROWS(Data!$Q$3:AA362),COLUMNS(Data!$Q$3:AA362)),IF($Q$1=$P$6,INDEX(prem_analysis!$BU$1:$CF$67,ROWS(prem_analysis!$N$2:X361),COLUMNS(prem_analysis!$N$2:X361)),IF($Q$1=$P$4,INDEX(Table24[[#All],[Year]:[Details]],ROWS(prem_analysis!$M$420:W779),COLUMNS(Data!$Q$3:AA362)))))),"")</f>
        <v/>
      </c>
      <c r="AC361" s="1" t="str">
        <f>IFERROR(IF($Q$1=$P$3,INDEX(prem_analysis!$P$2:$Q$441,ROWS(Data!$P$2:AB361),COLUMNS(Data!$P$3:AA362)),IF($Q$1=$P$5,INDEX(prem_analysis!$BH$1:$BS$23,ROWS(Data!$Q$3:AB362),COLUMNS(Data!$Q$3:AB362)),IF($Q$1=$P$6,INDEX(prem_analysis!$BU$1:$CF$67,ROWS(prem_analysis!$N$2:Y361),COLUMNS(prem_analysis!$N$2:Y361)),IF($Q$1=$P$4,INDEX(Table24[[#All],[Year]:[Details]],ROWS(prem_analysis!$M$420:X779),COLUMNS(Data!$Q$3:AB362)))))),"")</f>
        <v/>
      </c>
    </row>
    <row r="362" spans="1:29" x14ac:dyDescent="0.2">
      <c r="A362" s="3">
        <v>2018</v>
      </c>
      <c r="B362" s="3">
        <v>1</v>
      </c>
      <c r="C362" s="4" t="s">
        <v>28</v>
      </c>
      <c r="D362" s="3">
        <v>38</v>
      </c>
      <c r="E362" s="3">
        <v>32</v>
      </c>
      <c r="F362" s="3">
        <v>2</v>
      </c>
      <c r="G362" s="3">
        <v>4</v>
      </c>
      <c r="H362" s="3">
        <v>95</v>
      </c>
      <c r="I362" s="3">
        <v>23</v>
      </c>
      <c r="J362" s="3">
        <v>72</v>
      </c>
      <c r="K362" s="3">
        <v>98</v>
      </c>
      <c r="L362" s="5" t="str">
        <f>IF(Table24[[#This Row],['#]]=1,"Champion", IF(Table24[[#This Row],['#]]&gt;=18,"Relegated",Table24[[#This Row],['#]]))</f>
        <v>Champion</v>
      </c>
      <c r="M362" s="5" t="str">
        <f>IF(Table24[[#This Row],[Details]]=2,K361-Table24[[#This Row],[Pts]],IF(Table24[[#This Row],[Details]]=17,Table24[[#This Row],[Pts]]-K363,""))</f>
        <v/>
      </c>
      <c r="R362" s="1" t="str">
        <f>IFERROR(IF($Q$1=$P$3,INDEX(prem_analysis!$P$2:$Q$441,ROWS(Data!$P$2:Q362),COLUMNS(Data!$P$3:P363)),IF($Q$1=$P$5,INDEX(prem_analysis!$BH$1:$BS$23,ROWS(Data!$Q$3:Q363),COLUMNS(Data!$Q$3:Q363)),IF($Q$1=$P$6,INDEX(prem_analysis!$BU$1:$CF$67,ROWS(prem_analysis!$N$2:N362),COLUMNS(prem_analysis!$N$2:N362)),IF($Q$1=$P$4,INDEX(Table24[[#All],[Year]:[Details]],ROWS(prem_analysis!$M$420:M780),COLUMNS(Data!$Q$3:Q363)))))),"")</f>
        <v/>
      </c>
      <c r="S362" s="1" t="str">
        <f>IFERROR(IF($Q$1=$P$3,INDEX(prem_analysis!$P$2:$Q$441,ROWS(Data!$P$2:R362),COLUMNS(Data!$P$3:Q363)),IF($Q$1=$P$5,INDEX(prem_analysis!$BH$1:$BS$23,ROWS(Data!$Q$3:R363),COLUMNS(Data!$Q$3:R363)),IF($Q$1=$P$6,INDEX(prem_analysis!$BU$1:$CF$67,ROWS(prem_analysis!$N$2:O362),COLUMNS(prem_analysis!$N$2:O362)),IF($Q$1=$P$4,INDEX(Table24[[#All],[Year]:[Details]],ROWS(prem_analysis!$M$420:N780),COLUMNS(Data!$Q$3:R363)))))),"")</f>
        <v/>
      </c>
      <c r="T362" s="1" t="str">
        <f>IFERROR(IF($Q$1=$P$3,INDEX(prem_analysis!$P$2:$Q$441,ROWS(Data!$P$2:S362),COLUMNS(Data!$P$3:R363)),IF($Q$1=$P$5,INDEX(prem_analysis!$BH$1:$BS$23,ROWS(Data!$Q$3:S363),COLUMNS(Data!$Q$3:S363)),IF($Q$1=$P$6,INDEX(prem_analysis!$BU$1:$CF$67,ROWS(prem_analysis!$N$2:P362),COLUMNS(prem_analysis!$N$2:P362)),IF($Q$1=$P$4,INDEX(Table24[[#All],[Year]:[Details]],ROWS(prem_analysis!$M$420:O780),COLUMNS(Data!$Q$3:S363)))))),"")</f>
        <v/>
      </c>
      <c r="U362" s="1" t="str">
        <f>IFERROR(IF($Q$1=$P$3,INDEX(prem_analysis!$P$2:$Q$441,ROWS(Data!$P$2:T362),COLUMNS(Data!$P$3:S363)),IF($Q$1=$P$5,INDEX(prem_analysis!$BH$1:$BS$23,ROWS(Data!$Q$3:T363),COLUMNS(Data!$Q$3:T363)),IF($Q$1=$P$6,INDEX(prem_analysis!$BU$1:$CF$67,ROWS(prem_analysis!$N$2:Q362),COLUMNS(prem_analysis!$N$2:Q362)),IF($Q$1=$P$4,INDEX(Table24[[#All],[Year]:[Details]],ROWS(prem_analysis!$M$420:P780),COLUMNS(Data!$Q$3:T363)))))),"")</f>
        <v/>
      </c>
      <c r="V362" s="1" t="str">
        <f>IFERROR(IF($Q$1=$P$3,INDEX(prem_analysis!$P$2:$Q$441,ROWS(Data!$P$2:U362),COLUMNS(Data!$P$3:T363)),IF($Q$1=$P$5,INDEX(prem_analysis!$BH$1:$BS$23,ROWS(Data!$Q$3:U363),COLUMNS(Data!$Q$3:U363)),IF($Q$1=$P$6,INDEX(prem_analysis!$BU$1:$CF$67,ROWS(prem_analysis!$N$2:R362),COLUMNS(prem_analysis!$N$2:R362)),IF($Q$1=$P$4,INDEX(Table24[[#All],[Year]:[Details]],ROWS(prem_analysis!$M$420:Q780),COLUMNS(Data!$Q$3:U363)))))),"")</f>
        <v/>
      </c>
      <c r="W362" s="1" t="str">
        <f>IFERROR(IF($Q$1=$P$3,INDEX(prem_analysis!$P$2:$Q$441,ROWS(Data!$P$2:V362),COLUMNS(Data!$P$3:U363)),IF($Q$1=$P$5,INDEX(prem_analysis!$BH$1:$BS$23,ROWS(Data!$Q$3:V363),COLUMNS(Data!$Q$3:V363)),IF($Q$1=$P$6,INDEX(prem_analysis!$BU$1:$CF$67,ROWS(prem_analysis!$N$2:S362),COLUMNS(prem_analysis!$N$2:S362)),IF($Q$1=$P$4,INDEX(Table24[[#All],[Year]:[Details]],ROWS(prem_analysis!$M$420:R780),COLUMNS(Data!$Q$3:V363)))))),"")</f>
        <v/>
      </c>
      <c r="X362" s="1" t="str">
        <f>IFERROR(IF($Q$1=$P$3,INDEX(prem_analysis!$P$2:$Q$441,ROWS(Data!$P$2:W362),COLUMNS(Data!$P$3:V363)),IF($Q$1=$P$5,INDEX(prem_analysis!$BH$1:$BS$23,ROWS(Data!$Q$3:W363),COLUMNS(Data!$Q$3:W363)),IF($Q$1=$P$6,INDEX(prem_analysis!$BU$1:$CF$67,ROWS(prem_analysis!$N$2:T362),COLUMNS(prem_analysis!$N$2:T362)),IF($Q$1=$P$4,INDEX(Table24[[#All],[Year]:[Details]],ROWS(prem_analysis!$M$420:S780),COLUMNS(Data!$Q$3:W363)))))),"")</f>
        <v/>
      </c>
      <c r="Y362" s="1" t="str">
        <f>IFERROR(IF($Q$1=$P$3,INDEX(prem_analysis!$P$2:$Q$441,ROWS(Data!$P$2:X362),COLUMNS(Data!$P$3:W363)),IF($Q$1=$P$5,INDEX(prem_analysis!$BH$1:$BS$23,ROWS(Data!$Q$3:X363),COLUMNS(Data!$Q$3:X363)),IF($Q$1=$P$6,INDEX(prem_analysis!$BU$1:$CF$67,ROWS(prem_analysis!$N$2:U362),COLUMNS(prem_analysis!$N$2:U362)),IF($Q$1=$P$4,INDEX(Table24[[#All],[Year]:[Details]],ROWS(prem_analysis!$M$420:T780),COLUMNS(Data!$Q$3:X363)))))),"")</f>
        <v/>
      </c>
      <c r="Z362" s="1" t="str">
        <f>IFERROR(IF($Q$1=$P$3,INDEX(prem_analysis!$P$2:$Q$441,ROWS(Data!$P$2:Y362),COLUMNS(Data!$P$3:X363)),IF($Q$1=$P$5,INDEX(prem_analysis!$BH$1:$BS$23,ROWS(Data!$Q$3:Y363),COLUMNS(Data!$Q$3:Y363)),IF($Q$1=$P$6,INDEX(prem_analysis!$BU$1:$CF$67,ROWS(prem_analysis!$N$2:V362),COLUMNS(prem_analysis!$N$2:V362)),IF($Q$1=$P$4,INDEX(Table24[[#All],[Year]:[Details]],ROWS(prem_analysis!$M$420:U780),COLUMNS(Data!$Q$3:Y363)))))),"")</f>
        <v/>
      </c>
      <c r="AA362" s="1" t="str">
        <f>IFERROR(IF($Q$1=$P$3,INDEX(prem_analysis!$P$2:$Q$441,ROWS(Data!$P$2:Z362),COLUMNS(Data!$P$3:Y363)),IF($Q$1=$P$5,INDEX(prem_analysis!$BH$1:$BS$23,ROWS(Data!$Q$3:Z363),COLUMNS(Data!$Q$3:Z363)),IF($Q$1=$P$6,INDEX(prem_analysis!$BU$1:$CF$67,ROWS(prem_analysis!$N$2:W362),COLUMNS(prem_analysis!$N$2:W362)),IF($Q$1=$P$4,INDEX(Table24[[#All],[Year]:[Details]],ROWS(prem_analysis!$M$420:V780),COLUMNS(Data!$Q$3:Z363)))))),"")</f>
        <v/>
      </c>
      <c r="AB362" s="1" t="str">
        <f>IFERROR(IF($Q$1=$P$3,INDEX(prem_analysis!$P$2:$Q$441,ROWS(Data!$P$2:AA362),COLUMNS(Data!$P$3:Z363)),IF($Q$1=$P$5,INDEX(prem_analysis!$BH$1:$BS$23,ROWS(Data!$Q$3:AA363),COLUMNS(Data!$Q$3:AA363)),IF($Q$1=$P$6,INDEX(prem_analysis!$BU$1:$CF$67,ROWS(prem_analysis!$N$2:X362),COLUMNS(prem_analysis!$N$2:X362)),IF($Q$1=$P$4,INDEX(Table24[[#All],[Year]:[Details]],ROWS(prem_analysis!$M$420:W780),COLUMNS(Data!$Q$3:AA363)))))),"")</f>
        <v/>
      </c>
      <c r="AC362" s="1" t="str">
        <f>IFERROR(IF($Q$1=$P$3,INDEX(prem_analysis!$P$2:$Q$441,ROWS(Data!$P$2:AB362),COLUMNS(Data!$P$3:AA363)),IF($Q$1=$P$5,INDEX(prem_analysis!$BH$1:$BS$23,ROWS(Data!$Q$3:AB363),COLUMNS(Data!$Q$3:AB363)),IF($Q$1=$P$6,INDEX(prem_analysis!$BU$1:$CF$67,ROWS(prem_analysis!$N$2:Y362),COLUMNS(prem_analysis!$N$2:Y362)),IF($Q$1=$P$4,INDEX(Table24[[#All],[Year]:[Details]],ROWS(prem_analysis!$M$420:X780),COLUMNS(Data!$Q$3:AB363)))))),"")</f>
        <v/>
      </c>
    </row>
    <row r="363" spans="1:29" x14ac:dyDescent="0.2">
      <c r="A363" s="5">
        <v>2018</v>
      </c>
      <c r="B363" s="5">
        <v>2</v>
      </c>
      <c r="C363" s="4" t="s">
        <v>13</v>
      </c>
      <c r="D363" s="5">
        <v>38</v>
      </c>
      <c r="E363" s="5">
        <v>30</v>
      </c>
      <c r="F363" s="5">
        <v>7</v>
      </c>
      <c r="G363" s="5">
        <v>1</v>
      </c>
      <c r="H363" s="5">
        <v>89</v>
      </c>
      <c r="I363" s="5">
        <v>22</v>
      </c>
      <c r="J363" s="5">
        <v>67</v>
      </c>
      <c r="K363" s="5">
        <v>97</v>
      </c>
      <c r="L363" s="5">
        <f>IF(Table24[[#This Row],['#]]=1,"Champion", IF(Table24[[#This Row],['#]]&gt;=18,"Relegated",Table24[[#This Row],['#]]))</f>
        <v>2</v>
      </c>
      <c r="M363" s="5">
        <f>IF(Table24[[#This Row],[Details]]=2,K362-Table24[[#This Row],[Pts]],IF(Table24[[#This Row],[Details]]=17,Table24[[#This Row],[Pts]]-K364,""))</f>
        <v>1</v>
      </c>
      <c r="R363" s="1" t="str">
        <f>IFERROR(IF($Q$1=$P$3,INDEX(prem_analysis!$P$2:$Q$441,ROWS(Data!$P$2:Q363),COLUMNS(Data!$P$3:P364)),IF($Q$1=$P$5,INDEX(prem_analysis!$BH$1:$BS$23,ROWS(Data!$Q$3:Q364),COLUMNS(Data!$Q$3:Q364)),IF($Q$1=$P$6,INDEX(prem_analysis!$BU$1:$CF$67,ROWS(prem_analysis!$N$2:N363),COLUMNS(prem_analysis!$N$2:N363)),IF($Q$1=$P$4,INDEX(Table24[[#All],[Year]:[Details]],ROWS(prem_analysis!$M$420:M781),COLUMNS(Data!$Q$3:Q364)))))),"")</f>
        <v/>
      </c>
      <c r="S363" s="1" t="str">
        <f>IFERROR(IF($Q$1=$P$3,INDEX(prem_analysis!$P$2:$Q$441,ROWS(Data!$P$2:R363),COLUMNS(Data!$P$3:Q364)),IF($Q$1=$P$5,INDEX(prem_analysis!$BH$1:$BS$23,ROWS(Data!$Q$3:R364),COLUMNS(Data!$Q$3:R364)),IF($Q$1=$P$6,INDEX(prem_analysis!$BU$1:$CF$67,ROWS(prem_analysis!$N$2:O363),COLUMNS(prem_analysis!$N$2:O363)),IF($Q$1=$P$4,INDEX(Table24[[#All],[Year]:[Details]],ROWS(prem_analysis!$M$420:N781),COLUMNS(Data!$Q$3:R364)))))),"")</f>
        <v/>
      </c>
      <c r="T363" s="1" t="str">
        <f>IFERROR(IF($Q$1=$P$3,INDEX(prem_analysis!$P$2:$Q$441,ROWS(Data!$P$2:S363),COLUMNS(Data!$P$3:R364)),IF($Q$1=$P$5,INDEX(prem_analysis!$BH$1:$BS$23,ROWS(Data!$Q$3:S364),COLUMNS(Data!$Q$3:S364)),IF($Q$1=$P$6,INDEX(prem_analysis!$BU$1:$CF$67,ROWS(prem_analysis!$N$2:P363),COLUMNS(prem_analysis!$N$2:P363)),IF($Q$1=$P$4,INDEX(Table24[[#All],[Year]:[Details]],ROWS(prem_analysis!$M$420:O781),COLUMNS(Data!$Q$3:S364)))))),"")</f>
        <v/>
      </c>
      <c r="U363" s="1" t="str">
        <f>IFERROR(IF($Q$1=$P$3,INDEX(prem_analysis!$P$2:$Q$441,ROWS(Data!$P$2:T363),COLUMNS(Data!$P$3:S364)),IF($Q$1=$P$5,INDEX(prem_analysis!$BH$1:$BS$23,ROWS(Data!$Q$3:T364),COLUMNS(Data!$Q$3:T364)),IF($Q$1=$P$6,INDEX(prem_analysis!$BU$1:$CF$67,ROWS(prem_analysis!$N$2:Q363),COLUMNS(prem_analysis!$N$2:Q363)),IF($Q$1=$P$4,INDEX(Table24[[#All],[Year]:[Details]],ROWS(prem_analysis!$M$420:P781),COLUMNS(Data!$Q$3:T364)))))),"")</f>
        <v/>
      </c>
      <c r="V363" s="1" t="str">
        <f>IFERROR(IF($Q$1=$P$3,INDEX(prem_analysis!$P$2:$Q$441,ROWS(Data!$P$2:U363),COLUMNS(Data!$P$3:T364)),IF($Q$1=$P$5,INDEX(prem_analysis!$BH$1:$BS$23,ROWS(Data!$Q$3:U364),COLUMNS(Data!$Q$3:U364)),IF($Q$1=$P$6,INDEX(prem_analysis!$BU$1:$CF$67,ROWS(prem_analysis!$N$2:R363),COLUMNS(prem_analysis!$N$2:R363)),IF($Q$1=$P$4,INDEX(Table24[[#All],[Year]:[Details]],ROWS(prem_analysis!$M$420:Q781),COLUMNS(Data!$Q$3:U364)))))),"")</f>
        <v/>
      </c>
      <c r="W363" s="1" t="str">
        <f>IFERROR(IF($Q$1=$P$3,INDEX(prem_analysis!$P$2:$Q$441,ROWS(Data!$P$2:V363),COLUMNS(Data!$P$3:U364)),IF($Q$1=$P$5,INDEX(prem_analysis!$BH$1:$BS$23,ROWS(Data!$Q$3:V364),COLUMNS(Data!$Q$3:V364)),IF($Q$1=$P$6,INDEX(prem_analysis!$BU$1:$CF$67,ROWS(prem_analysis!$N$2:S363),COLUMNS(prem_analysis!$N$2:S363)),IF($Q$1=$P$4,INDEX(Table24[[#All],[Year]:[Details]],ROWS(prem_analysis!$M$420:R781),COLUMNS(Data!$Q$3:V364)))))),"")</f>
        <v/>
      </c>
      <c r="X363" s="1" t="str">
        <f>IFERROR(IF($Q$1=$P$3,INDEX(prem_analysis!$P$2:$Q$441,ROWS(Data!$P$2:W363),COLUMNS(Data!$P$3:V364)),IF($Q$1=$P$5,INDEX(prem_analysis!$BH$1:$BS$23,ROWS(Data!$Q$3:W364),COLUMNS(Data!$Q$3:W364)),IF($Q$1=$P$6,INDEX(prem_analysis!$BU$1:$CF$67,ROWS(prem_analysis!$N$2:T363),COLUMNS(prem_analysis!$N$2:T363)),IF($Q$1=$P$4,INDEX(Table24[[#All],[Year]:[Details]],ROWS(prem_analysis!$M$420:S781),COLUMNS(Data!$Q$3:W364)))))),"")</f>
        <v/>
      </c>
      <c r="Y363" s="1" t="str">
        <f>IFERROR(IF($Q$1=$P$3,INDEX(prem_analysis!$P$2:$Q$441,ROWS(Data!$P$2:X363),COLUMNS(Data!$P$3:W364)),IF($Q$1=$P$5,INDEX(prem_analysis!$BH$1:$BS$23,ROWS(Data!$Q$3:X364),COLUMNS(Data!$Q$3:X364)),IF($Q$1=$P$6,INDEX(prem_analysis!$BU$1:$CF$67,ROWS(prem_analysis!$N$2:U363),COLUMNS(prem_analysis!$N$2:U363)),IF($Q$1=$P$4,INDEX(Table24[[#All],[Year]:[Details]],ROWS(prem_analysis!$M$420:T781),COLUMNS(Data!$Q$3:X364)))))),"")</f>
        <v/>
      </c>
      <c r="Z363" s="1" t="str">
        <f>IFERROR(IF($Q$1=$P$3,INDEX(prem_analysis!$P$2:$Q$441,ROWS(Data!$P$2:Y363),COLUMNS(Data!$P$3:X364)),IF($Q$1=$P$5,INDEX(prem_analysis!$BH$1:$BS$23,ROWS(Data!$Q$3:Y364),COLUMNS(Data!$Q$3:Y364)),IF($Q$1=$P$6,INDEX(prem_analysis!$BU$1:$CF$67,ROWS(prem_analysis!$N$2:V363),COLUMNS(prem_analysis!$N$2:V363)),IF($Q$1=$P$4,INDEX(Table24[[#All],[Year]:[Details]],ROWS(prem_analysis!$M$420:U781),COLUMNS(Data!$Q$3:Y364)))))),"")</f>
        <v/>
      </c>
      <c r="AA363" s="1" t="str">
        <f>IFERROR(IF($Q$1=$P$3,INDEX(prem_analysis!$P$2:$Q$441,ROWS(Data!$P$2:Z363),COLUMNS(Data!$P$3:Y364)),IF($Q$1=$P$5,INDEX(prem_analysis!$BH$1:$BS$23,ROWS(Data!$Q$3:Z364),COLUMNS(Data!$Q$3:Z364)),IF($Q$1=$P$6,INDEX(prem_analysis!$BU$1:$CF$67,ROWS(prem_analysis!$N$2:W363),COLUMNS(prem_analysis!$N$2:W363)),IF($Q$1=$P$4,INDEX(Table24[[#All],[Year]:[Details]],ROWS(prem_analysis!$M$420:V781),COLUMNS(Data!$Q$3:Z364)))))),"")</f>
        <v/>
      </c>
      <c r="AB363" s="1" t="str">
        <f>IFERROR(IF($Q$1=$P$3,INDEX(prem_analysis!$P$2:$Q$441,ROWS(Data!$P$2:AA363),COLUMNS(Data!$P$3:Z364)),IF($Q$1=$P$5,INDEX(prem_analysis!$BH$1:$BS$23,ROWS(Data!$Q$3:AA364),COLUMNS(Data!$Q$3:AA364)),IF($Q$1=$P$6,INDEX(prem_analysis!$BU$1:$CF$67,ROWS(prem_analysis!$N$2:X363),COLUMNS(prem_analysis!$N$2:X363)),IF($Q$1=$P$4,INDEX(Table24[[#All],[Year]:[Details]],ROWS(prem_analysis!$M$420:W781),COLUMNS(Data!$Q$3:AA364)))))),"")</f>
        <v/>
      </c>
      <c r="AC363" s="1" t="str">
        <f>IFERROR(IF($Q$1=$P$3,INDEX(prem_analysis!$P$2:$Q$441,ROWS(Data!$P$2:AB363),COLUMNS(Data!$P$3:AA364)),IF($Q$1=$P$5,INDEX(prem_analysis!$BH$1:$BS$23,ROWS(Data!$Q$3:AB364),COLUMNS(Data!$Q$3:AB364)),IF($Q$1=$P$6,INDEX(prem_analysis!$BU$1:$CF$67,ROWS(prem_analysis!$N$2:Y363),COLUMNS(prem_analysis!$N$2:Y363)),IF($Q$1=$P$4,INDEX(Table24[[#All],[Year]:[Details]],ROWS(prem_analysis!$M$420:X781),COLUMNS(Data!$Q$3:AB364)))))),"")</f>
        <v/>
      </c>
    </row>
    <row r="364" spans="1:29" x14ac:dyDescent="0.2">
      <c r="A364" s="3">
        <v>2018</v>
      </c>
      <c r="B364" s="3">
        <v>3</v>
      </c>
      <c r="C364" s="4" t="s">
        <v>16</v>
      </c>
      <c r="D364" s="3">
        <v>38</v>
      </c>
      <c r="E364" s="3">
        <v>21</v>
      </c>
      <c r="F364" s="3">
        <v>9</v>
      </c>
      <c r="G364" s="3">
        <v>8</v>
      </c>
      <c r="H364" s="3">
        <v>63</v>
      </c>
      <c r="I364" s="3">
        <v>39</v>
      </c>
      <c r="J364" s="3">
        <v>24</v>
      </c>
      <c r="K364" s="3">
        <v>72</v>
      </c>
      <c r="L364" s="5">
        <f>IF(Table24[[#This Row],['#]]=1,"Champion", IF(Table24[[#This Row],['#]]&gt;=18,"Relegated",Table24[[#This Row],['#]]))</f>
        <v>3</v>
      </c>
      <c r="M364" s="5" t="str">
        <f>IF(Table24[[#This Row],[Details]]=2,K363-Table24[[#This Row],[Pts]],IF(Table24[[#This Row],[Details]]=17,Table24[[#This Row],[Pts]]-K365,""))</f>
        <v/>
      </c>
      <c r="R364" s="1" t="str">
        <f>IFERROR(IF($Q$1=$P$3,INDEX(prem_analysis!$P$2:$Q$441,ROWS(Data!$P$2:Q364),COLUMNS(Data!$P$3:P365)),IF($Q$1=$P$5,INDEX(prem_analysis!$BH$1:$BS$23,ROWS(Data!$Q$3:Q365),COLUMNS(Data!$Q$3:Q365)),IF($Q$1=$P$6,INDEX(prem_analysis!$BU$1:$CF$67,ROWS(prem_analysis!$N$2:N364),COLUMNS(prem_analysis!$N$2:N364)),IF($Q$1=$P$4,INDEX(Table24[[#All],[Year]:[Details]],ROWS(prem_analysis!$M$420:M782),COLUMNS(Data!$Q$3:Q365)))))),"")</f>
        <v/>
      </c>
      <c r="S364" s="1" t="str">
        <f>IFERROR(IF($Q$1=$P$3,INDEX(prem_analysis!$P$2:$Q$441,ROWS(Data!$P$2:R364),COLUMNS(Data!$P$3:Q365)),IF($Q$1=$P$5,INDEX(prem_analysis!$BH$1:$BS$23,ROWS(Data!$Q$3:R365),COLUMNS(Data!$Q$3:R365)),IF($Q$1=$P$6,INDEX(prem_analysis!$BU$1:$CF$67,ROWS(prem_analysis!$N$2:O364),COLUMNS(prem_analysis!$N$2:O364)),IF($Q$1=$P$4,INDEX(Table24[[#All],[Year]:[Details]],ROWS(prem_analysis!$M$420:N782),COLUMNS(Data!$Q$3:R365)))))),"")</f>
        <v/>
      </c>
      <c r="T364" s="1" t="str">
        <f>IFERROR(IF($Q$1=$P$3,INDEX(prem_analysis!$P$2:$Q$441,ROWS(Data!$P$2:S364),COLUMNS(Data!$P$3:R365)),IF($Q$1=$P$5,INDEX(prem_analysis!$BH$1:$BS$23,ROWS(Data!$Q$3:S365),COLUMNS(Data!$Q$3:S365)),IF($Q$1=$P$6,INDEX(prem_analysis!$BU$1:$CF$67,ROWS(prem_analysis!$N$2:P364),COLUMNS(prem_analysis!$N$2:P364)),IF($Q$1=$P$4,INDEX(Table24[[#All],[Year]:[Details]],ROWS(prem_analysis!$M$420:O782),COLUMNS(Data!$Q$3:S365)))))),"")</f>
        <v/>
      </c>
      <c r="U364" s="1" t="str">
        <f>IFERROR(IF($Q$1=$P$3,INDEX(prem_analysis!$P$2:$Q$441,ROWS(Data!$P$2:T364),COLUMNS(Data!$P$3:S365)),IF($Q$1=$P$5,INDEX(prem_analysis!$BH$1:$BS$23,ROWS(Data!$Q$3:T365),COLUMNS(Data!$Q$3:T365)),IF($Q$1=$P$6,INDEX(prem_analysis!$BU$1:$CF$67,ROWS(prem_analysis!$N$2:Q364),COLUMNS(prem_analysis!$N$2:Q364)),IF($Q$1=$P$4,INDEX(Table24[[#All],[Year]:[Details]],ROWS(prem_analysis!$M$420:P782),COLUMNS(Data!$Q$3:T365)))))),"")</f>
        <v/>
      </c>
      <c r="V364" s="1" t="str">
        <f>IFERROR(IF($Q$1=$P$3,INDEX(prem_analysis!$P$2:$Q$441,ROWS(Data!$P$2:U364),COLUMNS(Data!$P$3:T365)),IF($Q$1=$P$5,INDEX(prem_analysis!$BH$1:$BS$23,ROWS(Data!$Q$3:U365),COLUMNS(Data!$Q$3:U365)),IF($Q$1=$P$6,INDEX(prem_analysis!$BU$1:$CF$67,ROWS(prem_analysis!$N$2:R364),COLUMNS(prem_analysis!$N$2:R364)),IF($Q$1=$P$4,INDEX(Table24[[#All],[Year]:[Details]],ROWS(prem_analysis!$M$420:Q782),COLUMNS(Data!$Q$3:U365)))))),"")</f>
        <v/>
      </c>
      <c r="W364" s="1" t="str">
        <f>IFERROR(IF($Q$1=$P$3,INDEX(prem_analysis!$P$2:$Q$441,ROWS(Data!$P$2:V364),COLUMNS(Data!$P$3:U365)),IF($Q$1=$P$5,INDEX(prem_analysis!$BH$1:$BS$23,ROWS(Data!$Q$3:V365),COLUMNS(Data!$Q$3:V365)),IF($Q$1=$P$6,INDEX(prem_analysis!$BU$1:$CF$67,ROWS(prem_analysis!$N$2:S364),COLUMNS(prem_analysis!$N$2:S364)),IF($Q$1=$P$4,INDEX(Table24[[#All],[Year]:[Details]],ROWS(prem_analysis!$M$420:R782),COLUMNS(Data!$Q$3:V365)))))),"")</f>
        <v/>
      </c>
      <c r="X364" s="1" t="str">
        <f>IFERROR(IF($Q$1=$P$3,INDEX(prem_analysis!$P$2:$Q$441,ROWS(Data!$P$2:W364),COLUMNS(Data!$P$3:V365)),IF($Q$1=$P$5,INDEX(prem_analysis!$BH$1:$BS$23,ROWS(Data!$Q$3:W365),COLUMNS(Data!$Q$3:W365)),IF($Q$1=$P$6,INDEX(prem_analysis!$BU$1:$CF$67,ROWS(prem_analysis!$N$2:T364),COLUMNS(prem_analysis!$N$2:T364)),IF($Q$1=$P$4,INDEX(Table24[[#All],[Year]:[Details]],ROWS(prem_analysis!$M$420:S782),COLUMNS(Data!$Q$3:W365)))))),"")</f>
        <v/>
      </c>
      <c r="Y364" s="1" t="str">
        <f>IFERROR(IF($Q$1=$P$3,INDEX(prem_analysis!$P$2:$Q$441,ROWS(Data!$P$2:X364),COLUMNS(Data!$P$3:W365)),IF($Q$1=$P$5,INDEX(prem_analysis!$BH$1:$BS$23,ROWS(Data!$Q$3:X365),COLUMNS(Data!$Q$3:X365)),IF($Q$1=$P$6,INDEX(prem_analysis!$BU$1:$CF$67,ROWS(prem_analysis!$N$2:U364),COLUMNS(prem_analysis!$N$2:U364)),IF($Q$1=$P$4,INDEX(Table24[[#All],[Year]:[Details]],ROWS(prem_analysis!$M$420:T782),COLUMNS(Data!$Q$3:X365)))))),"")</f>
        <v/>
      </c>
      <c r="Z364" s="1" t="str">
        <f>IFERROR(IF($Q$1=$P$3,INDEX(prem_analysis!$P$2:$Q$441,ROWS(Data!$P$2:Y364),COLUMNS(Data!$P$3:X365)),IF($Q$1=$P$5,INDEX(prem_analysis!$BH$1:$BS$23,ROWS(Data!$Q$3:Y365),COLUMNS(Data!$Q$3:Y365)),IF($Q$1=$P$6,INDEX(prem_analysis!$BU$1:$CF$67,ROWS(prem_analysis!$N$2:V364),COLUMNS(prem_analysis!$N$2:V364)),IF($Q$1=$P$4,INDEX(Table24[[#All],[Year]:[Details]],ROWS(prem_analysis!$M$420:U782),COLUMNS(Data!$Q$3:Y365)))))),"")</f>
        <v/>
      </c>
      <c r="AA364" s="1" t="str">
        <f>IFERROR(IF($Q$1=$P$3,INDEX(prem_analysis!$P$2:$Q$441,ROWS(Data!$P$2:Z364),COLUMNS(Data!$P$3:Y365)),IF($Q$1=$P$5,INDEX(prem_analysis!$BH$1:$BS$23,ROWS(Data!$Q$3:Z365),COLUMNS(Data!$Q$3:Z365)),IF($Q$1=$P$6,INDEX(prem_analysis!$BU$1:$CF$67,ROWS(prem_analysis!$N$2:W364),COLUMNS(prem_analysis!$N$2:W364)),IF($Q$1=$P$4,INDEX(Table24[[#All],[Year]:[Details]],ROWS(prem_analysis!$M$420:V782),COLUMNS(Data!$Q$3:Z365)))))),"")</f>
        <v/>
      </c>
      <c r="AB364" s="1" t="str">
        <f>IFERROR(IF($Q$1=$P$3,INDEX(prem_analysis!$P$2:$Q$441,ROWS(Data!$P$2:AA364),COLUMNS(Data!$P$3:Z365)),IF($Q$1=$P$5,INDEX(prem_analysis!$BH$1:$BS$23,ROWS(Data!$Q$3:AA365),COLUMNS(Data!$Q$3:AA365)),IF($Q$1=$P$6,INDEX(prem_analysis!$BU$1:$CF$67,ROWS(prem_analysis!$N$2:X364),COLUMNS(prem_analysis!$N$2:X364)),IF($Q$1=$P$4,INDEX(Table24[[#All],[Year]:[Details]],ROWS(prem_analysis!$M$420:W782),COLUMNS(Data!$Q$3:AA365)))))),"")</f>
        <v/>
      </c>
      <c r="AC364" s="1" t="str">
        <f>IFERROR(IF($Q$1=$P$3,INDEX(prem_analysis!$P$2:$Q$441,ROWS(Data!$P$2:AB364),COLUMNS(Data!$P$3:AA365)),IF($Q$1=$P$5,INDEX(prem_analysis!$BH$1:$BS$23,ROWS(Data!$Q$3:AB365),COLUMNS(Data!$Q$3:AB365)),IF($Q$1=$P$6,INDEX(prem_analysis!$BU$1:$CF$67,ROWS(prem_analysis!$N$2:Y364),COLUMNS(prem_analysis!$N$2:Y364)),IF($Q$1=$P$4,INDEX(Table24[[#All],[Year]:[Details]],ROWS(prem_analysis!$M$420:X782),COLUMNS(Data!$Q$3:AB365)))))),"")</f>
        <v/>
      </c>
    </row>
    <row r="365" spans="1:29" x14ac:dyDescent="0.2">
      <c r="A365" s="5">
        <v>2018</v>
      </c>
      <c r="B365" s="5">
        <v>4</v>
      </c>
      <c r="C365" s="6" t="s">
        <v>22</v>
      </c>
      <c r="D365" s="5">
        <v>38</v>
      </c>
      <c r="E365" s="5">
        <v>23</v>
      </c>
      <c r="F365" s="5">
        <v>2</v>
      </c>
      <c r="G365" s="5">
        <v>13</v>
      </c>
      <c r="H365" s="5">
        <v>67</v>
      </c>
      <c r="I365" s="5">
        <v>39</v>
      </c>
      <c r="J365" s="5">
        <v>28</v>
      </c>
      <c r="K365" s="5">
        <v>71</v>
      </c>
      <c r="L365" s="5">
        <f>IF(Table24[[#This Row],['#]]=1,"Champion", IF(Table24[[#This Row],['#]]&gt;=18,"Relegated",Table24[[#This Row],['#]]))</f>
        <v>4</v>
      </c>
      <c r="M365" s="5" t="str">
        <f>IF(Table24[[#This Row],[Details]]=2,K364-Table24[[#This Row],[Pts]],IF(Table24[[#This Row],[Details]]=17,Table24[[#This Row],[Pts]]-K366,""))</f>
        <v/>
      </c>
      <c r="R365" s="1" t="str">
        <f>IFERROR(IF($Q$1=$P$3,INDEX(prem_analysis!$P$2:$Q$441,ROWS(Data!$P$2:Q365),COLUMNS(Data!$P$3:P366)),IF($Q$1=$P$5,INDEX(prem_analysis!$BH$1:$BS$23,ROWS(Data!$Q$3:Q366),COLUMNS(Data!$Q$3:Q366)),IF($Q$1=$P$6,INDEX(prem_analysis!$BU$1:$CF$67,ROWS(prem_analysis!$N$2:N365),COLUMNS(prem_analysis!$N$2:N365)),IF($Q$1=$P$4,INDEX(Table24[[#All],[Year]:[Details]],ROWS(prem_analysis!$M$420:M783),COLUMNS(Data!$Q$3:Q366)))))),"")</f>
        <v/>
      </c>
      <c r="S365" s="1" t="str">
        <f>IFERROR(IF($Q$1=$P$3,INDEX(prem_analysis!$P$2:$Q$441,ROWS(Data!$P$2:R365),COLUMNS(Data!$P$3:Q366)),IF($Q$1=$P$5,INDEX(prem_analysis!$BH$1:$BS$23,ROWS(Data!$Q$3:R366),COLUMNS(Data!$Q$3:R366)),IF($Q$1=$P$6,INDEX(prem_analysis!$BU$1:$CF$67,ROWS(prem_analysis!$N$2:O365),COLUMNS(prem_analysis!$N$2:O365)),IF($Q$1=$P$4,INDEX(Table24[[#All],[Year]:[Details]],ROWS(prem_analysis!$M$420:N783),COLUMNS(Data!$Q$3:R366)))))),"")</f>
        <v/>
      </c>
      <c r="T365" s="1" t="str">
        <f>IFERROR(IF($Q$1=$P$3,INDEX(prem_analysis!$P$2:$Q$441,ROWS(Data!$P$2:S365),COLUMNS(Data!$P$3:R366)),IF($Q$1=$P$5,INDEX(prem_analysis!$BH$1:$BS$23,ROWS(Data!$Q$3:S366),COLUMNS(Data!$Q$3:S366)),IF($Q$1=$P$6,INDEX(prem_analysis!$BU$1:$CF$67,ROWS(prem_analysis!$N$2:P365),COLUMNS(prem_analysis!$N$2:P365)),IF($Q$1=$P$4,INDEX(Table24[[#All],[Year]:[Details]],ROWS(prem_analysis!$M$420:O783),COLUMNS(Data!$Q$3:S366)))))),"")</f>
        <v/>
      </c>
      <c r="U365" s="1" t="str">
        <f>IFERROR(IF($Q$1=$P$3,INDEX(prem_analysis!$P$2:$Q$441,ROWS(Data!$P$2:T365),COLUMNS(Data!$P$3:S366)),IF($Q$1=$P$5,INDEX(prem_analysis!$BH$1:$BS$23,ROWS(Data!$Q$3:T366),COLUMNS(Data!$Q$3:T366)),IF($Q$1=$P$6,INDEX(prem_analysis!$BU$1:$CF$67,ROWS(prem_analysis!$N$2:Q365),COLUMNS(prem_analysis!$N$2:Q365)),IF($Q$1=$P$4,INDEX(Table24[[#All],[Year]:[Details]],ROWS(prem_analysis!$M$420:P783),COLUMNS(Data!$Q$3:T366)))))),"")</f>
        <v/>
      </c>
      <c r="V365" s="1" t="str">
        <f>IFERROR(IF($Q$1=$P$3,INDEX(prem_analysis!$P$2:$Q$441,ROWS(Data!$P$2:U365),COLUMNS(Data!$P$3:T366)),IF($Q$1=$P$5,INDEX(prem_analysis!$BH$1:$BS$23,ROWS(Data!$Q$3:U366),COLUMNS(Data!$Q$3:U366)),IF($Q$1=$P$6,INDEX(prem_analysis!$BU$1:$CF$67,ROWS(prem_analysis!$N$2:R365),COLUMNS(prem_analysis!$N$2:R365)),IF($Q$1=$P$4,INDEX(Table24[[#All],[Year]:[Details]],ROWS(prem_analysis!$M$420:Q783),COLUMNS(Data!$Q$3:U366)))))),"")</f>
        <v/>
      </c>
      <c r="W365" s="1" t="str">
        <f>IFERROR(IF($Q$1=$P$3,INDEX(prem_analysis!$P$2:$Q$441,ROWS(Data!$P$2:V365),COLUMNS(Data!$P$3:U366)),IF($Q$1=$P$5,INDEX(prem_analysis!$BH$1:$BS$23,ROWS(Data!$Q$3:V366),COLUMNS(Data!$Q$3:V366)),IF($Q$1=$P$6,INDEX(prem_analysis!$BU$1:$CF$67,ROWS(prem_analysis!$N$2:S365),COLUMNS(prem_analysis!$N$2:S365)),IF($Q$1=$P$4,INDEX(Table24[[#All],[Year]:[Details]],ROWS(prem_analysis!$M$420:R783),COLUMNS(Data!$Q$3:V366)))))),"")</f>
        <v/>
      </c>
      <c r="X365" s="1" t="str">
        <f>IFERROR(IF($Q$1=$P$3,INDEX(prem_analysis!$P$2:$Q$441,ROWS(Data!$P$2:W365),COLUMNS(Data!$P$3:V366)),IF($Q$1=$P$5,INDEX(prem_analysis!$BH$1:$BS$23,ROWS(Data!$Q$3:W366),COLUMNS(Data!$Q$3:W366)),IF($Q$1=$P$6,INDEX(prem_analysis!$BU$1:$CF$67,ROWS(prem_analysis!$N$2:T365),COLUMNS(prem_analysis!$N$2:T365)),IF($Q$1=$P$4,INDEX(Table24[[#All],[Year]:[Details]],ROWS(prem_analysis!$M$420:S783),COLUMNS(Data!$Q$3:W366)))))),"")</f>
        <v/>
      </c>
      <c r="Y365" s="1" t="str">
        <f>IFERROR(IF($Q$1=$P$3,INDEX(prem_analysis!$P$2:$Q$441,ROWS(Data!$P$2:X365),COLUMNS(Data!$P$3:W366)),IF($Q$1=$P$5,INDEX(prem_analysis!$BH$1:$BS$23,ROWS(Data!$Q$3:X366),COLUMNS(Data!$Q$3:X366)),IF($Q$1=$P$6,INDEX(prem_analysis!$BU$1:$CF$67,ROWS(prem_analysis!$N$2:U365),COLUMNS(prem_analysis!$N$2:U365)),IF($Q$1=$P$4,INDEX(Table24[[#All],[Year]:[Details]],ROWS(prem_analysis!$M$420:T783),COLUMNS(Data!$Q$3:X366)))))),"")</f>
        <v/>
      </c>
      <c r="Z365" s="1" t="str">
        <f>IFERROR(IF($Q$1=$P$3,INDEX(prem_analysis!$P$2:$Q$441,ROWS(Data!$P$2:Y365),COLUMNS(Data!$P$3:X366)),IF($Q$1=$P$5,INDEX(prem_analysis!$BH$1:$BS$23,ROWS(Data!$Q$3:Y366),COLUMNS(Data!$Q$3:Y366)),IF($Q$1=$P$6,INDEX(prem_analysis!$BU$1:$CF$67,ROWS(prem_analysis!$N$2:V365),COLUMNS(prem_analysis!$N$2:V365)),IF($Q$1=$P$4,INDEX(Table24[[#All],[Year]:[Details]],ROWS(prem_analysis!$M$420:U783),COLUMNS(Data!$Q$3:Y366)))))),"")</f>
        <v/>
      </c>
      <c r="AA365" s="1" t="str">
        <f>IFERROR(IF($Q$1=$P$3,INDEX(prem_analysis!$P$2:$Q$441,ROWS(Data!$P$2:Z365),COLUMNS(Data!$P$3:Y366)),IF($Q$1=$P$5,INDEX(prem_analysis!$BH$1:$BS$23,ROWS(Data!$Q$3:Z366),COLUMNS(Data!$Q$3:Z366)),IF($Q$1=$P$6,INDEX(prem_analysis!$BU$1:$CF$67,ROWS(prem_analysis!$N$2:W365),COLUMNS(prem_analysis!$N$2:W365)),IF($Q$1=$P$4,INDEX(Table24[[#All],[Year]:[Details]],ROWS(prem_analysis!$M$420:V783),COLUMNS(Data!$Q$3:Z366)))))),"")</f>
        <v/>
      </c>
      <c r="AB365" s="1" t="str">
        <f>IFERROR(IF($Q$1=$P$3,INDEX(prem_analysis!$P$2:$Q$441,ROWS(Data!$P$2:AA365),COLUMNS(Data!$P$3:Z366)),IF($Q$1=$P$5,INDEX(prem_analysis!$BH$1:$BS$23,ROWS(Data!$Q$3:AA366),COLUMNS(Data!$Q$3:AA366)),IF($Q$1=$P$6,INDEX(prem_analysis!$BU$1:$CF$67,ROWS(prem_analysis!$N$2:X365),COLUMNS(prem_analysis!$N$2:X365)),IF($Q$1=$P$4,INDEX(Table24[[#All],[Year]:[Details]],ROWS(prem_analysis!$M$420:W783),COLUMNS(Data!$Q$3:AA366)))))),"")</f>
        <v/>
      </c>
      <c r="AC365" s="1" t="str">
        <f>IFERROR(IF($Q$1=$P$3,INDEX(prem_analysis!$P$2:$Q$441,ROWS(Data!$P$2:AB365),COLUMNS(Data!$P$3:AA366)),IF($Q$1=$P$5,INDEX(prem_analysis!$BH$1:$BS$23,ROWS(Data!$Q$3:AB366),COLUMNS(Data!$Q$3:AB366)),IF($Q$1=$P$6,INDEX(prem_analysis!$BU$1:$CF$67,ROWS(prem_analysis!$N$2:Y365),COLUMNS(prem_analysis!$N$2:Y365)),IF($Q$1=$P$4,INDEX(Table24[[#All],[Year]:[Details]],ROWS(prem_analysis!$M$420:X783),COLUMNS(Data!$Q$3:AB366)))))),"")</f>
        <v/>
      </c>
    </row>
    <row r="366" spans="1:29" x14ac:dyDescent="0.2">
      <c r="A366" s="3">
        <v>2018</v>
      </c>
      <c r="B366" s="3">
        <v>5</v>
      </c>
      <c r="C366" s="6" t="s">
        <v>12</v>
      </c>
      <c r="D366" s="3">
        <v>38</v>
      </c>
      <c r="E366" s="3">
        <v>21</v>
      </c>
      <c r="F366" s="3">
        <v>7</v>
      </c>
      <c r="G366" s="3">
        <v>10</v>
      </c>
      <c r="H366" s="3">
        <v>73</v>
      </c>
      <c r="I366" s="3">
        <v>51</v>
      </c>
      <c r="J366" s="3">
        <v>22</v>
      </c>
      <c r="K366" s="3">
        <v>70</v>
      </c>
      <c r="L366" s="5">
        <f>IF(Table24[[#This Row],['#]]=1,"Champion", IF(Table24[[#This Row],['#]]&gt;=18,"Relegated",Table24[[#This Row],['#]]))</f>
        <v>5</v>
      </c>
      <c r="M366" s="5" t="str">
        <f>IF(Table24[[#This Row],[Details]]=2,K365-Table24[[#This Row],[Pts]],IF(Table24[[#This Row],[Details]]=17,Table24[[#This Row],[Pts]]-K367,""))</f>
        <v/>
      </c>
      <c r="R366" s="1" t="str">
        <f>IFERROR(IF($Q$1=$P$3,INDEX(prem_analysis!$P$2:$Q$441,ROWS(Data!$P$2:Q366),COLUMNS(Data!$P$3:P367)),IF($Q$1=$P$5,INDEX(prem_analysis!$BH$1:$BS$23,ROWS(Data!$Q$3:Q367),COLUMNS(Data!$Q$3:Q367)),IF($Q$1=$P$6,INDEX(prem_analysis!$BU$1:$CF$67,ROWS(prem_analysis!$N$2:N366),COLUMNS(prem_analysis!$N$2:N366)),IF($Q$1=$P$4,INDEX(Table24[[#All],[Year]:[Details]],ROWS(prem_analysis!$M$420:M784),COLUMNS(Data!$Q$3:Q367)))))),"")</f>
        <v/>
      </c>
      <c r="S366" s="1" t="str">
        <f>IFERROR(IF($Q$1=$P$3,INDEX(prem_analysis!$P$2:$Q$441,ROWS(Data!$P$2:R366),COLUMNS(Data!$P$3:Q367)),IF($Q$1=$P$5,INDEX(prem_analysis!$BH$1:$BS$23,ROWS(Data!$Q$3:R367),COLUMNS(Data!$Q$3:R367)),IF($Q$1=$P$6,INDEX(prem_analysis!$BU$1:$CF$67,ROWS(prem_analysis!$N$2:O366),COLUMNS(prem_analysis!$N$2:O366)),IF($Q$1=$P$4,INDEX(Table24[[#All],[Year]:[Details]],ROWS(prem_analysis!$M$420:N784),COLUMNS(Data!$Q$3:R367)))))),"")</f>
        <v/>
      </c>
      <c r="T366" s="1" t="str">
        <f>IFERROR(IF($Q$1=$P$3,INDEX(prem_analysis!$P$2:$Q$441,ROWS(Data!$P$2:S366),COLUMNS(Data!$P$3:R367)),IF($Q$1=$P$5,INDEX(prem_analysis!$BH$1:$BS$23,ROWS(Data!$Q$3:S367),COLUMNS(Data!$Q$3:S367)),IF($Q$1=$P$6,INDEX(prem_analysis!$BU$1:$CF$67,ROWS(prem_analysis!$N$2:P366),COLUMNS(prem_analysis!$N$2:P366)),IF($Q$1=$P$4,INDEX(Table24[[#All],[Year]:[Details]],ROWS(prem_analysis!$M$420:O784),COLUMNS(Data!$Q$3:S367)))))),"")</f>
        <v/>
      </c>
      <c r="U366" s="1" t="str">
        <f>IFERROR(IF($Q$1=$P$3,INDEX(prem_analysis!$P$2:$Q$441,ROWS(Data!$P$2:T366),COLUMNS(Data!$P$3:S367)),IF($Q$1=$P$5,INDEX(prem_analysis!$BH$1:$BS$23,ROWS(Data!$Q$3:T367),COLUMNS(Data!$Q$3:T367)),IF($Q$1=$P$6,INDEX(prem_analysis!$BU$1:$CF$67,ROWS(prem_analysis!$N$2:Q366),COLUMNS(prem_analysis!$N$2:Q366)),IF($Q$1=$P$4,INDEX(Table24[[#All],[Year]:[Details]],ROWS(prem_analysis!$M$420:P784),COLUMNS(Data!$Q$3:T367)))))),"")</f>
        <v/>
      </c>
      <c r="V366" s="1" t="str">
        <f>IFERROR(IF($Q$1=$P$3,INDEX(prem_analysis!$P$2:$Q$441,ROWS(Data!$P$2:U366),COLUMNS(Data!$P$3:T367)),IF($Q$1=$P$5,INDEX(prem_analysis!$BH$1:$BS$23,ROWS(Data!$Q$3:U367),COLUMNS(Data!$Q$3:U367)),IF($Q$1=$P$6,INDEX(prem_analysis!$BU$1:$CF$67,ROWS(prem_analysis!$N$2:R366),COLUMNS(prem_analysis!$N$2:R366)),IF($Q$1=$P$4,INDEX(Table24[[#All],[Year]:[Details]],ROWS(prem_analysis!$M$420:Q784),COLUMNS(Data!$Q$3:U367)))))),"")</f>
        <v/>
      </c>
      <c r="W366" s="1" t="str">
        <f>IFERROR(IF($Q$1=$P$3,INDEX(prem_analysis!$P$2:$Q$441,ROWS(Data!$P$2:V366),COLUMNS(Data!$P$3:U367)),IF($Q$1=$P$5,INDEX(prem_analysis!$BH$1:$BS$23,ROWS(Data!$Q$3:V367),COLUMNS(Data!$Q$3:V367)),IF($Q$1=$P$6,INDEX(prem_analysis!$BU$1:$CF$67,ROWS(prem_analysis!$N$2:S366),COLUMNS(prem_analysis!$N$2:S366)),IF($Q$1=$P$4,INDEX(Table24[[#All],[Year]:[Details]],ROWS(prem_analysis!$M$420:R784),COLUMNS(Data!$Q$3:V367)))))),"")</f>
        <v/>
      </c>
      <c r="X366" s="1" t="str">
        <f>IFERROR(IF($Q$1=$P$3,INDEX(prem_analysis!$P$2:$Q$441,ROWS(Data!$P$2:W366),COLUMNS(Data!$P$3:V367)),IF($Q$1=$P$5,INDEX(prem_analysis!$BH$1:$BS$23,ROWS(Data!$Q$3:W367),COLUMNS(Data!$Q$3:W367)),IF($Q$1=$P$6,INDEX(prem_analysis!$BU$1:$CF$67,ROWS(prem_analysis!$N$2:T366),COLUMNS(prem_analysis!$N$2:T366)),IF($Q$1=$P$4,INDEX(Table24[[#All],[Year]:[Details]],ROWS(prem_analysis!$M$420:S784),COLUMNS(Data!$Q$3:W367)))))),"")</f>
        <v/>
      </c>
      <c r="Y366" s="1" t="str">
        <f>IFERROR(IF($Q$1=$P$3,INDEX(prem_analysis!$P$2:$Q$441,ROWS(Data!$P$2:X366),COLUMNS(Data!$P$3:W367)),IF($Q$1=$P$5,INDEX(prem_analysis!$BH$1:$BS$23,ROWS(Data!$Q$3:X367),COLUMNS(Data!$Q$3:X367)),IF($Q$1=$P$6,INDEX(prem_analysis!$BU$1:$CF$67,ROWS(prem_analysis!$N$2:U366),COLUMNS(prem_analysis!$N$2:U366)),IF($Q$1=$P$4,INDEX(Table24[[#All],[Year]:[Details]],ROWS(prem_analysis!$M$420:T784),COLUMNS(Data!$Q$3:X367)))))),"")</f>
        <v/>
      </c>
      <c r="Z366" s="1" t="str">
        <f>IFERROR(IF($Q$1=$P$3,INDEX(prem_analysis!$P$2:$Q$441,ROWS(Data!$P$2:Y366),COLUMNS(Data!$P$3:X367)),IF($Q$1=$P$5,INDEX(prem_analysis!$BH$1:$BS$23,ROWS(Data!$Q$3:Y367),COLUMNS(Data!$Q$3:Y367)),IF($Q$1=$P$6,INDEX(prem_analysis!$BU$1:$CF$67,ROWS(prem_analysis!$N$2:V366),COLUMNS(prem_analysis!$N$2:V366)),IF($Q$1=$P$4,INDEX(Table24[[#All],[Year]:[Details]],ROWS(prem_analysis!$M$420:U784),COLUMNS(Data!$Q$3:Y367)))))),"")</f>
        <v/>
      </c>
      <c r="AA366" s="1" t="str">
        <f>IFERROR(IF($Q$1=$P$3,INDEX(prem_analysis!$P$2:$Q$441,ROWS(Data!$P$2:Z366),COLUMNS(Data!$P$3:Y367)),IF($Q$1=$P$5,INDEX(prem_analysis!$BH$1:$BS$23,ROWS(Data!$Q$3:Z367),COLUMNS(Data!$Q$3:Z367)),IF($Q$1=$P$6,INDEX(prem_analysis!$BU$1:$CF$67,ROWS(prem_analysis!$N$2:W366),COLUMNS(prem_analysis!$N$2:W366)),IF($Q$1=$P$4,INDEX(Table24[[#All],[Year]:[Details]],ROWS(prem_analysis!$M$420:V784),COLUMNS(Data!$Q$3:Z367)))))),"")</f>
        <v/>
      </c>
      <c r="AB366" s="1" t="str">
        <f>IFERROR(IF($Q$1=$P$3,INDEX(prem_analysis!$P$2:$Q$441,ROWS(Data!$P$2:AA366),COLUMNS(Data!$P$3:Z367)),IF($Q$1=$P$5,INDEX(prem_analysis!$BH$1:$BS$23,ROWS(Data!$Q$3:AA367),COLUMNS(Data!$Q$3:AA367)),IF($Q$1=$P$6,INDEX(prem_analysis!$BU$1:$CF$67,ROWS(prem_analysis!$N$2:X366),COLUMNS(prem_analysis!$N$2:X366)),IF($Q$1=$P$4,INDEX(Table24[[#All],[Year]:[Details]],ROWS(prem_analysis!$M$420:W784),COLUMNS(Data!$Q$3:AA367)))))),"")</f>
        <v/>
      </c>
      <c r="AC366" s="1" t="str">
        <f>IFERROR(IF($Q$1=$P$3,INDEX(prem_analysis!$P$2:$Q$441,ROWS(Data!$P$2:AB366),COLUMNS(Data!$P$3:AA367)),IF($Q$1=$P$5,INDEX(prem_analysis!$BH$1:$BS$23,ROWS(Data!$Q$3:AB367),COLUMNS(Data!$Q$3:AB367)),IF($Q$1=$P$6,INDEX(prem_analysis!$BU$1:$CF$67,ROWS(prem_analysis!$N$2:Y366),COLUMNS(prem_analysis!$N$2:Y366)),IF($Q$1=$P$4,INDEX(Table24[[#All],[Year]:[Details]],ROWS(prem_analysis!$M$420:X784),COLUMNS(Data!$Q$3:AB367)))))),"")</f>
        <v/>
      </c>
    </row>
    <row r="367" spans="1:29" x14ac:dyDescent="0.2">
      <c r="A367" s="5">
        <v>2018</v>
      </c>
      <c r="B367" s="5">
        <v>6</v>
      </c>
      <c r="C367" s="6" t="s">
        <v>11</v>
      </c>
      <c r="D367" s="5">
        <v>38</v>
      </c>
      <c r="E367" s="5">
        <v>19</v>
      </c>
      <c r="F367" s="5">
        <v>9</v>
      </c>
      <c r="G367" s="5">
        <v>10</v>
      </c>
      <c r="H367" s="5">
        <v>65</v>
      </c>
      <c r="I367" s="5">
        <v>54</v>
      </c>
      <c r="J367" s="5">
        <v>11</v>
      </c>
      <c r="K367" s="5">
        <v>66</v>
      </c>
      <c r="L367" s="5">
        <f>IF(Table24[[#This Row],['#]]=1,"Champion", IF(Table24[[#This Row],['#]]&gt;=18,"Relegated",Table24[[#This Row],['#]]))</f>
        <v>6</v>
      </c>
      <c r="M367" s="5" t="str">
        <f>IF(Table24[[#This Row],[Details]]=2,K366-Table24[[#This Row],[Pts]],IF(Table24[[#This Row],[Details]]=17,Table24[[#This Row],[Pts]]-K368,""))</f>
        <v/>
      </c>
      <c r="R367" s="1" t="str">
        <f>IFERROR(IF($Q$1=$P$3,INDEX(prem_analysis!$P$2:$Q$441,ROWS(Data!$P$2:Q367),COLUMNS(Data!$P$3:P368)),IF($Q$1=$P$5,INDEX(prem_analysis!$BH$1:$BS$23,ROWS(Data!$Q$3:Q368),COLUMNS(Data!$Q$3:Q368)),IF($Q$1=$P$6,INDEX(prem_analysis!$BU$1:$CF$67,ROWS(prem_analysis!$N$2:N367),COLUMNS(prem_analysis!$N$2:N367)),IF($Q$1=$P$4,INDEX(Table24[[#All],[Year]:[Details]],ROWS(prem_analysis!$M$420:M785),COLUMNS(Data!$Q$3:Q368)))))),"")</f>
        <v/>
      </c>
      <c r="S367" s="1" t="str">
        <f>IFERROR(IF($Q$1=$P$3,INDEX(prem_analysis!$P$2:$Q$441,ROWS(Data!$P$2:R367),COLUMNS(Data!$P$3:Q368)),IF($Q$1=$P$5,INDEX(prem_analysis!$BH$1:$BS$23,ROWS(Data!$Q$3:R368),COLUMNS(Data!$Q$3:R368)),IF($Q$1=$P$6,INDEX(prem_analysis!$BU$1:$CF$67,ROWS(prem_analysis!$N$2:O367),COLUMNS(prem_analysis!$N$2:O367)),IF($Q$1=$P$4,INDEX(Table24[[#All],[Year]:[Details]],ROWS(prem_analysis!$M$420:N785),COLUMNS(Data!$Q$3:R368)))))),"")</f>
        <v/>
      </c>
      <c r="T367" s="1" t="str">
        <f>IFERROR(IF($Q$1=$P$3,INDEX(prem_analysis!$P$2:$Q$441,ROWS(Data!$P$2:S367),COLUMNS(Data!$P$3:R368)),IF($Q$1=$P$5,INDEX(prem_analysis!$BH$1:$BS$23,ROWS(Data!$Q$3:S368),COLUMNS(Data!$Q$3:S368)),IF($Q$1=$P$6,INDEX(prem_analysis!$BU$1:$CF$67,ROWS(prem_analysis!$N$2:P367),COLUMNS(prem_analysis!$N$2:P367)),IF($Q$1=$P$4,INDEX(Table24[[#All],[Year]:[Details]],ROWS(prem_analysis!$M$420:O785),COLUMNS(Data!$Q$3:S368)))))),"")</f>
        <v/>
      </c>
      <c r="U367" s="1" t="str">
        <f>IFERROR(IF($Q$1=$P$3,INDEX(prem_analysis!$P$2:$Q$441,ROWS(Data!$P$2:T367),COLUMNS(Data!$P$3:S368)),IF($Q$1=$P$5,INDEX(prem_analysis!$BH$1:$BS$23,ROWS(Data!$Q$3:T368),COLUMNS(Data!$Q$3:T368)),IF($Q$1=$P$6,INDEX(prem_analysis!$BU$1:$CF$67,ROWS(prem_analysis!$N$2:Q367),COLUMNS(prem_analysis!$N$2:Q367)),IF($Q$1=$P$4,INDEX(Table24[[#All],[Year]:[Details]],ROWS(prem_analysis!$M$420:P785),COLUMNS(Data!$Q$3:T368)))))),"")</f>
        <v/>
      </c>
      <c r="V367" s="1" t="str">
        <f>IFERROR(IF($Q$1=$P$3,INDEX(prem_analysis!$P$2:$Q$441,ROWS(Data!$P$2:U367),COLUMNS(Data!$P$3:T368)),IF($Q$1=$P$5,INDEX(prem_analysis!$BH$1:$BS$23,ROWS(Data!$Q$3:U368),COLUMNS(Data!$Q$3:U368)),IF($Q$1=$P$6,INDEX(prem_analysis!$BU$1:$CF$67,ROWS(prem_analysis!$N$2:R367),COLUMNS(prem_analysis!$N$2:R367)),IF($Q$1=$P$4,INDEX(Table24[[#All],[Year]:[Details]],ROWS(prem_analysis!$M$420:Q785),COLUMNS(Data!$Q$3:U368)))))),"")</f>
        <v/>
      </c>
      <c r="W367" s="1" t="str">
        <f>IFERROR(IF($Q$1=$P$3,INDEX(prem_analysis!$P$2:$Q$441,ROWS(Data!$P$2:V367),COLUMNS(Data!$P$3:U368)),IF($Q$1=$P$5,INDEX(prem_analysis!$BH$1:$BS$23,ROWS(Data!$Q$3:V368),COLUMNS(Data!$Q$3:V368)),IF($Q$1=$P$6,INDEX(prem_analysis!$BU$1:$CF$67,ROWS(prem_analysis!$N$2:S367),COLUMNS(prem_analysis!$N$2:S367)),IF($Q$1=$P$4,INDEX(Table24[[#All],[Year]:[Details]],ROWS(prem_analysis!$M$420:R785),COLUMNS(Data!$Q$3:V368)))))),"")</f>
        <v/>
      </c>
      <c r="X367" s="1" t="str">
        <f>IFERROR(IF($Q$1=$P$3,INDEX(prem_analysis!$P$2:$Q$441,ROWS(Data!$P$2:W367),COLUMNS(Data!$P$3:V368)),IF($Q$1=$P$5,INDEX(prem_analysis!$BH$1:$BS$23,ROWS(Data!$Q$3:W368),COLUMNS(Data!$Q$3:W368)),IF($Q$1=$P$6,INDEX(prem_analysis!$BU$1:$CF$67,ROWS(prem_analysis!$N$2:T367),COLUMNS(prem_analysis!$N$2:T367)),IF($Q$1=$P$4,INDEX(Table24[[#All],[Year]:[Details]],ROWS(prem_analysis!$M$420:S785),COLUMNS(Data!$Q$3:W368)))))),"")</f>
        <v/>
      </c>
      <c r="Y367" s="1" t="str">
        <f>IFERROR(IF($Q$1=$P$3,INDEX(prem_analysis!$P$2:$Q$441,ROWS(Data!$P$2:X367),COLUMNS(Data!$P$3:W368)),IF($Q$1=$P$5,INDEX(prem_analysis!$BH$1:$BS$23,ROWS(Data!$Q$3:X368),COLUMNS(Data!$Q$3:X368)),IF($Q$1=$P$6,INDEX(prem_analysis!$BU$1:$CF$67,ROWS(prem_analysis!$N$2:U367),COLUMNS(prem_analysis!$N$2:U367)),IF($Q$1=$P$4,INDEX(Table24[[#All],[Year]:[Details]],ROWS(prem_analysis!$M$420:T785),COLUMNS(Data!$Q$3:X368)))))),"")</f>
        <v/>
      </c>
      <c r="Z367" s="1" t="str">
        <f>IFERROR(IF($Q$1=$P$3,INDEX(prem_analysis!$P$2:$Q$441,ROWS(Data!$P$2:Y367),COLUMNS(Data!$P$3:X368)),IF($Q$1=$P$5,INDEX(prem_analysis!$BH$1:$BS$23,ROWS(Data!$Q$3:Y368),COLUMNS(Data!$Q$3:Y368)),IF($Q$1=$P$6,INDEX(prem_analysis!$BU$1:$CF$67,ROWS(prem_analysis!$N$2:V367),COLUMNS(prem_analysis!$N$2:V367)),IF($Q$1=$P$4,INDEX(Table24[[#All],[Year]:[Details]],ROWS(prem_analysis!$M$420:U785),COLUMNS(Data!$Q$3:Y368)))))),"")</f>
        <v/>
      </c>
      <c r="AA367" s="1" t="str">
        <f>IFERROR(IF($Q$1=$P$3,INDEX(prem_analysis!$P$2:$Q$441,ROWS(Data!$P$2:Z367),COLUMNS(Data!$P$3:Y368)),IF($Q$1=$P$5,INDEX(prem_analysis!$BH$1:$BS$23,ROWS(Data!$Q$3:Z368),COLUMNS(Data!$Q$3:Z368)),IF($Q$1=$P$6,INDEX(prem_analysis!$BU$1:$CF$67,ROWS(prem_analysis!$N$2:W367),COLUMNS(prem_analysis!$N$2:W367)),IF($Q$1=$P$4,INDEX(Table24[[#All],[Year]:[Details]],ROWS(prem_analysis!$M$420:V785),COLUMNS(Data!$Q$3:Z368)))))),"")</f>
        <v/>
      </c>
      <c r="AB367" s="1" t="str">
        <f>IFERROR(IF($Q$1=$P$3,INDEX(prem_analysis!$P$2:$Q$441,ROWS(Data!$P$2:AA367),COLUMNS(Data!$P$3:Z368)),IF($Q$1=$P$5,INDEX(prem_analysis!$BH$1:$BS$23,ROWS(Data!$Q$3:AA368),COLUMNS(Data!$Q$3:AA368)),IF($Q$1=$P$6,INDEX(prem_analysis!$BU$1:$CF$67,ROWS(prem_analysis!$N$2:X367),COLUMNS(prem_analysis!$N$2:X367)),IF($Q$1=$P$4,INDEX(Table24[[#All],[Year]:[Details]],ROWS(prem_analysis!$M$420:W785),COLUMNS(Data!$Q$3:AA368)))))),"")</f>
        <v/>
      </c>
      <c r="AC367" s="1" t="str">
        <f>IFERROR(IF($Q$1=$P$3,INDEX(prem_analysis!$P$2:$Q$441,ROWS(Data!$P$2:AB367),COLUMNS(Data!$P$3:AA368)),IF($Q$1=$P$5,INDEX(prem_analysis!$BH$1:$BS$23,ROWS(Data!$Q$3:AB368),COLUMNS(Data!$Q$3:AB368)),IF($Q$1=$P$6,INDEX(prem_analysis!$BU$1:$CF$67,ROWS(prem_analysis!$N$2:Y367),COLUMNS(prem_analysis!$N$2:Y367)),IF($Q$1=$P$4,INDEX(Table24[[#All],[Year]:[Details]],ROWS(prem_analysis!$M$420:X785),COLUMNS(Data!$Q$3:AB368)))))),"")</f>
        <v/>
      </c>
    </row>
    <row r="368" spans="1:29" x14ac:dyDescent="0.2">
      <c r="A368" s="3">
        <v>2018</v>
      </c>
      <c r="B368" s="3">
        <v>7</v>
      </c>
      <c r="C368" s="4" t="s">
        <v>37</v>
      </c>
      <c r="D368" s="3">
        <v>38</v>
      </c>
      <c r="E368" s="3">
        <v>16</v>
      </c>
      <c r="F368" s="3">
        <v>9</v>
      </c>
      <c r="G368" s="3">
        <v>13</v>
      </c>
      <c r="H368" s="3">
        <v>47</v>
      </c>
      <c r="I368" s="3">
        <v>46</v>
      </c>
      <c r="J368" s="3">
        <v>1</v>
      </c>
      <c r="K368" s="3">
        <v>57</v>
      </c>
      <c r="L368" s="5">
        <f>IF(Table24[[#This Row],['#]]=1,"Champion", IF(Table24[[#This Row],['#]]&gt;=18,"Relegated",Table24[[#This Row],['#]]))</f>
        <v>7</v>
      </c>
      <c r="M368" s="5" t="str">
        <f>IF(Table24[[#This Row],[Details]]=2,K367-Table24[[#This Row],[Pts]],IF(Table24[[#This Row],[Details]]=17,Table24[[#This Row],[Pts]]-K369,""))</f>
        <v/>
      </c>
      <c r="R368" s="1" t="str">
        <f>IFERROR(IF($Q$1=$P$3,INDEX(prem_analysis!$P$2:$Q$441,ROWS(Data!$P$2:Q368),COLUMNS(Data!$P$3:P369)),IF($Q$1=$P$5,INDEX(prem_analysis!$BH$1:$BS$23,ROWS(Data!$Q$3:Q369),COLUMNS(Data!$Q$3:Q369)),IF($Q$1=$P$6,INDEX(prem_analysis!$BU$1:$CF$67,ROWS(prem_analysis!$N$2:N368),COLUMNS(prem_analysis!$N$2:N368)),IF($Q$1=$P$4,INDEX(Table24[[#All],[Year]:[Details]],ROWS(prem_analysis!$M$420:M786),COLUMNS(Data!$Q$3:Q369)))))),"")</f>
        <v/>
      </c>
      <c r="S368" s="1" t="str">
        <f>IFERROR(IF($Q$1=$P$3,INDEX(prem_analysis!$P$2:$Q$441,ROWS(Data!$P$2:R368),COLUMNS(Data!$P$3:Q369)),IF($Q$1=$P$5,INDEX(prem_analysis!$BH$1:$BS$23,ROWS(Data!$Q$3:R369),COLUMNS(Data!$Q$3:R369)),IF($Q$1=$P$6,INDEX(prem_analysis!$BU$1:$CF$67,ROWS(prem_analysis!$N$2:O368),COLUMNS(prem_analysis!$N$2:O368)),IF($Q$1=$P$4,INDEX(Table24[[#All],[Year]:[Details]],ROWS(prem_analysis!$M$420:N786),COLUMNS(Data!$Q$3:R369)))))),"")</f>
        <v/>
      </c>
      <c r="T368" s="1" t="str">
        <f>IFERROR(IF($Q$1=$P$3,INDEX(prem_analysis!$P$2:$Q$441,ROWS(Data!$P$2:S368),COLUMNS(Data!$P$3:R369)),IF($Q$1=$P$5,INDEX(prem_analysis!$BH$1:$BS$23,ROWS(Data!$Q$3:S369),COLUMNS(Data!$Q$3:S369)),IF($Q$1=$P$6,INDEX(prem_analysis!$BU$1:$CF$67,ROWS(prem_analysis!$N$2:P368),COLUMNS(prem_analysis!$N$2:P368)),IF($Q$1=$P$4,INDEX(Table24[[#All],[Year]:[Details]],ROWS(prem_analysis!$M$420:O786),COLUMNS(Data!$Q$3:S369)))))),"")</f>
        <v/>
      </c>
      <c r="U368" s="1" t="str">
        <f>IFERROR(IF($Q$1=$P$3,INDEX(prem_analysis!$P$2:$Q$441,ROWS(Data!$P$2:T368),COLUMNS(Data!$P$3:S369)),IF($Q$1=$P$5,INDEX(prem_analysis!$BH$1:$BS$23,ROWS(Data!$Q$3:T369),COLUMNS(Data!$Q$3:T369)),IF($Q$1=$P$6,INDEX(prem_analysis!$BU$1:$CF$67,ROWS(prem_analysis!$N$2:Q368),COLUMNS(prem_analysis!$N$2:Q368)),IF($Q$1=$P$4,INDEX(Table24[[#All],[Year]:[Details]],ROWS(prem_analysis!$M$420:P786),COLUMNS(Data!$Q$3:T369)))))),"")</f>
        <v/>
      </c>
      <c r="V368" s="1" t="str">
        <f>IFERROR(IF($Q$1=$P$3,INDEX(prem_analysis!$P$2:$Q$441,ROWS(Data!$P$2:U368),COLUMNS(Data!$P$3:T369)),IF($Q$1=$P$5,INDEX(prem_analysis!$BH$1:$BS$23,ROWS(Data!$Q$3:U369),COLUMNS(Data!$Q$3:U369)),IF($Q$1=$P$6,INDEX(prem_analysis!$BU$1:$CF$67,ROWS(prem_analysis!$N$2:R368),COLUMNS(prem_analysis!$N$2:R368)),IF($Q$1=$P$4,INDEX(Table24[[#All],[Year]:[Details]],ROWS(prem_analysis!$M$420:Q786),COLUMNS(Data!$Q$3:U369)))))),"")</f>
        <v/>
      </c>
      <c r="W368" s="1" t="str">
        <f>IFERROR(IF($Q$1=$P$3,INDEX(prem_analysis!$P$2:$Q$441,ROWS(Data!$P$2:V368),COLUMNS(Data!$P$3:U369)),IF($Q$1=$P$5,INDEX(prem_analysis!$BH$1:$BS$23,ROWS(Data!$Q$3:V369),COLUMNS(Data!$Q$3:V369)),IF($Q$1=$P$6,INDEX(prem_analysis!$BU$1:$CF$67,ROWS(prem_analysis!$N$2:S368),COLUMNS(prem_analysis!$N$2:S368)),IF($Q$1=$P$4,INDEX(Table24[[#All],[Year]:[Details]],ROWS(prem_analysis!$M$420:R786),COLUMNS(Data!$Q$3:V369)))))),"")</f>
        <v/>
      </c>
      <c r="X368" s="1" t="str">
        <f>IFERROR(IF($Q$1=$P$3,INDEX(prem_analysis!$P$2:$Q$441,ROWS(Data!$P$2:W368),COLUMNS(Data!$P$3:V369)),IF($Q$1=$P$5,INDEX(prem_analysis!$BH$1:$BS$23,ROWS(Data!$Q$3:W369),COLUMNS(Data!$Q$3:W369)),IF($Q$1=$P$6,INDEX(prem_analysis!$BU$1:$CF$67,ROWS(prem_analysis!$N$2:T368),COLUMNS(prem_analysis!$N$2:T368)),IF($Q$1=$P$4,INDEX(Table24[[#All],[Year]:[Details]],ROWS(prem_analysis!$M$420:S786),COLUMNS(Data!$Q$3:W369)))))),"")</f>
        <v/>
      </c>
      <c r="Y368" s="1" t="str">
        <f>IFERROR(IF($Q$1=$P$3,INDEX(prem_analysis!$P$2:$Q$441,ROWS(Data!$P$2:X368),COLUMNS(Data!$P$3:W369)),IF($Q$1=$P$5,INDEX(prem_analysis!$BH$1:$BS$23,ROWS(Data!$Q$3:X369),COLUMNS(Data!$Q$3:X369)),IF($Q$1=$P$6,INDEX(prem_analysis!$BU$1:$CF$67,ROWS(prem_analysis!$N$2:U368),COLUMNS(prem_analysis!$N$2:U368)),IF($Q$1=$P$4,INDEX(Table24[[#All],[Year]:[Details]],ROWS(prem_analysis!$M$420:T786),COLUMNS(Data!$Q$3:X369)))))),"")</f>
        <v/>
      </c>
      <c r="Z368" s="1" t="str">
        <f>IFERROR(IF($Q$1=$P$3,INDEX(prem_analysis!$P$2:$Q$441,ROWS(Data!$P$2:Y368),COLUMNS(Data!$P$3:X369)),IF($Q$1=$P$5,INDEX(prem_analysis!$BH$1:$BS$23,ROWS(Data!$Q$3:Y369),COLUMNS(Data!$Q$3:Y369)),IF($Q$1=$P$6,INDEX(prem_analysis!$BU$1:$CF$67,ROWS(prem_analysis!$N$2:V368),COLUMNS(prem_analysis!$N$2:V368)),IF($Q$1=$P$4,INDEX(Table24[[#All],[Year]:[Details]],ROWS(prem_analysis!$M$420:U786),COLUMNS(Data!$Q$3:Y369)))))),"")</f>
        <v/>
      </c>
      <c r="AA368" s="1" t="str">
        <f>IFERROR(IF($Q$1=$P$3,INDEX(prem_analysis!$P$2:$Q$441,ROWS(Data!$P$2:Z368),COLUMNS(Data!$P$3:Y369)),IF($Q$1=$P$5,INDEX(prem_analysis!$BH$1:$BS$23,ROWS(Data!$Q$3:Z369),COLUMNS(Data!$Q$3:Z369)),IF($Q$1=$P$6,INDEX(prem_analysis!$BU$1:$CF$67,ROWS(prem_analysis!$N$2:W368),COLUMNS(prem_analysis!$N$2:W368)),IF($Q$1=$P$4,INDEX(Table24[[#All],[Year]:[Details]],ROWS(prem_analysis!$M$420:V786),COLUMNS(Data!$Q$3:Z369)))))),"")</f>
        <v/>
      </c>
      <c r="AB368" s="1" t="str">
        <f>IFERROR(IF($Q$1=$P$3,INDEX(prem_analysis!$P$2:$Q$441,ROWS(Data!$P$2:AA368),COLUMNS(Data!$P$3:Z369)),IF($Q$1=$P$5,INDEX(prem_analysis!$BH$1:$BS$23,ROWS(Data!$Q$3:AA369),COLUMNS(Data!$Q$3:AA369)),IF($Q$1=$P$6,INDEX(prem_analysis!$BU$1:$CF$67,ROWS(prem_analysis!$N$2:X368),COLUMNS(prem_analysis!$N$2:X368)),IF($Q$1=$P$4,INDEX(Table24[[#All],[Year]:[Details]],ROWS(prem_analysis!$M$420:W786),COLUMNS(Data!$Q$3:AA369)))))),"")</f>
        <v/>
      </c>
      <c r="AC368" s="1" t="str">
        <f>IFERROR(IF($Q$1=$P$3,INDEX(prem_analysis!$P$2:$Q$441,ROWS(Data!$P$2:AB368),COLUMNS(Data!$P$3:AA369)),IF($Q$1=$P$5,INDEX(prem_analysis!$BH$1:$BS$23,ROWS(Data!$Q$3:AB369),COLUMNS(Data!$Q$3:AB369)),IF($Q$1=$P$6,INDEX(prem_analysis!$BU$1:$CF$67,ROWS(prem_analysis!$N$2:Y368),COLUMNS(prem_analysis!$N$2:Y368)),IF($Q$1=$P$4,INDEX(Table24[[#All],[Year]:[Details]],ROWS(prem_analysis!$M$420:X786),COLUMNS(Data!$Q$3:AB369)))))),"")</f>
        <v/>
      </c>
    </row>
    <row r="369" spans="1:29" x14ac:dyDescent="0.2">
      <c r="A369" s="5">
        <v>2018</v>
      </c>
      <c r="B369" s="5">
        <v>8</v>
      </c>
      <c r="C369" s="6" t="s">
        <v>26</v>
      </c>
      <c r="D369" s="5">
        <v>38</v>
      </c>
      <c r="E369" s="5">
        <v>15</v>
      </c>
      <c r="F369" s="5">
        <v>9</v>
      </c>
      <c r="G369" s="5">
        <v>14</v>
      </c>
      <c r="H369" s="5">
        <v>54</v>
      </c>
      <c r="I369" s="5">
        <v>46</v>
      </c>
      <c r="J369" s="5">
        <v>8</v>
      </c>
      <c r="K369" s="5">
        <v>54</v>
      </c>
      <c r="L369" s="5">
        <f>IF(Table24[[#This Row],['#]]=1,"Champion", IF(Table24[[#This Row],['#]]&gt;=18,"Relegated",Table24[[#This Row],['#]]))</f>
        <v>8</v>
      </c>
      <c r="M369" s="5" t="str">
        <f>IF(Table24[[#This Row],[Details]]=2,K368-Table24[[#This Row],[Pts]],IF(Table24[[#This Row],[Details]]=17,Table24[[#This Row],[Pts]]-K370,""))</f>
        <v/>
      </c>
      <c r="R369" s="1" t="str">
        <f>IFERROR(IF($Q$1=$P$3,INDEX(prem_analysis!$P$2:$Q$441,ROWS(Data!$P$2:Q369),COLUMNS(Data!$P$3:P370)),IF($Q$1=$P$5,INDEX(prem_analysis!$BH$1:$BS$23,ROWS(Data!$Q$3:Q370),COLUMNS(Data!$Q$3:Q370)),IF($Q$1=$P$6,INDEX(prem_analysis!$BU$1:$CF$67,ROWS(prem_analysis!$N$2:N369),COLUMNS(prem_analysis!$N$2:N369)),IF($Q$1=$P$4,INDEX(Table24[[#All],[Year]:[Details]],ROWS(prem_analysis!$M$420:M787),COLUMNS(Data!$Q$3:Q370)))))),"")</f>
        <v/>
      </c>
      <c r="S369" s="1" t="str">
        <f>IFERROR(IF($Q$1=$P$3,INDEX(prem_analysis!$P$2:$Q$441,ROWS(Data!$P$2:R369),COLUMNS(Data!$P$3:Q370)),IF($Q$1=$P$5,INDEX(prem_analysis!$BH$1:$BS$23,ROWS(Data!$Q$3:R370),COLUMNS(Data!$Q$3:R370)),IF($Q$1=$P$6,INDEX(prem_analysis!$BU$1:$CF$67,ROWS(prem_analysis!$N$2:O369),COLUMNS(prem_analysis!$N$2:O369)),IF($Q$1=$P$4,INDEX(Table24[[#All],[Year]:[Details]],ROWS(prem_analysis!$M$420:N787),COLUMNS(Data!$Q$3:R370)))))),"")</f>
        <v/>
      </c>
      <c r="T369" s="1" t="str">
        <f>IFERROR(IF($Q$1=$P$3,INDEX(prem_analysis!$P$2:$Q$441,ROWS(Data!$P$2:S369),COLUMNS(Data!$P$3:R370)),IF($Q$1=$P$5,INDEX(prem_analysis!$BH$1:$BS$23,ROWS(Data!$Q$3:S370),COLUMNS(Data!$Q$3:S370)),IF($Q$1=$P$6,INDEX(prem_analysis!$BU$1:$CF$67,ROWS(prem_analysis!$N$2:P369),COLUMNS(prem_analysis!$N$2:P369)),IF($Q$1=$P$4,INDEX(Table24[[#All],[Year]:[Details]],ROWS(prem_analysis!$M$420:O787),COLUMNS(Data!$Q$3:S370)))))),"")</f>
        <v/>
      </c>
      <c r="U369" s="1" t="str">
        <f>IFERROR(IF($Q$1=$P$3,INDEX(prem_analysis!$P$2:$Q$441,ROWS(Data!$P$2:T369),COLUMNS(Data!$P$3:S370)),IF($Q$1=$P$5,INDEX(prem_analysis!$BH$1:$BS$23,ROWS(Data!$Q$3:T370),COLUMNS(Data!$Q$3:T370)),IF($Q$1=$P$6,INDEX(prem_analysis!$BU$1:$CF$67,ROWS(prem_analysis!$N$2:Q369),COLUMNS(prem_analysis!$N$2:Q369)),IF($Q$1=$P$4,INDEX(Table24[[#All],[Year]:[Details]],ROWS(prem_analysis!$M$420:P787),COLUMNS(Data!$Q$3:T370)))))),"")</f>
        <v/>
      </c>
      <c r="V369" s="1" t="str">
        <f>IFERROR(IF($Q$1=$P$3,INDEX(prem_analysis!$P$2:$Q$441,ROWS(Data!$P$2:U369),COLUMNS(Data!$P$3:T370)),IF($Q$1=$P$5,INDEX(prem_analysis!$BH$1:$BS$23,ROWS(Data!$Q$3:U370),COLUMNS(Data!$Q$3:U370)),IF($Q$1=$P$6,INDEX(prem_analysis!$BU$1:$CF$67,ROWS(prem_analysis!$N$2:R369),COLUMNS(prem_analysis!$N$2:R369)),IF($Q$1=$P$4,INDEX(Table24[[#All],[Year]:[Details]],ROWS(prem_analysis!$M$420:Q787),COLUMNS(Data!$Q$3:U370)))))),"")</f>
        <v/>
      </c>
      <c r="W369" s="1" t="str">
        <f>IFERROR(IF($Q$1=$P$3,INDEX(prem_analysis!$P$2:$Q$441,ROWS(Data!$P$2:V369),COLUMNS(Data!$P$3:U370)),IF($Q$1=$P$5,INDEX(prem_analysis!$BH$1:$BS$23,ROWS(Data!$Q$3:V370),COLUMNS(Data!$Q$3:V370)),IF($Q$1=$P$6,INDEX(prem_analysis!$BU$1:$CF$67,ROWS(prem_analysis!$N$2:S369),COLUMNS(prem_analysis!$N$2:S369)),IF($Q$1=$P$4,INDEX(Table24[[#All],[Year]:[Details]],ROWS(prem_analysis!$M$420:R787),COLUMNS(Data!$Q$3:V370)))))),"")</f>
        <v/>
      </c>
      <c r="X369" s="1" t="str">
        <f>IFERROR(IF($Q$1=$P$3,INDEX(prem_analysis!$P$2:$Q$441,ROWS(Data!$P$2:W369),COLUMNS(Data!$P$3:V370)),IF($Q$1=$P$5,INDEX(prem_analysis!$BH$1:$BS$23,ROWS(Data!$Q$3:W370),COLUMNS(Data!$Q$3:W370)),IF($Q$1=$P$6,INDEX(prem_analysis!$BU$1:$CF$67,ROWS(prem_analysis!$N$2:T369),COLUMNS(prem_analysis!$N$2:T369)),IF($Q$1=$P$4,INDEX(Table24[[#All],[Year]:[Details]],ROWS(prem_analysis!$M$420:S787),COLUMNS(Data!$Q$3:W370)))))),"")</f>
        <v/>
      </c>
      <c r="Y369" s="1" t="str">
        <f>IFERROR(IF($Q$1=$P$3,INDEX(prem_analysis!$P$2:$Q$441,ROWS(Data!$P$2:X369),COLUMNS(Data!$P$3:W370)),IF($Q$1=$P$5,INDEX(prem_analysis!$BH$1:$BS$23,ROWS(Data!$Q$3:X370),COLUMNS(Data!$Q$3:X370)),IF($Q$1=$P$6,INDEX(prem_analysis!$BU$1:$CF$67,ROWS(prem_analysis!$N$2:U369),COLUMNS(prem_analysis!$N$2:U369)),IF($Q$1=$P$4,INDEX(Table24[[#All],[Year]:[Details]],ROWS(prem_analysis!$M$420:T787),COLUMNS(Data!$Q$3:X370)))))),"")</f>
        <v/>
      </c>
      <c r="Z369" s="1" t="str">
        <f>IFERROR(IF($Q$1=$P$3,INDEX(prem_analysis!$P$2:$Q$441,ROWS(Data!$P$2:Y369),COLUMNS(Data!$P$3:X370)),IF($Q$1=$P$5,INDEX(prem_analysis!$BH$1:$BS$23,ROWS(Data!$Q$3:Y370),COLUMNS(Data!$Q$3:Y370)),IF($Q$1=$P$6,INDEX(prem_analysis!$BU$1:$CF$67,ROWS(prem_analysis!$N$2:V369),COLUMNS(prem_analysis!$N$2:V369)),IF($Q$1=$P$4,INDEX(Table24[[#All],[Year]:[Details]],ROWS(prem_analysis!$M$420:U787),COLUMNS(Data!$Q$3:Y370)))))),"")</f>
        <v/>
      </c>
      <c r="AA369" s="1" t="str">
        <f>IFERROR(IF($Q$1=$P$3,INDEX(prem_analysis!$P$2:$Q$441,ROWS(Data!$P$2:Z369),COLUMNS(Data!$P$3:Y370)),IF($Q$1=$P$5,INDEX(prem_analysis!$BH$1:$BS$23,ROWS(Data!$Q$3:Z370),COLUMNS(Data!$Q$3:Z370)),IF($Q$1=$P$6,INDEX(prem_analysis!$BU$1:$CF$67,ROWS(prem_analysis!$N$2:W369),COLUMNS(prem_analysis!$N$2:W369)),IF($Q$1=$P$4,INDEX(Table24[[#All],[Year]:[Details]],ROWS(prem_analysis!$M$420:V787),COLUMNS(Data!$Q$3:Z370)))))),"")</f>
        <v/>
      </c>
      <c r="AB369" s="1" t="str">
        <f>IFERROR(IF($Q$1=$P$3,INDEX(prem_analysis!$P$2:$Q$441,ROWS(Data!$P$2:AA369),COLUMNS(Data!$P$3:Z370)),IF($Q$1=$P$5,INDEX(prem_analysis!$BH$1:$BS$23,ROWS(Data!$Q$3:AA370),COLUMNS(Data!$Q$3:AA370)),IF($Q$1=$P$6,INDEX(prem_analysis!$BU$1:$CF$67,ROWS(prem_analysis!$N$2:X369),COLUMNS(prem_analysis!$N$2:X369)),IF($Q$1=$P$4,INDEX(Table24[[#All],[Year]:[Details]],ROWS(prem_analysis!$M$420:W787),COLUMNS(Data!$Q$3:AA370)))))),"")</f>
        <v/>
      </c>
      <c r="AC369" s="1" t="str">
        <f>IFERROR(IF($Q$1=$P$3,INDEX(prem_analysis!$P$2:$Q$441,ROWS(Data!$P$2:AB369),COLUMNS(Data!$P$3:AA370)),IF($Q$1=$P$5,INDEX(prem_analysis!$BH$1:$BS$23,ROWS(Data!$Q$3:AB370),COLUMNS(Data!$Q$3:AB370)),IF($Q$1=$P$6,INDEX(prem_analysis!$BU$1:$CF$67,ROWS(prem_analysis!$N$2:Y369),COLUMNS(prem_analysis!$N$2:Y369)),IF($Q$1=$P$4,INDEX(Table24[[#All],[Year]:[Details]],ROWS(prem_analysis!$M$420:X787),COLUMNS(Data!$Q$3:AB370)))))),"")</f>
        <v/>
      </c>
    </row>
    <row r="370" spans="1:29" x14ac:dyDescent="0.2">
      <c r="A370" s="3">
        <v>2018</v>
      </c>
      <c r="B370" s="3">
        <v>9</v>
      </c>
      <c r="C370" s="4" t="s">
        <v>23</v>
      </c>
      <c r="D370" s="3">
        <v>38</v>
      </c>
      <c r="E370" s="3">
        <v>15</v>
      </c>
      <c r="F370" s="3">
        <v>7</v>
      </c>
      <c r="G370" s="3">
        <v>16</v>
      </c>
      <c r="H370" s="3">
        <v>51</v>
      </c>
      <c r="I370" s="3">
        <v>48</v>
      </c>
      <c r="J370" s="3">
        <v>3</v>
      </c>
      <c r="K370" s="3">
        <v>52</v>
      </c>
      <c r="L370" s="5">
        <f>IF(Table24[[#This Row],['#]]=1,"Champion", IF(Table24[[#This Row],['#]]&gt;=18,"Relegated",Table24[[#This Row],['#]]))</f>
        <v>9</v>
      </c>
      <c r="M370" s="5" t="str">
        <f>IF(Table24[[#This Row],[Details]]=2,K369-Table24[[#This Row],[Pts]],IF(Table24[[#This Row],[Details]]=17,Table24[[#This Row],[Pts]]-K371,""))</f>
        <v/>
      </c>
      <c r="R370" s="1" t="str">
        <f>IFERROR(IF($Q$1=$P$3,INDEX(prem_analysis!$P$2:$Q$441,ROWS(Data!$P$2:Q370),COLUMNS(Data!$P$3:P371)),IF($Q$1=$P$5,INDEX(prem_analysis!$BH$1:$BS$23,ROWS(Data!$Q$3:Q371),COLUMNS(Data!$Q$3:Q371)),IF($Q$1=$P$6,INDEX(prem_analysis!$BU$1:$CF$67,ROWS(prem_analysis!$N$2:N370),COLUMNS(prem_analysis!$N$2:N370)),IF($Q$1=$P$4,INDEX(Table24[[#All],[Year]:[Details]],ROWS(prem_analysis!$M$420:M788),COLUMNS(Data!$Q$3:Q371)))))),"")</f>
        <v/>
      </c>
      <c r="S370" s="1" t="str">
        <f>IFERROR(IF($Q$1=$P$3,INDEX(prem_analysis!$P$2:$Q$441,ROWS(Data!$P$2:R370),COLUMNS(Data!$P$3:Q371)),IF($Q$1=$P$5,INDEX(prem_analysis!$BH$1:$BS$23,ROWS(Data!$Q$3:R371),COLUMNS(Data!$Q$3:R371)),IF($Q$1=$P$6,INDEX(prem_analysis!$BU$1:$CF$67,ROWS(prem_analysis!$N$2:O370),COLUMNS(prem_analysis!$N$2:O370)),IF($Q$1=$P$4,INDEX(Table24[[#All],[Year]:[Details]],ROWS(prem_analysis!$M$420:N788),COLUMNS(Data!$Q$3:R371)))))),"")</f>
        <v/>
      </c>
      <c r="T370" s="1" t="str">
        <f>IFERROR(IF($Q$1=$P$3,INDEX(prem_analysis!$P$2:$Q$441,ROWS(Data!$P$2:S370),COLUMNS(Data!$P$3:R371)),IF($Q$1=$P$5,INDEX(prem_analysis!$BH$1:$BS$23,ROWS(Data!$Q$3:S371),COLUMNS(Data!$Q$3:S371)),IF($Q$1=$P$6,INDEX(prem_analysis!$BU$1:$CF$67,ROWS(prem_analysis!$N$2:P370),COLUMNS(prem_analysis!$N$2:P370)),IF($Q$1=$P$4,INDEX(Table24[[#All],[Year]:[Details]],ROWS(prem_analysis!$M$420:O788),COLUMNS(Data!$Q$3:S371)))))),"")</f>
        <v/>
      </c>
      <c r="U370" s="1" t="str">
        <f>IFERROR(IF($Q$1=$P$3,INDEX(prem_analysis!$P$2:$Q$441,ROWS(Data!$P$2:T370),COLUMNS(Data!$P$3:S371)),IF($Q$1=$P$5,INDEX(prem_analysis!$BH$1:$BS$23,ROWS(Data!$Q$3:T371),COLUMNS(Data!$Q$3:T371)),IF($Q$1=$P$6,INDEX(prem_analysis!$BU$1:$CF$67,ROWS(prem_analysis!$N$2:Q370),COLUMNS(prem_analysis!$N$2:Q370)),IF($Q$1=$P$4,INDEX(Table24[[#All],[Year]:[Details]],ROWS(prem_analysis!$M$420:P788),COLUMNS(Data!$Q$3:T371)))))),"")</f>
        <v/>
      </c>
      <c r="V370" s="1" t="str">
        <f>IFERROR(IF($Q$1=$P$3,INDEX(prem_analysis!$P$2:$Q$441,ROWS(Data!$P$2:U370),COLUMNS(Data!$P$3:T371)),IF($Q$1=$P$5,INDEX(prem_analysis!$BH$1:$BS$23,ROWS(Data!$Q$3:U371),COLUMNS(Data!$Q$3:U371)),IF($Q$1=$P$6,INDEX(prem_analysis!$BU$1:$CF$67,ROWS(prem_analysis!$N$2:R370),COLUMNS(prem_analysis!$N$2:R370)),IF($Q$1=$P$4,INDEX(Table24[[#All],[Year]:[Details]],ROWS(prem_analysis!$M$420:Q788),COLUMNS(Data!$Q$3:U371)))))),"")</f>
        <v/>
      </c>
      <c r="W370" s="1" t="str">
        <f>IFERROR(IF($Q$1=$P$3,INDEX(prem_analysis!$P$2:$Q$441,ROWS(Data!$P$2:V370),COLUMNS(Data!$P$3:U371)),IF($Q$1=$P$5,INDEX(prem_analysis!$BH$1:$BS$23,ROWS(Data!$Q$3:V371),COLUMNS(Data!$Q$3:V371)),IF($Q$1=$P$6,INDEX(prem_analysis!$BU$1:$CF$67,ROWS(prem_analysis!$N$2:S370),COLUMNS(prem_analysis!$N$2:S370)),IF($Q$1=$P$4,INDEX(Table24[[#All],[Year]:[Details]],ROWS(prem_analysis!$M$420:R788),COLUMNS(Data!$Q$3:V371)))))),"")</f>
        <v/>
      </c>
      <c r="X370" s="1" t="str">
        <f>IFERROR(IF($Q$1=$P$3,INDEX(prem_analysis!$P$2:$Q$441,ROWS(Data!$P$2:W370),COLUMNS(Data!$P$3:V371)),IF($Q$1=$P$5,INDEX(prem_analysis!$BH$1:$BS$23,ROWS(Data!$Q$3:W371),COLUMNS(Data!$Q$3:W371)),IF($Q$1=$P$6,INDEX(prem_analysis!$BU$1:$CF$67,ROWS(prem_analysis!$N$2:T370),COLUMNS(prem_analysis!$N$2:T370)),IF($Q$1=$P$4,INDEX(Table24[[#All],[Year]:[Details]],ROWS(prem_analysis!$M$420:S788),COLUMNS(Data!$Q$3:W371)))))),"")</f>
        <v/>
      </c>
      <c r="Y370" s="1" t="str">
        <f>IFERROR(IF($Q$1=$P$3,INDEX(prem_analysis!$P$2:$Q$441,ROWS(Data!$P$2:X370),COLUMNS(Data!$P$3:W371)),IF($Q$1=$P$5,INDEX(prem_analysis!$BH$1:$BS$23,ROWS(Data!$Q$3:X371),COLUMNS(Data!$Q$3:X371)),IF($Q$1=$P$6,INDEX(prem_analysis!$BU$1:$CF$67,ROWS(prem_analysis!$N$2:U370),COLUMNS(prem_analysis!$N$2:U370)),IF($Q$1=$P$4,INDEX(Table24[[#All],[Year]:[Details]],ROWS(prem_analysis!$M$420:T788),COLUMNS(Data!$Q$3:X371)))))),"")</f>
        <v/>
      </c>
      <c r="Z370" s="1" t="str">
        <f>IFERROR(IF($Q$1=$P$3,INDEX(prem_analysis!$P$2:$Q$441,ROWS(Data!$P$2:Y370),COLUMNS(Data!$P$3:X371)),IF($Q$1=$P$5,INDEX(prem_analysis!$BH$1:$BS$23,ROWS(Data!$Q$3:Y371),COLUMNS(Data!$Q$3:Y371)),IF($Q$1=$P$6,INDEX(prem_analysis!$BU$1:$CF$67,ROWS(prem_analysis!$N$2:V370),COLUMNS(prem_analysis!$N$2:V370)),IF($Q$1=$P$4,INDEX(Table24[[#All],[Year]:[Details]],ROWS(prem_analysis!$M$420:U788),COLUMNS(Data!$Q$3:Y371)))))),"")</f>
        <v/>
      </c>
      <c r="AA370" s="1" t="str">
        <f>IFERROR(IF($Q$1=$P$3,INDEX(prem_analysis!$P$2:$Q$441,ROWS(Data!$P$2:Z370),COLUMNS(Data!$P$3:Y371)),IF($Q$1=$P$5,INDEX(prem_analysis!$BH$1:$BS$23,ROWS(Data!$Q$3:Z371),COLUMNS(Data!$Q$3:Z371)),IF($Q$1=$P$6,INDEX(prem_analysis!$BU$1:$CF$67,ROWS(prem_analysis!$N$2:W370),COLUMNS(prem_analysis!$N$2:W370)),IF($Q$1=$P$4,INDEX(Table24[[#All],[Year]:[Details]],ROWS(prem_analysis!$M$420:V788),COLUMNS(Data!$Q$3:Z371)))))),"")</f>
        <v/>
      </c>
      <c r="AB370" s="1" t="str">
        <f>IFERROR(IF($Q$1=$P$3,INDEX(prem_analysis!$P$2:$Q$441,ROWS(Data!$P$2:AA370),COLUMNS(Data!$P$3:Z371)),IF($Q$1=$P$5,INDEX(prem_analysis!$BH$1:$BS$23,ROWS(Data!$Q$3:AA371),COLUMNS(Data!$Q$3:AA371)),IF($Q$1=$P$6,INDEX(prem_analysis!$BU$1:$CF$67,ROWS(prem_analysis!$N$2:X370),COLUMNS(prem_analysis!$N$2:X370)),IF($Q$1=$P$4,INDEX(Table24[[#All],[Year]:[Details]],ROWS(prem_analysis!$M$420:W788),COLUMNS(Data!$Q$3:AA371)))))),"")</f>
        <v/>
      </c>
      <c r="AC370" s="1" t="str">
        <f>IFERROR(IF($Q$1=$P$3,INDEX(prem_analysis!$P$2:$Q$441,ROWS(Data!$P$2:AB370),COLUMNS(Data!$P$3:AA371)),IF($Q$1=$P$5,INDEX(prem_analysis!$BH$1:$BS$23,ROWS(Data!$Q$3:AB371),COLUMNS(Data!$Q$3:AB371)),IF($Q$1=$P$6,INDEX(prem_analysis!$BU$1:$CF$67,ROWS(prem_analysis!$N$2:Y370),COLUMNS(prem_analysis!$N$2:Y370)),IF($Q$1=$P$4,INDEX(Table24[[#All],[Year]:[Details]],ROWS(prem_analysis!$M$420:X788),COLUMNS(Data!$Q$3:AB371)))))),"")</f>
        <v/>
      </c>
    </row>
    <row r="371" spans="1:29" x14ac:dyDescent="0.2">
      <c r="A371" s="5">
        <v>2018</v>
      </c>
      <c r="B371" s="5">
        <v>10</v>
      </c>
      <c r="C371" s="6" t="s">
        <v>25</v>
      </c>
      <c r="D371" s="5">
        <v>38</v>
      </c>
      <c r="E371" s="5">
        <v>15</v>
      </c>
      <c r="F371" s="5">
        <v>7</v>
      </c>
      <c r="G371" s="5">
        <v>16</v>
      </c>
      <c r="H371" s="5">
        <v>52</v>
      </c>
      <c r="I371" s="5">
        <v>55</v>
      </c>
      <c r="J371" s="5">
        <v>-3</v>
      </c>
      <c r="K371" s="5">
        <v>52</v>
      </c>
      <c r="L371" s="5">
        <f>IF(Table24[[#This Row],['#]]=1,"Champion", IF(Table24[[#This Row],['#]]&gt;=18,"Relegated",Table24[[#This Row],['#]]))</f>
        <v>10</v>
      </c>
      <c r="M371" s="5" t="str">
        <f>IF(Table24[[#This Row],[Details]]=2,K370-Table24[[#This Row],[Pts]],IF(Table24[[#This Row],[Details]]=17,Table24[[#This Row],[Pts]]-K372,""))</f>
        <v/>
      </c>
      <c r="R371" s="1" t="str">
        <f>IFERROR(IF($Q$1=$P$3,INDEX(prem_analysis!$P$2:$Q$441,ROWS(Data!$P$2:Q371),COLUMNS(Data!$P$3:P372)),IF($Q$1=$P$5,INDEX(prem_analysis!$BH$1:$BS$23,ROWS(Data!$Q$3:Q372),COLUMNS(Data!$Q$3:Q372)),IF($Q$1=$P$6,INDEX(prem_analysis!$BU$1:$CF$67,ROWS(prem_analysis!$N$2:N371),COLUMNS(prem_analysis!$N$2:N371)),IF($Q$1=$P$4,INDEX(Table24[[#All],[Year]:[Details]],ROWS(prem_analysis!$M$420:M789),COLUMNS(Data!$Q$3:Q372)))))),"")</f>
        <v/>
      </c>
      <c r="S371" s="1" t="str">
        <f>IFERROR(IF($Q$1=$P$3,INDEX(prem_analysis!$P$2:$Q$441,ROWS(Data!$P$2:R371),COLUMNS(Data!$P$3:Q372)),IF($Q$1=$P$5,INDEX(prem_analysis!$BH$1:$BS$23,ROWS(Data!$Q$3:R372),COLUMNS(Data!$Q$3:R372)),IF($Q$1=$P$6,INDEX(prem_analysis!$BU$1:$CF$67,ROWS(prem_analysis!$N$2:O371),COLUMNS(prem_analysis!$N$2:O371)),IF($Q$1=$P$4,INDEX(Table24[[#All],[Year]:[Details]],ROWS(prem_analysis!$M$420:N789),COLUMNS(Data!$Q$3:R372)))))),"")</f>
        <v/>
      </c>
      <c r="T371" s="1" t="str">
        <f>IFERROR(IF($Q$1=$P$3,INDEX(prem_analysis!$P$2:$Q$441,ROWS(Data!$P$2:S371),COLUMNS(Data!$P$3:R372)),IF($Q$1=$P$5,INDEX(prem_analysis!$BH$1:$BS$23,ROWS(Data!$Q$3:S372),COLUMNS(Data!$Q$3:S372)),IF($Q$1=$P$6,INDEX(prem_analysis!$BU$1:$CF$67,ROWS(prem_analysis!$N$2:P371),COLUMNS(prem_analysis!$N$2:P371)),IF($Q$1=$P$4,INDEX(Table24[[#All],[Year]:[Details]],ROWS(prem_analysis!$M$420:O789),COLUMNS(Data!$Q$3:S372)))))),"")</f>
        <v/>
      </c>
      <c r="U371" s="1" t="str">
        <f>IFERROR(IF($Q$1=$P$3,INDEX(prem_analysis!$P$2:$Q$441,ROWS(Data!$P$2:T371),COLUMNS(Data!$P$3:S372)),IF($Q$1=$P$5,INDEX(prem_analysis!$BH$1:$BS$23,ROWS(Data!$Q$3:T372),COLUMNS(Data!$Q$3:T372)),IF($Q$1=$P$6,INDEX(prem_analysis!$BU$1:$CF$67,ROWS(prem_analysis!$N$2:Q371),COLUMNS(prem_analysis!$N$2:Q371)),IF($Q$1=$P$4,INDEX(Table24[[#All],[Year]:[Details]],ROWS(prem_analysis!$M$420:P789),COLUMNS(Data!$Q$3:T372)))))),"")</f>
        <v/>
      </c>
      <c r="V371" s="1" t="str">
        <f>IFERROR(IF($Q$1=$P$3,INDEX(prem_analysis!$P$2:$Q$441,ROWS(Data!$P$2:U371),COLUMNS(Data!$P$3:T372)),IF($Q$1=$P$5,INDEX(prem_analysis!$BH$1:$BS$23,ROWS(Data!$Q$3:U372),COLUMNS(Data!$Q$3:U372)),IF($Q$1=$P$6,INDEX(prem_analysis!$BU$1:$CF$67,ROWS(prem_analysis!$N$2:R371),COLUMNS(prem_analysis!$N$2:R371)),IF($Q$1=$P$4,INDEX(Table24[[#All],[Year]:[Details]],ROWS(prem_analysis!$M$420:Q789),COLUMNS(Data!$Q$3:U372)))))),"")</f>
        <v/>
      </c>
      <c r="W371" s="1" t="str">
        <f>IFERROR(IF($Q$1=$P$3,INDEX(prem_analysis!$P$2:$Q$441,ROWS(Data!$P$2:V371),COLUMNS(Data!$P$3:U372)),IF($Q$1=$P$5,INDEX(prem_analysis!$BH$1:$BS$23,ROWS(Data!$Q$3:V372),COLUMNS(Data!$Q$3:V372)),IF($Q$1=$P$6,INDEX(prem_analysis!$BU$1:$CF$67,ROWS(prem_analysis!$N$2:S371),COLUMNS(prem_analysis!$N$2:S371)),IF($Q$1=$P$4,INDEX(Table24[[#All],[Year]:[Details]],ROWS(prem_analysis!$M$420:R789),COLUMNS(Data!$Q$3:V372)))))),"")</f>
        <v/>
      </c>
      <c r="X371" s="1" t="str">
        <f>IFERROR(IF($Q$1=$P$3,INDEX(prem_analysis!$P$2:$Q$441,ROWS(Data!$P$2:W371),COLUMNS(Data!$P$3:V372)),IF($Q$1=$P$5,INDEX(prem_analysis!$BH$1:$BS$23,ROWS(Data!$Q$3:W372),COLUMNS(Data!$Q$3:W372)),IF($Q$1=$P$6,INDEX(prem_analysis!$BU$1:$CF$67,ROWS(prem_analysis!$N$2:T371),COLUMNS(prem_analysis!$N$2:T371)),IF($Q$1=$P$4,INDEX(Table24[[#All],[Year]:[Details]],ROWS(prem_analysis!$M$420:S789),COLUMNS(Data!$Q$3:W372)))))),"")</f>
        <v/>
      </c>
      <c r="Y371" s="1" t="str">
        <f>IFERROR(IF($Q$1=$P$3,INDEX(prem_analysis!$P$2:$Q$441,ROWS(Data!$P$2:X371),COLUMNS(Data!$P$3:W372)),IF($Q$1=$P$5,INDEX(prem_analysis!$BH$1:$BS$23,ROWS(Data!$Q$3:X372),COLUMNS(Data!$Q$3:X372)),IF($Q$1=$P$6,INDEX(prem_analysis!$BU$1:$CF$67,ROWS(prem_analysis!$N$2:U371),COLUMNS(prem_analysis!$N$2:U371)),IF($Q$1=$P$4,INDEX(Table24[[#All],[Year]:[Details]],ROWS(prem_analysis!$M$420:T789),COLUMNS(Data!$Q$3:X372)))))),"")</f>
        <v/>
      </c>
      <c r="Z371" s="1" t="str">
        <f>IFERROR(IF($Q$1=$P$3,INDEX(prem_analysis!$P$2:$Q$441,ROWS(Data!$P$2:Y371),COLUMNS(Data!$P$3:X372)),IF($Q$1=$P$5,INDEX(prem_analysis!$BH$1:$BS$23,ROWS(Data!$Q$3:Y372),COLUMNS(Data!$Q$3:Y372)),IF($Q$1=$P$6,INDEX(prem_analysis!$BU$1:$CF$67,ROWS(prem_analysis!$N$2:V371),COLUMNS(prem_analysis!$N$2:V371)),IF($Q$1=$P$4,INDEX(Table24[[#All],[Year]:[Details]],ROWS(prem_analysis!$M$420:U789),COLUMNS(Data!$Q$3:Y372)))))),"")</f>
        <v/>
      </c>
      <c r="AA371" s="1" t="str">
        <f>IFERROR(IF($Q$1=$P$3,INDEX(prem_analysis!$P$2:$Q$441,ROWS(Data!$P$2:Z371),COLUMNS(Data!$P$3:Y372)),IF($Q$1=$P$5,INDEX(prem_analysis!$BH$1:$BS$23,ROWS(Data!$Q$3:Z372),COLUMNS(Data!$Q$3:Z372)),IF($Q$1=$P$6,INDEX(prem_analysis!$BU$1:$CF$67,ROWS(prem_analysis!$N$2:W371),COLUMNS(prem_analysis!$N$2:W371)),IF($Q$1=$P$4,INDEX(Table24[[#All],[Year]:[Details]],ROWS(prem_analysis!$M$420:V789),COLUMNS(Data!$Q$3:Z372)))))),"")</f>
        <v/>
      </c>
      <c r="AB371" s="1" t="str">
        <f>IFERROR(IF($Q$1=$P$3,INDEX(prem_analysis!$P$2:$Q$441,ROWS(Data!$P$2:AA371),COLUMNS(Data!$P$3:Z372)),IF($Q$1=$P$5,INDEX(prem_analysis!$BH$1:$BS$23,ROWS(Data!$Q$3:AA372),COLUMNS(Data!$Q$3:AA372)),IF($Q$1=$P$6,INDEX(prem_analysis!$BU$1:$CF$67,ROWS(prem_analysis!$N$2:X371),COLUMNS(prem_analysis!$N$2:X371)),IF($Q$1=$P$4,INDEX(Table24[[#All],[Year]:[Details]],ROWS(prem_analysis!$M$420:W789),COLUMNS(Data!$Q$3:AA372)))))),"")</f>
        <v/>
      </c>
      <c r="AC371" s="1" t="str">
        <f>IFERROR(IF($Q$1=$P$3,INDEX(prem_analysis!$P$2:$Q$441,ROWS(Data!$P$2:AB371),COLUMNS(Data!$P$3:AA372)),IF($Q$1=$P$5,INDEX(prem_analysis!$BH$1:$BS$23,ROWS(Data!$Q$3:AB372),COLUMNS(Data!$Q$3:AB372)),IF($Q$1=$P$6,INDEX(prem_analysis!$BU$1:$CF$67,ROWS(prem_analysis!$N$2:Y371),COLUMNS(prem_analysis!$N$2:Y371)),IF($Q$1=$P$4,INDEX(Table24[[#All],[Year]:[Details]],ROWS(prem_analysis!$M$420:X789),COLUMNS(Data!$Q$3:AB372)))))),"")</f>
        <v/>
      </c>
    </row>
    <row r="372" spans="1:29" x14ac:dyDescent="0.2">
      <c r="A372" s="3">
        <v>2018</v>
      </c>
      <c r="B372" s="3">
        <v>11</v>
      </c>
      <c r="C372" s="4" t="s">
        <v>43</v>
      </c>
      <c r="D372" s="3">
        <v>38</v>
      </c>
      <c r="E372" s="3">
        <v>14</v>
      </c>
      <c r="F372" s="3">
        <v>8</v>
      </c>
      <c r="G372" s="3">
        <v>16</v>
      </c>
      <c r="H372" s="3">
        <v>52</v>
      </c>
      <c r="I372" s="3">
        <v>59</v>
      </c>
      <c r="J372" s="3">
        <v>-7</v>
      </c>
      <c r="K372" s="3">
        <v>50</v>
      </c>
      <c r="L372" s="5">
        <f>IF(Table24[[#This Row],['#]]=1,"Champion", IF(Table24[[#This Row],['#]]&gt;=18,"Relegated",Table24[[#This Row],['#]]))</f>
        <v>11</v>
      </c>
      <c r="M372" s="5" t="str">
        <f>IF(Table24[[#This Row],[Details]]=2,K371-Table24[[#This Row],[Pts]],IF(Table24[[#This Row],[Details]]=17,Table24[[#This Row],[Pts]]-K373,""))</f>
        <v/>
      </c>
      <c r="R372" s="1" t="str">
        <f>IFERROR(IF($Q$1=$P$3,INDEX(prem_analysis!$P$2:$Q$441,ROWS(Data!$P$2:Q372),COLUMNS(Data!$P$3:P373)),IF($Q$1=$P$5,INDEX(prem_analysis!$BH$1:$BS$23,ROWS(Data!$Q$3:Q373),COLUMNS(Data!$Q$3:Q373)),IF($Q$1=$P$6,INDEX(prem_analysis!$BU$1:$CF$67,ROWS(prem_analysis!$N$2:N372),COLUMNS(prem_analysis!$N$2:N372)),IF($Q$1=$P$4,INDEX(Table24[[#All],[Year]:[Details]],ROWS(prem_analysis!$M$420:M790),COLUMNS(Data!$Q$3:Q373)))))),"")</f>
        <v/>
      </c>
      <c r="S372" s="1" t="str">
        <f>IFERROR(IF($Q$1=$P$3,INDEX(prem_analysis!$P$2:$Q$441,ROWS(Data!$P$2:R372),COLUMNS(Data!$P$3:Q373)),IF($Q$1=$P$5,INDEX(prem_analysis!$BH$1:$BS$23,ROWS(Data!$Q$3:R373),COLUMNS(Data!$Q$3:R373)),IF($Q$1=$P$6,INDEX(prem_analysis!$BU$1:$CF$67,ROWS(prem_analysis!$N$2:O372),COLUMNS(prem_analysis!$N$2:O372)),IF($Q$1=$P$4,INDEX(Table24[[#All],[Year]:[Details]],ROWS(prem_analysis!$M$420:N790),COLUMNS(Data!$Q$3:R373)))))),"")</f>
        <v/>
      </c>
      <c r="T372" s="1" t="str">
        <f>IFERROR(IF($Q$1=$P$3,INDEX(prem_analysis!$P$2:$Q$441,ROWS(Data!$P$2:S372),COLUMNS(Data!$P$3:R373)),IF($Q$1=$P$5,INDEX(prem_analysis!$BH$1:$BS$23,ROWS(Data!$Q$3:S373),COLUMNS(Data!$Q$3:S373)),IF($Q$1=$P$6,INDEX(prem_analysis!$BU$1:$CF$67,ROWS(prem_analysis!$N$2:P372),COLUMNS(prem_analysis!$N$2:P372)),IF($Q$1=$P$4,INDEX(Table24[[#All],[Year]:[Details]],ROWS(prem_analysis!$M$420:O790),COLUMNS(Data!$Q$3:S373)))))),"")</f>
        <v/>
      </c>
      <c r="U372" s="1" t="str">
        <f>IFERROR(IF($Q$1=$P$3,INDEX(prem_analysis!$P$2:$Q$441,ROWS(Data!$P$2:T372),COLUMNS(Data!$P$3:S373)),IF($Q$1=$P$5,INDEX(prem_analysis!$BH$1:$BS$23,ROWS(Data!$Q$3:T373),COLUMNS(Data!$Q$3:T373)),IF($Q$1=$P$6,INDEX(prem_analysis!$BU$1:$CF$67,ROWS(prem_analysis!$N$2:Q372),COLUMNS(prem_analysis!$N$2:Q372)),IF($Q$1=$P$4,INDEX(Table24[[#All],[Year]:[Details]],ROWS(prem_analysis!$M$420:P790),COLUMNS(Data!$Q$3:T373)))))),"")</f>
        <v/>
      </c>
      <c r="V372" s="1" t="str">
        <f>IFERROR(IF($Q$1=$P$3,INDEX(prem_analysis!$P$2:$Q$441,ROWS(Data!$P$2:U372),COLUMNS(Data!$P$3:T373)),IF($Q$1=$P$5,INDEX(prem_analysis!$BH$1:$BS$23,ROWS(Data!$Q$3:U373),COLUMNS(Data!$Q$3:U373)),IF($Q$1=$P$6,INDEX(prem_analysis!$BU$1:$CF$67,ROWS(prem_analysis!$N$2:R372),COLUMNS(prem_analysis!$N$2:R372)),IF($Q$1=$P$4,INDEX(Table24[[#All],[Year]:[Details]],ROWS(prem_analysis!$M$420:Q790),COLUMNS(Data!$Q$3:U373)))))),"")</f>
        <v/>
      </c>
      <c r="W372" s="1" t="str">
        <f>IFERROR(IF($Q$1=$P$3,INDEX(prem_analysis!$P$2:$Q$441,ROWS(Data!$P$2:V372),COLUMNS(Data!$P$3:U373)),IF($Q$1=$P$5,INDEX(prem_analysis!$BH$1:$BS$23,ROWS(Data!$Q$3:V373),COLUMNS(Data!$Q$3:V373)),IF($Q$1=$P$6,INDEX(prem_analysis!$BU$1:$CF$67,ROWS(prem_analysis!$N$2:S372),COLUMNS(prem_analysis!$N$2:S372)),IF($Q$1=$P$4,INDEX(Table24[[#All],[Year]:[Details]],ROWS(prem_analysis!$M$420:R790),COLUMNS(Data!$Q$3:V373)))))),"")</f>
        <v/>
      </c>
      <c r="X372" s="1" t="str">
        <f>IFERROR(IF($Q$1=$P$3,INDEX(prem_analysis!$P$2:$Q$441,ROWS(Data!$P$2:W372),COLUMNS(Data!$P$3:V373)),IF($Q$1=$P$5,INDEX(prem_analysis!$BH$1:$BS$23,ROWS(Data!$Q$3:W373),COLUMNS(Data!$Q$3:W373)),IF($Q$1=$P$6,INDEX(prem_analysis!$BU$1:$CF$67,ROWS(prem_analysis!$N$2:T372),COLUMNS(prem_analysis!$N$2:T372)),IF($Q$1=$P$4,INDEX(Table24[[#All],[Year]:[Details]],ROWS(prem_analysis!$M$420:S790),COLUMNS(Data!$Q$3:W373)))))),"")</f>
        <v/>
      </c>
      <c r="Y372" s="1" t="str">
        <f>IFERROR(IF($Q$1=$P$3,INDEX(prem_analysis!$P$2:$Q$441,ROWS(Data!$P$2:X372),COLUMNS(Data!$P$3:W373)),IF($Q$1=$P$5,INDEX(prem_analysis!$BH$1:$BS$23,ROWS(Data!$Q$3:X373),COLUMNS(Data!$Q$3:X373)),IF($Q$1=$P$6,INDEX(prem_analysis!$BU$1:$CF$67,ROWS(prem_analysis!$N$2:U372),COLUMNS(prem_analysis!$N$2:U372)),IF($Q$1=$P$4,INDEX(Table24[[#All],[Year]:[Details]],ROWS(prem_analysis!$M$420:T790),COLUMNS(Data!$Q$3:X373)))))),"")</f>
        <v/>
      </c>
      <c r="Z372" s="1" t="str">
        <f>IFERROR(IF($Q$1=$P$3,INDEX(prem_analysis!$P$2:$Q$441,ROWS(Data!$P$2:Y372),COLUMNS(Data!$P$3:X373)),IF($Q$1=$P$5,INDEX(prem_analysis!$BH$1:$BS$23,ROWS(Data!$Q$3:Y373),COLUMNS(Data!$Q$3:Y373)),IF($Q$1=$P$6,INDEX(prem_analysis!$BU$1:$CF$67,ROWS(prem_analysis!$N$2:V372),COLUMNS(prem_analysis!$N$2:V372)),IF($Q$1=$P$4,INDEX(Table24[[#All],[Year]:[Details]],ROWS(prem_analysis!$M$420:U790),COLUMNS(Data!$Q$3:Y373)))))),"")</f>
        <v/>
      </c>
      <c r="AA372" s="1" t="str">
        <f>IFERROR(IF($Q$1=$P$3,INDEX(prem_analysis!$P$2:$Q$441,ROWS(Data!$P$2:Z372),COLUMNS(Data!$P$3:Y373)),IF($Q$1=$P$5,INDEX(prem_analysis!$BH$1:$BS$23,ROWS(Data!$Q$3:Z373),COLUMNS(Data!$Q$3:Z373)),IF($Q$1=$P$6,INDEX(prem_analysis!$BU$1:$CF$67,ROWS(prem_analysis!$N$2:W372),COLUMNS(prem_analysis!$N$2:W372)),IF($Q$1=$P$4,INDEX(Table24[[#All],[Year]:[Details]],ROWS(prem_analysis!$M$420:V790),COLUMNS(Data!$Q$3:Z373)))))),"")</f>
        <v/>
      </c>
      <c r="AB372" s="1" t="str">
        <f>IFERROR(IF($Q$1=$P$3,INDEX(prem_analysis!$P$2:$Q$441,ROWS(Data!$P$2:AA372),COLUMNS(Data!$P$3:Z373)),IF($Q$1=$P$5,INDEX(prem_analysis!$BH$1:$BS$23,ROWS(Data!$Q$3:AA373),COLUMNS(Data!$Q$3:AA373)),IF($Q$1=$P$6,INDEX(prem_analysis!$BU$1:$CF$67,ROWS(prem_analysis!$N$2:X372),COLUMNS(prem_analysis!$N$2:X372)),IF($Q$1=$P$4,INDEX(Table24[[#All],[Year]:[Details]],ROWS(prem_analysis!$M$420:W790),COLUMNS(Data!$Q$3:AA373)))))),"")</f>
        <v/>
      </c>
      <c r="AC372" s="1" t="str">
        <f>IFERROR(IF($Q$1=$P$3,INDEX(prem_analysis!$P$2:$Q$441,ROWS(Data!$P$2:AB372),COLUMNS(Data!$P$3:AA373)),IF($Q$1=$P$5,INDEX(prem_analysis!$BH$1:$BS$23,ROWS(Data!$Q$3:AB373),COLUMNS(Data!$Q$3:AB373)),IF($Q$1=$P$6,INDEX(prem_analysis!$BU$1:$CF$67,ROWS(prem_analysis!$N$2:Y372),COLUMNS(prem_analysis!$N$2:Y372)),IF($Q$1=$P$4,INDEX(Table24[[#All],[Year]:[Details]],ROWS(prem_analysis!$M$420:X790),COLUMNS(Data!$Q$3:AB373)))))),"")</f>
        <v/>
      </c>
    </row>
    <row r="373" spans="1:29" x14ac:dyDescent="0.2">
      <c r="A373" s="5">
        <v>2018</v>
      </c>
      <c r="B373" s="5">
        <v>12</v>
      </c>
      <c r="C373" s="6" t="s">
        <v>38</v>
      </c>
      <c r="D373" s="5">
        <v>38</v>
      </c>
      <c r="E373" s="5">
        <v>14</v>
      </c>
      <c r="F373" s="5">
        <v>7</v>
      </c>
      <c r="G373" s="5">
        <v>17</v>
      </c>
      <c r="H373" s="5">
        <v>51</v>
      </c>
      <c r="I373" s="5">
        <v>53</v>
      </c>
      <c r="J373" s="5">
        <v>-2</v>
      </c>
      <c r="K373" s="5">
        <v>49</v>
      </c>
      <c r="L373" s="5">
        <f>IF(Table24[[#This Row],['#]]=1,"Champion", IF(Table24[[#This Row],['#]]&gt;=18,"Relegated",Table24[[#This Row],['#]]))</f>
        <v>12</v>
      </c>
      <c r="M373" s="5" t="str">
        <f>IF(Table24[[#This Row],[Details]]=2,K372-Table24[[#This Row],[Pts]],IF(Table24[[#This Row],[Details]]=17,Table24[[#This Row],[Pts]]-K374,""))</f>
        <v/>
      </c>
      <c r="R373" s="1" t="str">
        <f>IFERROR(IF($Q$1=$P$3,INDEX(prem_analysis!$P$2:$Q$441,ROWS(Data!$P$2:Q373),COLUMNS(Data!$P$3:P374)),IF($Q$1=$P$5,INDEX(prem_analysis!$BH$1:$BS$23,ROWS(Data!$Q$3:Q374),COLUMNS(Data!$Q$3:Q374)),IF($Q$1=$P$6,INDEX(prem_analysis!$BU$1:$CF$67,ROWS(prem_analysis!$N$2:N373),COLUMNS(prem_analysis!$N$2:N373)),IF($Q$1=$P$4,INDEX(Table24[[#All],[Year]:[Details]],ROWS(prem_analysis!$M$420:M791),COLUMNS(Data!$Q$3:Q374)))))),"")</f>
        <v/>
      </c>
      <c r="S373" s="1" t="str">
        <f>IFERROR(IF($Q$1=$P$3,INDEX(prem_analysis!$P$2:$Q$441,ROWS(Data!$P$2:R373),COLUMNS(Data!$P$3:Q374)),IF($Q$1=$P$5,INDEX(prem_analysis!$BH$1:$BS$23,ROWS(Data!$Q$3:R374),COLUMNS(Data!$Q$3:R374)),IF($Q$1=$P$6,INDEX(prem_analysis!$BU$1:$CF$67,ROWS(prem_analysis!$N$2:O373),COLUMNS(prem_analysis!$N$2:O373)),IF($Q$1=$P$4,INDEX(Table24[[#All],[Year]:[Details]],ROWS(prem_analysis!$M$420:N791),COLUMNS(Data!$Q$3:R374)))))),"")</f>
        <v/>
      </c>
      <c r="T373" s="1" t="str">
        <f>IFERROR(IF($Q$1=$P$3,INDEX(prem_analysis!$P$2:$Q$441,ROWS(Data!$P$2:S373),COLUMNS(Data!$P$3:R374)),IF($Q$1=$P$5,INDEX(prem_analysis!$BH$1:$BS$23,ROWS(Data!$Q$3:S374),COLUMNS(Data!$Q$3:S374)),IF($Q$1=$P$6,INDEX(prem_analysis!$BU$1:$CF$67,ROWS(prem_analysis!$N$2:P373),COLUMNS(prem_analysis!$N$2:P373)),IF($Q$1=$P$4,INDEX(Table24[[#All],[Year]:[Details]],ROWS(prem_analysis!$M$420:O791),COLUMNS(Data!$Q$3:S374)))))),"")</f>
        <v/>
      </c>
      <c r="U373" s="1" t="str">
        <f>IFERROR(IF($Q$1=$P$3,INDEX(prem_analysis!$P$2:$Q$441,ROWS(Data!$P$2:T373),COLUMNS(Data!$P$3:S374)),IF($Q$1=$P$5,INDEX(prem_analysis!$BH$1:$BS$23,ROWS(Data!$Q$3:T374),COLUMNS(Data!$Q$3:T374)),IF($Q$1=$P$6,INDEX(prem_analysis!$BU$1:$CF$67,ROWS(prem_analysis!$N$2:Q373),COLUMNS(prem_analysis!$N$2:Q373)),IF($Q$1=$P$4,INDEX(Table24[[#All],[Year]:[Details]],ROWS(prem_analysis!$M$420:P791),COLUMNS(Data!$Q$3:T374)))))),"")</f>
        <v/>
      </c>
      <c r="V373" s="1" t="str">
        <f>IFERROR(IF($Q$1=$P$3,INDEX(prem_analysis!$P$2:$Q$441,ROWS(Data!$P$2:U373),COLUMNS(Data!$P$3:T374)),IF($Q$1=$P$5,INDEX(prem_analysis!$BH$1:$BS$23,ROWS(Data!$Q$3:U374),COLUMNS(Data!$Q$3:U374)),IF($Q$1=$P$6,INDEX(prem_analysis!$BU$1:$CF$67,ROWS(prem_analysis!$N$2:R373),COLUMNS(prem_analysis!$N$2:R373)),IF($Q$1=$P$4,INDEX(Table24[[#All],[Year]:[Details]],ROWS(prem_analysis!$M$420:Q791),COLUMNS(Data!$Q$3:U374)))))),"")</f>
        <v/>
      </c>
      <c r="W373" s="1" t="str">
        <f>IFERROR(IF($Q$1=$P$3,INDEX(prem_analysis!$P$2:$Q$441,ROWS(Data!$P$2:V373),COLUMNS(Data!$P$3:U374)),IF($Q$1=$P$5,INDEX(prem_analysis!$BH$1:$BS$23,ROWS(Data!$Q$3:V374),COLUMNS(Data!$Q$3:V374)),IF($Q$1=$P$6,INDEX(prem_analysis!$BU$1:$CF$67,ROWS(prem_analysis!$N$2:S373),COLUMNS(prem_analysis!$N$2:S373)),IF($Q$1=$P$4,INDEX(Table24[[#All],[Year]:[Details]],ROWS(prem_analysis!$M$420:R791),COLUMNS(Data!$Q$3:V374)))))),"")</f>
        <v/>
      </c>
      <c r="X373" s="1" t="str">
        <f>IFERROR(IF($Q$1=$P$3,INDEX(prem_analysis!$P$2:$Q$441,ROWS(Data!$P$2:W373),COLUMNS(Data!$P$3:V374)),IF($Q$1=$P$5,INDEX(prem_analysis!$BH$1:$BS$23,ROWS(Data!$Q$3:W374),COLUMNS(Data!$Q$3:W374)),IF($Q$1=$P$6,INDEX(prem_analysis!$BU$1:$CF$67,ROWS(prem_analysis!$N$2:T373),COLUMNS(prem_analysis!$N$2:T373)),IF($Q$1=$P$4,INDEX(Table24[[#All],[Year]:[Details]],ROWS(prem_analysis!$M$420:S791),COLUMNS(Data!$Q$3:W374)))))),"")</f>
        <v/>
      </c>
      <c r="Y373" s="1" t="str">
        <f>IFERROR(IF($Q$1=$P$3,INDEX(prem_analysis!$P$2:$Q$441,ROWS(Data!$P$2:X373),COLUMNS(Data!$P$3:W374)),IF($Q$1=$P$5,INDEX(prem_analysis!$BH$1:$BS$23,ROWS(Data!$Q$3:X374),COLUMNS(Data!$Q$3:X374)),IF($Q$1=$P$6,INDEX(prem_analysis!$BU$1:$CF$67,ROWS(prem_analysis!$N$2:U373),COLUMNS(prem_analysis!$N$2:U373)),IF($Q$1=$P$4,INDEX(Table24[[#All],[Year]:[Details]],ROWS(prem_analysis!$M$420:T791),COLUMNS(Data!$Q$3:X374)))))),"")</f>
        <v/>
      </c>
      <c r="Z373" s="1" t="str">
        <f>IFERROR(IF($Q$1=$P$3,INDEX(prem_analysis!$P$2:$Q$441,ROWS(Data!$P$2:Y373),COLUMNS(Data!$P$3:X374)),IF($Q$1=$P$5,INDEX(prem_analysis!$BH$1:$BS$23,ROWS(Data!$Q$3:Y374),COLUMNS(Data!$Q$3:Y374)),IF($Q$1=$P$6,INDEX(prem_analysis!$BU$1:$CF$67,ROWS(prem_analysis!$N$2:V373),COLUMNS(prem_analysis!$N$2:V373)),IF($Q$1=$P$4,INDEX(Table24[[#All],[Year]:[Details]],ROWS(prem_analysis!$M$420:U791),COLUMNS(Data!$Q$3:Y374)))))),"")</f>
        <v/>
      </c>
      <c r="AA373" s="1" t="str">
        <f>IFERROR(IF($Q$1=$P$3,INDEX(prem_analysis!$P$2:$Q$441,ROWS(Data!$P$2:Z373),COLUMNS(Data!$P$3:Y374)),IF($Q$1=$P$5,INDEX(prem_analysis!$BH$1:$BS$23,ROWS(Data!$Q$3:Z374),COLUMNS(Data!$Q$3:Z374)),IF($Q$1=$P$6,INDEX(prem_analysis!$BU$1:$CF$67,ROWS(prem_analysis!$N$2:W373),COLUMNS(prem_analysis!$N$2:W373)),IF($Q$1=$P$4,INDEX(Table24[[#All],[Year]:[Details]],ROWS(prem_analysis!$M$420:V791),COLUMNS(Data!$Q$3:Z374)))))),"")</f>
        <v/>
      </c>
      <c r="AB373" s="1" t="str">
        <f>IFERROR(IF($Q$1=$P$3,INDEX(prem_analysis!$P$2:$Q$441,ROWS(Data!$P$2:AA373),COLUMNS(Data!$P$3:Z374)),IF($Q$1=$P$5,INDEX(prem_analysis!$BH$1:$BS$23,ROWS(Data!$Q$3:AA374),COLUMNS(Data!$Q$3:AA374)),IF($Q$1=$P$6,INDEX(prem_analysis!$BU$1:$CF$67,ROWS(prem_analysis!$N$2:X373),COLUMNS(prem_analysis!$N$2:X373)),IF($Q$1=$P$4,INDEX(Table24[[#All],[Year]:[Details]],ROWS(prem_analysis!$M$420:W791),COLUMNS(Data!$Q$3:AA374)))))),"")</f>
        <v/>
      </c>
      <c r="AC373" s="1" t="str">
        <f>IFERROR(IF($Q$1=$P$3,INDEX(prem_analysis!$P$2:$Q$441,ROWS(Data!$P$2:AB373),COLUMNS(Data!$P$3:AA374)),IF($Q$1=$P$5,INDEX(prem_analysis!$BH$1:$BS$23,ROWS(Data!$Q$3:AB374),COLUMNS(Data!$Q$3:AB374)),IF($Q$1=$P$6,INDEX(prem_analysis!$BU$1:$CF$67,ROWS(prem_analysis!$N$2:Y373),COLUMNS(prem_analysis!$N$2:Y373)),IF($Q$1=$P$4,INDEX(Table24[[#All],[Year]:[Details]],ROWS(prem_analysis!$M$420:X791),COLUMNS(Data!$Q$3:AB374)))))),"")</f>
        <v/>
      </c>
    </row>
    <row r="374" spans="1:29" x14ac:dyDescent="0.2">
      <c r="A374" s="3">
        <v>2018</v>
      </c>
      <c r="B374" s="3">
        <v>13</v>
      </c>
      <c r="C374" s="4" t="s">
        <v>21</v>
      </c>
      <c r="D374" s="3">
        <v>38</v>
      </c>
      <c r="E374" s="3">
        <v>12</v>
      </c>
      <c r="F374" s="3">
        <v>9</v>
      </c>
      <c r="G374" s="3">
        <v>17</v>
      </c>
      <c r="H374" s="3">
        <v>42</v>
      </c>
      <c r="I374" s="3">
        <v>48</v>
      </c>
      <c r="J374" s="3">
        <v>-6</v>
      </c>
      <c r="K374" s="3">
        <v>45</v>
      </c>
      <c r="L374" s="5">
        <f>IF(Table24[[#This Row],['#]]=1,"Champion", IF(Table24[[#This Row],['#]]&gt;=18,"Relegated",Table24[[#This Row],['#]]))</f>
        <v>13</v>
      </c>
      <c r="M374" s="5" t="str">
        <f>IF(Table24[[#This Row],[Details]]=2,K373-Table24[[#This Row],[Pts]],IF(Table24[[#This Row],[Details]]=17,Table24[[#This Row],[Pts]]-K375,""))</f>
        <v/>
      </c>
      <c r="R374" s="1" t="str">
        <f>IFERROR(IF($Q$1=$P$3,INDEX(prem_analysis!$P$2:$Q$441,ROWS(Data!$P$2:Q374),COLUMNS(Data!$P$3:P375)),IF($Q$1=$P$5,INDEX(prem_analysis!$BH$1:$BS$23,ROWS(Data!$Q$3:Q375),COLUMNS(Data!$Q$3:Q375)),IF($Q$1=$P$6,INDEX(prem_analysis!$BU$1:$CF$67,ROWS(prem_analysis!$N$2:N374),COLUMNS(prem_analysis!$N$2:N374)),IF($Q$1=$P$4,INDEX(Table24[[#All],[Year]:[Details]],ROWS(prem_analysis!$M$420:M792),COLUMNS(Data!$Q$3:Q375)))))),"")</f>
        <v/>
      </c>
      <c r="S374" s="1" t="str">
        <f>IFERROR(IF($Q$1=$P$3,INDEX(prem_analysis!$P$2:$Q$441,ROWS(Data!$P$2:R374),COLUMNS(Data!$P$3:Q375)),IF($Q$1=$P$5,INDEX(prem_analysis!$BH$1:$BS$23,ROWS(Data!$Q$3:R375),COLUMNS(Data!$Q$3:R375)),IF($Q$1=$P$6,INDEX(prem_analysis!$BU$1:$CF$67,ROWS(prem_analysis!$N$2:O374),COLUMNS(prem_analysis!$N$2:O374)),IF($Q$1=$P$4,INDEX(Table24[[#All],[Year]:[Details]],ROWS(prem_analysis!$M$420:N792),COLUMNS(Data!$Q$3:R375)))))),"")</f>
        <v/>
      </c>
      <c r="T374" s="1" t="str">
        <f>IFERROR(IF($Q$1=$P$3,INDEX(prem_analysis!$P$2:$Q$441,ROWS(Data!$P$2:S374),COLUMNS(Data!$P$3:R375)),IF($Q$1=$P$5,INDEX(prem_analysis!$BH$1:$BS$23,ROWS(Data!$Q$3:S375),COLUMNS(Data!$Q$3:S375)),IF($Q$1=$P$6,INDEX(prem_analysis!$BU$1:$CF$67,ROWS(prem_analysis!$N$2:P374),COLUMNS(prem_analysis!$N$2:P374)),IF($Q$1=$P$4,INDEX(Table24[[#All],[Year]:[Details]],ROWS(prem_analysis!$M$420:O792),COLUMNS(Data!$Q$3:S375)))))),"")</f>
        <v/>
      </c>
      <c r="U374" s="1" t="str">
        <f>IFERROR(IF($Q$1=$P$3,INDEX(prem_analysis!$P$2:$Q$441,ROWS(Data!$P$2:T374),COLUMNS(Data!$P$3:S375)),IF($Q$1=$P$5,INDEX(prem_analysis!$BH$1:$BS$23,ROWS(Data!$Q$3:T375),COLUMNS(Data!$Q$3:T375)),IF($Q$1=$P$6,INDEX(prem_analysis!$BU$1:$CF$67,ROWS(prem_analysis!$N$2:Q374),COLUMNS(prem_analysis!$N$2:Q374)),IF($Q$1=$P$4,INDEX(Table24[[#All],[Year]:[Details]],ROWS(prem_analysis!$M$420:P792),COLUMNS(Data!$Q$3:T375)))))),"")</f>
        <v/>
      </c>
      <c r="V374" s="1" t="str">
        <f>IFERROR(IF($Q$1=$P$3,INDEX(prem_analysis!$P$2:$Q$441,ROWS(Data!$P$2:U374),COLUMNS(Data!$P$3:T375)),IF($Q$1=$P$5,INDEX(prem_analysis!$BH$1:$BS$23,ROWS(Data!$Q$3:U375),COLUMNS(Data!$Q$3:U375)),IF($Q$1=$P$6,INDEX(prem_analysis!$BU$1:$CF$67,ROWS(prem_analysis!$N$2:R374),COLUMNS(prem_analysis!$N$2:R374)),IF($Q$1=$P$4,INDEX(Table24[[#All],[Year]:[Details]],ROWS(prem_analysis!$M$420:Q792),COLUMNS(Data!$Q$3:U375)))))),"")</f>
        <v/>
      </c>
      <c r="W374" s="1" t="str">
        <f>IFERROR(IF($Q$1=$P$3,INDEX(prem_analysis!$P$2:$Q$441,ROWS(Data!$P$2:V374),COLUMNS(Data!$P$3:U375)),IF($Q$1=$P$5,INDEX(prem_analysis!$BH$1:$BS$23,ROWS(Data!$Q$3:V375),COLUMNS(Data!$Q$3:V375)),IF($Q$1=$P$6,INDEX(prem_analysis!$BU$1:$CF$67,ROWS(prem_analysis!$N$2:S374),COLUMNS(prem_analysis!$N$2:S374)),IF($Q$1=$P$4,INDEX(Table24[[#All],[Year]:[Details]],ROWS(prem_analysis!$M$420:R792),COLUMNS(Data!$Q$3:V375)))))),"")</f>
        <v/>
      </c>
      <c r="X374" s="1" t="str">
        <f>IFERROR(IF($Q$1=$P$3,INDEX(prem_analysis!$P$2:$Q$441,ROWS(Data!$P$2:W374),COLUMNS(Data!$P$3:V375)),IF($Q$1=$P$5,INDEX(prem_analysis!$BH$1:$BS$23,ROWS(Data!$Q$3:W375),COLUMNS(Data!$Q$3:W375)),IF($Q$1=$P$6,INDEX(prem_analysis!$BU$1:$CF$67,ROWS(prem_analysis!$N$2:T374),COLUMNS(prem_analysis!$N$2:T374)),IF($Q$1=$P$4,INDEX(Table24[[#All],[Year]:[Details]],ROWS(prem_analysis!$M$420:S792),COLUMNS(Data!$Q$3:W375)))))),"")</f>
        <v/>
      </c>
      <c r="Y374" s="1" t="str">
        <f>IFERROR(IF($Q$1=$P$3,INDEX(prem_analysis!$P$2:$Q$441,ROWS(Data!$P$2:X374),COLUMNS(Data!$P$3:W375)),IF($Q$1=$P$5,INDEX(prem_analysis!$BH$1:$BS$23,ROWS(Data!$Q$3:X375),COLUMNS(Data!$Q$3:X375)),IF($Q$1=$P$6,INDEX(prem_analysis!$BU$1:$CF$67,ROWS(prem_analysis!$N$2:U374),COLUMNS(prem_analysis!$N$2:U374)),IF($Q$1=$P$4,INDEX(Table24[[#All],[Year]:[Details]],ROWS(prem_analysis!$M$420:T792),COLUMNS(Data!$Q$3:X375)))))),"")</f>
        <v/>
      </c>
      <c r="Z374" s="1" t="str">
        <f>IFERROR(IF($Q$1=$P$3,INDEX(prem_analysis!$P$2:$Q$441,ROWS(Data!$P$2:Y374),COLUMNS(Data!$P$3:X375)),IF($Q$1=$P$5,INDEX(prem_analysis!$BH$1:$BS$23,ROWS(Data!$Q$3:Y375),COLUMNS(Data!$Q$3:Y375)),IF($Q$1=$P$6,INDEX(prem_analysis!$BU$1:$CF$67,ROWS(prem_analysis!$N$2:V374),COLUMNS(prem_analysis!$N$2:V374)),IF($Q$1=$P$4,INDEX(Table24[[#All],[Year]:[Details]],ROWS(prem_analysis!$M$420:U792),COLUMNS(Data!$Q$3:Y375)))))),"")</f>
        <v/>
      </c>
      <c r="AA374" s="1" t="str">
        <f>IFERROR(IF($Q$1=$P$3,INDEX(prem_analysis!$P$2:$Q$441,ROWS(Data!$P$2:Z374),COLUMNS(Data!$P$3:Y375)),IF($Q$1=$P$5,INDEX(prem_analysis!$BH$1:$BS$23,ROWS(Data!$Q$3:Z375),COLUMNS(Data!$Q$3:Z375)),IF($Q$1=$P$6,INDEX(prem_analysis!$BU$1:$CF$67,ROWS(prem_analysis!$N$2:W374),COLUMNS(prem_analysis!$N$2:W374)),IF($Q$1=$P$4,INDEX(Table24[[#All],[Year]:[Details]],ROWS(prem_analysis!$M$420:V792),COLUMNS(Data!$Q$3:Z375)))))),"")</f>
        <v/>
      </c>
      <c r="AB374" s="1" t="str">
        <f>IFERROR(IF($Q$1=$P$3,INDEX(prem_analysis!$P$2:$Q$441,ROWS(Data!$P$2:AA374),COLUMNS(Data!$P$3:Z375)),IF($Q$1=$P$5,INDEX(prem_analysis!$BH$1:$BS$23,ROWS(Data!$Q$3:AA375),COLUMNS(Data!$Q$3:AA375)),IF($Q$1=$P$6,INDEX(prem_analysis!$BU$1:$CF$67,ROWS(prem_analysis!$N$2:X374),COLUMNS(prem_analysis!$N$2:X374)),IF($Q$1=$P$4,INDEX(Table24[[#All],[Year]:[Details]],ROWS(prem_analysis!$M$420:W792),COLUMNS(Data!$Q$3:AA375)))))),"")</f>
        <v/>
      </c>
      <c r="AC374" s="1" t="str">
        <f>IFERROR(IF($Q$1=$P$3,INDEX(prem_analysis!$P$2:$Q$441,ROWS(Data!$P$2:AB374),COLUMNS(Data!$P$3:AA375)),IF($Q$1=$P$5,INDEX(prem_analysis!$BH$1:$BS$23,ROWS(Data!$Q$3:AB375),COLUMNS(Data!$Q$3:AB375)),IF($Q$1=$P$6,INDEX(prem_analysis!$BU$1:$CF$67,ROWS(prem_analysis!$N$2:Y374),COLUMNS(prem_analysis!$N$2:Y374)),IF($Q$1=$P$4,INDEX(Table24[[#All],[Year]:[Details]],ROWS(prem_analysis!$M$420:X792),COLUMNS(Data!$Q$3:AB375)))))),"")</f>
        <v/>
      </c>
    </row>
    <row r="375" spans="1:29" x14ac:dyDescent="0.2">
      <c r="A375" s="5">
        <v>2018</v>
      </c>
      <c r="B375" s="5">
        <v>14</v>
      </c>
      <c r="C375" s="6" t="s">
        <v>51</v>
      </c>
      <c r="D375" s="5">
        <v>38</v>
      </c>
      <c r="E375" s="5">
        <v>13</v>
      </c>
      <c r="F375" s="5">
        <v>6</v>
      </c>
      <c r="G375" s="5">
        <v>19</v>
      </c>
      <c r="H375" s="5">
        <v>56</v>
      </c>
      <c r="I375" s="5">
        <v>70</v>
      </c>
      <c r="J375" s="5">
        <v>-14</v>
      </c>
      <c r="K375" s="5">
        <v>45</v>
      </c>
      <c r="L375" s="5">
        <f>IF(Table24[[#This Row],['#]]=1,"Champion", IF(Table24[[#This Row],['#]]&gt;=18,"Relegated",Table24[[#This Row],['#]]))</f>
        <v>14</v>
      </c>
      <c r="M375" s="5" t="str">
        <f>IF(Table24[[#This Row],[Details]]=2,K374-Table24[[#This Row],[Pts]],IF(Table24[[#This Row],[Details]]=17,Table24[[#This Row],[Pts]]-K376,""))</f>
        <v/>
      </c>
      <c r="R375" s="1" t="str">
        <f>IFERROR(IF($Q$1=$P$3,INDEX(prem_analysis!$P$2:$Q$441,ROWS(Data!$P$2:Q375),COLUMNS(Data!$P$3:P376)),IF($Q$1=$P$5,INDEX(prem_analysis!$BH$1:$BS$23,ROWS(Data!$Q$3:Q376),COLUMNS(Data!$Q$3:Q376)),IF($Q$1=$P$6,INDEX(prem_analysis!$BU$1:$CF$67,ROWS(prem_analysis!$N$2:N375),COLUMNS(prem_analysis!$N$2:N375)),IF($Q$1=$P$4,INDEX(Table24[[#All],[Year]:[Details]],ROWS(prem_analysis!$M$420:M793),COLUMNS(Data!$Q$3:Q376)))))),"")</f>
        <v/>
      </c>
      <c r="S375" s="1" t="str">
        <f>IFERROR(IF($Q$1=$P$3,INDEX(prem_analysis!$P$2:$Q$441,ROWS(Data!$P$2:R375),COLUMNS(Data!$P$3:Q376)),IF($Q$1=$P$5,INDEX(prem_analysis!$BH$1:$BS$23,ROWS(Data!$Q$3:R376),COLUMNS(Data!$Q$3:R376)),IF($Q$1=$P$6,INDEX(prem_analysis!$BU$1:$CF$67,ROWS(prem_analysis!$N$2:O375),COLUMNS(prem_analysis!$N$2:O375)),IF($Q$1=$P$4,INDEX(Table24[[#All],[Year]:[Details]],ROWS(prem_analysis!$M$420:N793),COLUMNS(Data!$Q$3:R376)))))),"")</f>
        <v/>
      </c>
      <c r="T375" s="1" t="str">
        <f>IFERROR(IF($Q$1=$P$3,INDEX(prem_analysis!$P$2:$Q$441,ROWS(Data!$P$2:S375),COLUMNS(Data!$P$3:R376)),IF($Q$1=$P$5,INDEX(prem_analysis!$BH$1:$BS$23,ROWS(Data!$Q$3:S376),COLUMNS(Data!$Q$3:S376)),IF($Q$1=$P$6,INDEX(prem_analysis!$BU$1:$CF$67,ROWS(prem_analysis!$N$2:P375),COLUMNS(prem_analysis!$N$2:P375)),IF($Q$1=$P$4,INDEX(Table24[[#All],[Year]:[Details]],ROWS(prem_analysis!$M$420:O793),COLUMNS(Data!$Q$3:S376)))))),"")</f>
        <v/>
      </c>
      <c r="U375" s="1" t="str">
        <f>IFERROR(IF($Q$1=$P$3,INDEX(prem_analysis!$P$2:$Q$441,ROWS(Data!$P$2:T375),COLUMNS(Data!$P$3:S376)),IF($Q$1=$P$5,INDEX(prem_analysis!$BH$1:$BS$23,ROWS(Data!$Q$3:T376),COLUMNS(Data!$Q$3:T376)),IF($Q$1=$P$6,INDEX(prem_analysis!$BU$1:$CF$67,ROWS(prem_analysis!$N$2:Q375),COLUMNS(prem_analysis!$N$2:Q375)),IF($Q$1=$P$4,INDEX(Table24[[#All],[Year]:[Details]],ROWS(prem_analysis!$M$420:P793),COLUMNS(Data!$Q$3:T376)))))),"")</f>
        <v/>
      </c>
      <c r="V375" s="1" t="str">
        <f>IFERROR(IF($Q$1=$P$3,INDEX(prem_analysis!$P$2:$Q$441,ROWS(Data!$P$2:U375),COLUMNS(Data!$P$3:T376)),IF($Q$1=$P$5,INDEX(prem_analysis!$BH$1:$BS$23,ROWS(Data!$Q$3:U376),COLUMNS(Data!$Q$3:U376)),IF($Q$1=$P$6,INDEX(prem_analysis!$BU$1:$CF$67,ROWS(prem_analysis!$N$2:R375),COLUMNS(prem_analysis!$N$2:R375)),IF($Q$1=$P$4,INDEX(Table24[[#All],[Year]:[Details]],ROWS(prem_analysis!$M$420:Q793),COLUMNS(Data!$Q$3:U376)))))),"")</f>
        <v/>
      </c>
      <c r="W375" s="1" t="str">
        <f>IFERROR(IF($Q$1=$P$3,INDEX(prem_analysis!$P$2:$Q$441,ROWS(Data!$P$2:V375),COLUMNS(Data!$P$3:U376)),IF($Q$1=$P$5,INDEX(prem_analysis!$BH$1:$BS$23,ROWS(Data!$Q$3:V376),COLUMNS(Data!$Q$3:V376)),IF($Q$1=$P$6,INDEX(prem_analysis!$BU$1:$CF$67,ROWS(prem_analysis!$N$2:S375),COLUMNS(prem_analysis!$N$2:S375)),IF($Q$1=$P$4,INDEX(Table24[[#All],[Year]:[Details]],ROWS(prem_analysis!$M$420:R793),COLUMNS(Data!$Q$3:V376)))))),"")</f>
        <v/>
      </c>
      <c r="X375" s="1" t="str">
        <f>IFERROR(IF($Q$1=$P$3,INDEX(prem_analysis!$P$2:$Q$441,ROWS(Data!$P$2:W375),COLUMNS(Data!$P$3:V376)),IF($Q$1=$P$5,INDEX(prem_analysis!$BH$1:$BS$23,ROWS(Data!$Q$3:W376),COLUMNS(Data!$Q$3:W376)),IF($Q$1=$P$6,INDEX(prem_analysis!$BU$1:$CF$67,ROWS(prem_analysis!$N$2:T375),COLUMNS(prem_analysis!$N$2:T375)),IF($Q$1=$P$4,INDEX(Table24[[#All],[Year]:[Details]],ROWS(prem_analysis!$M$420:S793),COLUMNS(Data!$Q$3:W376)))))),"")</f>
        <v/>
      </c>
      <c r="Y375" s="1" t="str">
        <f>IFERROR(IF($Q$1=$P$3,INDEX(prem_analysis!$P$2:$Q$441,ROWS(Data!$P$2:X375),COLUMNS(Data!$P$3:W376)),IF($Q$1=$P$5,INDEX(prem_analysis!$BH$1:$BS$23,ROWS(Data!$Q$3:X376),COLUMNS(Data!$Q$3:X376)),IF($Q$1=$P$6,INDEX(prem_analysis!$BU$1:$CF$67,ROWS(prem_analysis!$N$2:U375),COLUMNS(prem_analysis!$N$2:U375)),IF($Q$1=$P$4,INDEX(Table24[[#All],[Year]:[Details]],ROWS(prem_analysis!$M$420:T793),COLUMNS(Data!$Q$3:X376)))))),"")</f>
        <v/>
      </c>
      <c r="Z375" s="1" t="str">
        <f>IFERROR(IF($Q$1=$P$3,INDEX(prem_analysis!$P$2:$Q$441,ROWS(Data!$P$2:Y375),COLUMNS(Data!$P$3:X376)),IF($Q$1=$P$5,INDEX(prem_analysis!$BH$1:$BS$23,ROWS(Data!$Q$3:Y376),COLUMNS(Data!$Q$3:Y376)),IF($Q$1=$P$6,INDEX(prem_analysis!$BU$1:$CF$67,ROWS(prem_analysis!$N$2:V375),COLUMNS(prem_analysis!$N$2:V375)),IF($Q$1=$P$4,INDEX(Table24[[#All],[Year]:[Details]],ROWS(prem_analysis!$M$420:U793),COLUMNS(Data!$Q$3:Y376)))))),"")</f>
        <v/>
      </c>
      <c r="AA375" s="1" t="str">
        <f>IFERROR(IF($Q$1=$P$3,INDEX(prem_analysis!$P$2:$Q$441,ROWS(Data!$P$2:Z375),COLUMNS(Data!$P$3:Y376)),IF($Q$1=$P$5,INDEX(prem_analysis!$BH$1:$BS$23,ROWS(Data!$Q$3:Z376),COLUMNS(Data!$Q$3:Z376)),IF($Q$1=$P$6,INDEX(prem_analysis!$BU$1:$CF$67,ROWS(prem_analysis!$N$2:W375),COLUMNS(prem_analysis!$N$2:W375)),IF($Q$1=$P$4,INDEX(Table24[[#All],[Year]:[Details]],ROWS(prem_analysis!$M$420:V793),COLUMNS(Data!$Q$3:Z376)))))),"")</f>
        <v/>
      </c>
      <c r="AB375" s="1" t="str">
        <f>IFERROR(IF($Q$1=$P$3,INDEX(prem_analysis!$P$2:$Q$441,ROWS(Data!$P$2:AA375),COLUMNS(Data!$P$3:Z376)),IF($Q$1=$P$5,INDEX(prem_analysis!$BH$1:$BS$23,ROWS(Data!$Q$3:AA376),COLUMNS(Data!$Q$3:AA376)),IF($Q$1=$P$6,INDEX(prem_analysis!$BU$1:$CF$67,ROWS(prem_analysis!$N$2:X375),COLUMNS(prem_analysis!$N$2:X375)),IF($Q$1=$P$4,INDEX(Table24[[#All],[Year]:[Details]],ROWS(prem_analysis!$M$420:W793),COLUMNS(Data!$Q$3:AA376)))))),"")</f>
        <v/>
      </c>
      <c r="AC375" s="1" t="str">
        <f>IFERROR(IF($Q$1=$P$3,INDEX(prem_analysis!$P$2:$Q$441,ROWS(Data!$P$2:AB375),COLUMNS(Data!$P$3:AA376)),IF($Q$1=$P$5,INDEX(prem_analysis!$BH$1:$BS$23,ROWS(Data!$Q$3:AB376),COLUMNS(Data!$Q$3:AB376)),IF($Q$1=$P$6,INDEX(prem_analysis!$BU$1:$CF$67,ROWS(prem_analysis!$N$2:Y375),COLUMNS(prem_analysis!$N$2:Y375)),IF($Q$1=$P$4,INDEX(Table24[[#All],[Year]:[Details]],ROWS(prem_analysis!$M$420:X793),COLUMNS(Data!$Q$3:AB376)))))),"")</f>
        <v/>
      </c>
    </row>
    <row r="376" spans="1:29" x14ac:dyDescent="0.2">
      <c r="A376" s="3">
        <v>2018</v>
      </c>
      <c r="B376" s="3">
        <v>15</v>
      </c>
      <c r="C376" s="4" t="s">
        <v>46</v>
      </c>
      <c r="D376" s="3">
        <v>38</v>
      </c>
      <c r="E376" s="3">
        <v>11</v>
      </c>
      <c r="F376" s="3">
        <v>7</v>
      </c>
      <c r="G376" s="3">
        <v>20</v>
      </c>
      <c r="H376" s="3">
        <v>45</v>
      </c>
      <c r="I376" s="3">
        <v>68</v>
      </c>
      <c r="J376" s="3">
        <v>-23</v>
      </c>
      <c r="K376" s="3">
        <v>40</v>
      </c>
      <c r="L376" s="5">
        <f>IF(Table24[[#This Row],['#]]=1,"Champion", IF(Table24[[#This Row],['#]]&gt;=18,"Relegated",Table24[[#This Row],['#]]))</f>
        <v>15</v>
      </c>
      <c r="M376" s="5" t="str">
        <f>IF(Table24[[#This Row],[Details]]=2,K375-Table24[[#This Row],[Pts]],IF(Table24[[#This Row],[Details]]=17,Table24[[#This Row],[Pts]]-K377,""))</f>
        <v/>
      </c>
      <c r="R376" s="1" t="str">
        <f>IFERROR(IF($Q$1=$P$3,INDEX(prem_analysis!$P$2:$Q$441,ROWS(Data!$P$2:Q376),COLUMNS(Data!$P$3:P377)),IF($Q$1=$P$5,INDEX(prem_analysis!$BH$1:$BS$23,ROWS(Data!$Q$3:Q377),COLUMNS(Data!$Q$3:Q377)),IF($Q$1=$P$6,INDEX(prem_analysis!$BU$1:$CF$67,ROWS(prem_analysis!$N$2:N376),COLUMNS(prem_analysis!$N$2:N376)),IF($Q$1=$P$4,INDEX(Table24[[#All],[Year]:[Details]],ROWS(prem_analysis!$M$420:M794),COLUMNS(Data!$Q$3:Q377)))))),"")</f>
        <v/>
      </c>
      <c r="S376" s="1" t="str">
        <f>IFERROR(IF($Q$1=$P$3,INDEX(prem_analysis!$P$2:$Q$441,ROWS(Data!$P$2:R376),COLUMNS(Data!$P$3:Q377)),IF($Q$1=$P$5,INDEX(prem_analysis!$BH$1:$BS$23,ROWS(Data!$Q$3:R377),COLUMNS(Data!$Q$3:R377)),IF($Q$1=$P$6,INDEX(prem_analysis!$BU$1:$CF$67,ROWS(prem_analysis!$N$2:O376),COLUMNS(prem_analysis!$N$2:O376)),IF($Q$1=$P$4,INDEX(Table24[[#All],[Year]:[Details]],ROWS(prem_analysis!$M$420:N794),COLUMNS(Data!$Q$3:R377)))))),"")</f>
        <v/>
      </c>
      <c r="T376" s="1" t="str">
        <f>IFERROR(IF($Q$1=$P$3,INDEX(prem_analysis!$P$2:$Q$441,ROWS(Data!$P$2:S376),COLUMNS(Data!$P$3:R377)),IF($Q$1=$P$5,INDEX(prem_analysis!$BH$1:$BS$23,ROWS(Data!$Q$3:S377),COLUMNS(Data!$Q$3:S377)),IF($Q$1=$P$6,INDEX(prem_analysis!$BU$1:$CF$67,ROWS(prem_analysis!$N$2:P376),COLUMNS(prem_analysis!$N$2:P376)),IF($Q$1=$P$4,INDEX(Table24[[#All],[Year]:[Details]],ROWS(prem_analysis!$M$420:O794),COLUMNS(Data!$Q$3:S377)))))),"")</f>
        <v/>
      </c>
      <c r="U376" s="1" t="str">
        <f>IFERROR(IF($Q$1=$P$3,INDEX(prem_analysis!$P$2:$Q$441,ROWS(Data!$P$2:T376),COLUMNS(Data!$P$3:S377)),IF($Q$1=$P$5,INDEX(prem_analysis!$BH$1:$BS$23,ROWS(Data!$Q$3:T377),COLUMNS(Data!$Q$3:T377)),IF($Q$1=$P$6,INDEX(prem_analysis!$BU$1:$CF$67,ROWS(prem_analysis!$N$2:Q376),COLUMNS(prem_analysis!$N$2:Q376)),IF($Q$1=$P$4,INDEX(Table24[[#All],[Year]:[Details]],ROWS(prem_analysis!$M$420:P794),COLUMNS(Data!$Q$3:T377)))))),"")</f>
        <v/>
      </c>
      <c r="V376" s="1" t="str">
        <f>IFERROR(IF($Q$1=$P$3,INDEX(prem_analysis!$P$2:$Q$441,ROWS(Data!$P$2:U376),COLUMNS(Data!$P$3:T377)),IF($Q$1=$P$5,INDEX(prem_analysis!$BH$1:$BS$23,ROWS(Data!$Q$3:U377),COLUMNS(Data!$Q$3:U377)),IF($Q$1=$P$6,INDEX(prem_analysis!$BU$1:$CF$67,ROWS(prem_analysis!$N$2:R376),COLUMNS(prem_analysis!$N$2:R376)),IF($Q$1=$P$4,INDEX(Table24[[#All],[Year]:[Details]],ROWS(prem_analysis!$M$420:Q794),COLUMNS(Data!$Q$3:U377)))))),"")</f>
        <v/>
      </c>
      <c r="W376" s="1" t="str">
        <f>IFERROR(IF($Q$1=$P$3,INDEX(prem_analysis!$P$2:$Q$441,ROWS(Data!$P$2:V376),COLUMNS(Data!$P$3:U377)),IF($Q$1=$P$5,INDEX(prem_analysis!$BH$1:$BS$23,ROWS(Data!$Q$3:V377),COLUMNS(Data!$Q$3:V377)),IF($Q$1=$P$6,INDEX(prem_analysis!$BU$1:$CF$67,ROWS(prem_analysis!$N$2:S376),COLUMNS(prem_analysis!$N$2:S376)),IF($Q$1=$P$4,INDEX(Table24[[#All],[Year]:[Details]],ROWS(prem_analysis!$M$420:R794),COLUMNS(Data!$Q$3:V377)))))),"")</f>
        <v/>
      </c>
      <c r="X376" s="1" t="str">
        <f>IFERROR(IF($Q$1=$P$3,INDEX(prem_analysis!$P$2:$Q$441,ROWS(Data!$P$2:W376),COLUMNS(Data!$P$3:V377)),IF($Q$1=$P$5,INDEX(prem_analysis!$BH$1:$BS$23,ROWS(Data!$Q$3:W377),COLUMNS(Data!$Q$3:W377)),IF($Q$1=$P$6,INDEX(prem_analysis!$BU$1:$CF$67,ROWS(prem_analysis!$N$2:T376),COLUMNS(prem_analysis!$N$2:T376)),IF($Q$1=$P$4,INDEX(Table24[[#All],[Year]:[Details]],ROWS(prem_analysis!$M$420:S794),COLUMNS(Data!$Q$3:W377)))))),"")</f>
        <v/>
      </c>
      <c r="Y376" s="1" t="str">
        <f>IFERROR(IF($Q$1=$P$3,INDEX(prem_analysis!$P$2:$Q$441,ROWS(Data!$P$2:X376),COLUMNS(Data!$P$3:W377)),IF($Q$1=$P$5,INDEX(prem_analysis!$BH$1:$BS$23,ROWS(Data!$Q$3:X377),COLUMNS(Data!$Q$3:X377)),IF($Q$1=$P$6,INDEX(prem_analysis!$BU$1:$CF$67,ROWS(prem_analysis!$N$2:U376),COLUMNS(prem_analysis!$N$2:U376)),IF($Q$1=$P$4,INDEX(Table24[[#All],[Year]:[Details]],ROWS(prem_analysis!$M$420:T794),COLUMNS(Data!$Q$3:X377)))))),"")</f>
        <v/>
      </c>
      <c r="Z376" s="1" t="str">
        <f>IFERROR(IF($Q$1=$P$3,INDEX(prem_analysis!$P$2:$Q$441,ROWS(Data!$P$2:Y376),COLUMNS(Data!$P$3:X377)),IF($Q$1=$P$5,INDEX(prem_analysis!$BH$1:$BS$23,ROWS(Data!$Q$3:Y377),COLUMNS(Data!$Q$3:Y377)),IF($Q$1=$P$6,INDEX(prem_analysis!$BU$1:$CF$67,ROWS(prem_analysis!$N$2:V376),COLUMNS(prem_analysis!$N$2:V376)),IF($Q$1=$P$4,INDEX(Table24[[#All],[Year]:[Details]],ROWS(prem_analysis!$M$420:U794),COLUMNS(Data!$Q$3:Y377)))))),"")</f>
        <v/>
      </c>
      <c r="AA376" s="1" t="str">
        <f>IFERROR(IF($Q$1=$P$3,INDEX(prem_analysis!$P$2:$Q$441,ROWS(Data!$P$2:Z376),COLUMNS(Data!$P$3:Y377)),IF($Q$1=$P$5,INDEX(prem_analysis!$BH$1:$BS$23,ROWS(Data!$Q$3:Z377),COLUMNS(Data!$Q$3:Z377)),IF($Q$1=$P$6,INDEX(prem_analysis!$BU$1:$CF$67,ROWS(prem_analysis!$N$2:W376),COLUMNS(prem_analysis!$N$2:W376)),IF($Q$1=$P$4,INDEX(Table24[[#All],[Year]:[Details]],ROWS(prem_analysis!$M$420:V794),COLUMNS(Data!$Q$3:Z377)))))),"")</f>
        <v/>
      </c>
      <c r="AB376" s="1" t="str">
        <f>IFERROR(IF($Q$1=$P$3,INDEX(prem_analysis!$P$2:$Q$441,ROWS(Data!$P$2:AA376),COLUMNS(Data!$P$3:Z377)),IF($Q$1=$P$5,INDEX(prem_analysis!$BH$1:$BS$23,ROWS(Data!$Q$3:AA377),COLUMNS(Data!$Q$3:AA377)),IF($Q$1=$P$6,INDEX(prem_analysis!$BU$1:$CF$67,ROWS(prem_analysis!$N$2:X376),COLUMNS(prem_analysis!$N$2:X376)),IF($Q$1=$P$4,INDEX(Table24[[#All],[Year]:[Details]],ROWS(prem_analysis!$M$420:W794),COLUMNS(Data!$Q$3:AA377)))))),"")</f>
        <v/>
      </c>
      <c r="AC376" s="1" t="str">
        <f>IFERROR(IF($Q$1=$P$3,INDEX(prem_analysis!$P$2:$Q$441,ROWS(Data!$P$2:AB376),COLUMNS(Data!$P$3:AA377)),IF($Q$1=$P$5,INDEX(prem_analysis!$BH$1:$BS$23,ROWS(Data!$Q$3:AB377),COLUMNS(Data!$Q$3:AB377)),IF($Q$1=$P$6,INDEX(prem_analysis!$BU$1:$CF$67,ROWS(prem_analysis!$N$2:Y376),COLUMNS(prem_analysis!$N$2:Y376)),IF($Q$1=$P$4,INDEX(Table24[[#All],[Year]:[Details]],ROWS(prem_analysis!$M$420:X794),COLUMNS(Data!$Q$3:AB377)))))),"")</f>
        <v/>
      </c>
    </row>
    <row r="377" spans="1:29" x14ac:dyDescent="0.2">
      <c r="A377" s="5">
        <v>2018</v>
      </c>
      <c r="B377" s="5">
        <v>16</v>
      </c>
      <c r="C377" s="6" t="s">
        <v>20</v>
      </c>
      <c r="D377" s="5">
        <v>38</v>
      </c>
      <c r="E377" s="5">
        <v>9</v>
      </c>
      <c r="F377" s="5">
        <v>12</v>
      </c>
      <c r="G377" s="5">
        <v>17</v>
      </c>
      <c r="H377" s="5">
        <v>45</v>
      </c>
      <c r="I377" s="5">
        <v>65</v>
      </c>
      <c r="J377" s="5">
        <v>-20</v>
      </c>
      <c r="K377" s="5">
        <v>39</v>
      </c>
      <c r="L377" s="5">
        <f>IF(Table24[[#This Row],['#]]=1,"Champion", IF(Table24[[#This Row],['#]]&gt;=18,"Relegated",Table24[[#This Row],['#]]))</f>
        <v>16</v>
      </c>
      <c r="M377" s="5" t="str">
        <f>IF(Table24[[#This Row],[Details]]=2,K376-Table24[[#This Row],[Pts]],IF(Table24[[#This Row],[Details]]=17,Table24[[#This Row],[Pts]]-K378,""))</f>
        <v/>
      </c>
      <c r="R377" s="1" t="str">
        <f>IFERROR(IF($Q$1=$P$3,INDEX(prem_analysis!$P$2:$Q$441,ROWS(Data!$P$2:Q377),COLUMNS(Data!$P$3:P378)),IF($Q$1=$P$5,INDEX(prem_analysis!$BH$1:$BS$23,ROWS(Data!$Q$3:Q378),COLUMNS(Data!$Q$3:Q378)),IF($Q$1=$P$6,INDEX(prem_analysis!$BU$1:$CF$67,ROWS(prem_analysis!$N$2:N377),COLUMNS(prem_analysis!$N$2:N377)),IF($Q$1=$P$4,INDEX(Table24[[#All],[Year]:[Details]],ROWS(prem_analysis!$M$420:M795),COLUMNS(Data!$Q$3:Q378)))))),"")</f>
        <v/>
      </c>
      <c r="S377" s="1" t="str">
        <f>IFERROR(IF($Q$1=$P$3,INDEX(prem_analysis!$P$2:$Q$441,ROWS(Data!$P$2:R377),COLUMNS(Data!$P$3:Q378)),IF($Q$1=$P$5,INDEX(prem_analysis!$BH$1:$BS$23,ROWS(Data!$Q$3:R378),COLUMNS(Data!$Q$3:R378)),IF($Q$1=$P$6,INDEX(prem_analysis!$BU$1:$CF$67,ROWS(prem_analysis!$N$2:O377),COLUMNS(prem_analysis!$N$2:O377)),IF($Q$1=$P$4,INDEX(Table24[[#All],[Year]:[Details]],ROWS(prem_analysis!$M$420:N795),COLUMNS(Data!$Q$3:R378)))))),"")</f>
        <v/>
      </c>
      <c r="T377" s="1" t="str">
        <f>IFERROR(IF($Q$1=$P$3,INDEX(prem_analysis!$P$2:$Q$441,ROWS(Data!$P$2:S377),COLUMNS(Data!$P$3:R378)),IF($Q$1=$P$5,INDEX(prem_analysis!$BH$1:$BS$23,ROWS(Data!$Q$3:S378),COLUMNS(Data!$Q$3:S378)),IF($Q$1=$P$6,INDEX(prem_analysis!$BU$1:$CF$67,ROWS(prem_analysis!$N$2:P377),COLUMNS(prem_analysis!$N$2:P377)),IF($Q$1=$P$4,INDEX(Table24[[#All],[Year]:[Details]],ROWS(prem_analysis!$M$420:O795),COLUMNS(Data!$Q$3:S378)))))),"")</f>
        <v/>
      </c>
      <c r="U377" s="1" t="str">
        <f>IFERROR(IF($Q$1=$P$3,INDEX(prem_analysis!$P$2:$Q$441,ROWS(Data!$P$2:T377),COLUMNS(Data!$P$3:S378)),IF($Q$1=$P$5,INDEX(prem_analysis!$BH$1:$BS$23,ROWS(Data!$Q$3:T378),COLUMNS(Data!$Q$3:T378)),IF($Q$1=$P$6,INDEX(prem_analysis!$BU$1:$CF$67,ROWS(prem_analysis!$N$2:Q377),COLUMNS(prem_analysis!$N$2:Q377)),IF($Q$1=$P$4,INDEX(Table24[[#All],[Year]:[Details]],ROWS(prem_analysis!$M$420:P795),COLUMNS(Data!$Q$3:T378)))))),"")</f>
        <v/>
      </c>
      <c r="V377" s="1" t="str">
        <f>IFERROR(IF($Q$1=$P$3,INDEX(prem_analysis!$P$2:$Q$441,ROWS(Data!$P$2:U377),COLUMNS(Data!$P$3:T378)),IF($Q$1=$P$5,INDEX(prem_analysis!$BH$1:$BS$23,ROWS(Data!$Q$3:U378),COLUMNS(Data!$Q$3:U378)),IF($Q$1=$P$6,INDEX(prem_analysis!$BU$1:$CF$67,ROWS(prem_analysis!$N$2:R377),COLUMNS(prem_analysis!$N$2:R377)),IF($Q$1=$P$4,INDEX(Table24[[#All],[Year]:[Details]],ROWS(prem_analysis!$M$420:Q795),COLUMNS(Data!$Q$3:U378)))))),"")</f>
        <v/>
      </c>
      <c r="W377" s="1" t="str">
        <f>IFERROR(IF($Q$1=$P$3,INDEX(prem_analysis!$P$2:$Q$441,ROWS(Data!$P$2:V377),COLUMNS(Data!$P$3:U378)),IF($Q$1=$P$5,INDEX(prem_analysis!$BH$1:$BS$23,ROWS(Data!$Q$3:V378),COLUMNS(Data!$Q$3:V378)),IF($Q$1=$P$6,INDEX(prem_analysis!$BU$1:$CF$67,ROWS(prem_analysis!$N$2:S377),COLUMNS(prem_analysis!$N$2:S377)),IF($Q$1=$P$4,INDEX(Table24[[#All],[Year]:[Details]],ROWS(prem_analysis!$M$420:R795),COLUMNS(Data!$Q$3:V378)))))),"")</f>
        <v/>
      </c>
      <c r="X377" s="1" t="str">
        <f>IFERROR(IF($Q$1=$P$3,INDEX(prem_analysis!$P$2:$Q$441,ROWS(Data!$P$2:W377),COLUMNS(Data!$P$3:V378)),IF($Q$1=$P$5,INDEX(prem_analysis!$BH$1:$BS$23,ROWS(Data!$Q$3:W378),COLUMNS(Data!$Q$3:W378)),IF($Q$1=$P$6,INDEX(prem_analysis!$BU$1:$CF$67,ROWS(prem_analysis!$N$2:T377),COLUMNS(prem_analysis!$N$2:T377)),IF($Q$1=$P$4,INDEX(Table24[[#All],[Year]:[Details]],ROWS(prem_analysis!$M$420:S795),COLUMNS(Data!$Q$3:W378)))))),"")</f>
        <v/>
      </c>
      <c r="Y377" s="1" t="str">
        <f>IFERROR(IF($Q$1=$P$3,INDEX(prem_analysis!$P$2:$Q$441,ROWS(Data!$P$2:X377),COLUMNS(Data!$P$3:W378)),IF($Q$1=$P$5,INDEX(prem_analysis!$BH$1:$BS$23,ROWS(Data!$Q$3:X378),COLUMNS(Data!$Q$3:X378)),IF($Q$1=$P$6,INDEX(prem_analysis!$BU$1:$CF$67,ROWS(prem_analysis!$N$2:U377),COLUMNS(prem_analysis!$N$2:U377)),IF($Q$1=$P$4,INDEX(Table24[[#All],[Year]:[Details]],ROWS(prem_analysis!$M$420:T795),COLUMNS(Data!$Q$3:X378)))))),"")</f>
        <v/>
      </c>
      <c r="Z377" s="1" t="str">
        <f>IFERROR(IF($Q$1=$P$3,INDEX(prem_analysis!$P$2:$Q$441,ROWS(Data!$P$2:Y377),COLUMNS(Data!$P$3:X378)),IF($Q$1=$P$5,INDEX(prem_analysis!$BH$1:$BS$23,ROWS(Data!$Q$3:Y378),COLUMNS(Data!$Q$3:Y378)),IF($Q$1=$P$6,INDEX(prem_analysis!$BU$1:$CF$67,ROWS(prem_analysis!$N$2:V377),COLUMNS(prem_analysis!$N$2:V377)),IF($Q$1=$P$4,INDEX(Table24[[#All],[Year]:[Details]],ROWS(prem_analysis!$M$420:U795),COLUMNS(Data!$Q$3:Y378)))))),"")</f>
        <v/>
      </c>
      <c r="AA377" s="1" t="str">
        <f>IFERROR(IF($Q$1=$P$3,INDEX(prem_analysis!$P$2:$Q$441,ROWS(Data!$P$2:Z377),COLUMNS(Data!$P$3:Y378)),IF($Q$1=$P$5,INDEX(prem_analysis!$BH$1:$BS$23,ROWS(Data!$Q$3:Z378),COLUMNS(Data!$Q$3:Z378)),IF($Q$1=$P$6,INDEX(prem_analysis!$BU$1:$CF$67,ROWS(prem_analysis!$N$2:W377),COLUMNS(prem_analysis!$N$2:W377)),IF($Q$1=$P$4,INDEX(Table24[[#All],[Year]:[Details]],ROWS(prem_analysis!$M$420:V795),COLUMNS(Data!$Q$3:Z378)))))),"")</f>
        <v/>
      </c>
      <c r="AB377" s="1" t="str">
        <f>IFERROR(IF($Q$1=$P$3,INDEX(prem_analysis!$P$2:$Q$441,ROWS(Data!$P$2:AA377),COLUMNS(Data!$P$3:Z378)),IF($Q$1=$P$5,INDEX(prem_analysis!$BH$1:$BS$23,ROWS(Data!$Q$3:AA378),COLUMNS(Data!$Q$3:AA378)),IF($Q$1=$P$6,INDEX(prem_analysis!$BU$1:$CF$67,ROWS(prem_analysis!$N$2:X377),COLUMNS(prem_analysis!$N$2:X377)),IF($Q$1=$P$4,INDEX(Table24[[#All],[Year]:[Details]],ROWS(prem_analysis!$M$420:W795),COLUMNS(Data!$Q$3:AA378)))))),"")</f>
        <v/>
      </c>
      <c r="AC377" s="1" t="str">
        <f>IFERROR(IF($Q$1=$P$3,INDEX(prem_analysis!$P$2:$Q$441,ROWS(Data!$P$2:AB377),COLUMNS(Data!$P$3:AA378)),IF($Q$1=$P$5,INDEX(prem_analysis!$BH$1:$BS$23,ROWS(Data!$Q$3:AB378),COLUMNS(Data!$Q$3:AB378)),IF($Q$1=$P$6,INDEX(prem_analysis!$BU$1:$CF$67,ROWS(prem_analysis!$N$2:Y377),COLUMNS(prem_analysis!$N$2:Y377)),IF($Q$1=$P$4,INDEX(Table24[[#All],[Year]:[Details]],ROWS(prem_analysis!$M$420:X795),COLUMNS(Data!$Q$3:AB378)))))),"")</f>
        <v/>
      </c>
    </row>
    <row r="378" spans="1:29" x14ac:dyDescent="0.2">
      <c r="A378" s="3">
        <v>2018</v>
      </c>
      <c r="B378" s="3">
        <v>17</v>
      </c>
      <c r="C378" s="4" t="s">
        <v>55</v>
      </c>
      <c r="D378" s="3">
        <v>38</v>
      </c>
      <c r="E378" s="3">
        <v>9</v>
      </c>
      <c r="F378" s="3">
        <v>9</v>
      </c>
      <c r="G378" s="3">
        <v>20</v>
      </c>
      <c r="H378" s="3">
        <v>35</v>
      </c>
      <c r="I378" s="3">
        <v>60</v>
      </c>
      <c r="J378" s="3">
        <v>-25</v>
      </c>
      <c r="K378" s="3">
        <v>36</v>
      </c>
      <c r="L378" s="5">
        <f>IF(Table24[[#This Row],['#]]=1,"Champion", IF(Table24[[#This Row],['#]]&gt;=18,"Relegated",Table24[[#This Row],['#]]))</f>
        <v>17</v>
      </c>
      <c r="M378" s="5">
        <f>IF(Table24[[#This Row],[Details]]=2,K377-Table24[[#This Row],[Pts]],IF(Table24[[#This Row],[Details]]=17,Table24[[#This Row],[Pts]]-K379,""))</f>
        <v>2</v>
      </c>
      <c r="R378" s="1" t="str">
        <f>IFERROR(IF($Q$1=$P$3,INDEX(prem_analysis!$P$2:$Q$441,ROWS(Data!$P$2:Q378),COLUMNS(Data!$P$3:P379)),IF($Q$1=$P$5,INDEX(prem_analysis!$BH$1:$BS$23,ROWS(Data!$Q$3:Q379),COLUMNS(Data!$Q$3:Q379)),IF($Q$1=$P$6,INDEX(prem_analysis!$BU$1:$CF$67,ROWS(prem_analysis!$N$2:N378),COLUMNS(prem_analysis!$N$2:N378)),IF($Q$1=$P$4,INDEX(Table24[[#All],[Year]:[Details]],ROWS(prem_analysis!$M$420:M796),COLUMNS(Data!$Q$3:Q379)))))),"")</f>
        <v/>
      </c>
      <c r="S378" s="1" t="str">
        <f>IFERROR(IF($Q$1=$P$3,INDEX(prem_analysis!$P$2:$Q$441,ROWS(Data!$P$2:R378),COLUMNS(Data!$P$3:Q379)),IF($Q$1=$P$5,INDEX(prem_analysis!$BH$1:$BS$23,ROWS(Data!$Q$3:R379),COLUMNS(Data!$Q$3:R379)),IF($Q$1=$P$6,INDEX(prem_analysis!$BU$1:$CF$67,ROWS(prem_analysis!$N$2:O378),COLUMNS(prem_analysis!$N$2:O378)),IF($Q$1=$P$4,INDEX(Table24[[#All],[Year]:[Details]],ROWS(prem_analysis!$M$420:N796),COLUMNS(Data!$Q$3:R379)))))),"")</f>
        <v/>
      </c>
      <c r="T378" s="1" t="str">
        <f>IFERROR(IF($Q$1=$P$3,INDEX(prem_analysis!$P$2:$Q$441,ROWS(Data!$P$2:S378),COLUMNS(Data!$P$3:R379)),IF($Q$1=$P$5,INDEX(prem_analysis!$BH$1:$BS$23,ROWS(Data!$Q$3:S379),COLUMNS(Data!$Q$3:S379)),IF($Q$1=$P$6,INDEX(prem_analysis!$BU$1:$CF$67,ROWS(prem_analysis!$N$2:P378),COLUMNS(prem_analysis!$N$2:P378)),IF($Q$1=$P$4,INDEX(Table24[[#All],[Year]:[Details]],ROWS(prem_analysis!$M$420:O796),COLUMNS(Data!$Q$3:S379)))))),"")</f>
        <v/>
      </c>
      <c r="U378" s="1" t="str">
        <f>IFERROR(IF($Q$1=$P$3,INDEX(prem_analysis!$P$2:$Q$441,ROWS(Data!$P$2:T378),COLUMNS(Data!$P$3:S379)),IF($Q$1=$P$5,INDEX(prem_analysis!$BH$1:$BS$23,ROWS(Data!$Q$3:T379),COLUMNS(Data!$Q$3:T379)),IF($Q$1=$P$6,INDEX(prem_analysis!$BU$1:$CF$67,ROWS(prem_analysis!$N$2:Q378),COLUMNS(prem_analysis!$N$2:Q378)),IF($Q$1=$P$4,INDEX(Table24[[#All],[Year]:[Details]],ROWS(prem_analysis!$M$420:P796),COLUMNS(Data!$Q$3:T379)))))),"")</f>
        <v/>
      </c>
      <c r="V378" s="1" t="str">
        <f>IFERROR(IF($Q$1=$P$3,INDEX(prem_analysis!$P$2:$Q$441,ROWS(Data!$P$2:U378),COLUMNS(Data!$P$3:T379)),IF($Q$1=$P$5,INDEX(prem_analysis!$BH$1:$BS$23,ROWS(Data!$Q$3:U379),COLUMNS(Data!$Q$3:U379)),IF($Q$1=$P$6,INDEX(prem_analysis!$BU$1:$CF$67,ROWS(prem_analysis!$N$2:R378),COLUMNS(prem_analysis!$N$2:R378)),IF($Q$1=$P$4,INDEX(Table24[[#All],[Year]:[Details]],ROWS(prem_analysis!$M$420:Q796),COLUMNS(Data!$Q$3:U379)))))),"")</f>
        <v/>
      </c>
      <c r="W378" s="1" t="str">
        <f>IFERROR(IF($Q$1=$P$3,INDEX(prem_analysis!$P$2:$Q$441,ROWS(Data!$P$2:V378),COLUMNS(Data!$P$3:U379)),IF($Q$1=$P$5,INDEX(prem_analysis!$BH$1:$BS$23,ROWS(Data!$Q$3:V379),COLUMNS(Data!$Q$3:V379)),IF($Q$1=$P$6,INDEX(prem_analysis!$BU$1:$CF$67,ROWS(prem_analysis!$N$2:S378),COLUMNS(prem_analysis!$N$2:S378)),IF($Q$1=$P$4,INDEX(Table24[[#All],[Year]:[Details]],ROWS(prem_analysis!$M$420:R796),COLUMNS(Data!$Q$3:V379)))))),"")</f>
        <v/>
      </c>
      <c r="X378" s="1" t="str">
        <f>IFERROR(IF($Q$1=$P$3,INDEX(prem_analysis!$P$2:$Q$441,ROWS(Data!$P$2:W378),COLUMNS(Data!$P$3:V379)),IF($Q$1=$P$5,INDEX(prem_analysis!$BH$1:$BS$23,ROWS(Data!$Q$3:W379),COLUMNS(Data!$Q$3:W379)),IF($Q$1=$P$6,INDEX(prem_analysis!$BU$1:$CF$67,ROWS(prem_analysis!$N$2:T378),COLUMNS(prem_analysis!$N$2:T378)),IF($Q$1=$P$4,INDEX(Table24[[#All],[Year]:[Details]],ROWS(prem_analysis!$M$420:S796),COLUMNS(Data!$Q$3:W379)))))),"")</f>
        <v/>
      </c>
      <c r="Y378" s="1" t="str">
        <f>IFERROR(IF($Q$1=$P$3,INDEX(prem_analysis!$P$2:$Q$441,ROWS(Data!$P$2:X378),COLUMNS(Data!$P$3:W379)),IF($Q$1=$P$5,INDEX(prem_analysis!$BH$1:$BS$23,ROWS(Data!$Q$3:X379),COLUMNS(Data!$Q$3:X379)),IF($Q$1=$P$6,INDEX(prem_analysis!$BU$1:$CF$67,ROWS(prem_analysis!$N$2:U378),COLUMNS(prem_analysis!$N$2:U378)),IF($Q$1=$P$4,INDEX(Table24[[#All],[Year]:[Details]],ROWS(prem_analysis!$M$420:T796),COLUMNS(Data!$Q$3:X379)))))),"")</f>
        <v/>
      </c>
      <c r="Z378" s="1" t="str">
        <f>IFERROR(IF($Q$1=$P$3,INDEX(prem_analysis!$P$2:$Q$441,ROWS(Data!$P$2:Y378),COLUMNS(Data!$P$3:X379)),IF($Q$1=$P$5,INDEX(prem_analysis!$BH$1:$BS$23,ROWS(Data!$Q$3:Y379),COLUMNS(Data!$Q$3:Y379)),IF($Q$1=$P$6,INDEX(prem_analysis!$BU$1:$CF$67,ROWS(prem_analysis!$N$2:V378),COLUMNS(prem_analysis!$N$2:V378)),IF($Q$1=$P$4,INDEX(Table24[[#All],[Year]:[Details]],ROWS(prem_analysis!$M$420:U796),COLUMNS(Data!$Q$3:Y379)))))),"")</f>
        <v/>
      </c>
      <c r="AA378" s="1" t="str">
        <f>IFERROR(IF($Q$1=$P$3,INDEX(prem_analysis!$P$2:$Q$441,ROWS(Data!$P$2:Z378),COLUMNS(Data!$P$3:Y379)),IF($Q$1=$P$5,INDEX(prem_analysis!$BH$1:$BS$23,ROWS(Data!$Q$3:Z379),COLUMNS(Data!$Q$3:Z379)),IF($Q$1=$P$6,INDEX(prem_analysis!$BU$1:$CF$67,ROWS(prem_analysis!$N$2:W378),COLUMNS(prem_analysis!$N$2:W378)),IF($Q$1=$P$4,INDEX(Table24[[#All],[Year]:[Details]],ROWS(prem_analysis!$M$420:V796),COLUMNS(Data!$Q$3:Z379)))))),"")</f>
        <v/>
      </c>
      <c r="AB378" s="1" t="str">
        <f>IFERROR(IF($Q$1=$P$3,INDEX(prem_analysis!$P$2:$Q$441,ROWS(Data!$P$2:AA378),COLUMNS(Data!$P$3:Z379)),IF($Q$1=$P$5,INDEX(prem_analysis!$BH$1:$BS$23,ROWS(Data!$Q$3:AA379),COLUMNS(Data!$Q$3:AA379)),IF($Q$1=$P$6,INDEX(prem_analysis!$BU$1:$CF$67,ROWS(prem_analysis!$N$2:X378),COLUMNS(prem_analysis!$N$2:X378)),IF($Q$1=$P$4,INDEX(Table24[[#All],[Year]:[Details]],ROWS(prem_analysis!$M$420:W796),COLUMNS(Data!$Q$3:AA379)))))),"")</f>
        <v/>
      </c>
      <c r="AC378" s="1" t="str">
        <f>IFERROR(IF($Q$1=$P$3,INDEX(prem_analysis!$P$2:$Q$441,ROWS(Data!$P$2:AB378),COLUMNS(Data!$P$3:AA379)),IF($Q$1=$P$5,INDEX(prem_analysis!$BH$1:$BS$23,ROWS(Data!$Q$3:AB379),COLUMNS(Data!$Q$3:AB379)),IF($Q$1=$P$6,INDEX(prem_analysis!$BU$1:$CF$67,ROWS(prem_analysis!$N$2:Y378),COLUMNS(prem_analysis!$N$2:Y378)),IF($Q$1=$P$4,INDEX(Table24[[#All],[Year]:[Details]],ROWS(prem_analysis!$M$420:X796),COLUMNS(Data!$Q$3:AB379)))))),"")</f>
        <v/>
      </c>
    </row>
    <row r="379" spans="1:29" x14ac:dyDescent="0.2">
      <c r="A379" s="5">
        <v>2018</v>
      </c>
      <c r="B379" s="5">
        <v>18</v>
      </c>
      <c r="C379" s="6" t="s">
        <v>50</v>
      </c>
      <c r="D379" s="5">
        <v>38</v>
      </c>
      <c r="E379" s="5">
        <v>10</v>
      </c>
      <c r="F379" s="5">
        <v>4</v>
      </c>
      <c r="G379" s="5">
        <v>24</v>
      </c>
      <c r="H379" s="5">
        <v>34</v>
      </c>
      <c r="I379" s="5">
        <v>69</v>
      </c>
      <c r="J379" s="5">
        <v>-35</v>
      </c>
      <c r="K379" s="5">
        <v>34</v>
      </c>
      <c r="L379" s="5" t="str">
        <f>IF(Table24[[#This Row],['#]]=1,"Champion", IF(Table24[[#This Row],['#]]&gt;=18,"Relegated",Table24[[#This Row],['#]]))</f>
        <v>Relegated</v>
      </c>
      <c r="M379" s="5" t="str">
        <f>IF(Table24[[#This Row],[Details]]=2,K378-Table24[[#This Row],[Pts]],IF(Table24[[#This Row],[Details]]=17,Table24[[#This Row],[Pts]]-K380,""))</f>
        <v/>
      </c>
      <c r="R379" s="1" t="str">
        <f>IFERROR(IF($Q$1=$P$3,INDEX(prem_analysis!$P$2:$Q$441,ROWS(Data!$P$2:Q379),COLUMNS(Data!$P$3:P380)),IF($Q$1=$P$5,INDEX(prem_analysis!$BH$1:$BS$23,ROWS(Data!$Q$3:Q380),COLUMNS(Data!$Q$3:Q380)),IF($Q$1=$P$6,INDEX(prem_analysis!$BU$1:$CF$67,ROWS(prem_analysis!$N$2:N379),COLUMNS(prem_analysis!$N$2:N379)),IF($Q$1=$P$4,INDEX(Table24[[#All],[Year]:[Details]],ROWS(prem_analysis!$M$420:M797),COLUMNS(Data!$Q$3:Q380)))))),"")</f>
        <v/>
      </c>
      <c r="S379" s="1" t="str">
        <f>IFERROR(IF($Q$1=$P$3,INDEX(prem_analysis!$P$2:$Q$441,ROWS(Data!$P$2:R379),COLUMNS(Data!$P$3:Q380)),IF($Q$1=$P$5,INDEX(prem_analysis!$BH$1:$BS$23,ROWS(Data!$Q$3:R380),COLUMNS(Data!$Q$3:R380)),IF($Q$1=$P$6,INDEX(prem_analysis!$BU$1:$CF$67,ROWS(prem_analysis!$N$2:O379),COLUMNS(prem_analysis!$N$2:O379)),IF($Q$1=$P$4,INDEX(Table24[[#All],[Year]:[Details]],ROWS(prem_analysis!$M$420:N797),COLUMNS(Data!$Q$3:R380)))))),"")</f>
        <v/>
      </c>
      <c r="T379" s="1" t="str">
        <f>IFERROR(IF($Q$1=$P$3,INDEX(prem_analysis!$P$2:$Q$441,ROWS(Data!$P$2:S379),COLUMNS(Data!$P$3:R380)),IF($Q$1=$P$5,INDEX(prem_analysis!$BH$1:$BS$23,ROWS(Data!$Q$3:S380),COLUMNS(Data!$Q$3:S380)),IF($Q$1=$P$6,INDEX(prem_analysis!$BU$1:$CF$67,ROWS(prem_analysis!$N$2:P379),COLUMNS(prem_analysis!$N$2:P379)),IF($Q$1=$P$4,INDEX(Table24[[#All],[Year]:[Details]],ROWS(prem_analysis!$M$420:O797),COLUMNS(Data!$Q$3:S380)))))),"")</f>
        <v/>
      </c>
      <c r="U379" s="1" t="str">
        <f>IFERROR(IF($Q$1=$P$3,INDEX(prem_analysis!$P$2:$Q$441,ROWS(Data!$P$2:T379),COLUMNS(Data!$P$3:S380)),IF($Q$1=$P$5,INDEX(prem_analysis!$BH$1:$BS$23,ROWS(Data!$Q$3:T380),COLUMNS(Data!$Q$3:T380)),IF($Q$1=$P$6,INDEX(prem_analysis!$BU$1:$CF$67,ROWS(prem_analysis!$N$2:Q379),COLUMNS(prem_analysis!$N$2:Q379)),IF($Q$1=$P$4,INDEX(Table24[[#All],[Year]:[Details]],ROWS(prem_analysis!$M$420:P797),COLUMNS(Data!$Q$3:T380)))))),"")</f>
        <v/>
      </c>
      <c r="V379" s="1" t="str">
        <f>IFERROR(IF($Q$1=$P$3,INDEX(prem_analysis!$P$2:$Q$441,ROWS(Data!$P$2:U379),COLUMNS(Data!$P$3:T380)),IF($Q$1=$P$5,INDEX(prem_analysis!$BH$1:$BS$23,ROWS(Data!$Q$3:U380),COLUMNS(Data!$Q$3:U380)),IF($Q$1=$P$6,INDEX(prem_analysis!$BU$1:$CF$67,ROWS(prem_analysis!$N$2:R379),COLUMNS(prem_analysis!$N$2:R379)),IF($Q$1=$P$4,INDEX(Table24[[#All],[Year]:[Details]],ROWS(prem_analysis!$M$420:Q797),COLUMNS(Data!$Q$3:U380)))))),"")</f>
        <v/>
      </c>
      <c r="W379" s="1" t="str">
        <f>IFERROR(IF($Q$1=$P$3,INDEX(prem_analysis!$P$2:$Q$441,ROWS(Data!$P$2:V379),COLUMNS(Data!$P$3:U380)),IF($Q$1=$P$5,INDEX(prem_analysis!$BH$1:$BS$23,ROWS(Data!$Q$3:V380),COLUMNS(Data!$Q$3:V380)),IF($Q$1=$P$6,INDEX(prem_analysis!$BU$1:$CF$67,ROWS(prem_analysis!$N$2:S379),COLUMNS(prem_analysis!$N$2:S379)),IF($Q$1=$P$4,INDEX(Table24[[#All],[Year]:[Details]],ROWS(prem_analysis!$M$420:R797),COLUMNS(Data!$Q$3:V380)))))),"")</f>
        <v/>
      </c>
      <c r="X379" s="1" t="str">
        <f>IFERROR(IF($Q$1=$P$3,INDEX(prem_analysis!$P$2:$Q$441,ROWS(Data!$P$2:W379),COLUMNS(Data!$P$3:V380)),IF($Q$1=$P$5,INDEX(prem_analysis!$BH$1:$BS$23,ROWS(Data!$Q$3:W380),COLUMNS(Data!$Q$3:W380)),IF($Q$1=$P$6,INDEX(prem_analysis!$BU$1:$CF$67,ROWS(prem_analysis!$N$2:T379),COLUMNS(prem_analysis!$N$2:T379)),IF($Q$1=$P$4,INDEX(Table24[[#All],[Year]:[Details]],ROWS(prem_analysis!$M$420:S797),COLUMNS(Data!$Q$3:W380)))))),"")</f>
        <v/>
      </c>
      <c r="Y379" s="1" t="str">
        <f>IFERROR(IF($Q$1=$P$3,INDEX(prem_analysis!$P$2:$Q$441,ROWS(Data!$P$2:X379),COLUMNS(Data!$P$3:W380)),IF($Q$1=$P$5,INDEX(prem_analysis!$BH$1:$BS$23,ROWS(Data!$Q$3:X380),COLUMNS(Data!$Q$3:X380)),IF($Q$1=$P$6,INDEX(prem_analysis!$BU$1:$CF$67,ROWS(prem_analysis!$N$2:U379),COLUMNS(prem_analysis!$N$2:U379)),IF($Q$1=$P$4,INDEX(Table24[[#All],[Year]:[Details]],ROWS(prem_analysis!$M$420:T797),COLUMNS(Data!$Q$3:X380)))))),"")</f>
        <v/>
      </c>
      <c r="Z379" s="1" t="str">
        <f>IFERROR(IF($Q$1=$P$3,INDEX(prem_analysis!$P$2:$Q$441,ROWS(Data!$P$2:Y379),COLUMNS(Data!$P$3:X380)),IF($Q$1=$P$5,INDEX(prem_analysis!$BH$1:$BS$23,ROWS(Data!$Q$3:Y380),COLUMNS(Data!$Q$3:Y380)),IF($Q$1=$P$6,INDEX(prem_analysis!$BU$1:$CF$67,ROWS(prem_analysis!$N$2:V379),COLUMNS(prem_analysis!$N$2:V379)),IF($Q$1=$P$4,INDEX(Table24[[#All],[Year]:[Details]],ROWS(prem_analysis!$M$420:U797),COLUMNS(Data!$Q$3:Y380)))))),"")</f>
        <v/>
      </c>
      <c r="AA379" s="1" t="str">
        <f>IFERROR(IF($Q$1=$P$3,INDEX(prem_analysis!$P$2:$Q$441,ROWS(Data!$P$2:Z379),COLUMNS(Data!$P$3:Y380)),IF($Q$1=$P$5,INDEX(prem_analysis!$BH$1:$BS$23,ROWS(Data!$Q$3:Z380),COLUMNS(Data!$Q$3:Z380)),IF($Q$1=$P$6,INDEX(prem_analysis!$BU$1:$CF$67,ROWS(prem_analysis!$N$2:W379),COLUMNS(prem_analysis!$N$2:W379)),IF($Q$1=$P$4,INDEX(Table24[[#All],[Year]:[Details]],ROWS(prem_analysis!$M$420:V797),COLUMNS(Data!$Q$3:Z380)))))),"")</f>
        <v/>
      </c>
      <c r="AB379" s="1" t="str">
        <f>IFERROR(IF($Q$1=$P$3,INDEX(prem_analysis!$P$2:$Q$441,ROWS(Data!$P$2:AA379),COLUMNS(Data!$P$3:Z380)),IF($Q$1=$P$5,INDEX(prem_analysis!$BH$1:$BS$23,ROWS(Data!$Q$3:AA380),COLUMNS(Data!$Q$3:AA380)),IF($Q$1=$P$6,INDEX(prem_analysis!$BU$1:$CF$67,ROWS(prem_analysis!$N$2:X379),COLUMNS(prem_analysis!$N$2:X379)),IF($Q$1=$P$4,INDEX(Table24[[#All],[Year]:[Details]],ROWS(prem_analysis!$M$420:W797),COLUMNS(Data!$Q$3:AA380)))))),"")</f>
        <v/>
      </c>
      <c r="AC379" s="1" t="str">
        <f>IFERROR(IF($Q$1=$P$3,INDEX(prem_analysis!$P$2:$Q$441,ROWS(Data!$P$2:AB379),COLUMNS(Data!$P$3:AA380)),IF($Q$1=$P$5,INDEX(prem_analysis!$BH$1:$BS$23,ROWS(Data!$Q$3:AB380),COLUMNS(Data!$Q$3:AB380)),IF($Q$1=$P$6,INDEX(prem_analysis!$BU$1:$CF$67,ROWS(prem_analysis!$N$2:Y379),COLUMNS(prem_analysis!$N$2:Y379)),IF($Q$1=$P$4,INDEX(Table24[[#All],[Year]:[Details]],ROWS(prem_analysis!$M$420:X797),COLUMNS(Data!$Q$3:AB380)))))),"")</f>
        <v/>
      </c>
    </row>
    <row r="380" spans="1:29" x14ac:dyDescent="0.2">
      <c r="A380" s="3">
        <v>2018</v>
      </c>
      <c r="B380" s="3">
        <v>19</v>
      </c>
      <c r="C380" s="4" t="s">
        <v>32</v>
      </c>
      <c r="D380" s="3">
        <v>38</v>
      </c>
      <c r="E380" s="3">
        <v>7</v>
      </c>
      <c r="F380" s="3">
        <v>5</v>
      </c>
      <c r="G380" s="3">
        <v>26</v>
      </c>
      <c r="H380" s="3">
        <v>34</v>
      </c>
      <c r="I380" s="3">
        <v>81</v>
      </c>
      <c r="J380" s="3">
        <v>-47</v>
      </c>
      <c r="K380" s="3">
        <v>26</v>
      </c>
      <c r="L380" s="5" t="str">
        <f>IF(Table24[[#This Row],['#]]=1,"Champion", IF(Table24[[#This Row],['#]]&gt;=18,"Relegated",Table24[[#This Row],['#]]))</f>
        <v>Relegated</v>
      </c>
      <c r="M380" s="5" t="str">
        <f>IF(Table24[[#This Row],[Details]]=2,K379-Table24[[#This Row],[Pts]],IF(Table24[[#This Row],[Details]]=17,Table24[[#This Row],[Pts]]-K381,""))</f>
        <v/>
      </c>
      <c r="R380" s="1" t="str">
        <f>IFERROR(IF($Q$1=$P$3,INDEX(prem_analysis!$P$2:$Q$441,ROWS(Data!$P$2:Q380),COLUMNS(Data!$P$3:P381)),IF($Q$1=$P$5,INDEX(prem_analysis!$BH$1:$BS$23,ROWS(Data!$Q$3:Q381),COLUMNS(Data!$Q$3:Q381)),IF($Q$1=$P$6,INDEX(prem_analysis!$BU$1:$CF$67,ROWS(prem_analysis!$N$2:N380),COLUMNS(prem_analysis!$N$2:N380)),IF($Q$1=$P$4,INDEX(Table24[[#All],[Year]:[Details]],ROWS(prem_analysis!$M$420:M798),COLUMNS(Data!$Q$3:Q381)))))),"")</f>
        <v/>
      </c>
      <c r="S380" s="1" t="str">
        <f>IFERROR(IF($Q$1=$P$3,INDEX(prem_analysis!$P$2:$Q$441,ROWS(Data!$P$2:R380),COLUMNS(Data!$P$3:Q381)),IF($Q$1=$P$5,INDEX(prem_analysis!$BH$1:$BS$23,ROWS(Data!$Q$3:R381),COLUMNS(Data!$Q$3:R381)),IF($Q$1=$P$6,INDEX(prem_analysis!$BU$1:$CF$67,ROWS(prem_analysis!$N$2:O380),COLUMNS(prem_analysis!$N$2:O380)),IF($Q$1=$P$4,INDEX(Table24[[#All],[Year]:[Details]],ROWS(prem_analysis!$M$420:N798),COLUMNS(Data!$Q$3:R381)))))),"")</f>
        <v/>
      </c>
      <c r="T380" s="1" t="str">
        <f>IFERROR(IF($Q$1=$P$3,INDEX(prem_analysis!$P$2:$Q$441,ROWS(Data!$P$2:S380),COLUMNS(Data!$P$3:R381)),IF($Q$1=$P$5,INDEX(prem_analysis!$BH$1:$BS$23,ROWS(Data!$Q$3:S381),COLUMNS(Data!$Q$3:S381)),IF($Q$1=$P$6,INDEX(prem_analysis!$BU$1:$CF$67,ROWS(prem_analysis!$N$2:P380),COLUMNS(prem_analysis!$N$2:P380)),IF($Q$1=$P$4,INDEX(Table24[[#All],[Year]:[Details]],ROWS(prem_analysis!$M$420:O798),COLUMNS(Data!$Q$3:S381)))))),"")</f>
        <v/>
      </c>
      <c r="U380" s="1" t="str">
        <f>IFERROR(IF($Q$1=$P$3,INDEX(prem_analysis!$P$2:$Q$441,ROWS(Data!$P$2:T380),COLUMNS(Data!$P$3:S381)),IF($Q$1=$P$5,INDEX(prem_analysis!$BH$1:$BS$23,ROWS(Data!$Q$3:T381),COLUMNS(Data!$Q$3:T381)),IF($Q$1=$P$6,INDEX(prem_analysis!$BU$1:$CF$67,ROWS(prem_analysis!$N$2:Q380),COLUMNS(prem_analysis!$N$2:Q380)),IF($Q$1=$P$4,INDEX(Table24[[#All],[Year]:[Details]],ROWS(prem_analysis!$M$420:P798),COLUMNS(Data!$Q$3:T381)))))),"")</f>
        <v/>
      </c>
      <c r="V380" s="1" t="str">
        <f>IFERROR(IF($Q$1=$P$3,INDEX(prem_analysis!$P$2:$Q$441,ROWS(Data!$P$2:U380),COLUMNS(Data!$P$3:T381)),IF($Q$1=$P$5,INDEX(prem_analysis!$BH$1:$BS$23,ROWS(Data!$Q$3:U381),COLUMNS(Data!$Q$3:U381)),IF($Q$1=$P$6,INDEX(prem_analysis!$BU$1:$CF$67,ROWS(prem_analysis!$N$2:R380),COLUMNS(prem_analysis!$N$2:R380)),IF($Q$1=$P$4,INDEX(Table24[[#All],[Year]:[Details]],ROWS(prem_analysis!$M$420:Q798),COLUMNS(Data!$Q$3:U381)))))),"")</f>
        <v/>
      </c>
      <c r="W380" s="1" t="str">
        <f>IFERROR(IF($Q$1=$P$3,INDEX(prem_analysis!$P$2:$Q$441,ROWS(Data!$P$2:V380),COLUMNS(Data!$P$3:U381)),IF($Q$1=$P$5,INDEX(prem_analysis!$BH$1:$BS$23,ROWS(Data!$Q$3:V381),COLUMNS(Data!$Q$3:V381)),IF($Q$1=$P$6,INDEX(prem_analysis!$BU$1:$CF$67,ROWS(prem_analysis!$N$2:S380),COLUMNS(prem_analysis!$N$2:S380)),IF($Q$1=$P$4,INDEX(Table24[[#All],[Year]:[Details]],ROWS(prem_analysis!$M$420:R798),COLUMNS(Data!$Q$3:V381)))))),"")</f>
        <v/>
      </c>
      <c r="X380" s="1" t="str">
        <f>IFERROR(IF($Q$1=$P$3,INDEX(prem_analysis!$P$2:$Q$441,ROWS(Data!$P$2:W380),COLUMNS(Data!$P$3:V381)),IF($Q$1=$P$5,INDEX(prem_analysis!$BH$1:$BS$23,ROWS(Data!$Q$3:W381),COLUMNS(Data!$Q$3:W381)),IF($Q$1=$P$6,INDEX(prem_analysis!$BU$1:$CF$67,ROWS(prem_analysis!$N$2:T380),COLUMNS(prem_analysis!$N$2:T380)),IF($Q$1=$P$4,INDEX(Table24[[#All],[Year]:[Details]],ROWS(prem_analysis!$M$420:S798),COLUMNS(Data!$Q$3:W381)))))),"")</f>
        <v/>
      </c>
      <c r="Y380" s="1" t="str">
        <f>IFERROR(IF($Q$1=$P$3,INDEX(prem_analysis!$P$2:$Q$441,ROWS(Data!$P$2:X380),COLUMNS(Data!$P$3:W381)),IF($Q$1=$P$5,INDEX(prem_analysis!$BH$1:$BS$23,ROWS(Data!$Q$3:X381),COLUMNS(Data!$Q$3:X381)),IF($Q$1=$P$6,INDEX(prem_analysis!$BU$1:$CF$67,ROWS(prem_analysis!$N$2:U380),COLUMNS(prem_analysis!$N$2:U380)),IF($Q$1=$P$4,INDEX(Table24[[#All],[Year]:[Details]],ROWS(prem_analysis!$M$420:T798),COLUMNS(Data!$Q$3:X381)))))),"")</f>
        <v/>
      </c>
      <c r="Z380" s="1" t="str">
        <f>IFERROR(IF($Q$1=$P$3,INDEX(prem_analysis!$P$2:$Q$441,ROWS(Data!$P$2:Y380),COLUMNS(Data!$P$3:X381)),IF($Q$1=$P$5,INDEX(prem_analysis!$BH$1:$BS$23,ROWS(Data!$Q$3:Y381),COLUMNS(Data!$Q$3:Y381)),IF($Q$1=$P$6,INDEX(prem_analysis!$BU$1:$CF$67,ROWS(prem_analysis!$N$2:V380),COLUMNS(prem_analysis!$N$2:V380)),IF($Q$1=$P$4,INDEX(Table24[[#All],[Year]:[Details]],ROWS(prem_analysis!$M$420:U798),COLUMNS(Data!$Q$3:Y381)))))),"")</f>
        <v/>
      </c>
      <c r="AA380" s="1" t="str">
        <f>IFERROR(IF($Q$1=$P$3,INDEX(prem_analysis!$P$2:$Q$441,ROWS(Data!$P$2:Z380),COLUMNS(Data!$P$3:Y381)),IF($Q$1=$P$5,INDEX(prem_analysis!$BH$1:$BS$23,ROWS(Data!$Q$3:Z381),COLUMNS(Data!$Q$3:Z381)),IF($Q$1=$P$6,INDEX(prem_analysis!$BU$1:$CF$67,ROWS(prem_analysis!$N$2:W380),COLUMNS(prem_analysis!$N$2:W380)),IF($Q$1=$P$4,INDEX(Table24[[#All],[Year]:[Details]],ROWS(prem_analysis!$M$420:V798),COLUMNS(Data!$Q$3:Z381)))))),"")</f>
        <v/>
      </c>
      <c r="AB380" s="1" t="str">
        <f>IFERROR(IF($Q$1=$P$3,INDEX(prem_analysis!$P$2:$Q$441,ROWS(Data!$P$2:AA380),COLUMNS(Data!$P$3:Z381)),IF($Q$1=$P$5,INDEX(prem_analysis!$BH$1:$BS$23,ROWS(Data!$Q$3:AA381),COLUMNS(Data!$Q$3:AA381)),IF($Q$1=$P$6,INDEX(prem_analysis!$BU$1:$CF$67,ROWS(prem_analysis!$N$2:X380),COLUMNS(prem_analysis!$N$2:X380)),IF($Q$1=$P$4,INDEX(Table24[[#All],[Year]:[Details]],ROWS(prem_analysis!$M$420:W798),COLUMNS(Data!$Q$3:AA381)))))),"")</f>
        <v/>
      </c>
      <c r="AC380" s="1" t="str">
        <f>IFERROR(IF($Q$1=$P$3,INDEX(prem_analysis!$P$2:$Q$441,ROWS(Data!$P$2:AB380),COLUMNS(Data!$P$3:AA381)),IF($Q$1=$P$5,INDEX(prem_analysis!$BH$1:$BS$23,ROWS(Data!$Q$3:AB381),COLUMNS(Data!$Q$3:AB381)),IF($Q$1=$P$6,INDEX(prem_analysis!$BU$1:$CF$67,ROWS(prem_analysis!$N$2:Y380),COLUMNS(prem_analysis!$N$2:Y380)),IF($Q$1=$P$4,INDEX(Table24[[#All],[Year]:[Details]],ROWS(prem_analysis!$M$420:X798),COLUMNS(Data!$Q$3:AB381)))))),"")</f>
        <v/>
      </c>
    </row>
    <row r="381" spans="1:29" x14ac:dyDescent="0.2">
      <c r="A381" s="5">
        <v>2018</v>
      </c>
      <c r="B381" s="5">
        <v>20</v>
      </c>
      <c r="C381" s="6" t="s">
        <v>52</v>
      </c>
      <c r="D381" s="5">
        <v>38</v>
      </c>
      <c r="E381" s="5">
        <v>3</v>
      </c>
      <c r="F381" s="5">
        <v>7</v>
      </c>
      <c r="G381" s="5">
        <v>28</v>
      </c>
      <c r="H381" s="5">
        <v>22</v>
      </c>
      <c r="I381" s="5">
        <v>76</v>
      </c>
      <c r="J381" s="5">
        <v>-54</v>
      </c>
      <c r="K381" s="5">
        <v>16</v>
      </c>
      <c r="L381" s="5" t="str">
        <f>IF(Table24[[#This Row],['#]]=1,"Champion", IF(Table24[[#This Row],['#]]&gt;=18,"Relegated",Table24[[#This Row],['#]]))</f>
        <v>Relegated</v>
      </c>
      <c r="M381" s="5" t="str">
        <f>IF(Table24[[#This Row],[Details]]=2,K380-Table24[[#This Row],[Pts]],IF(Table24[[#This Row],[Details]]=17,Table24[[#This Row],[Pts]]-K382,""))</f>
        <v/>
      </c>
      <c r="R381" s="1" t="str">
        <f>IFERROR(IF($Q$1=$P$3,INDEX(prem_analysis!$P$2:$Q$441,ROWS(Data!$P$2:Q381),COLUMNS(Data!$P$3:P382)),IF($Q$1=$P$5,INDEX(prem_analysis!$BH$1:$BS$23,ROWS(Data!$Q$3:Q382),COLUMNS(Data!$Q$3:Q382)),IF($Q$1=$P$6,INDEX(prem_analysis!$BU$1:$CF$67,ROWS(prem_analysis!$N$2:N381),COLUMNS(prem_analysis!$N$2:N381)),IF($Q$1=$P$4,INDEX(Table24[[#All],[Year]:[Details]],ROWS(prem_analysis!$M$420:M799),COLUMNS(Data!$Q$3:Q382)))))),"")</f>
        <v/>
      </c>
      <c r="S381" s="1" t="str">
        <f>IFERROR(IF($Q$1=$P$3,INDEX(prem_analysis!$P$2:$Q$441,ROWS(Data!$P$2:R381),COLUMNS(Data!$P$3:Q382)),IF($Q$1=$P$5,INDEX(prem_analysis!$BH$1:$BS$23,ROWS(Data!$Q$3:R382),COLUMNS(Data!$Q$3:R382)),IF($Q$1=$P$6,INDEX(prem_analysis!$BU$1:$CF$67,ROWS(prem_analysis!$N$2:O381),COLUMNS(prem_analysis!$N$2:O381)),IF($Q$1=$P$4,INDEX(Table24[[#All],[Year]:[Details]],ROWS(prem_analysis!$M$420:N799),COLUMNS(Data!$Q$3:R382)))))),"")</f>
        <v/>
      </c>
      <c r="T381" s="1" t="str">
        <f>IFERROR(IF($Q$1=$P$3,INDEX(prem_analysis!$P$2:$Q$441,ROWS(Data!$P$2:S381),COLUMNS(Data!$P$3:R382)),IF($Q$1=$P$5,INDEX(prem_analysis!$BH$1:$BS$23,ROWS(Data!$Q$3:S382),COLUMNS(Data!$Q$3:S382)),IF($Q$1=$P$6,INDEX(prem_analysis!$BU$1:$CF$67,ROWS(prem_analysis!$N$2:P381),COLUMNS(prem_analysis!$N$2:P381)),IF($Q$1=$P$4,INDEX(Table24[[#All],[Year]:[Details]],ROWS(prem_analysis!$M$420:O799),COLUMNS(Data!$Q$3:S382)))))),"")</f>
        <v/>
      </c>
      <c r="U381" s="1" t="str">
        <f>IFERROR(IF($Q$1=$P$3,INDEX(prem_analysis!$P$2:$Q$441,ROWS(Data!$P$2:T381),COLUMNS(Data!$P$3:S382)),IF($Q$1=$P$5,INDEX(prem_analysis!$BH$1:$BS$23,ROWS(Data!$Q$3:T382),COLUMNS(Data!$Q$3:T382)),IF($Q$1=$P$6,INDEX(prem_analysis!$BU$1:$CF$67,ROWS(prem_analysis!$N$2:Q381),COLUMNS(prem_analysis!$N$2:Q381)),IF($Q$1=$P$4,INDEX(Table24[[#All],[Year]:[Details]],ROWS(prem_analysis!$M$420:P799),COLUMNS(Data!$Q$3:T382)))))),"")</f>
        <v/>
      </c>
      <c r="V381" s="1" t="str">
        <f>IFERROR(IF($Q$1=$P$3,INDEX(prem_analysis!$P$2:$Q$441,ROWS(Data!$P$2:U381),COLUMNS(Data!$P$3:T382)),IF($Q$1=$P$5,INDEX(prem_analysis!$BH$1:$BS$23,ROWS(Data!$Q$3:U382),COLUMNS(Data!$Q$3:U382)),IF($Q$1=$P$6,INDEX(prem_analysis!$BU$1:$CF$67,ROWS(prem_analysis!$N$2:R381),COLUMNS(prem_analysis!$N$2:R381)),IF($Q$1=$P$4,INDEX(Table24[[#All],[Year]:[Details]],ROWS(prem_analysis!$M$420:Q799),COLUMNS(Data!$Q$3:U382)))))),"")</f>
        <v/>
      </c>
      <c r="W381" s="1" t="str">
        <f>IFERROR(IF($Q$1=$P$3,INDEX(prem_analysis!$P$2:$Q$441,ROWS(Data!$P$2:V381),COLUMNS(Data!$P$3:U382)),IF($Q$1=$P$5,INDEX(prem_analysis!$BH$1:$BS$23,ROWS(Data!$Q$3:V382),COLUMNS(Data!$Q$3:V382)),IF($Q$1=$P$6,INDEX(prem_analysis!$BU$1:$CF$67,ROWS(prem_analysis!$N$2:S381),COLUMNS(prem_analysis!$N$2:S381)),IF($Q$1=$P$4,INDEX(Table24[[#All],[Year]:[Details]],ROWS(prem_analysis!$M$420:R799),COLUMNS(Data!$Q$3:V382)))))),"")</f>
        <v/>
      </c>
      <c r="X381" s="1" t="str">
        <f>IFERROR(IF($Q$1=$P$3,INDEX(prem_analysis!$P$2:$Q$441,ROWS(Data!$P$2:W381),COLUMNS(Data!$P$3:V382)),IF($Q$1=$P$5,INDEX(prem_analysis!$BH$1:$BS$23,ROWS(Data!$Q$3:W382),COLUMNS(Data!$Q$3:W382)),IF($Q$1=$P$6,INDEX(prem_analysis!$BU$1:$CF$67,ROWS(prem_analysis!$N$2:T381),COLUMNS(prem_analysis!$N$2:T381)),IF($Q$1=$P$4,INDEX(Table24[[#All],[Year]:[Details]],ROWS(prem_analysis!$M$420:S799),COLUMNS(Data!$Q$3:W382)))))),"")</f>
        <v/>
      </c>
      <c r="Y381" s="1" t="str">
        <f>IFERROR(IF($Q$1=$P$3,INDEX(prem_analysis!$P$2:$Q$441,ROWS(Data!$P$2:X381),COLUMNS(Data!$P$3:W382)),IF($Q$1=$P$5,INDEX(prem_analysis!$BH$1:$BS$23,ROWS(Data!$Q$3:X382),COLUMNS(Data!$Q$3:X382)),IF($Q$1=$P$6,INDEX(prem_analysis!$BU$1:$CF$67,ROWS(prem_analysis!$N$2:U381),COLUMNS(prem_analysis!$N$2:U381)),IF($Q$1=$P$4,INDEX(Table24[[#All],[Year]:[Details]],ROWS(prem_analysis!$M$420:T799),COLUMNS(Data!$Q$3:X382)))))),"")</f>
        <v/>
      </c>
      <c r="Z381" s="1" t="str">
        <f>IFERROR(IF($Q$1=$P$3,INDEX(prem_analysis!$P$2:$Q$441,ROWS(Data!$P$2:Y381),COLUMNS(Data!$P$3:X382)),IF($Q$1=$P$5,INDEX(prem_analysis!$BH$1:$BS$23,ROWS(Data!$Q$3:Y382),COLUMNS(Data!$Q$3:Y382)),IF($Q$1=$P$6,INDEX(prem_analysis!$BU$1:$CF$67,ROWS(prem_analysis!$N$2:V381),COLUMNS(prem_analysis!$N$2:V381)),IF($Q$1=$P$4,INDEX(Table24[[#All],[Year]:[Details]],ROWS(prem_analysis!$M$420:U799),COLUMNS(Data!$Q$3:Y382)))))),"")</f>
        <v/>
      </c>
      <c r="AA381" s="1" t="str">
        <f>IFERROR(IF($Q$1=$P$3,INDEX(prem_analysis!$P$2:$Q$441,ROWS(Data!$P$2:Z381),COLUMNS(Data!$P$3:Y382)),IF($Q$1=$P$5,INDEX(prem_analysis!$BH$1:$BS$23,ROWS(Data!$Q$3:Z382),COLUMNS(Data!$Q$3:Z382)),IF($Q$1=$P$6,INDEX(prem_analysis!$BU$1:$CF$67,ROWS(prem_analysis!$N$2:W381),COLUMNS(prem_analysis!$N$2:W381)),IF($Q$1=$P$4,INDEX(Table24[[#All],[Year]:[Details]],ROWS(prem_analysis!$M$420:V799),COLUMNS(Data!$Q$3:Z382)))))),"")</f>
        <v/>
      </c>
      <c r="AB381" s="1" t="str">
        <f>IFERROR(IF($Q$1=$P$3,INDEX(prem_analysis!$P$2:$Q$441,ROWS(Data!$P$2:AA381),COLUMNS(Data!$P$3:Z382)),IF($Q$1=$P$5,INDEX(prem_analysis!$BH$1:$BS$23,ROWS(Data!$Q$3:AA382),COLUMNS(Data!$Q$3:AA382)),IF($Q$1=$P$6,INDEX(prem_analysis!$BU$1:$CF$67,ROWS(prem_analysis!$N$2:X381),COLUMNS(prem_analysis!$N$2:X381)),IF($Q$1=$P$4,INDEX(Table24[[#All],[Year]:[Details]],ROWS(prem_analysis!$M$420:W799),COLUMNS(Data!$Q$3:AA382)))))),"")</f>
        <v/>
      </c>
      <c r="AC381" s="1" t="str">
        <f>IFERROR(IF($Q$1=$P$3,INDEX(prem_analysis!$P$2:$Q$441,ROWS(Data!$P$2:AB381),COLUMNS(Data!$P$3:AA382)),IF($Q$1=$P$5,INDEX(prem_analysis!$BH$1:$BS$23,ROWS(Data!$Q$3:AB382),COLUMNS(Data!$Q$3:AB382)),IF($Q$1=$P$6,INDEX(prem_analysis!$BU$1:$CF$67,ROWS(prem_analysis!$N$2:Y381),COLUMNS(prem_analysis!$N$2:Y381)),IF($Q$1=$P$4,INDEX(Table24[[#All],[Year]:[Details]],ROWS(prem_analysis!$M$420:X799),COLUMNS(Data!$Q$3:AB382)))))),"")</f>
        <v/>
      </c>
    </row>
    <row r="382" spans="1:29" x14ac:dyDescent="0.2">
      <c r="A382" s="3">
        <v>2019</v>
      </c>
      <c r="B382" s="3">
        <v>1</v>
      </c>
      <c r="C382" s="4" t="s">
        <v>13</v>
      </c>
      <c r="D382" s="3">
        <v>38</v>
      </c>
      <c r="E382" s="3">
        <v>32</v>
      </c>
      <c r="F382" s="3">
        <v>3</v>
      </c>
      <c r="G382" s="3">
        <v>3</v>
      </c>
      <c r="H382" s="3">
        <v>85</v>
      </c>
      <c r="I382" s="3">
        <v>33</v>
      </c>
      <c r="J382" s="3">
        <v>52</v>
      </c>
      <c r="K382" s="3">
        <v>99</v>
      </c>
      <c r="L382" s="5" t="str">
        <f>IF(Table24[[#This Row],['#]]=1,"Champion", IF(Table24[[#This Row],['#]]&gt;=18,"Relegated",Table24[[#This Row],['#]]))</f>
        <v>Champion</v>
      </c>
      <c r="M382" s="5" t="str">
        <f>IF(Table24[[#This Row],[Details]]=2,K381-Table24[[#This Row],[Pts]],IF(Table24[[#This Row],[Details]]=17,Table24[[#This Row],[Pts]]-K383,""))</f>
        <v/>
      </c>
      <c r="R382" s="1" t="str">
        <f>IFERROR(IF($Q$1=$P$3,INDEX(prem_analysis!$P$2:$Q$441,ROWS(Data!$P$2:Q382),COLUMNS(Data!$P$3:P383)),IF($Q$1=$P$5,INDEX(prem_analysis!$BH$1:$BS$23,ROWS(Data!$Q$3:Q383),COLUMNS(Data!$Q$3:Q383)),IF($Q$1=$P$6,INDEX(prem_analysis!$BU$1:$CF$67,ROWS(prem_analysis!$N$2:N382),COLUMNS(prem_analysis!$N$2:N382)),IF($Q$1=$P$4,INDEX(Table24[[#All],[Year]:[Details]],ROWS(prem_analysis!$M$420:M800),COLUMNS(Data!$Q$3:Q383)))))),"")</f>
        <v/>
      </c>
      <c r="S382" s="1" t="str">
        <f>IFERROR(IF($Q$1=$P$3,INDEX(prem_analysis!$P$2:$Q$441,ROWS(Data!$P$2:R382),COLUMNS(Data!$P$3:Q383)),IF($Q$1=$P$5,INDEX(prem_analysis!$BH$1:$BS$23,ROWS(Data!$Q$3:R383),COLUMNS(Data!$Q$3:R383)),IF($Q$1=$P$6,INDEX(prem_analysis!$BU$1:$CF$67,ROWS(prem_analysis!$N$2:O382),COLUMNS(prem_analysis!$N$2:O382)),IF($Q$1=$P$4,INDEX(Table24[[#All],[Year]:[Details]],ROWS(prem_analysis!$M$420:N800),COLUMNS(Data!$Q$3:R383)))))),"")</f>
        <v/>
      </c>
      <c r="T382" s="1" t="str">
        <f>IFERROR(IF($Q$1=$P$3,INDEX(prem_analysis!$P$2:$Q$441,ROWS(Data!$P$2:S382),COLUMNS(Data!$P$3:R383)),IF($Q$1=$P$5,INDEX(prem_analysis!$BH$1:$BS$23,ROWS(Data!$Q$3:S383),COLUMNS(Data!$Q$3:S383)),IF($Q$1=$P$6,INDEX(prem_analysis!$BU$1:$CF$67,ROWS(prem_analysis!$N$2:P382),COLUMNS(prem_analysis!$N$2:P382)),IF($Q$1=$P$4,INDEX(Table24[[#All],[Year]:[Details]],ROWS(prem_analysis!$M$420:O800),COLUMNS(Data!$Q$3:S383)))))),"")</f>
        <v/>
      </c>
      <c r="U382" s="1" t="str">
        <f>IFERROR(IF($Q$1=$P$3,INDEX(prem_analysis!$P$2:$Q$441,ROWS(Data!$P$2:T382),COLUMNS(Data!$P$3:S383)),IF($Q$1=$P$5,INDEX(prem_analysis!$BH$1:$BS$23,ROWS(Data!$Q$3:T383),COLUMNS(Data!$Q$3:T383)),IF($Q$1=$P$6,INDEX(prem_analysis!$BU$1:$CF$67,ROWS(prem_analysis!$N$2:Q382),COLUMNS(prem_analysis!$N$2:Q382)),IF($Q$1=$P$4,INDEX(Table24[[#All],[Year]:[Details]],ROWS(prem_analysis!$M$420:P800),COLUMNS(Data!$Q$3:T383)))))),"")</f>
        <v/>
      </c>
      <c r="V382" s="1" t="str">
        <f>IFERROR(IF($Q$1=$P$3,INDEX(prem_analysis!$P$2:$Q$441,ROWS(Data!$P$2:U382),COLUMNS(Data!$P$3:T383)),IF($Q$1=$P$5,INDEX(prem_analysis!$BH$1:$BS$23,ROWS(Data!$Q$3:U383),COLUMNS(Data!$Q$3:U383)),IF($Q$1=$P$6,INDEX(prem_analysis!$BU$1:$CF$67,ROWS(prem_analysis!$N$2:R382),COLUMNS(prem_analysis!$N$2:R382)),IF($Q$1=$P$4,INDEX(Table24[[#All],[Year]:[Details]],ROWS(prem_analysis!$M$420:Q800),COLUMNS(Data!$Q$3:U383)))))),"")</f>
        <v/>
      </c>
      <c r="W382" s="1" t="str">
        <f>IFERROR(IF($Q$1=$P$3,INDEX(prem_analysis!$P$2:$Q$441,ROWS(Data!$P$2:V382),COLUMNS(Data!$P$3:U383)),IF($Q$1=$P$5,INDEX(prem_analysis!$BH$1:$BS$23,ROWS(Data!$Q$3:V383),COLUMNS(Data!$Q$3:V383)),IF($Q$1=$P$6,INDEX(prem_analysis!$BU$1:$CF$67,ROWS(prem_analysis!$N$2:S382),COLUMNS(prem_analysis!$N$2:S382)),IF($Q$1=$P$4,INDEX(Table24[[#All],[Year]:[Details]],ROWS(prem_analysis!$M$420:R800),COLUMNS(Data!$Q$3:V383)))))),"")</f>
        <v/>
      </c>
      <c r="X382" s="1" t="str">
        <f>IFERROR(IF($Q$1=$P$3,INDEX(prem_analysis!$P$2:$Q$441,ROWS(Data!$P$2:W382),COLUMNS(Data!$P$3:V383)),IF($Q$1=$P$5,INDEX(prem_analysis!$BH$1:$BS$23,ROWS(Data!$Q$3:W383),COLUMNS(Data!$Q$3:W383)),IF($Q$1=$P$6,INDEX(prem_analysis!$BU$1:$CF$67,ROWS(prem_analysis!$N$2:T382),COLUMNS(prem_analysis!$N$2:T382)),IF($Q$1=$P$4,INDEX(Table24[[#All],[Year]:[Details]],ROWS(prem_analysis!$M$420:S800),COLUMNS(Data!$Q$3:W383)))))),"")</f>
        <v/>
      </c>
      <c r="Y382" s="1" t="str">
        <f>IFERROR(IF($Q$1=$P$3,INDEX(prem_analysis!$P$2:$Q$441,ROWS(Data!$P$2:X382),COLUMNS(Data!$P$3:W383)),IF($Q$1=$P$5,INDEX(prem_analysis!$BH$1:$BS$23,ROWS(Data!$Q$3:X383),COLUMNS(Data!$Q$3:X383)),IF($Q$1=$P$6,INDEX(prem_analysis!$BU$1:$CF$67,ROWS(prem_analysis!$N$2:U382),COLUMNS(prem_analysis!$N$2:U382)),IF($Q$1=$P$4,INDEX(Table24[[#All],[Year]:[Details]],ROWS(prem_analysis!$M$420:T800),COLUMNS(Data!$Q$3:X383)))))),"")</f>
        <v/>
      </c>
      <c r="Z382" s="1" t="str">
        <f>IFERROR(IF($Q$1=$P$3,INDEX(prem_analysis!$P$2:$Q$441,ROWS(Data!$P$2:Y382),COLUMNS(Data!$P$3:X383)),IF($Q$1=$P$5,INDEX(prem_analysis!$BH$1:$BS$23,ROWS(Data!$Q$3:Y383),COLUMNS(Data!$Q$3:Y383)),IF($Q$1=$P$6,INDEX(prem_analysis!$BU$1:$CF$67,ROWS(prem_analysis!$N$2:V382),COLUMNS(prem_analysis!$N$2:V382)),IF($Q$1=$P$4,INDEX(Table24[[#All],[Year]:[Details]],ROWS(prem_analysis!$M$420:U800),COLUMNS(Data!$Q$3:Y383)))))),"")</f>
        <v/>
      </c>
      <c r="AA382" s="1" t="str">
        <f>IFERROR(IF($Q$1=$P$3,INDEX(prem_analysis!$P$2:$Q$441,ROWS(Data!$P$2:Z382),COLUMNS(Data!$P$3:Y383)),IF($Q$1=$P$5,INDEX(prem_analysis!$BH$1:$BS$23,ROWS(Data!$Q$3:Z383),COLUMNS(Data!$Q$3:Z383)),IF($Q$1=$P$6,INDEX(prem_analysis!$BU$1:$CF$67,ROWS(prem_analysis!$N$2:W382),COLUMNS(prem_analysis!$N$2:W382)),IF($Q$1=$P$4,INDEX(Table24[[#All],[Year]:[Details]],ROWS(prem_analysis!$M$420:V800),COLUMNS(Data!$Q$3:Z383)))))),"")</f>
        <v/>
      </c>
      <c r="AB382" s="1" t="str">
        <f>IFERROR(IF($Q$1=$P$3,INDEX(prem_analysis!$P$2:$Q$441,ROWS(Data!$P$2:AA382),COLUMNS(Data!$P$3:Z383)),IF($Q$1=$P$5,INDEX(prem_analysis!$BH$1:$BS$23,ROWS(Data!$Q$3:AA383),COLUMNS(Data!$Q$3:AA383)),IF($Q$1=$P$6,INDEX(prem_analysis!$BU$1:$CF$67,ROWS(prem_analysis!$N$2:X382),COLUMNS(prem_analysis!$N$2:X382)),IF($Q$1=$P$4,INDEX(Table24[[#All],[Year]:[Details]],ROWS(prem_analysis!$M$420:W800),COLUMNS(Data!$Q$3:AA383)))))),"")</f>
        <v/>
      </c>
      <c r="AC382" s="1" t="str">
        <f>IFERROR(IF($Q$1=$P$3,INDEX(prem_analysis!$P$2:$Q$441,ROWS(Data!$P$2:AB382),COLUMNS(Data!$P$3:AA383)),IF($Q$1=$P$5,INDEX(prem_analysis!$BH$1:$BS$23,ROWS(Data!$Q$3:AB383),COLUMNS(Data!$Q$3:AB383)),IF($Q$1=$P$6,INDEX(prem_analysis!$BU$1:$CF$67,ROWS(prem_analysis!$N$2:Y382),COLUMNS(prem_analysis!$N$2:Y382)),IF($Q$1=$P$4,INDEX(Table24[[#All],[Year]:[Details]],ROWS(prem_analysis!$M$420:X800),COLUMNS(Data!$Q$3:AB383)))))),"")</f>
        <v/>
      </c>
    </row>
    <row r="383" spans="1:29" x14ac:dyDescent="0.2">
      <c r="A383" s="5">
        <v>2019</v>
      </c>
      <c r="B383" s="5">
        <v>2</v>
      </c>
      <c r="C383" s="6" t="s">
        <v>28</v>
      </c>
      <c r="D383" s="5">
        <v>38</v>
      </c>
      <c r="E383" s="5">
        <v>26</v>
      </c>
      <c r="F383" s="5">
        <v>3</v>
      </c>
      <c r="G383" s="5">
        <v>9</v>
      </c>
      <c r="H383" s="5">
        <v>102</v>
      </c>
      <c r="I383" s="5">
        <v>35</v>
      </c>
      <c r="J383" s="5">
        <v>67</v>
      </c>
      <c r="K383" s="5">
        <v>81</v>
      </c>
      <c r="L383" s="5">
        <f>IF(Table24[[#This Row],['#]]=1,"Champion", IF(Table24[[#This Row],['#]]&gt;=18,"Relegated",Table24[[#This Row],['#]]))</f>
        <v>2</v>
      </c>
      <c r="M383" s="5">
        <f>IF(Table24[[#This Row],[Details]]=2,K382-Table24[[#This Row],[Pts]],IF(Table24[[#This Row],[Details]]=17,Table24[[#This Row],[Pts]]-K384,""))</f>
        <v>18</v>
      </c>
      <c r="R383" s="1" t="str">
        <f>IFERROR(IF($Q$1=$P$3,INDEX(prem_analysis!$P$2:$Q$441,ROWS(Data!$P$2:Q383),COLUMNS(Data!$P$3:P384)),IF($Q$1=$P$5,INDEX(prem_analysis!$BH$1:$BS$23,ROWS(Data!$Q$3:Q384),COLUMNS(Data!$Q$3:Q384)),IF($Q$1=$P$6,INDEX(prem_analysis!$BU$1:$CF$67,ROWS(prem_analysis!$N$2:N383),COLUMNS(prem_analysis!$N$2:N383)),IF($Q$1=$P$4,INDEX(Table24[[#All],[Year]:[Details]],ROWS(prem_analysis!$M$420:M801),COLUMNS(Data!$Q$3:Q384)))))),"")</f>
        <v/>
      </c>
      <c r="S383" s="1" t="str">
        <f>IFERROR(IF($Q$1=$P$3,INDEX(prem_analysis!$P$2:$Q$441,ROWS(Data!$P$2:R383),COLUMNS(Data!$P$3:Q384)),IF($Q$1=$P$5,INDEX(prem_analysis!$BH$1:$BS$23,ROWS(Data!$Q$3:R384),COLUMNS(Data!$Q$3:R384)),IF($Q$1=$P$6,INDEX(prem_analysis!$BU$1:$CF$67,ROWS(prem_analysis!$N$2:O383),COLUMNS(prem_analysis!$N$2:O383)),IF($Q$1=$P$4,INDEX(Table24[[#All],[Year]:[Details]],ROWS(prem_analysis!$M$420:N801),COLUMNS(Data!$Q$3:R384)))))),"")</f>
        <v/>
      </c>
      <c r="T383" s="1" t="str">
        <f>IFERROR(IF($Q$1=$P$3,INDEX(prem_analysis!$P$2:$Q$441,ROWS(Data!$P$2:S383),COLUMNS(Data!$P$3:R384)),IF($Q$1=$P$5,INDEX(prem_analysis!$BH$1:$BS$23,ROWS(Data!$Q$3:S384),COLUMNS(Data!$Q$3:S384)),IF($Q$1=$P$6,INDEX(prem_analysis!$BU$1:$CF$67,ROWS(prem_analysis!$N$2:P383),COLUMNS(prem_analysis!$N$2:P383)),IF($Q$1=$P$4,INDEX(Table24[[#All],[Year]:[Details]],ROWS(prem_analysis!$M$420:O801),COLUMNS(Data!$Q$3:S384)))))),"")</f>
        <v/>
      </c>
      <c r="U383" s="1" t="str">
        <f>IFERROR(IF($Q$1=$P$3,INDEX(prem_analysis!$P$2:$Q$441,ROWS(Data!$P$2:T383),COLUMNS(Data!$P$3:S384)),IF($Q$1=$P$5,INDEX(prem_analysis!$BH$1:$BS$23,ROWS(Data!$Q$3:T384),COLUMNS(Data!$Q$3:T384)),IF($Q$1=$P$6,INDEX(prem_analysis!$BU$1:$CF$67,ROWS(prem_analysis!$N$2:Q383),COLUMNS(prem_analysis!$N$2:Q383)),IF($Q$1=$P$4,INDEX(Table24[[#All],[Year]:[Details]],ROWS(prem_analysis!$M$420:P801),COLUMNS(Data!$Q$3:T384)))))),"")</f>
        <v/>
      </c>
      <c r="V383" s="1" t="str">
        <f>IFERROR(IF($Q$1=$P$3,INDEX(prem_analysis!$P$2:$Q$441,ROWS(Data!$P$2:U383),COLUMNS(Data!$P$3:T384)),IF($Q$1=$P$5,INDEX(prem_analysis!$BH$1:$BS$23,ROWS(Data!$Q$3:U384),COLUMNS(Data!$Q$3:U384)),IF($Q$1=$P$6,INDEX(prem_analysis!$BU$1:$CF$67,ROWS(prem_analysis!$N$2:R383),COLUMNS(prem_analysis!$N$2:R383)),IF($Q$1=$P$4,INDEX(Table24[[#All],[Year]:[Details]],ROWS(prem_analysis!$M$420:Q801),COLUMNS(Data!$Q$3:U384)))))),"")</f>
        <v/>
      </c>
      <c r="W383" s="1" t="str">
        <f>IFERROR(IF($Q$1=$P$3,INDEX(prem_analysis!$P$2:$Q$441,ROWS(Data!$P$2:V383),COLUMNS(Data!$P$3:U384)),IF($Q$1=$P$5,INDEX(prem_analysis!$BH$1:$BS$23,ROWS(Data!$Q$3:V384),COLUMNS(Data!$Q$3:V384)),IF($Q$1=$P$6,INDEX(prem_analysis!$BU$1:$CF$67,ROWS(prem_analysis!$N$2:S383),COLUMNS(prem_analysis!$N$2:S383)),IF($Q$1=$P$4,INDEX(Table24[[#All],[Year]:[Details]],ROWS(prem_analysis!$M$420:R801),COLUMNS(Data!$Q$3:V384)))))),"")</f>
        <v/>
      </c>
      <c r="X383" s="1" t="str">
        <f>IFERROR(IF($Q$1=$P$3,INDEX(prem_analysis!$P$2:$Q$441,ROWS(Data!$P$2:W383),COLUMNS(Data!$P$3:V384)),IF($Q$1=$P$5,INDEX(prem_analysis!$BH$1:$BS$23,ROWS(Data!$Q$3:W384),COLUMNS(Data!$Q$3:W384)),IF($Q$1=$P$6,INDEX(prem_analysis!$BU$1:$CF$67,ROWS(prem_analysis!$N$2:T383),COLUMNS(prem_analysis!$N$2:T383)),IF($Q$1=$P$4,INDEX(Table24[[#All],[Year]:[Details]],ROWS(prem_analysis!$M$420:S801),COLUMNS(Data!$Q$3:W384)))))),"")</f>
        <v/>
      </c>
      <c r="Y383" s="1" t="str">
        <f>IFERROR(IF($Q$1=$P$3,INDEX(prem_analysis!$P$2:$Q$441,ROWS(Data!$P$2:X383),COLUMNS(Data!$P$3:W384)),IF($Q$1=$P$5,INDEX(prem_analysis!$BH$1:$BS$23,ROWS(Data!$Q$3:X384),COLUMNS(Data!$Q$3:X384)),IF($Q$1=$P$6,INDEX(prem_analysis!$BU$1:$CF$67,ROWS(prem_analysis!$N$2:U383),COLUMNS(prem_analysis!$N$2:U383)),IF($Q$1=$P$4,INDEX(Table24[[#All],[Year]:[Details]],ROWS(prem_analysis!$M$420:T801),COLUMNS(Data!$Q$3:X384)))))),"")</f>
        <v/>
      </c>
      <c r="Z383" s="1" t="str">
        <f>IFERROR(IF($Q$1=$P$3,INDEX(prem_analysis!$P$2:$Q$441,ROWS(Data!$P$2:Y383),COLUMNS(Data!$P$3:X384)),IF($Q$1=$P$5,INDEX(prem_analysis!$BH$1:$BS$23,ROWS(Data!$Q$3:Y384),COLUMNS(Data!$Q$3:Y384)),IF($Q$1=$P$6,INDEX(prem_analysis!$BU$1:$CF$67,ROWS(prem_analysis!$N$2:V383),COLUMNS(prem_analysis!$N$2:V383)),IF($Q$1=$P$4,INDEX(Table24[[#All],[Year]:[Details]],ROWS(prem_analysis!$M$420:U801),COLUMNS(Data!$Q$3:Y384)))))),"")</f>
        <v/>
      </c>
      <c r="AA383" s="1" t="str">
        <f>IFERROR(IF($Q$1=$P$3,INDEX(prem_analysis!$P$2:$Q$441,ROWS(Data!$P$2:Z383),COLUMNS(Data!$P$3:Y384)),IF($Q$1=$P$5,INDEX(prem_analysis!$BH$1:$BS$23,ROWS(Data!$Q$3:Z384),COLUMNS(Data!$Q$3:Z384)),IF($Q$1=$P$6,INDEX(prem_analysis!$BU$1:$CF$67,ROWS(prem_analysis!$N$2:W383),COLUMNS(prem_analysis!$N$2:W383)),IF($Q$1=$P$4,INDEX(Table24[[#All],[Year]:[Details]],ROWS(prem_analysis!$M$420:V801),COLUMNS(Data!$Q$3:Z384)))))),"")</f>
        <v/>
      </c>
      <c r="AB383" s="1" t="str">
        <f>IFERROR(IF($Q$1=$P$3,INDEX(prem_analysis!$P$2:$Q$441,ROWS(Data!$P$2:AA383),COLUMNS(Data!$P$3:Z384)),IF($Q$1=$P$5,INDEX(prem_analysis!$BH$1:$BS$23,ROWS(Data!$Q$3:AA384),COLUMNS(Data!$Q$3:AA384)),IF($Q$1=$P$6,INDEX(prem_analysis!$BU$1:$CF$67,ROWS(prem_analysis!$N$2:X383),COLUMNS(prem_analysis!$N$2:X383)),IF($Q$1=$P$4,INDEX(Table24[[#All],[Year]:[Details]],ROWS(prem_analysis!$M$420:W801),COLUMNS(Data!$Q$3:AA384)))))),"")</f>
        <v/>
      </c>
      <c r="AC383" s="1" t="str">
        <f>IFERROR(IF($Q$1=$P$3,INDEX(prem_analysis!$P$2:$Q$441,ROWS(Data!$P$2:AB383),COLUMNS(Data!$P$3:AA384)),IF($Q$1=$P$5,INDEX(prem_analysis!$BH$1:$BS$23,ROWS(Data!$Q$3:AB384),COLUMNS(Data!$Q$3:AB384)),IF($Q$1=$P$6,INDEX(prem_analysis!$BU$1:$CF$67,ROWS(prem_analysis!$N$2:Y383),COLUMNS(prem_analysis!$N$2:Y383)),IF($Q$1=$P$4,INDEX(Table24[[#All],[Year]:[Details]],ROWS(prem_analysis!$M$420:X801),COLUMNS(Data!$Q$3:AB384)))))),"")</f>
        <v/>
      </c>
    </row>
    <row r="384" spans="1:29" x14ac:dyDescent="0.2">
      <c r="A384" s="3">
        <v>2019</v>
      </c>
      <c r="B384" s="3">
        <v>3</v>
      </c>
      <c r="C384" s="4" t="s">
        <v>11</v>
      </c>
      <c r="D384" s="3">
        <v>38</v>
      </c>
      <c r="E384" s="3">
        <v>18</v>
      </c>
      <c r="F384" s="3">
        <v>12</v>
      </c>
      <c r="G384" s="3">
        <v>8</v>
      </c>
      <c r="H384" s="3">
        <v>66</v>
      </c>
      <c r="I384" s="3">
        <v>36</v>
      </c>
      <c r="J384" s="3">
        <v>30</v>
      </c>
      <c r="K384" s="3">
        <v>66</v>
      </c>
      <c r="L384" s="5">
        <f>IF(Table24[[#This Row],['#]]=1,"Champion", IF(Table24[[#This Row],['#]]&gt;=18,"Relegated",Table24[[#This Row],['#]]))</f>
        <v>3</v>
      </c>
      <c r="M384" s="5" t="str">
        <f>IF(Table24[[#This Row],[Details]]=2,K383-Table24[[#This Row],[Pts]],IF(Table24[[#This Row],[Details]]=17,Table24[[#This Row],[Pts]]-K385,""))</f>
        <v/>
      </c>
      <c r="R384" s="1" t="str">
        <f>IFERROR(IF($Q$1=$P$3,INDEX(prem_analysis!$P$2:$Q$441,ROWS(Data!$P$2:Q384),COLUMNS(Data!$P$3:P385)),IF($Q$1=$P$5,INDEX(prem_analysis!$BH$1:$BS$23,ROWS(Data!$Q$3:Q385),COLUMNS(Data!$Q$3:Q385)),IF($Q$1=$P$6,INDEX(prem_analysis!$BU$1:$CF$67,ROWS(prem_analysis!$N$2:N384),COLUMNS(prem_analysis!$N$2:N384)),IF($Q$1=$P$4,INDEX(Table24[[#All],[Year]:[Details]],ROWS(prem_analysis!$M$420:M802),COLUMNS(Data!$Q$3:Q385)))))),"")</f>
        <v/>
      </c>
      <c r="S384" s="1" t="str">
        <f>IFERROR(IF($Q$1=$P$3,INDEX(prem_analysis!$P$2:$Q$441,ROWS(Data!$P$2:R384),COLUMNS(Data!$P$3:Q385)),IF($Q$1=$P$5,INDEX(prem_analysis!$BH$1:$BS$23,ROWS(Data!$Q$3:R385),COLUMNS(Data!$Q$3:R385)),IF($Q$1=$P$6,INDEX(prem_analysis!$BU$1:$CF$67,ROWS(prem_analysis!$N$2:O384),COLUMNS(prem_analysis!$N$2:O384)),IF($Q$1=$P$4,INDEX(Table24[[#All],[Year]:[Details]],ROWS(prem_analysis!$M$420:N802),COLUMNS(Data!$Q$3:R385)))))),"")</f>
        <v/>
      </c>
      <c r="T384" s="1" t="str">
        <f>IFERROR(IF($Q$1=$P$3,INDEX(prem_analysis!$P$2:$Q$441,ROWS(Data!$P$2:S384),COLUMNS(Data!$P$3:R385)),IF($Q$1=$P$5,INDEX(prem_analysis!$BH$1:$BS$23,ROWS(Data!$Q$3:S385),COLUMNS(Data!$Q$3:S385)),IF($Q$1=$P$6,INDEX(prem_analysis!$BU$1:$CF$67,ROWS(prem_analysis!$N$2:P384),COLUMNS(prem_analysis!$N$2:P384)),IF($Q$1=$P$4,INDEX(Table24[[#All],[Year]:[Details]],ROWS(prem_analysis!$M$420:O802),COLUMNS(Data!$Q$3:S385)))))),"")</f>
        <v/>
      </c>
      <c r="U384" s="1" t="str">
        <f>IFERROR(IF($Q$1=$P$3,INDEX(prem_analysis!$P$2:$Q$441,ROWS(Data!$P$2:T384),COLUMNS(Data!$P$3:S385)),IF($Q$1=$P$5,INDEX(prem_analysis!$BH$1:$BS$23,ROWS(Data!$Q$3:T385),COLUMNS(Data!$Q$3:T385)),IF($Q$1=$P$6,INDEX(prem_analysis!$BU$1:$CF$67,ROWS(prem_analysis!$N$2:Q384),COLUMNS(prem_analysis!$N$2:Q384)),IF($Q$1=$P$4,INDEX(Table24[[#All],[Year]:[Details]],ROWS(prem_analysis!$M$420:P802),COLUMNS(Data!$Q$3:T385)))))),"")</f>
        <v/>
      </c>
      <c r="V384" s="1" t="str">
        <f>IFERROR(IF($Q$1=$P$3,INDEX(prem_analysis!$P$2:$Q$441,ROWS(Data!$P$2:U384),COLUMNS(Data!$P$3:T385)),IF($Q$1=$P$5,INDEX(prem_analysis!$BH$1:$BS$23,ROWS(Data!$Q$3:U385),COLUMNS(Data!$Q$3:U385)),IF($Q$1=$P$6,INDEX(prem_analysis!$BU$1:$CF$67,ROWS(prem_analysis!$N$2:R384),COLUMNS(prem_analysis!$N$2:R384)),IF($Q$1=$P$4,INDEX(Table24[[#All],[Year]:[Details]],ROWS(prem_analysis!$M$420:Q802),COLUMNS(Data!$Q$3:U385)))))),"")</f>
        <v/>
      </c>
      <c r="W384" s="1" t="str">
        <f>IFERROR(IF($Q$1=$P$3,INDEX(prem_analysis!$P$2:$Q$441,ROWS(Data!$P$2:V384),COLUMNS(Data!$P$3:U385)),IF($Q$1=$P$5,INDEX(prem_analysis!$BH$1:$BS$23,ROWS(Data!$Q$3:V385),COLUMNS(Data!$Q$3:V385)),IF($Q$1=$P$6,INDEX(prem_analysis!$BU$1:$CF$67,ROWS(prem_analysis!$N$2:S384),COLUMNS(prem_analysis!$N$2:S384)),IF($Q$1=$P$4,INDEX(Table24[[#All],[Year]:[Details]],ROWS(prem_analysis!$M$420:R802),COLUMNS(Data!$Q$3:V385)))))),"")</f>
        <v/>
      </c>
      <c r="X384" s="1" t="str">
        <f>IFERROR(IF($Q$1=$P$3,INDEX(prem_analysis!$P$2:$Q$441,ROWS(Data!$P$2:W384),COLUMNS(Data!$P$3:V385)),IF($Q$1=$P$5,INDEX(prem_analysis!$BH$1:$BS$23,ROWS(Data!$Q$3:W385),COLUMNS(Data!$Q$3:W385)),IF($Q$1=$P$6,INDEX(prem_analysis!$BU$1:$CF$67,ROWS(prem_analysis!$N$2:T384),COLUMNS(prem_analysis!$N$2:T384)),IF($Q$1=$P$4,INDEX(Table24[[#All],[Year]:[Details]],ROWS(prem_analysis!$M$420:S802),COLUMNS(Data!$Q$3:W385)))))),"")</f>
        <v/>
      </c>
      <c r="Y384" s="1" t="str">
        <f>IFERROR(IF($Q$1=$P$3,INDEX(prem_analysis!$P$2:$Q$441,ROWS(Data!$P$2:X384),COLUMNS(Data!$P$3:W385)),IF($Q$1=$P$5,INDEX(prem_analysis!$BH$1:$BS$23,ROWS(Data!$Q$3:X385),COLUMNS(Data!$Q$3:X385)),IF($Q$1=$P$6,INDEX(prem_analysis!$BU$1:$CF$67,ROWS(prem_analysis!$N$2:U384),COLUMNS(prem_analysis!$N$2:U384)),IF($Q$1=$P$4,INDEX(Table24[[#All],[Year]:[Details]],ROWS(prem_analysis!$M$420:T802),COLUMNS(Data!$Q$3:X385)))))),"")</f>
        <v/>
      </c>
      <c r="Z384" s="1" t="str">
        <f>IFERROR(IF($Q$1=$P$3,INDEX(prem_analysis!$P$2:$Q$441,ROWS(Data!$P$2:Y384),COLUMNS(Data!$P$3:X385)),IF($Q$1=$P$5,INDEX(prem_analysis!$BH$1:$BS$23,ROWS(Data!$Q$3:Y385),COLUMNS(Data!$Q$3:Y385)),IF($Q$1=$P$6,INDEX(prem_analysis!$BU$1:$CF$67,ROWS(prem_analysis!$N$2:V384),COLUMNS(prem_analysis!$N$2:V384)),IF($Q$1=$P$4,INDEX(Table24[[#All],[Year]:[Details]],ROWS(prem_analysis!$M$420:U802),COLUMNS(Data!$Q$3:Y385)))))),"")</f>
        <v/>
      </c>
      <c r="AA384" s="1" t="str">
        <f>IFERROR(IF($Q$1=$P$3,INDEX(prem_analysis!$P$2:$Q$441,ROWS(Data!$P$2:Z384),COLUMNS(Data!$P$3:Y385)),IF($Q$1=$P$5,INDEX(prem_analysis!$BH$1:$BS$23,ROWS(Data!$Q$3:Z385),COLUMNS(Data!$Q$3:Z385)),IF($Q$1=$P$6,INDEX(prem_analysis!$BU$1:$CF$67,ROWS(prem_analysis!$N$2:W384),COLUMNS(prem_analysis!$N$2:W384)),IF($Q$1=$P$4,INDEX(Table24[[#All],[Year]:[Details]],ROWS(prem_analysis!$M$420:V802),COLUMNS(Data!$Q$3:Z385)))))),"")</f>
        <v/>
      </c>
      <c r="AB384" s="1" t="str">
        <f>IFERROR(IF($Q$1=$P$3,INDEX(prem_analysis!$P$2:$Q$441,ROWS(Data!$P$2:AA384),COLUMNS(Data!$P$3:Z385)),IF($Q$1=$P$5,INDEX(prem_analysis!$BH$1:$BS$23,ROWS(Data!$Q$3:AA385),COLUMNS(Data!$Q$3:AA385)),IF($Q$1=$P$6,INDEX(prem_analysis!$BU$1:$CF$67,ROWS(prem_analysis!$N$2:X384),COLUMNS(prem_analysis!$N$2:X384)),IF($Q$1=$P$4,INDEX(Table24[[#All],[Year]:[Details]],ROWS(prem_analysis!$M$420:W802),COLUMNS(Data!$Q$3:AA385)))))),"")</f>
        <v/>
      </c>
      <c r="AC384" s="1" t="str">
        <f>IFERROR(IF($Q$1=$P$3,INDEX(prem_analysis!$P$2:$Q$441,ROWS(Data!$P$2:AB384),COLUMNS(Data!$P$3:AA385)),IF($Q$1=$P$5,INDEX(prem_analysis!$BH$1:$BS$23,ROWS(Data!$Q$3:AB385),COLUMNS(Data!$Q$3:AB385)),IF($Q$1=$P$6,INDEX(prem_analysis!$BU$1:$CF$67,ROWS(prem_analysis!$N$2:Y384),COLUMNS(prem_analysis!$N$2:Y384)),IF($Q$1=$P$4,INDEX(Table24[[#All],[Year]:[Details]],ROWS(prem_analysis!$M$420:X802),COLUMNS(Data!$Q$3:AB385)))))),"")</f>
        <v/>
      </c>
    </row>
    <row r="385" spans="1:29" x14ac:dyDescent="0.2">
      <c r="A385" s="5">
        <v>2019</v>
      </c>
      <c r="B385" s="5">
        <v>4</v>
      </c>
      <c r="C385" s="6" t="s">
        <v>16</v>
      </c>
      <c r="D385" s="5">
        <v>38</v>
      </c>
      <c r="E385" s="5">
        <v>20</v>
      </c>
      <c r="F385" s="5">
        <v>6</v>
      </c>
      <c r="G385" s="5">
        <v>12</v>
      </c>
      <c r="H385" s="5">
        <v>69</v>
      </c>
      <c r="I385" s="5">
        <v>54</v>
      </c>
      <c r="J385" s="5">
        <v>15</v>
      </c>
      <c r="K385" s="5">
        <v>66</v>
      </c>
      <c r="L385" s="5">
        <f>IF(Table24[[#This Row],['#]]=1,"Champion", IF(Table24[[#This Row],['#]]&gt;=18,"Relegated",Table24[[#This Row],['#]]))</f>
        <v>4</v>
      </c>
      <c r="M385" s="5" t="str">
        <f>IF(Table24[[#This Row],[Details]]=2,K384-Table24[[#This Row],[Pts]],IF(Table24[[#This Row],[Details]]=17,Table24[[#This Row],[Pts]]-K386,""))</f>
        <v/>
      </c>
      <c r="R385" s="1" t="str">
        <f>IFERROR(IF($Q$1=$P$3,INDEX(prem_analysis!$P$2:$Q$441,ROWS(Data!$P$2:Q385),COLUMNS(Data!$P$3:P386)),IF($Q$1=$P$5,INDEX(prem_analysis!$BH$1:$BS$23,ROWS(Data!$Q$3:Q386),COLUMNS(Data!$Q$3:Q386)),IF($Q$1=$P$6,INDEX(prem_analysis!$BU$1:$CF$67,ROWS(prem_analysis!$N$2:N385),COLUMNS(prem_analysis!$N$2:N385)),IF($Q$1=$P$4,INDEX(Table24[[#All],[Year]:[Details]],ROWS(prem_analysis!$M$420:M803),COLUMNS(Data!$Q$3:Q386)))))),"")</f>
        <v/>
      </c>
      <c r="S385" s="1" t="str">
        <f>IFERROR(IF($Q$1=$P$3,INDEX(prem_analysis!$P$2:$Q$441,ROWS(Data!$P$2:R385),COLUMNS(Data!$P$3:Q386)),IF($Q$1=$P$5,INDEX(prem_analysis!$BH$1:$BS$23,ROWS(Data!$Q$3:R386),COLUMNS(Data!$Q$3:R386)),IF($Q$1=$P$6,INDEX(prem_analysis!$BU$1:$CF$67,ROWS(prem_analysis!$N$2:O385),COLUMNS(prem_analysis!$N$2:O385)),IF($Q$1=$P$4,INDEX(Table24[[#All],[Year]:[Details]],ROWS(prem_analysis!$M$420:N803),COLUMNS(Data!$Q$3:R386)))))),"")</f>
        <v/>
      </c>
      <c r="T385" s="1" t="str">
        <f>IFERROR(IF($Q$1=$P$3,INDEX(prem_analysis!$P$2:$Q$441,ROWS(Data!$P$2:S385),COLUMNS(Data!$P$3:R386)),IF($Q$1=$P$5,INDEX(prem_analysis!$BH$1:$BS$23,ROWS(Data!$Q$3:S386),COLUMNS(Data!$Q$3:S386)),IF($Q$1=$P$6,INDEX(prem_analysis!$BU$1:$CF$67,ROWS(prem_analysis!$N$2:P385),COLUMNS(prem_analysis!$N$2:P385)),IF($Q$1=$P$4,INDEX(Table24[[#All],[Year]:[Details]],ROWS(prem_analysis!$M$420:O803),COLUMNS(Data!$Q$3:S386)))))),"")</f>
        <v/>
      </c>
      <c r="U385" s="1" t="str">
        <f>IFERROR(IF($Q$1=$P$3,INDEX(prem_analysis!$P$2:$Q$441,ROWS(Data!$P$2:T385),COLUMNS(Data!$P$3:S386)),IF($Q$1=$P$5,INDEX(prem_analysis!$BH$1:$BS$23,ROWS(Data!$Q$3:T386),COLUMNS(Data!$Q$3:T386)),IF($Q$1=$P$6,INDEX(prem_analysis!$BU$1:$CF$67,ROWS(prem_analysis!$N$2:Q385),COLUMNS(prem_analysis!$N$2:Q385)),IF($Q$1=$P$4,INDEX(Table24[[#All],[Year]:[Details]],ROWS(prem_analysis!$M$420:P803),COLUMNS(Data!$Q$3:T386)))))),"")</f>
        <v/>
      </c>
      <c r="V385" s="1" t="str">
        <f>IFERROR(IF($Q$1=$P$3,INDEX(prem_analysis!$P$2:$Q$441,ROWS(Data!$P$2:U385),COLUMNS(Data!$P$3:T386)),IF($Q$1=$P$5,INDEX(prem_analysis!$BH$1:$BS$23,ROWS(Data!$Q$3:U386),COLUMNS(Data!$Q$3:U386)),IF($Q$1=$P$6,INDEX(prem_analysis!$BU$1:$CF$67,ROWS(prem_analysis!$N$2:R385),COLUMNS(prem_analysis!$N$2:R385)),IF($Q$1=$P$4,INDEX(Table24[[#All],[Year]:[Details]],ROWS(prem_analysis!$M$420:Q803),COLUMNS(Data!$Q$3:U386)))))),"")</f>
        <v/>
      </c>
      <c r="W385" s="1" t="str">
        <f>IFERROR(IF($Q$1=$P$3,INDEX(prem_analysis!$P$2:$Q$441,ROWS(Data!$P$2:V385),COLUMNS(Data!$P$3:U386)),IF($Q$1=$P$5,INDEX(prem_analysis!$BH$1:$BS$23,ROWS(Data!$Q$3:V386),COLUMNS(Data!$Q$3:V386)),IF($Q$1=$P$6,INDEX(prem_analysis!$BU$1:$CF$67,ROWS(prem_analysis!$N$2:S385),COLUMNS(prem_analysis!$N$2:S385)),IF($Q$1=$P$4,INDEX(Table24[[#All],[Year]:[Details]],ROWS(prem_analysis!$M$420:R803),COLUMNS(Data!$Q$3:V386)))))),"")</f>
        <v/>
      </c>
      <c r="X385" s="1" t="str">
        <f>IFERROR(IF($Q$1=$P$3,INDEX(prem_analysis!$P$2:$Q$441,ROWS(Data!$P$2:W385),COLUMNS(Data!$P$3:V386)),IF($Q$1=$P$5,INDEX(prem_analysis!$BH$1:$BS$23,ROWS(Data!$Q$3:W386),COLUMNS(Data!$Q$3:W386)),IF($Q$1=$P$6,INDEX(prem_analysis!$BU$1:$CF$67,ROWS(prem_analysis!$N$2:T385),COLUMNS(prem_analysis!$N$2:T385)),IF($Q$1=$P$4,INDEX(Table24[[#All],[Year]:[Details]],ROWS(prem_analysis!$M$420:S803),COLUMNS(Data!$Q$3:W386)))))),"")</f>
        <v/>
      </c>
      <c r="Y385" s="1" t="str">
        <f>IFERROR(IF($Q$1=$P$3,INDEX(prem_analysis!$P$2:$Q$441,ROWS(Data!$P$2:X385),COLUMNS(Data!$P$3:W386)),IF($Q$1=$P$5,INDEX(prem_analysis!$BH$1:$BS$23,ROWS(Data!$Q$3:X386),COLUMNS(Data!$Q$3:X386)),IF($Q$1=$P$6,INDEX(prem_analysis!$BU$1:$CF$67,ROWS(prem_analysis!$N$2:U385),COLUMNS(prem_analysis!$N$2:U385)),IF($Q$1=$P$4,INDEX(Table24[[#All],[Year]:[Details]],ROWS(prem_analysis!$M$420:T803),COLUMNS(Data!$Q$3:X386)))))),"")</f>
        <v/>
      </c>
      <c r="Z385" s="1" t="str">
        <f>IFERROR(IF($Q$1=$P$3,INDEX(prem_analysis!$P$2:$Q$441,ROWS(Data!$P$2:Y385),COLUMNS(Data!$P$3:X386)),IF($Q$1=$P$5,INDEX(prem_analysis!$BH$1:$BS$23,ROWS(Data!$Q$3:Y386),COLUMNS(Data!$Q$3:Y386)),IF($Q$1=$P$6,INDEX(prem_analysis!$BU$1:$CF$67,ROWS(prem_analysis!$N$2:V385),COLUMNS(prem_analysis!$N$2:V385)),IF($Q$1=$P$4,INDEX(Table24[[#All],[Year]:[Details]],ROWS(prem_analysis!$M$420:U803),COLUMNS(Data!$Q$3:Y386)))))),"")</f>
        <v/>
      </c>
      <c r="AA385" s="1" t="str">
        <f>IFERROR(IF($Q$1=$P$3,INDEX(prem_analysis!$P$2:$Q$441,ROWS(Data!$P$2:Z385),COLUMNS(Data!$P$3:Y386)),IF($Q$1=$P$5,INDEX(prem_analysis!$BH$1:$BS$23,ROWS(Data!$Q$3:Z386),COLUMNS(Data!$Q$3:Z386)),IF($Q$1=$P$6,INDEX(prem_analysis!$BU$1:$CF$67,ROWS(prem_analysis!$N$2:W385),COLUMNS(prem_analysis!$N$2:W385)),IF($Q$1=$P$4,INDEX(Table24[[#All],[Year]:[Details]],ROWS(prem_analysis!$M$420:V803),COLUMNS(Data!$Q$3:Z386)))))),"")</f>
        <v/>
      </c>
      <c r="AB385" s="1" t="str">
        <f>IFERROR(IF($Q$1=$P$3,INDEX(prem_analysis!$P$2:$Q$441,ROWS(Data!$P$2:AA385),COLUMNS(Data!$P$3:Z386)),IF($Q$1=$P$5,INDEX(prem_analysis!$BH$1:$BS$23,ROWS(Data!$Q$3:AA386),COLUMNS(Data!$Q$3:AA386)),IF($Q$1=$P$6,INDEX(prem_analysis!$BU$1:$CF$67,ROWS(prem_analysis!$N$2:X385),COLUMNS(prem_analysis!$N$2:X385)),IF($Q$1=$P$4,INDEX(Table24[[#All],[Year]:[Details]],ROWS(prem_analysis!$M$420:W803),COLUMNS(Data!$Q$3:AA386)))))),"")</f>
        <v/>
      </c>
      <c r="AC385" s="1" t="str">
        <f>IFERROR(IF($Q$1=$P$3,INDEX(prem_analysis!$P$2:$Q$441,ROWS(Data!$P$2:AB385),COLUMNS(Data!$P$3:AA386)),IF($Q$1=$P$5,INDEX(prem_analysis!$BH$1:$BS$23,ROWS(Data!$Q$3:AB386),COLUMNS(Data!$Q$3:AB386)),IF($Q$1=$P$6,INDEX(prem_analysis!$BU$1:$CF$67,ROWS(prem_analysis!$N$2:Y385),COLUMNS(prem_analysis!$N$2:Y385)),IF($Q$1=$P$4,INDEX(Table24[[#All],[Year]:[Details]],ROWS(prem_analysis!$M$420:X803),COLUMNS(Data!$Q$3:AB386)))))),"")</f>
        <v/>
      </c>
    </row>
    <row r="386" spans="1:29" x14ac:dyDescent="0.2">
      <c r="A386" s="3">
        <v>2019</v>
      </c>
      <c r="B386" s="3">
        <v>5</v>
      </c>
      <c r="C386" s="4" t="s">
        <v>23</v>
      </c>
      <c r="D386" s="3">
        <v>38</v>
      </c>
      <c r="E386" s="3">
        <v>18</v>
      </c>
      <c r="F386" s="3">
        <v>8</v>
      </c>
      <c r="G386" s="3">
        <v>12</v>
      </c>
      <c r="H386" s="3">
        <v>67</v>
      </c>
      <c r="I386" s="3">
        <v>41</v>
      </c>
      <c r="J386" s="3">
        <v>26</v>
      </c>
      <c r="K386" s="3">
        <v>62</v>
      </c>
      <c r="L386" s="5">
        <f>IF(Table24[[#This Row],['#]]=1,"Champion", IF(Table24[[#This Row],['#]]&gt;=18,"Relegated",Table24[[#This Row],['#]]))</f>
        <v>5</v>
      </c>
      <c r="M386" s="5" t="str">
        <f>IF(Table24[[#This Row],[Details]]=2,K385-Table24[[#This Row],[Pts]],IF(Table24[[#This Row],[Details]]=17,Table24[[#This Row],[Pts]]-K387,""))</f>
        <v/>
      </c>
      <c r="R386" s="1" t="str">
        <f>IFERROR(IF($Q$1=$P$3,INDEX(prem_analysis!$P$2:$Q$441,ROWS(Data!$P$2:Q386),COLUMNS(Data!$P$3:P387)),IF($Q$1=$P$5,INDEX(prem_analysis!$BH$1:$BS$23,ROWS(Data!$Q$3:Q387),COLUMNS(Data!$Q$3:Q387)),IF($Q$1=$P$6,INDEX(prem_analysis!$BU$1:$CF$67,ROWS(prem_analysis!$N$2:N386),COLUMNS(prem_analysis!$N$2:N386)),IF($Q$1=$P$4,INDEX(Table24[[#All],[Year]:[Details]],ROWS(prem_analysis!$M$420:M804),COLUMNS(Data!$Q$3:Q387)))))),"")</f>
        <v/>
      </c>
      <c r="S386" s="1" t="str">
        <f>IFERROR(IF($Q$1=$P$3,INDEX(prem_analysis!$P$2:$Q$441,ROWS(Data!$P$2:R386),COLUMNS(Data!$P$3:Q387)),IF($Q$1=$P$5,INDEX(prem_analysis!$BH$1:$BS$23,ROWS(Data!$Q$3:R387),COLUMNS(Data!$Q$3:R387)),IF($Q$1=$P$6,INDEX(prem_analysis!$BU$1:$CF$67,ROWS(prem_analysis!$N$2:O386),COLUMNS(prem_analysis!$N$2:O386)),IF($Q$1=$P$4,INDEX(Table24[[#All],[Year]:[Details]],ROWS(prem_analysis!$M$420:N804),COLUMNS(Data!$Q$3:R387)))))),"")</f>
        <v/>
      </c>
      <c r="T386" s="1" t="str">
        <f>IFERROR(IF($Q$1=$P$3,INDEX(prem_analysis!$P$2:$Q$441,ROWS(Data!$P$2:S386),COLUMNS(Data!$P$3:R387)),IF($Q$1=$P$5,INDEX(prem_analysis!$BH$1:$BS$23,ROWS(Data!$Q$3:S387),COLUMNS(Data!$Q$3:S387)),IF($Q$1=$P$6,INDEX(prem_analysis!$BU$1:$CF$67,ROWS(prem_analysis!$N$2:P386),COLUMNS(prem_analysis!$N$2:P386)),IF($Q$1=$P$4,INDEX(Table24[[#All],[Year]:[Details]],ROWS(prem_analysis!$M$420:O804),COLUMNS(Data!$Q$3:S387)))))),"")</f>
        <v/>
      </c>
      <c r="U386" s="1" t="str">
        <f>IFERROR(IF($Q$1=$P$3,INDEX(prem_analysis!$P$2:$Q$441,ROWS(Data!$P$2:T386),COLUMNS(Data!$P$3:S387)),IF($Q$1=$P$5,INDEX(prem_analysis!$BH$1:$BS$23,ROWS(Data!$Q$3:T387),COLUMNS(Data!$Q$3:T387)),IF($Q$1=$P$6,INDEX(prem_analysis!$BU$1:$CF$67,ROWS(prem_analysis!$N$2:Q386),COLUMNS(prem_analysis!$N$2:Q386)),IF($Q$1=$P$4,INDEX(Table24[[#All],[Year]:[Details]],ROWS(prem_analysis!$M$420:P804),COLUMNS(Data!$Q$3:T387)))))),"")</f>
        <v/>
      </c>
      <c r="V386" s="1" t="str">
        <f>IFERROR(IF($Q$1=$P$3,INDEX(prem_analysis!$P$2:$Q$441,ROWS(Data!$P$2:U386),COLUMNS(Data!$P$3:T387)),IF($Q$1=$P$5,INDEX(prem_analysis!$BH$1:$BS$23,ROWS(Data!$Q$3:U387),COLUMNS(Data!$Q$3:U387)),IF($Q$1=$P$6,INDEX(prem_analysis!$BU$1:$CF$67,ROWS(prem_analysis!$N$2:R386),COLUMNS(prem_analysis!$N$2:R386)),IF($Q$1=$P$4,INDEX(Table24[[#All],[Year]:[Details]],ROWS(prem_analysis!$M$420:Q804),COLUMNS(Data!$Q$3:U387)))))),"")</f>
        <v/>
      </c>
      <c r="W386" s="1" t="str">
        <f>IFERROR(IF($Q$1=$P$3,INDEX(prem_analysis!$P$2:$Q$441,ROWS(Data!$P$2:V386),COLUMNS(Data!$P$3:U387)),IF($Q$1=$P$5,INDEX(prem_analysis!$BH$1:$BS$23,ROWS(Data!$Q$3:V387),COLUMNS(Data!$Q$3:V387)),IF($Q$1=$P$6,INDEX(prem_analysis!$BU$1:$CF$67,ROWS(prem_analysis!$N$2:S386),COLUMNS(prem_analysis!$N$2:S386)),IF($Q$1=$P$4,INDEX(Table24[[#All],[Year]:[Details]],ROWS(prem_analysis!$M$420:R804),COLUMNS(Data!$Q$3:V387)))))),"")</f>
        <v/>
      </c>
      <c r="X386" s="1" t="str">
        <f>IFERROR(IF($Q$1=$P$3,INDEX(prem_analysis!$P$2:$Q$441,ROWS(Data!$P$2:W386),COLUMNS(Data!$P$3:V387)),IF($Q$1=$P$5,INDEX(prem_analysis!$BH$1:$BS$23,ROWS(Data!$Q$3:W387),COLUMNS(Data!$Q$3:W387)),IF($Q$1=$P$6,INDEX(prem_analysis!$BU$1:$CF$67,ROWS(prem_analysis!$N$2:T386),COLUMNS(prem_analysis!$N$2:T386)),IF($Q$1=$P$4,INDEX(Table24[[#All],[Year]:[Details]],ROWS(prem_analysis!$M$420:S804),COLUMNS(Data!$Q$3:W387)))))),"")</f>
        <v/>
      </c>
      <c r="Y386" s="1" t="str">
        <f>IFERROR(IF($Q$1=$P$3,INDEX(prem_analysis!$P$2:$Q$441,ROWS(Data!$P$2:X386),COLUMNS(Data!$P$3:W387)),IF($Q$1=$P$5,INDEX(prem_analysis!$BH$1:$BS$23,ROWS(Data!$Q$3:X387),COLUMNS(Data!$Q$3:X387)),IF($Q$1=$P$6,INDEX(prem_analysis!$BU$1:$CF$67,ROWS(prem_analysis!$N$2:U386),COLUMNS(prem_analysis!$N$2:U386)),IF($Q$1=$P$4,INDEX(Table24[[#All],[Year]:[Details]],ROWS(prem_analysis!$M$420:T804),COLUMNS(Data!$Q$3:X387)))))),"")</f>
        <v/>
      </c>
      <c r="Z386" s="1" t="str">
        <f>IFERROR(IF($Q$1=$P$3,INDEX(prem_analysis!$P$2:$Q$441,ROWS(Data!$P$2:Y386),COLUMNS(Data!$P$3:X387)),IF($Q$1=$P$5,INDEX(prem_analysis!$BH$1:$BS$23,ROWS(Data!$Q$3:Y387),COLUMNS(Data!$Q$3:Y387)),IF($Q$1=$P$6,INDEX(prem_analysis!$BU$1:$CF$67,ROWS(prem_analysis!$N$2:V386),COLUMNS(prem_analysis!$N$2:V386)),IF($Q$1=$P$4,INDEX(Table24[[#All],[Year]:[Details]],ROWS(prem_analysis!$M$420:U804),COLUMNS(Data!$Q$3:Y387)))))),"")</f>
        <v/>
      </c>
      <c r="AA386" s="1" t="str">
        <f>IFERROR(IF($Q$1=$P$3,INDEX(prem_analysis!$P$2:$Q$441,ROWS(Data!$P$2:Z386),COLUMNS(Data!$P$3:Y387)),IF($Q$1=$P$5,INDEX(prem_analysis!$BH$1:$BS$23,ROWS(Data!$Q$3:Z387),COLUMNS(Data!$Q$3:Z387)),IF($Q$1=$P$6,INDEX(prem_analysis!$BU$1:$CF$67,ROWS(prem_analysis!$N$2:W386),COLUMNS(prem_analysis!$N$2:W386)),IF($Q$1=$P$4,INDEX(Table24[[#All],[Year]:[Details]],ROWS(prem_analysis!$M$420:V804),COLUMNS(Data!$Q$3:Z387)))))),"")</f>
        <v/>
      </c>
      <c r="AB386" s="1" t="str">
        <f>IFERROR(IF($Q$1=$P$3,INDEX(prem_analysis!$P$2:$Q$441,ROWS(Data!$P$2:AA386),COLUMNS(Data!$P$3:Z387)),IF($Q$1=$P$5,INDEX(prem_analysis!$BH$1:$BS$23,ROWS(Data!$Q$3:AA387),COLUMNS(Data!$Q$3:AA387)),IF($Q$1=$P$6,INDEX(prem_analysis!$BU$1:$CF$67,ROWS(prem_analysis!$N$2:X386),COLUMNS(prem_analysis!$N$2:X386)),IF($Q$1=$P$4,INDEX(Table24[[#All],[Year]:[Details]],ROWS(prem_analysis!$M$420:W804),COLUMNS(Data!$Q$3:AA387)))))),"")</f>
        <v/>
      </c>
      <c r="AC386" s="1" t="str">
        <f>IFERROR(IF($Q$1=$P$3,INDEX(prem_analysis!$P$2:$Q$441,ROWS(Data!$P$2:AB386),COLUMNS(Data!$P$3:AA387)),IF($Q$1=$P$5,INDEX(prem_analysis!$BH$1:$BS$23,ROWS(Data!$Q$3:AB387),COLUMNS(Data!$Q$3:AB387)),IF($Q$1=$P$6,INDEX(prem_analysis!$BU$1:$CF$67,ROWS(prem_analysis!$N$2:Y386),COLUMNS(prem_analysis!$N$2:Y386)),IF($Q$1=$P$4,INDEX(Table24[[#All],[Year]:[Details]],ROWS(prem_analysis!$M$420:X804),COLUMNS(Data!$Q$3:AB387)))))),"")</f>
        <v/>
      </c>
    </row>
    <row r="387" spans="1:29" x14ac:dyDescent="0.2">
      <c r="A387" s="5">
        <v>2019</v>
      </c>
      <c r="B387" s="5">
        <v>6</v>
      </c>
      <c r="C387" s="6" t="s">
        <v>22</v>
      </c>
      <c r="D387" s="5">
        <v>38</v>
      </c>
      <c r="E387" s="5">
        <v>16</v>
      </c>
      <c r="F387" s="5">
        <v>11</v>
      </c>
      <c r="G387" s="5">
        <v>11</v>
      </c>
      <c r="H387" s="5">
        <v>61</v>
      </c>
      <c r="I387" s="5">
        <v>47</v>
      </c>
      <c r="J387" s="5">
        <v>14</v>
      </c>
      <c r="K387" s="5">
        <v>59</v>
      </c>
      <c r="L387" s="5">
        <f>IF(Table24[[#This Row],['#]]=1,"Champion", IF(Table24[[#This Row],['#]]&gt;=18,"Relegated",Table24[[#This Row],['#]]))</f>
        <v>6</v>
      </c>
      <c r="M387" s="5" t="str">
        <f>IF(Table24[[#This Row],[Details]]=2,K386-Table24[[#This Row],[Pts]],IF(Table24[[#This Row],[Details]]=17,Table24[[#This Row],[Pts]]-K388,""))</f>
        <v/>
      </c>
      <c r="R387" s="1" t="str">
        <f>IFERROR(IF($Q$1=$P$3,INDEX(prem_analysis!$P$2:$Q$441,ROWS(Data!$P$2:Q387),COLUMNS(Data!$P$3:P388)),IF($Q$1=$P$5,INDEX(prem_analysis!$BH$1:$BS$23,ROWS(Data!$Q$3:Q388),COLUMNS(Data!$Q$3:Q388)),IF($Q$1=$P$6,INDEX(prem_analysis!$BU$1:$CF$67,ROWS(prem_analysis!$N$2:N387),COLUMNS(prem_analysis!$N$2:N387)),IF($Q$1=$P$4,INDEX(Table24[[#All],[Year]:[Details]],ROWS(prem_analysis!$M$420:M805),COLUMNS(Data!$Q$3:Q388)))))),"")</f>
        <v/>
      </c>
      <c r="S387" s="1" t="str">
        <f>IFERROR(IF($Q$1=$P$3,INDEX(prem_analysis!$P$2:$Q$441,ROWS(Data!$P$2:R387),COLUMNS(Data!$P$3:Q388)),IF($Q$1=$P$5,INDEX(prem_analysis!$BH$1:$BS$23,ROWS(Data!$Q$3:R388),COLUMNS(Data!$Q$3:R388)),IF($Q$1=$P$6,INDEX(prem_analysis!$BU$1:$CF$67,ROWS(prem_analysis!$N$2:O387),COLUMNS(prem_analysis!$N$2:O387)),IF($Q$1=$P$4,INDEX(Table24[[#All],[Year]:[Details]],ROWS(prem_analysis!$M$420:N805),COLUMNS(Data!$Q$3:R388)))))),"")</f>
        <v/>
      </c>
      <c r="T387" s="1" t="str">
        <f>IFERROR(IF($Q$1=$P$3,INDEX(prem_analysis!$P$2:$Q$441,ROWS(Data!$P$2:S387),COLUMNS(Data!$P$3:R388)),IF($Q$1=$P$5,INDEX(prem_analysis!$BH$1:$BS$23,ROWS(Data!$Q$3:S388),COLUMNS(Data!$Q$3:S388)),IF($Q$1=$P$6,INDEX(prem_analysis!$BU$1:$CF$67,ROWS(prem_analysis!$N$2:P387),COLUMNS(prem_analysis!$N$2:P387)),IF($Q$1=$P$4,INDEX(Table24[[#All],[Year]:[Details]],ROWS(prem_analysis!$M$420:O805),COLUMNS(Data!$Q$3:S388)))))),"")</f>
        <v/>
      </c>
      <c r="U387" s="1" t="str">
        <f>IFERROR(IF($Q$1=$P$3,INDEX(prem_analysis!$P$2:$Q$441,ROWS(Data!$P$2:T387),COLUMNS(Data!$P$3:S388)),IF($Q$1=$P$5,INDEX(prem_analysis!$BH$1:$BS$23,ROWS(Data!$Q$3:T388),COLUMNS(Data!$Q$3:T388)),IF($Q$1=$P$6,INDEX(prem_analysis!$BU$1:$CF$67,ROWS(prem_analysis!$N$2:Q387),COLUMNS(prem_analysis!$N$2:Q387)),IF($Q$1=$P$4,INDEX(Table24[[#All],[Year]:[Details]],ROWS(prem_analysis!$M$420:P805),COLUMNS(Data!$Q$3:T388)))))),"")</f>
        <v/>
      </c>
      <c r="V387" s="1" t="str">
        <f>IFERROR(IF($Q$1=$P$3,INDEX(prem_analysis!$P$2:$Q$441,ROWS(Data!$P$2:U387),COLUMNS(Data!$P$3:T388)),IF($Q$1=$P$5,INDEX(prem_analysis!$BH$1:$BS$23,ROWS(Data!$Q$3:U388),COLUMNS(Data!$Q$3:U388)),IF($Q$1=$P$6,INDEX(prem_analysis!$BU$1:$CF$67,ROWS(prem_analysis!$N$2:R387),COLUMNS(prem_analysis!$N$2:R387)),IF($Q$1=$P$4,INDEX(Table24[[#All],[Year]:[Details]],ROWS(prem_analysis!$M$420:Q805),COLUMNS(Data!$Q$3:U388)))))),"")</f>
        <v/>
      </c>
      <c r="W387" s="1" t="str">
        <f>IFERROR(IF($Q$1=$P$3,INDEX(prem_analysis!$P$2:$Q$441,ROWS(Data!$P$2:V387),COLUMNS(Data!$P$3:U388)),IF($Q$1=$P$5,INDEX(prem_analysis!$BH$1:$BS$23,ROWS(Data!$Q$3:V388),COLUMNS(Data!$Q$3:V388)),IF($Q$1=$P$6,INDEX(prem_analysis!$BU$1:$CF$67,ROWS(prem_analysis!$N$2:S387),COLUMNS(prem_analysis!$N$2:S387)),IF($Q$1=$P$4,INDEX(Table24[[#All],[Year]:[Details]],ROWS(prem_analysis!$M$420:R805),COLUMNS(Data!$Q$3:V388)))))),"")</f>
        <v/>
      </c>
      <c r="X387" s="1" t="str">
        <f>IFERROR(IF($Q$1=$P$3,INDEX(prem_analysis!$P$2:$Q$441,ROWS(Data!$P$2:W387),COLUMNS(Data!$P$3:V388)),IF($Q$1=$P$5,INDEX(prem_analysis!$BH$1:$BS$23,ROWS(Data!$Q$3:W388),COLUMNS(Data!$Q$3:W388)),IF($Q$1=$P$6,INDEX(prem_analysis!$BU$1:$CF$67,ROWS(prem_analysis!$N$2:T387),COLUMNS(prem_analysis!$N$2:T387)),IF($Q$1=$P$4,INDEX(Table24[[#All],[Year]:[Details]],ROWS(prem_analysis!$M$420:S805),COLUMNS(Data!$Q$3:W388)))))),"")</f>
        <v/>
      </c>
      <c r="Y387" s="1" t="str">
        <f>IFERROR(IF($Q$1=$P$3,INDEX(prem_analysis!$P$2:$Q$441,ROWS(Data!$P$2:X387),COLUMNS(Data!$P$3:W388)),IF($Q$1=$P$5,INDEX(prem_analysis!$BH$1:$BS$23,ROWS(Data!$Q$3:X388),COLUMNS(Data!$Q$3:X388)),IF($Q$1=$P$6,INDEX(prem_analysis!$BU$1:$CF$67,ROWS(prem_analysis!$N$2:U387),COLUMNS(prem_analysis!$N$2:U387)),IF($Q$1=$P$4,INDEX(Table24[[#All],[Year]:[Details]],ROWS(prem_analysis!$M$420:T805),COLUMNS(Data!$Q$3:X388)))))),"")</f>
        <v/>
      </c>
      <c r="Z387" s="1" t="str">
        <f>IFERROR(IF($Q$1=$P$3,INDEX(prem_analysis!$P$2:$Q$441,ROWS(Data!$P$2:Y387),COLUMNS(Data!$P$3:X388)),IF($Q$1=$P$5,INDEX(prem_analysis!$BH$1:$BS$23,ROWS(Data!$Q$3:Y388),COLUMNS(Data!$Q$3:Y388)),IF($Q$1=$P$6,INDEX(prem_analysis!$BU$1:$CF$67,ROWS(prem_analysis!$N$2:V387),COLUMNS(prem_analysis!$N$2:V387)),IF($Q$1=$P$4,INDEX(Table24[[#All],[Year]:[Details]],ROWS(prem_analysis!$M$420:U805),COLUMNS(Data!$Q$3:Y388)))))),"")</f>
        <v/>
      </c>
      <c r="AA387" s="1" t="str">
        <f>IFERROR(IF($Q$1=$P$3,INDEX(prem_analysis!$P$2:$Q$441,ROWS(Data!$P$2:Z387),COLUMNS(Data!$P$3:Y388)),IF($Q$1=$P$5,INDEX(prem_analysis!$BH$1:$BS$23,ROWS(Data!$Q$3:Z388),COLUMNS(Data!$Q$3:Z388)),IF($Q$1=$P$6,INDEX(prem_analysis!$BU$1:$CF$67,ROWS(prem_analysis!$N$2:W387),COLUMNS(prem_analysis!$N$2:W387)),IF($Q$1=$P$4,INDEX(Table24[[#All],[Year]:[Details]],ROWS(prem_analysis!$M$420:V805),COLUMNS(Data!$Q$3:Z388)))))),"")</f>
        <v/>
      </c>
      <c r="AB387" s="1" t="str">
        <f>IFERROR(IF($Q$1=$P$3,INDEX(prem_analysis!$P$2:$Q$441,ROWS(Data!$P$2:AA387),COLUMNS(Data!$P$3:Z388)),IF($Q$1=$P$5,INDEX(prem_analysis!$BH$1:$BS$23,ROWS(Data!$Q$3:AA388),COLUMNS(Data!$Q$3:AA388)),IF($Q$1=$P$6,INDEX(prem_analysis!$BU$1:$CF$67,ROWS(prem_analysis!$N$2:X387),COLUMNS(prem_analysis!$N$2:X387)),IF($Q$1=$P$4,INDEX(Table24[[#All],[Year]:[Details]],ROWS(prem_analysis!$M$420:W805),COLUMNS(Data!$Q$3:AA388)))))),"")</f>
        <v/>
      </c>
      <c r="AC387" s="1" t="str">
        <f>IFERROR(IF($Q$1=$P$3,INDEX(prem_analysis!$P$2:$Q$441,ROWS(Data!$P$2:AB387),COLUMNS(Data!$P$3:AA388)),IF($Q$1=$P$5,INDEX(prem_analysis!$BH$1:$BS$23,ROWS(Data!$Q$3:AB388),COLUMNS(Data!$Q$3:AB388)),IF($Q$1=$P$6,INDEX(prem_analysis!$BU$1:$CF$67,ROWS(prem_analysis!$N$2:Y387),COLUMNS(prem_analysis!$N$2:Y387)),IF($Q$1=$P$4,INDEX(Table24[[#All],[Year]:[Details]],ROWS(prem_analysis!$M$420:X805),COLUMNS(Data!$Q$3:AB388)))))),"")</f>
        <v/>
      </c>
    </row>
    <row r="388" spans="1:29" x14ac:dyDescent="0.2">
      <c r="A388" s="3">
        <v>2019</v>
      </c>
      <c r="B388" s="3">
        <v>7</v>
      </c>
      <c r="C388" s="4" t="s">
        <v>37</v>
      </c>
      <c r="D388" s="3">
        <v>38</v>
      </c>
      <c r="E388" s="3">
        <v>15</v>
      </c>
      <c r="F388" s="3">
        <v>14</v>
      </c>
      <c r="G388" s="3">
        <v>9</v>
      </c>
      <c r="H388" s="3">
        <v>51</v>
      </c>
      <c r="I388" s="3">
        <v>40</v>
      </c>
      <c r="J388" s="3">
        <v>11</v>
      </c>
      <c r="K388" s="3">
        <v>59</v>
      </c>
      <c r="L388" s="5">
        <f>IF(Table24[[#This Row],['#]]=1,"Champion", IF(Table24[[#This Row],['#]]&gt;=18,"Relegated",Table24[[#This Row],['#]]))</f>
        <v>7</v>
      </c>
      <c r="M388" s="5" t="str">
        <f>IF(Table24[[#This Row],[Details]]=2,K387-Table24[[#This Row],[Pts]],IF(Table24[[#This Row],[Details]]=17,Table24[[#This Row],[Pts]]-K389,""))</f>
        <v/>
      </c>
      <c r="R388" s="1" t="str">
        <f>IFERROR(IF($Q$1=$P$3,INDEX(prem_analysis!$P$2:$Q$441,ROWS(Data!$P$2:Q388),COLUMNS(Data!$P$3:P389)),IF($Q$1=$P$5,INDEX(prem_analysis!$BH$1:$BS$23,ROWS(Data!$Q$3:Q389),COLUMNS(Data!$Q$3:Q389)),IF($Q$1=$P$6,INDEX(prem_analysis!$BU$1:$CF$67,ROWS(prem_analysis!$N$2:N388),COLUMNS(prem_analysis!$N$2:N388)),IF($Q$1=$P$4,INDEX(Table24[[#All],[Year]:[Details]],ROWS(prem_analysis!$M$420:M806),COLUMNS(Data!$Q$3:Q389)))))),"")</f>
        <v/>
      </c>
      <c r="S388" s="1" t="str">
        <f>IFERROR(IF($Q$1=$P$3,INDEX(prem_analysis!$P$2:$Q$441,ROWS(Data!$P$2:R388),COLUMNS(Data!$P$3:Q389)),IF($Q$1=$P$5,INDEX(prem_analysis!$BH$1:$BS$23,ROWS(Data!$Q$3:R389),COLUMNS(Data!$Q$3:R389)),IF($Q$1=$P$6,INDEX(prem_analysis!$BU$1:$CF$67,ROWS(prem_analysis!$N$2:O388),COLUMNS(prem_analysis!$N$2:O388)),IF($Q$1=$P$4,INDEX(Table24[[#All],[Year]:[Details]],ROWS(prem_analysis!$M$420:N806),COLUMNS(Data!$Q$3:R389)))))),"")</f>
        <v/>
      </c>
      <c r="T388" s="1" t="str">
        <f>IFERROR(IF($Q$1=$P$3,INDEX(prem_analysis!$P$2:$Q$441,ROWS(Data!$P$2:S388),COLUMNS(Data!$P$3:R389)),IF($Q$1=$P$5,INDEX(prem_analysis!$BH$1:$BS$23,ROWS(Data!$Q$3:S389),COLUMNS(Data!$Q$3:S389)),IF($Q$1=$P$6,INDEX(prem_analysis!$BU$1:$CF$67,ROWS(prem_analysis!$N$2:P388),COLUMNS(prem_analysis!$N$2:P388)),IF($Q$1=$P$4,INDEX(Table24[[#All],[Year]:[Details]],ROWS(prem_analysis!$M$420:O806),COLUMNS(Data!$Q$3:S389)))))),"")</f>
        <v/>
      </c>
      <c r="U388" s="1" t="str">
        <f>IFERROR(IF($Q$1=$P$3,INDEX(prem_analysis!$P$2:$Q$441,ROWS(Data!$P$2:T388),COLUMNS(Data!$P$3:S389)),IF($Q$1=$P$5,INDEX(prem_analysis!$BH$1:$BS$23,ROWS(Data!$Q$3:T389),COLUMNS(Data!$Q$3:T389)),IF($Q$1=$P$6,INDEX(prem_analysis!$BU$1:$CF$67,ROWS(prem_analysis!$N$2:Q388),COLUMNS(prem_analysis!$N$2:Q388)),IF($Q$1=$P$4,INDEX(Table24[[#All],[Year]:[Details]],ROWS(prem_analysis!$M$420:P806),COLUMNS(Data!$Q$3:T389)))))),"")</f>
        <v/>
      </c>
      <c r="V388" s="1" t="str">
        <f>IFERROR(IF($Q$1=$P$3,INDEX(prem_analysis!$P$2:$Q$441,ROWS(Data!$P$2:U388),COLUMNS(Data!$P$3:T389)),IF($Q$1=$P$5,INDEX(prem_analysis!$BH$1:$BS$23,ROWS(Data!$Q$3:U389),COLUMNS(Data!$Q$3:U389)),IF($Q$1=$P$6,INDEX(prem_analysis!$BU$1:$CF$67,ROWS(prem_analysis!$N$2:R388),COLUMNS(prem_analysis!$N$2:R388)),IF($Q$1=$P$4,INDEX(Table24[[#All],[Year]:[Details]],ROWS(prem_analysis!$M$420:Q806),COLUMNS(Data!$Q$3:U389)))))),"")</f>
        <v/>
      </c>
      <c r="W388" s="1" t="str">
        <f>IFERROR(IF($Q$1=$P$3,INDEX(prem_analysis!$P$2:$Q$441,ROWS(Data!$P$2:V388),COLUMNS(Data!$P$3:U389)),IF($Q$1=$P$5,INDEX(prem_analysis!$BH$1:$BS$23,ROWS(Data!$Q$3:V389),COLUMNS(Data!$Q$3:V389)),IF($Q$1=$P$6,INDEX(prem_analysis!$BU$1:$CF$67,ROWS(prem_analysis!$N$2:S388),COLUMNS(prem_analysis!$N$2:S388)),IF($Q$1=$P$4,INDEX(Table24[[#All],[Year]:[Details]],ROWS(prem_analysis!$M$420:R806),COLUMNS(Data!$Q$3:V389)))))),"")</f>
        <v/>
      </c>
      <c r="X388" s="1" t="str">
        <f>IFERROR(IF($Q$1=$P$3,INDEX(prem_analysis!$P$2:$Q$441,ROWS(Data!$P$2:W388),COLUMNS(Data!$P$3:V389)),IF($Q$1=$P$5,INDEX(prem_analysis!$BH$1:$BS$23,ROWS(Data!$Q$3:W389),COLUMNS(Data!$Q$3:W389)),IF($Q$1=$P$6,INDEX(prem_analysis!$BU$1:$CF$67,ROWS(prem_analysis!$N$2:T388),COLUMNS(prem_analysis!$N$2:T388)),IF($Q$1=$P$4,INDEX(Table24[[#All],[Year]:[Details]],ROWS(prem_analysis!$M$420:S806),COLUMNS(Data!$Q$3:W389)))))),"")</f>
        <v/>
      </c>
      <c r="Y388" s="1" t="str">
        <f>IFERROR(IF($Q$1=$P$3,INDEX(prem_analysis!$P$2:$Q$441,ROWS(Data!$P$2:X388),COLUMNS(Data!$P$3:W389)),IF($Q$1=$P$5,INDEX(prem_analysis!$BH$1:$BS$23,ROWS(Data!$Q$3:X389),COLUMNS(Data!$Q$3:X389)),IF($Q$1=$P$6,INDEX(prem_analysis!$BU$1:$CF$67,ROWS(prem_analysis!$N$2:U388),COLUMNS(prem_analysis!$N$2:U388)),IF($Q$1=$P$4,INDEX(Table24[[#All],[Year]:[Details]],ROWS(prem_analysis!$M$420:T806),COLUMNS(Data!$Q$3:X389)))))),"")</f>
        <v/>
      </c>
      <c r="Z388" s="1" t="str">
        <f>IFERROR(IF($Q$1=$P$3,INDEX(prem_analysis!$P$2:$Q$441,ROWS(Data!$P$2:Y388),COLUMNS(Data!$P$3:X389)),IF($Q$1=$P$5,INDEX(prem_analysis!$BH$1:$BS$23,ROWS(Data!$Q$3:Y389),COLUMNS(Data!$Q$3:Y389)),IF($Q$1=$P$6,INDEX(prem_analysis!$BU$1:$CF$67,ROWS(prem_analysis!$N$2:V388),COLUMNS(prem_analysis!$N$2:V388)),IF($Q$1=$P$4,INDEX(Table24[[#All],[Year]:[Details]],ROWS(prem_analysis!$M$420:U806),COLUMNS(Data!$Q$3:Y389)))))),"")</f>
        <v/>
      </c>
      <c r="AA388" s="1" t="str">
        <f>IFERROR(IF($Q$1=$P$3,INDEX(prem_analysis!$P$2:$Q$441,ROWS(Data!$P$2:Z388),COLUMNS(Data!$P$3:Y389)),IF($Q$1=$P$5,INDEX(prem_analysis!$BH$1:$BS$23,ROWS(Data!$Q$3:Z389),COLUMNS(Data!$Q$3:Z389)),IF($Q$1=$P$6,INDEX(prem_analysis!$BU$1:$CF$67,ROWS(prem_analysis!$N$2:W388),COLUMNS(prem_analysis!$N$2:W388)),IF($Q$1=$P$4,INDEX(Table24[[#All],[Year]:[Details]],ROWS(prem_analysis!$M$420:V806),COLUMNS(Data!$Q$3:Z389)))))),"")</f>
        <v/>
      </c>
      <c r="AB388" s="1" t="str">
        <f>IFERROR(IF($Q$1=$P$3,INDEX(prem_analysis!$P$2:$Q$441,ROWS(Data!$P$2:AA388),COLUMNS(Data!$P$3:Z389)),IF($Q$1=$P$5,INDEX(prem_analysis!$BH$1:$BS$23,ROWS(Data!$Q$3:AA389),COLUMNS(Data!$Q$3:AA389)),IF($Q$1=$P$6,INDEX(prem_analysis!$BU$1:$CF$67,ROWS(prem_analysis!$N$2:X388),COLUMNS(prem_analysis!$N$2:X388)),IF($Q$1=$P$4,INDEX(Table24[[#All],[Year]:[Details]],ROWS(prem_analysis!$M$420:W806),COLUMNS(Data!$Q$3:AA389)))))),"")</f>
        <v/>
      </c>
      <c r="AC388" s="1" t="str">
        <f>IFERROR(IF($Q$1=$P$3,INDEX(prem_analysis!$P$2:$Q$441,ROWS(Data!$P$2:AB388),COLUMNS(Data!$P$3:AA389)),IF($Q$1=$P$5,INDEX(prem_analysis!$BH$1:$BS$23,ROWS(Data!$Q$3:AB389),COLUMNS(Data!$Q$3:AB389)),IF($Q$1=$P$6,INDEX(prem_analysis!$BU$1:$CF$67,ROWS(prem_analysis!$N$2:Y388),COLUMNS(prem_analysis!$N$2:Y388)),IF($Q$1=$P$4,INDEX(Table24[[#All],[Year]:[Details]],ROWS(prem_analysis!$M$420:X806),COLUMNS(Data!$Q$3:AB389)))))),"")</f>
        <v/>
      </c>
    </row>
    <row r="389" spans="1:29" x14ac:dyDescent="0.2">
      <c r="A389" s="5">
        <v>2019</v>
      </c>
      <c r="B389" s="5">
        <v>8</v>
      </c>
      <c r="C389" s="6" t="s">
        <v>12</v>
      </c>
      <c r="D389" s="5">
        <v>38</v>
      </c>
      <c r="E389" s="5">
        <v>14</v>
      </c>
      <c r="F389" s="5">
        <v>14</v>
      </c>
      <c r="G389" s="5">
        <v>10</v>
      </c>
      <c r="H389" s="5">
        <v>56</v>
      </c>
      <c r="I389" s="5">
        <v>48</v>
      </c>
      <c r="J389" s="5">
        <v>8</v>
      </c>
      <c r="K389" s="5">
        <v>56</v>
      </c>
      <c r="L389" s="5">
        <f>IF(Table24[[#This Row],['#]]=1,"Champion", IF(Table24[[#This Row],['#]]&gt;=18,"Relegated",Table24[[#This Row],['#]]))</f>
        <v>8</v>
      </c>
      <c r="M389" s="5" t="str">
        <f>IF(Table24[[#This Row],[Details]]=2,K388-Table24[[#This Row],[Pts]],IF(Table24[[#This Row],[Details]]=17,Table24[[#This Row],[Pts]]-K390,""))</f>
        <v/>
      </c>
      <c r="R389" s="1" t="str">
        <f>IFERROR(IF($Q$1=$P$3,INDEX(prem_analysis!$P$2:$Q$441,ROWS(Data!$P$2:Q389),COLUMNS(Data!$P$3:P390)),IF($Q$1=$P$5,INDEX(prem_analysis!$BH$1:$BS$23,ROWS(Data!$Q$3:Q390),COLUMNS(Data!$Q$3:Q390)),IF($Q$1=$P$6,INDEX(prem_analysis!$BU$1:$CF$67,ROWS(prem_analysis!$N$2:N389),COLUMNS(prem_analysis!$N$2:N389)),IF($Q$1=$P$4,INDEX(Table24[[#All],[Year]:[Details]],ROWS(prem_analysis!$M$420:M807),COLUMNS(Data!$Q$3:Q390)))))),"")</f>
        <v/>
      </c>
      <c r="S389" s="1" t="str">
        <f>IFERROR(IF($Q$1=$P$3,INDEX(prem_analysis!$P$2:$Q$441,ROWS(Data!$P$2:R389),COLUMNS(Data!$P$3:Q390)),IF($Q$1=$P$5,INDEX(prem_analysis!$BH$1:$BS$23,ROWS(Data!$Q$3:R390),COLUMNS(Data!$Q$3:R390)),IF($Q$1=$P$6,INDEX(prem_analysis!$BU$1:$CF$67,ROWS(prem_analysis!$N$2:O389),COLUMNS(prem_analysis!$N$2:O389)),IF($Q$1=$P$4,INDEX(Table24[[#All],[Year]:[Details]],ROWS(prem_analysis!$M$420:N807),COLUMNS(Data!$Q$3:R390)))))),"")</f>
        <v/>
      </c>
      <c r="T389" s="1" t="str">
        <f>IFERROR(IF($Q$1=$P$3,INDEX(prem_analysis!$P$2:$Q$441,ROWS(Data!$P$2:S389),COLUMNS(Data!$P$3:R390)),IF($Q$1=$P$5,INDEX(prem_analysis!$BH$1:$BS$23,ROWS(Data!$Q$3:S390),COLUMNS(Data!$Q$3:S390)),IF($Q$1=$P$6,INDEX(prem_analysis!$BU$1:$CF$67,ROWS(prem_analysis!$N$2:P389),COLUMNS(prem_analysis!$N$2:P389)),IF($Q$1=$P$4,INDEX(Table24[[#All],[Year]:[Details]],ROWS(prem_analysis!$M$420:O807),COLUMNS(Data!$Q$3:S390)))))),"")</f>
        <v/>
      </c>
      <c r="U389" s="1" t="str">
        <f>IFERROR(IF($Q$1=$P$3,INDEX(prem_analysis!$P$2:$Q$441,ROWS(Data!$P$2:T389),COLUMNS(Data!$P$3:S390)),IF($Q$1=$P$5,INDEX(prem_analysis!$BH$1:$BS$23,ROWS(Data!$Q$3:T390),COLUMNS(Data!$Q$3:T390)),IF($Q$1=$P$6,INDEX(prem_analysis!$BU$1:$CF$67,ROWS(prem_analysis!$N$2:Q389),COLUMNS(prem_analysis!$N$2:Q389)),IF($Q$1=$P$4,INDEX(Table24[[#All],[Year]:[Details]],ROWS(prem_analysis!$M$420:P807),COLUMNS(Data!$Q$3:T390)))))),"")</f>
        <v/>
      </c>
      <c r="V389" s="1" t="str">
        <f>IFERROR(IF($Q$1=$P$3,INDEX(prem_analysis!$P$2:$Q$441,ROWS(Data!$P$2:U389),COLUMNS(Data!$P$3:T390)),IF($Q$1=$P$5,INDEX(prem_analysis!$BH$1:$BS$23,ROWS(Data!$Q$3:U390),COLUMNS(Data!$Q$3:U390)),IF($Q$1=$P$6,INDEX(prem_analysis!$BU$1:$CF$67,ROWS(prem_analysis!$N$2:R389),COLUMNS(prem_analysis!$N$2:R389)),IF($Q$1=$P$4,INDEX(Table24[[#All],[Year]:[Details]],ROWS(prem_analysis!$M$420:Q807),COLUMNS(Data!$Q$3:U390)))))),"")</f>
        <v/>
      </c>
      <c r="W389" s="1" t="str">
        <f>IFERROR(IF($Q$1=$P$3,INDEX(prem_analysis!$P$2:$Q$441,ROWS(Data!$P$2:V389),COLUMNS(Data!$P$3:U390)),IF($Q$1=$P$5,INDEX(prem_analysis!$BH$1:$BS$23,ROWS(Data!$Q$3:V390),COLUMNS(Data!$Q$3:V390)),IF($Q$1=$P$6,INDEX(prem_analysis!$BU$1:$CF$67,ROWS(prem_analysis!$N$2:S389),COLUMNS(prem_analysis!$N$2:S389)),IF($Q$1=$P$4,INDEX(Table24[[#All],[Year]:[Details]],ROWS(prem_analysis!$M$420:R807),COLUMNS(Data!$Q$3:V390)))))),"")</f>
        <v/>
      </c>
      <c r="X389" s="1" t="str">
        <f>IFERROR(IF($Q$1=$P$3,INDEX(prem_analysis!$P$2:$Q$441,ROWS(Data!$P$2:W389),COLUMNS(Data!$P$3:V390)),IF($Q$1=$P$5,INDEX(prem_analysis!$BH$1:$BS$23,ROWS(Data!$Q$3:W390),COLUMNS(Data!$Q$3:W390)),IF($Q$1=$P$6,INDEX(prem_analysis!$BU$1:$CF$67,ROWS(prem_analysis!$N$2:T389),COLUMNS(prem_analysis!$N$2:T389)),IF($Q$1=$P$4,INDEX(Table24[[#All],[Year]:[Details]],ROWS(prem_analysis!$M$420:S807),COLUMNS(Data!$Q$3:W390)))))),"")</f>
        <v/>
      </c>
      <c r="Y389" s="1" t="str">
        <f>IFERROR(IF($Q$1=$P$3,INDEX(prem_analysis!$P$2:$Q$441,ROWS(Data!$P$2:X389),COLUMNS(Data!$P$3:W390)),IF($Q$1=$P$5,INDEX(prem_analysis!$BH$1:$BS$23,ROWS(Data!$Q$3:X390),COLUMNS(Data!$Q$3:X390)),IF($Q$1=$P$6,INDEX(prem_analysis!$BU$1:$CF$67,ROWS(prem_analysis!$N$2:U389),COLUMNS(prem_analysis!$N$2:U389)),IF($Q$1=$P$4,INDEX(Table24[[#All],[Year]:[Details]],ROWS(prem_analysis!$M$420:T807),COLUMNS(Data!$Q$3:X390)))))),"")</f>
        <v/>
      </c>
      <c r="Z389" s="1" t="str">
        <f>IFERROR(IF($Q$1=$P$3,INDEX(prem_analysis!$P$2:$Q$441,ROWS(Data!$P$2:Y389),COLUMNS(Data!$P$3:X390)),IF($Q$1=$P$5,INDEX(prem_analysis!$BH$1:$BS$23,ROWS(Data!$Q$3:Y390),COLUMNS(Data!$Q$3:Y390)),IF($Q$1=$P$6,INDEX(prem_analysis!$BU$1:$CF$67,ROWS(prem_analysis!$N$2:V389),COLUMNS(prem_analysis!$N$2:V389)),IF($Q$1=$P$4,INDEX(Table24[[#All],[Year]:[Details]],ROWS(prem_analysis!$M$420:U807),COLUMNS(Data!$Q$3:Y390)))))),"")</f>
        <v/>
      </c>
      <c r="AA389" s="1" t="str">
        <f>IFERROR(IF($Q$1=$P$3,INDEX(prem_analysis!$P$2:$Q$441,ROWS(Data!$P$2:Z389),COLUMNS(Data!$P$3:Y390)),IF($Q$1=$P$5,INDEX(prem_analysis!$BH$1:$BS$23,ROWS(Data!$Q$3:Z390),COLUMNS(Data!$Q$3:Z390)),IF($Q$1=$P$6,INDEX(prem_analysis!$BU$1:$CF$67,ROWS(prem_analysis!$N$2:W389),COLUMNS(prem_analysis!$N$2:W389)),IF($Q$1=$P$4,INDEX(Table24[[#All],[Year]:[Details]],ROWS(prem_analysis!$M$420:V807),COLUMNS(Data!$Q$3:Z390)))))),"")</f>
        <v/>
      </c>
      <c r="AB389" s="1" t="str">
        <f>IFERROR(IF($Q$1=$P$3,INDEX(prem_analysis!$P$2:$Q$441,ROWS(Data!$P$2:AA389),COLUMNS(Data!$P$3:Z390)),IF($Q$1=$P$5,INDEX(prem_analysis!$BH$1:$BS$23,ROWS(Data!$Q$3:AA390),COLUMNS(Data!$Q$3:AA390)),IF($Q$1=$P$6,INDEX(prem_analysis!$BU$1:$CF$67,ROWS(prem_analysis!$N$2:X389),COLUMNS(prem_analysis!$N$2:X389)),IF($Q$1=$P$4,INDEX(Table24[[#All],[Year]:[Details]],ROWS(prem_analysis!$M$420:W807),COLUMNS(Data!$Q$3:AA390)))))),"")</f>
        <v/>
      </c>
      <c r="AC389" s="1" t="str">
        <f>IFERROR(IF($Q$1=$P$3,INDEX(prem_analysis!$P$2:$Q$441,ROWS(Data!$P$2:AB389),COLUMNS(Data!$P$3:AA390)),IF($Q$1=$P$5,INDEX(prem_analysis!$BH$1:$BS$23,ROWS(Data!$Q$3:AB390),COLUMNS(Data!$Q$3:AB390)),IF($Q$1=$P$6,INDEX(prem_analysis!$BU$1:$CF$67,ROWS(prem_analysis!$N$2:Y389),COLUMNS(prem_analysis!$N$2:Y389)),IF($Q$1=$P$4,INDEX(Table24[[#All],[Year]:[Details]],ROWS(prem_analysis!$M$420:X807),COLUMNS(Data!$Q$3:AB390)))))),"")</f>
        <v/>
      </c>
    </row>
    <row r="390" spans="1:29" x14ac:dyDescent="0.2">
      <c r="A390" s="3">
        <v>2019</v>
      </c>
      <c r="B390" s="3">
        <v>9</v>
      </c>
      <c r="C390" s="4" t="s">
        <v>42</v>
      </c>
      <c r="D390" s="3">
        <v>38</v>
      </c>
      <c r="E390" s="3">
        <v>14</v>
      </c>
      <c r="F390" s="3">
        <v>12</v>
      </c>
      <c r="G390" s="3">
        <v>12</v>
      </c>
      <c r="H390" s="3">
        <v>39</v>
      </c>
      <c r="I390" s="3">
        <v>39</v>
      </c>
      <c r="J390" s="3">
        <v>0</v>
      </c>
      <c r="K390" s="3">
        <v>54</v>
      </c>
      <c r="L390" s="5">
        <f>IF(Table24[[#This Row],['#]]=1,"Champion", IF(Table24[[#This Row],['#]]&gt;=18,"Relegated",Table24[[#This Row],['#]]))</f>
        <v>9</v>
      </c>
      <c r="M390" s="5" t="str">
        <f>IF(Table24[[#This Row],[Details]]=2,K389-Table24[[#This Row],[Pts]],IF(Table24[[#This Row],[Details]]=17,Table24[[#This Row],[Pts]]-K391,""))</f>
        <v/>
      </c>
      <c r="R390" s="1" t="str">
        <f>IFERROR(IF($Q$1=$P$3,INDEX(prem_analysis!$P$2:$Q$441,ROWS(Data!$P$2:Q390),COLUMNS(Data!$P$3:P391)),IF($Q$1=$P$5,INDEX(prem_analysis!$BH$1:$BS$23,ROWS(Data!$Q$3:Q391),COLUMNS(Data!$Q$3:Q391)),IF($Q$1=$P$6,INDEX(prem_analysis!$BU$1:$CF$67,ROWS(prem_analysis!$N$2:N390),COLUMNS(prem_analysis!$N$2:N390)),IF($Q$1=$P$4,INDEX(Table24[[#All],[Year]:[Details]],ROWS(prem_analysis!$M$420:M808),COLUMNS(Data!$Q$3:Q391)))))),"")</f>
        <v/>
      </c>
      <c r="S390" s="1" t="str">
        <f>IFERROR(IF($Q$1=$P$3,INDEX(prem_analysis!$P$2:$Q$441,ROWS(Data!$P$2:R390),COLUMNS(Data!$P$3:Q391)),IF($Q$1=$P$5,INDEX(prem_analysis!$BH$1:$BS$23,ROWS(Data!$Q$3:R391),COLUMNS(Data!$Q$3:R391)),IF($Q$1=$P$6,INDEX(prem_analysis!$BU$1:$CF$67,ROWS(prem_analysis!$N$2:O390),COLUMNS(prem_analysis!$N$2:O390)),IF($Q$1=$P$4,INDEX(Table24[[#All],[Year]:[Details]],ROWS(prem_analysis!$M$420:N808),COLUMNS(Data!$Q$3:R391)))))),"")</f>
        <v/>
      </c>
      <c r="T390" s="1" t="str">
        <f>IFERROR(IF($Q$1=$P$3,INDEX(prem_analysis!$P$2:$Q$441,ROWS(Data!$P$2:S390),COLUMNS(Data!$P$3:R391)),IF($Q$1=$P$5,INDEX(prem_analysis!$BH$1:$BS$23,ROWS(Data!$Q$3:S391),COLUMNS(Data!$Q$3:S391)),IF($Q$1=$P$6,INDEX(prem_analysis!$BU$1:$CF$67,ROWS(prem_analysis!$N$2:P390),COLUMNS(prem_analysis!$N$2:P390)),IF($Q$1=$P$4,INDEX(Table24[[#All],[Year]:[Details]],ROWS(prem_analysis!$M$420:O808),COLUMNS(Data!$Q$3:S391)))))),"")</f>
        <v/>
      </c>
      <c r="U390" s="1" t="str">
        <f>IFERROR(IF($Q$1=$P$3,INDEX(prem_analysis!$P$2:$Q$441,ROWS(Data!$P$2:T390),COLUMNS(Data!$P$3:S391)),IF($Q$1=$P$5,INDEX(prem_analysis!$BH$1:$BS$23,ROWS(Data!$Q$3:T391),COLUMNS(Data!$Q$3:T391)),IF($Q$1=$P$6,INDEX(prem_analysis!$BU$1:$CF$67,ROWS(prem_analysis!$N$2:Q390),COLUMNS(prem_analysis!$N$2:Q390)),IF($Q$1=$P$4,INDEX(Table24[[#All],[Year]:[Details]],ROWS(prem_analysis!$M$420:P808),COLUMNS(Data!$Q$3:T391)))))),"")</f>
        <v/>
      </c>
      <c r="V390" s="1" t="str">
        <f>IFERROR(IF($Q$1=$P$3,INDEX(prem_analysis!$P$2:$Q$441,ROWS(Data!$P$2:U390),COLUMNS(Data!$P$3:T391)),IF($Q$1=$P$5,INDEX(prem_analysis!$BH$1:$BS$23,ROWS(Data!$Q$3:U391),COLUMNS(Data!$Q$3:U391)),IF($Q$1=$P$6,INDEX(prem_analysis!$BU$1:$CF$67,ROWS(prem_analysis!$N$2:R390),COLUMNS(prem_analysis!$N$2:R390)),IF($Q$1=$P$4,INDEX(Table24[[#All],[Year]:[Details]],ROWS(prem_analysis!$M$420:Q808),COLUMNS(Data!$Q$3:U391)))))),"")</f>
        <v/>
      </c>
      <c r="W390" s="1" t="str">
        <f>IFERROR(IF($Q$1=$P$3,INDEX(prem_analysis!$P$2:$Q$441,ROWS(Data!$P$2:V390),COLUMNS(Data!$P$3:U391)),IF($Q$1=$P$5,INDEX(prem_analysis!$BH$1:$BS$23,ROWS(Data!$Q$3:V391),COLUMNS(Data!$Q$3:V391)),IF($Q$1=$P$6,INDEX(prem_analysis!$BU$1:$CF$67,ROWS(prem_analysis!$N$2:S390),COLUMNS(prem_analysis!$N$2:S390)),IF($Q$1=$P$4,INDEX(Table24[[#All],[Year]:[Details]],ROWS(prem_analysis!$M$420:R808),COLUMNS(Data!$Q$3:V391)))))),"")</f>
        <v/>
      </c>
      <c r="X390" s="1" t="str">
        <f>IFERROR(IF($Q$1=$P$3,INDEX(prem_analysis!$P$2:$Q$441,ROWS(Data!$P$2:W390),COLUMNS(Data!$P$3:V391)),IF($Q$1=$P$5,INDEX(prem_analysis!$BH$1:$BS$23,ROWS(Data!$Q$3:W391),COLUMNS(Data!$Q$3:W391)),IF($Q$1=$P$6,INDEX(prem_analysis!$BU$1:$CF$67,ROWS(prem_analysis!$N$2:T390),COLUMNS(prem_analysis!$N$2:T390)),IF($Q$1=$P$4,INDEX(Table24[[#All],[Year]:[Details]],ROWS(prem_analysis!$M$420:S808),COLUMNS(Data!$Q$3:W391)))))),"")</f>
        <v/>
      </c>
      <c r="Y390" s="1" t="str">
        <f>IFERROR(IF($Q$1=$P$3,INDEX(prem_analysis!$P$2:$Q$441,ROWS(Data!$P$2:X390),COLUMNS(Data!$P$3:W391)),IF($Q$1=$P$5,INDEX(prem_analysis!$BH$1:$BS$23,ROWS(Data!$Q$3:X391),COLUMNS(Data!$Q$3:X391)),IF($Q$1=$P$6,INDEX(prem_analysis!$BU$1:$CF$67,ROWS(prem_analysis!$N$2:U390),COLUMNS(prem_analysis!$N$2:U390)),IF($Q$1=$P$4,INDEX(Table24[[#All],[Year]:[Details]],ROWS(prem_analysis!$M$420:T808),COLUMNS(Data!$Q$3:X391)))))),"")</f>
        <v/>
      </c>
      <c r="Z390" s="1" t="str">
        <f>IFERROR(IF($Q$1=$P$3,INDEX(prem_analysis!$P$2:$Q$441,ROWS(Data!$P$2:Y390),COLUMNS(Data!$P$3:X391)),IF($Q$1=$P$5,INDEX(prem_analysis!$BH$1:$BS$23,ROWS(Data!$Q$3:Y391),COLUMNS(Data!$Q$3:Y391)),IF($Q$1=$P$6,INDEX(prem_analysis!$BU$1:$CF$67,ROWS(prem_analysis!$N$2:V390),COLUMNS(prem_analysis!$N$2:V390)),IF($Q$1=$P$4,INDEX(Table24[[#All],[Year]:[Details]],ROWS(prem_analysis!$M$420:U808),COLUMNS(Data!$Q$3:Y391)))))),"")</f>
        <v/>
      </c>
      <c r="AA390" s="1" t="str">
        <f>IFERROR(IF($Q$1=$P$3,INDEX(prem_analysis!$P$2:$Q$441,ROWS(Data!$P$2:Z390),COLUMNS(Data!$P$3:Y391)),IF($Q$1=$P$5,INDEX(prem_analysis!$BH$1:$BS$23,ROWS(Data!$Q$3:Z391),COLUMNS(Data!$Q$3:Z391)),IF($Q$1=$P$6,INDEX(prem_analysis!$BU$1:$CF$67,ROWS(prem_analysis!$N$2:W390),COLUMNS(prem_analysis!$N$2:W390)),IF($Q$1=$P$4,INDEX(Table24[[#All],[Year]:[Details]],ROWS(prem_analysis!$M$420:V808),COLUMNS(Data!$Q$3:Z391)))))),"")</f>
        <v/>
      </c>
      <c r="AB390" s="1" t="str">
        <f>IFERROR(IF($Q$1=$P$3,INDEX(prem_analysis!$P$2:$Q$441,ROWS(Data!$P$2:AA390),COLUMNS(Data!$P$3:Z391)),IF($Q$1=$P$5,INDEX(prem_analysis!$BH$1:$BS$23,ROWS(Data!$Q$3:AA391),COLUMNS(Data!$Q$3:AA391)),IF($Q$1=$P$6,INDEX(prem_analysis!$BU$1:$CF$67,ROWS(prem_analysis!$N$2:X390),COLUMNS(prem_analysis!$N$2:X390)),IF($Q$1=$P$4,INDEX(Table24[[#All],[Year]:[Details]],ROWS(prem_analysis!$M$420:W808),COLUMNS(Data!$Q$3:AA391)))))),"")</f>
        <v/>
      </c>
      <c r="AC390" s="1" t="str">
        <f>IFERROR(IF($Q$1=$P$3,INDEX(prem_analysis!$P$2:$Q$441,ROWS(Data!$P$2:AB390),COLUMNS(Data!$P$3:AA391)),IF($Q$1=$P$5,INDEX(prem_analysis!$BH$1:$BS$23,ROWS(Data!$Q$3:AB391),COLUMNS(Data!$Q$3:AB391)),IF($Q$1=$P$6,INDEX(prem_analysis!$BU$1:$CF$67,ROWS(prem_analysis!$N$2:Y390),COLUMNS(prem_analysis!$N$2:Y390)),IF($Q$1=$P$4,INDEX(Table24[[#All],[Year]:[Details]],ROWS(prem_analysis!$M$420:X808),COLUMNS(Data!$Q$3:AB391)))))),"")</f>
        <v/>
      </c>
    </row>
    <row r="391" spans="1:29" x14ac:dyDescent="0.2">
      <c r="A391" s="5">
        <v>2019</v>
      </c>
      <c r="B391" s="5">
        <v>10</v>
      </c>
      <c r="C391" s="6" t="s">
        <v>46</v>
      </c>
      <c r="D391" s="5">
        <v>38</v>
      </c>
      <c r="E391" s="5">
        <v>15</v>
      </c>
      <c r="F391" s="5">
        <v>9</v>
      </c>
      <c r="G391" s="5">
        <v>14</v>
      </c>
      <c r="H391" s="5">
        <v>43</v>
      </c>
      <c r="I391" s="5">
        <v>50</v>
      </c>
      <c r="J391" s="5">
        <v>-7</v>
      </c>
      <c r="K391" s="5">
        <v>54</v>
      </c>
      <c r="L391" s="5">
        <f>IF(Table24[[#This Row],['#]]=1,"Champion", IF(Table24[[#This Row],['#]]&gt;=18,"Relegated",Table24[[#This Row],['#]]))</f>
        <v>10</v>
      </c>
      <c r="M391" s="5" t="str">
        <f>IF(Table24[[#This Row],[Details]]=2,K390-Table24[[#This Row],[Pts]],IF(Table24[[#This Row],[Details]]=17,Table24[[#This Row],[Pts]]-K392,""))</f>
        <v/>
      </c>
      <c r="R391" s="1" t="str">
        <f>IFERROR(IF($Q$1=$P$3,INDEX(prem_analysis!$P$2:$Q$441,ROWS(Data!$P$2:Q391),COLUMNS(Data!$P$3:P392)),IF($Q$1=$P$5,INDEX(prem_analysis!$BH$1:$BS$23,ROWS(Data!$Q$3:Q392),COLUMNS(Data!$Q$3:Q392)),IF($Q$1=$P$6,INDEX(prem_analysis!$BU$1:$CF$67,ROWS(prem_analysis!$N$2:N391),COLUMNS(prem_analysis!$N$2:N391)),IF($Q$1=$P$4,INDEX(Table24[[#All],[Year]:[Details]],ROWS(prem_analysis!$M$420:M809),COLUMNS(Data!$Q$3:Q392)))))),"")</f>
        <v/>
      </c>
      <c r="S391" s="1" t="str">
        <f>IFERROR(IF($Q$1=$P$3,INDEX(prem_analysis!$P$2:$Q$441,ROWS(Data!$P$2:R391),COLUMNS(Data!$P$3:Q392)),IF($Q$1=$P$5,INDEX(prem_analysis!$BH$1:$BS$23,ROWS(Data!$Q$3:R392),COLUMNS(Data!$Q$3:R392)),IF($Q$1=$P$6,INDEX(prem_analysis!$BU$1:$CF$67,ROWS(prem_analysis!$N$2:O391),COLUMNS(prem_analysis!$N$2:O391)),IF($Q$1=$P$4,INDEX(Table24[[#All],[Year]:[Details]],ROWS(prem_analysis!$M$420:N809),COLUMNS(Data!$Q$3:R392)))))),"")</f>
        <v/>
      </c>
      <c r="T391" s="1" t="str">
        <f>IFERROR(IF($Q$1=$P$3,INDEX(prem_analysis!$P$2:$Q$441,ROWS(Data!$P$2:S391),COLUMNS(Data!$P$3:R392)),IF($Q$1=$P$5,INDEX(prem_analysis!$BH$1:$BS$23,ROWS(Data!$Q$3:S392),COLUMNS(Data!$Q$3:S392)),IF($Q$1=$P$6,INDEX(prem_analysis!$BU$1:$CF$67,ROWS(prem_analysis!$N$2:P391),COLUMNS(prem_analysis!$N$2:P391)),IF($Q$1=$P$4,INDEX(Table24[[#All],[Year]:[Details]],ROWS(prem_analysis!$M$420:O809),COLUMNS(Data!$Q$3:S392)))))),"")</f>
        <v/>
      </c>
      <c r="U391" s="1" t="str">
        <f>IFERROR(IF($Q$1=$P$3,INDEX(prem_analysis!$P$2:$Q$441,ROWS(Data!$P$2:T391),COLUMNS(Data!$P$3:S392)),IF($Q$1=$P$5,INDEX(prem_analysis!$BH$1:$BS$23,ROWS(Data!$Q$3:T392),COLUMNS(Data!$Q$3:T392)),IF($Q$1=$P$6,INDEX(prem_analysis!$BU$1:$CF$67,ROWS(prem_analysis!$N$2:Q391),COLUMNS(prem_analysis!$N$2:Q391)),IF($Q$1=$P$4,INDEX(Table24[[#All],[Year]:[Details]],ROWS(prem_analysis!$M$420:P809),COLUMNS(Data!$Q$3:T392)))))),"")</f>
        <v/>
      </c>
      <c r="V391" s="1" t="str">
        <f>IFERROR(IF($Q$1=$P$3,INDEX(prem_analysis!$P$2:$Q$441,ROWS(Data!$P$2:U391),COLUMNS(Data!$P$3:T392)),IF($Q$1=$P$5,INDEX(prem_analysis!$BH$1:$BS$23,ROWS(Data!$Q$3:U392),COLUMNS(Data!$Q$3:U392)),IF($Q$1=$P$6,INDEX(prem_analysis!$BU$1:$CF$67,ROWS(prem_analysis!$N$2:R391),COLUMNS(prem_analysis!$N$2:R391)),IF($Q$1=$P$4,INDEX(Table24[[#All],[Year]:[Details]],ROWS(prem_analysis!$M$420:Q809),COLUMNS(Data!$Q$3:U392)))))),"")</f>
        <v/>
      </c>
      <c r="W391" s="1" t="str">
        <f>IFERROR(IF($Q$1=$P$3,INDEX(prem_analysis!$P$2:$Q$441,ROWS(Data!$P$2:V391),COLUMNS(Data!$P$3:U392)),IF($Q$1=$P$5,INDEX(prem_analysis!$BH$1:$BS$23,ROWS(Data!$Q$3:V392),COLUMNS(Data!$Q$3:V392)),IF($Q$1=$P$6,INDEX(prem_analysis!$BU$1:$CF$67,ROWS(prem_analysis!$N$2:S391),COLUMNS(prem_analysis!$N$2:S391)),IF($Q$1=$P$4,INDEX(Table24[[#All],[Year]:[Details]],ROWS(prem_analysis!$M$420:R809),COLUMNS(Data!$Q$3:V392)))))),"")</f>
        <v/>
      </c>
      <c r="X391" s="1" t="str">
        <f>IFERROR(IF($Q$1=$P$3,INDEX(prem_analysis!$P$2:$Q$441,ROWS(Data!$P$2:W391),COLUMNS(Data!$P$3:V392)),IF($Q$1=$P$5,INDEX(prem_analysis!$BH$1:$BS$23,ROWS(Data!$Q$3:W392),COLUMNS(Data!$Q$3:W392)),IF($Q$1=$P$6,INDEX(prem_analysis!$BU$1:$CF$67,ROWS(prem_analysis!$N$2:T391),COLUMNS(prem_analysis!$N$2:T391)),IF($Q$1=$P$4,INDEX(Table24[[#All],[Year]:[Details]],ROWS(prem_analysis!$M$420:S809),COLUMNS(Data!$Q$3:W392)))))),"")</f>
        <v/>
      </c>
      <c r="Y391" s="1" t="str">
        <f>IFERROR(IF($Q$1=$P$3,INDEX(prem_analysis!$P$2:$Q$441,ROWS(Data!$P$2:X391),COLUMNS(Data!$P$3:W392)),IF($Q$1=$P$5,INDEX(prem_analysis!$BH$1:$BS$23,ROWS(Data!$Q$3:X392),COLUMNS(Data!$Q$3:X392)),IF($Q$1=$P$6,INDEX(prem_analysis!$BU$1:$CF$67,ROWS(prem_analysis!$N$2:U391),COLUMNS(prem_analysis!$N$2:U391)),IF($Q$1=$P$4,INDEX(Table24[[#All],[Year]:[Details]],ROWS(prem_analysis!$M$420:T809),COLUMNS(Data!$Q$3:X392)))))),"")</f>
        <v/>
      </c>
      <c r="Z391" s="1" t="str">
        <f>IFERROR(IF($Q$1=$P$3,INDEX(prem_analysis!$P$2:$Q$441,ROWS(Data!$P$2:Y391),COLUMNS(Data!$P$3:X392)),IF($Q$1=$P$5,INDEX(prem_analysis!$BH$1:$BS$23,ROWS(Data!$Q$3:Y392),COLUMNS(Data!$Q$3:Y392)),IF($Q$1=$P$6,INDEX(prem_analysis!$BU$1:$CF$67,ROWS(prem_analysis!$N$2:V391),COLUMNS(prem_analysis!$N$2:V391)),IF($Q$1=$P$4,INDEX(Table24[[#All],[Year]:[Details]],ROWS(prem_analysis!$M$420:U809),COLUMNS(Data!$Q$3:Y392)))))),"")</f>
        <v/>
      </c>
      <c r="AA391" s="1" t="str">
        <f>IFERROR(IF($Q$1=$P$3,INDEX(prem_analysis!$P$2:$Q$441,ROWS(Data!$P$2:Z391),COLUMNS(Data!$P$3:Y392)),IF($Q$1=$P$5,INDEX(prem_analysis!$BH$1:$BS$23,ROWS(Data!$Q$3:Z392),COLUMNS(Data!$Q$3:Z392)),IF($Q$1=$P$6,INDEX(prem_analysis!$BU$1:$CF$67,ROWS(prem_analysis!$N$2:W391),COLUMNS(prem_analysis!$N$2:W391)),IF($Q$1=$P$4,INDEX(Table24[[#All],[Year]:[Details]],ROWS(prem_analysis!$M$420:V809),COLUMNS(Data!$Q$3:Z392)))))),"")</f>
        <v/>
      </c>
      <c r="AB391" s="1" t="str">
        <f>IFERROR(IF($Q$1=$P$3,INDEX(prem_analysis!$P$2:$Q$441,ROWS(Data!$P$2:AA391),COLUMNS(Data!$P$3:Z392)),IF($Q$1=$P$5,INDEX(prem_analysis!$BH$1:$BS$23,ROWS(Data!$Q$3:AA392),COLUMNS(Data!$Q$3:AA392)),IF($Q$1=$P$6,INDEX(prem_analysis!$BU$1:$CF$67,ROWS(prem_analysis!$N$2:X391),COLUMNS(prem_analysis!$N$2:X391)),IF($Q$1=$P$4,INDEX(Table24[[#All],[Year]:[Details]],ROWS(prem_analysis!$M$420:W809),COLUMNS(Data!$Q$3:AA392)))))),"")</f>
        <v/>
      </c>
      <c r="AC391" s="1" t="str">
        <f>IFERROR(IF($Q$1=$P$3,INDEX(prem_analysis!$P$2:$Q$441,ROWS(Data!$P$2:AB391),COLUMNS(Data!$P$3:AA392)),IF($Q$1=$P$5,INDEX(prem_analysis!$BH$1:$BS$23,ROWS(Data!$Q$3:AB392),COLUMNS(Data!$Q$3:AB392)),IF($Q$1=$P$6,INDEX(prem_analysis!$BU$1:$CF$67,ROWS(prem_analysis!$N$2:Y391),COLUMNS(prem_analysis!$N$2:Y391)),IF($Q$1=$P$4,INDEX(Table24[[#All],[Year]:[Details]],ROWS(prem_analysis!$M$420:X809),COLUMNS(Data!$Q$3:AB392)))))),"")</f>
        <v/>
      </c>
    </row>
    <row r="392" spans="1:29" x14ac:dyDescent="0.2">
      <c r="A392" s="3">
        <v>2019</v>
      </c>
      <c r="B392" s="3">
        <v>11</v>
      </c>
      <c r="C392" s="4" t="s">
        <v>20</v>
      </c>
      <c r="D392" s="3">
        <v>38</v>
      </c>
      <c r="E392" s="3">
        <v>15</v>
      </c>
      <c r="F392" s="3">
        <v>7</v>
      </c>
      <c r="G392" s="3">
        <v>16</v>
      </c>
      <c r="H392" s="3">
        <v>51</v>
      </c>
      <c r="I392" s="3">
        <v>60</v>
      </c>
      <c r="J392" s="3">
        <v>-9</v>
      </c>
      <c r="K392" s="3">
        <v>52</v>
      </c>
      <c r="L392" s="5">
        <f>IF(Table24[[#This Row],['#]]=1,"Champion", IF(Table24[[#This Row],['#]]&gt;=18,"Relegated",Table24[[#This Row],['#]]))</f>
        <v>11</v>
      </c>
      <c r="M392" s="5" t="str">
        <f>IF(Table24[[#This Row],[Details]]=2,K391-Table24[[#This Row],[Pts]],IF(Table24[[#This Row],[Details]]=17,Table24[[#This Row],[Pts]]-K393,""))</f>
        <v/>
      </c>
      <c r="R392" s="1" t="str">
        <f>IFERROR(IF($Q$1=$P$3,INDEX(prem_analysis!$P$2:$Q$441,ROWS(Data!$P$2:Q392),COLUMNS(Data!$P$3:P393)),IF($Q$1=$P$5,INDEX(prem_analysis!$BH$1:$BS$23,ROWS(Data!$Q$3:Q393),COLUMNS(Data!$Q$3:Q393)),IF($Q$1=$P$6,INDEX(prem_analysis!$BU$1:$CF$67,ROWS(prem_analysis!$N$2:N392),COLUMNS(prem_analysis!$N$2:N392)),IF($Q$1=$P$4,INDEX(Table24[[#All],[Year]:[Details]],ROWS(prem_analysis!$M$420:M810),COLUMNS(Data!$Q$3:Q393)))))),"")</f>
        <v/>
      </c>
      <c r="S392" s="1" t="str">
        <f>IFERROR(IF($Q$1=$P$3,INDEX(prem_analysis!$P$2:$Q$441,ROWS(Data!$P$2:R392),COLUMNS(Data!$P$3:Q393)),IF($Q$1=$P$5,INDEX(prem_analysis!$BH$1:$BS$23,ROWS(Data!$Q$3:R393),COLUMNS(Data!$Q$3:R393)),IF($Q$1=$P$6,INDEX(prem_analysis!$BU$1:$CF$67,ROWS(prem_analysis!$N$2:O392),COLUMNS(prem_analysis!$N$2:O392)),IF($Q$1=$P$4,INDEX(Table24[[#All],[Year]:[Details]],ROWS(prem_analysis!$M$420:N810),COLUMNS(Data!$Q$3:R393)))))),"")</f>
        <v/>
      </c>
      <c r="T392" s="1" t="str">
        <f>IFERROR(IF($Q$1=$P$3,INDEX(prem_analysis!$P$2:$Q$441,ROWS(Data!$P$2:S392),COLUMNS(Data!$P$3:R393)),IF($Q$1=$P$5,INDEX(prem_analysis!$BH$1:$BS$23,ROWS(Data!$Q$3:S393),COLUMNS(Data!$Q$3:S393)),IF($Q$1=$P$6,INDEX(prem_analysis!$BU$1:$CF$67,ROWS(prem_analysis!$N$2:P392),COLUMNS(prem_analysis!$N$2:P392)),IF($Q$1=$P$4,INDEX(Table24[[#All],[Year]:[Details]],ROWS(prem_analysis!$M$420:O810),COLUMNS(Data!$Q$3:S393)))))),"")</f>
        <v/>
      </c>
      <c r="U392" s="1" t="str">
        <f>IFERROR(IF($Q$1=$P$3,INDEX(prem_analysis!$P$2:$Q$441,ROWS(Data!$P$2:T392),COLUMNS(Data!$P$3:S393)),IF($Q$1=$P$5,INDEX(prem_analysis!$BH$1:$BS$23,ROWS(Data!$Q$3:T393),COLUMNS(Data!$Q$3:T393)),IF($Q$1=$P$6,INDEX(prem_analysis!$BU$1:$CF$67,ROWS(prem_analysis!$N$2:Q392),COLUMNS(prem_analysis!$N$2:Q392)),IF($Q$1=$P$4,INDEX(Table24[[#All],[Year]:[Details]],ROWS(prem_analysis!$M$420:P810),COLUMNS(Data!$Q$3:T393)))))),"")</f>
        <v/>
      </c>
      <c r="V392" s="1" t="str">
        <f>IFERROR(IF($Q$1=$P$3,INDEX(prem_analysis!$P$2:$Q$441,ROWS(Data!$P$2:U392),COLUMNS(Data!$P$3:T393)),IF($Q$1=$P$5,INDEX(prem_analysis!$BH$1:$BS$23,ROWS(Data!$Q$3:U393),COLUMNS(Data!$Q$3:U393)),IF($Q$1=$P$6,INDEX(prem_analysis!$BU$1:$CF$67,ROWS(prem_analysis!$N$2:R392),COLUMNS(prem_analysis!$N$2:R392)),IF($Q$1=$P$4,INDEX(Table24[[#All],[Year]:[Details]],ROWS(prem_analysis!$M$420:Q810),COLUMNS(Data!$Q$3:U393)))))),"")</f>
        <v/>
      </c>
      <c r="W392" s="1" t="str">
        <f>IFERROR(IF($Q$1=$P$3,INDEX(prem_analysis!$P$2:$Q$441,ROWS(Data!$P$2:V392),COLUMNS(Data!$P$3:U393)),IF($Q$1=$P$5,INDEX(prem_analysis!$BH$1:$BS$23,ROWS(Data!$Q$3:V393),COLUMNS(Data!$Q$3:V393)),IF($Q$1=$P$6,INDEX(prem_analysis!$BU$1:$CF$67,ROWS(prem_analysis!$N$2:S392),COLUMNS(prem_analysis!$N$2:S392)),IF($Q$1=$P$4,INDEX(Table24[[#All],[Year]:[Details]],ROWS(prem_analysis!$M$420:R810),COLUMNS(Data!$Q$3:V393)))))),"")</f>
        <v/>
      </c>
      <c r="X392" s="1" t="str">
        <f>IFERROR(IF($Q$1=$P$3,INDEX(prem_analysis!$P$2:$Q$441,ROWS(Data!$P$2:W392),COLUMNS(Data!$P$3:V393)),IF($Q$1=$P$5,INDEX(prem_analysis!$BH$1:$BS$23,ROWS(Data!$Q$3:W393),COLUMNS(Data!$Q$3:W393)),IF($Q$1=$P$6,INDEX(prem_analysis!$BU$1:$CF$67,ROWS(prem_analysis!$N$2:T392),COLUMNS(prem_analysis!$N$2:T392)),IF($Q$1=$P$4,INDEX(Table24[[#All],[Year]:[Details]],ROWS(prem_analysis!$M$420:S810),COLUMNS(Data!$Q$3:W393)))))),"")</f>
        <v/>
      </c>
      <c r="Y392" s="1" t="str">
        <f>IFERROR(IF($Q$1=$P$3,INDEX(prem_analysis!$P$2:$Q$441,ROWS(Data!$P$2:X392),COLUMNS(Data!$P$3:W393)),IF($Q$1=$P$5,INDEX(prem_analysis!$BH$1:$BS$23,ROWS(Data!$Q$3:X393),COLUMNS(Data!$Q$3:X393)),IF($Q$1=$P$6,INDEX(prem_analysis!$BU$1:$CF$67,ROWS(prem_analysis!$N$2:U392),COLUMNS(prem_analysis!$N$2:U392)),IF($Q$1=$P$4,INDEX(Table24[[#All],[Year]:[Details]],ROWS(prem_analysis!$M$420:T810),COLUMNS(Data!$Q$3:X393)))))),"")</f>
        <v/>
      </c>
      <c r="Z392" s="1" t="str">
        <f>IFERROR(IF($Q$1=$P$3,INDEX(prem_analysis!$P$2:$Q$441,ROWS(Data!$P$2:Y392),COLUMNS(Data!$P$3:X393)),IF($Q$1=$P$5,INDEX(prem_analysis!$BH$1:$BS$23,ROWS(Data!$Q$3:Y393),COLUMNS(Data!$Q$3:Y393)),IF($Q$1=$P$6,INDEX(prem_analysis!$BU$1:$CF$67,ROWS(prem_analysis!$N$2:V392),COLUMNS(prem_analysis!$N$2:V392)),IF($Q$1=$P$4,INDEX(Table24[[#All],[Year]:[Details]],ROWS(prem_analysis!$M$420:U810),COLUMNS(Data!$Q$3:Y393)))))),"")</f>
        <v/>
      </c>
      <c r="AA392" s="1" t="str">
        <f>IFERROR(IF($Q$1=$P$3,INDEX(prem_analysis!$P$2:$Q$441,ROWS(Data!$P$2:Z392),COLUMNS(Data!$P$3:Y393)),IF($Q$1=$P$5,INDEX(prem_analysis!$BH$1:$BS$23,ROWS(Data!$Q$3:Z393),COLUMNS(Data!$Q$3:Z393)),IF($Q$1=$P$6,INDEX(prem_analysis!$BU$1:$CF$67,ROWS(prem_analysis!$N$2:W392),COLUMNS(prem_analysis!$N$2:W392)),IF($Q$1=$P$4,INDEX(Table24[[#All],[Year]:[Details]],ROWS(prem_analysis!$M$420:V810),COLUMNS(Data!$Q$3:Z393)))))),"")</f>
        <v/>
      </c>
      <c r="AB392" s="1" t="str">
        <f>IFERROR(IF($Q$1=$P$3,INDEX(prem_analysis!$P$2:$Q$441,ROWS(Data!$P$2:AA392),COLUMNS(Data!$P$3:Z393)),IF($Q$1=$P$5,INDEX(prem_analysis!$BH$1:$BS$23,ROWS(Data!$Q$3:AA393),COLUMNS(Data!$Q$3:AA393)),IF($Q$1=$P$6,INDEX(prem_analysis!$BU$1:$CF$67,ROWS(prem_analysis!$N$2:X392),COLUMNS(prem_analysis!$N$2:X392)),IF($Q$1=$P$4,INDEX(Table24[[#All],[Year]:[Details]],ROWS(prem_analysis!$M$420:W810),COLUMNS(Data!$Q$3:AA393)))))),"")</f>
        <v/>
      </c>
      <c r="AC392" s="1" t="str">
        <f>IFERROR(IF($Q$1=$P$3,INDEX(prem_analysis!$P$2:$Q$441,ROWS(Data!$P$2:AB392),COLUMNS(Data!$P$3:AA393)),IF($Q$1=$P$5,INDEX(prem_analysis!$BH$1:$BS$23,ROWS(Data!$Q$3:AB393),COLUMNS(Data!$Q$3:AB393)),IF($Q$1=$P$6,INDEX(prem_analysis!$BU$1:$CF$67,ROWS(prem_analysis!$N$2:Y392),COLUMNS(prem_analysis!$N$2:Y392)),IF($Q$1=$P$4,INDEX(Table24[[#All],[Year]:[Details]],ROWS(prem_analysis!$M$420:X810),COLUMNS(Data!$Q$3:AB393)))))),"")</f>
        <v/>
      </c>
    </row>
    <row r="393" spans="1:29" x14ac:dyDescent="0.2">
      <c r="A393" s="5">
        <v>2019</v>
      </c>
      <c r="B393" s="5">
        <v>12</v>
      </c>
      <c r="C393" s="6" t="s">
        <v>26</v>
      </c>
      <c r="D393" s="5">
        <v>38</v>
      </c>
      <c r="E393" s="5">
        <v>13</v>
      </c>
      <c r="F393" s="5">
        <v>10</v>
      </c>
      <c r="G393" s="5">
        <v>15</v>
      </c>
      <c r="H393" s="5">
        <v>44</v>
      </c>
      <c r="I393" s="5">
        <v>56</v>
      </c>
      <c r="J393" s="5">
        <v>-12</v>
      </c>
      <c r="K393" s="5">
        <v>49</v>
      </c>
      <c r="L393" s="5">
        <f>IF(Table24[[#This Row],['#]]=1,"Champion", IF(Table24[[#This Row],['#]]&gt;=18,"Relegated",Table24[[#This Row],['#]]))</f>
        <v>12</v>
      </c>
      <c r="M393" s="5" t="str">
        <f>IF(Table24[[#This Row],[Details]]=2,K392-Table24[[#This Row],[Pts]],IF(Table24[[#This Row],[Details]]=17,Table24[[#This Row],[Pts]]-K394,""))</f>
        <v/>
      </c>
      <c r="R393" s="1" t="str">
        <f>IFERROR(IF($Q$1=$P$3,INDEX(prem_analysis!$P$2:$Q$441,ROWS(Data!$P$2:Q393),COLUMNS(Data!$P$3:P394)),IF($Q$1=$P$5,INDEX(prem_analysis!$BH$1:$BS$23,ROWS(Data!$Q$3:Q394),COLUMNS(Data!$Q$3:Q394)),IF($Q$1=$P$6,INDEX(prem_analysis!$BU$1:$CF$67,ROWS(prem_analysis!$N$2:N393),COLUMNS(prem_analysis!$N$2:N393)),IF($Q$1=$P$4,INDEX(Table24[[#All],[Year]:[Details]],ROWS(prem_analysis!$M$420:M811),COLUMNS(Data!$Q$3:Q394)))))),"")</f>
        <v/>
      </c>
      <c r="S393" s="1" t="str">
        <f>IFERROR(IF($Q$1=$P$3,INDEX(prem_analysis!$P$2:$Q$441,ROWS(Data!$P$2:R393),COLUMNS(Data!$P$3:Q394)),IF($Q$1=$P$5,INDEX(prem_analysis!$BH$1:$BS$23,ROWS(Data!$Q$3:R394),COLUMNS(Data!$Q$3:R394)),IF($Q$1=$P$6,INDEX(prem_analysis!$BU$1:$CF$67,ROWS(prem_analysis!$N$2:O393),COLUMNS(prem_analysis!$N$2:O393)),IF($Q$1=$P$4,INDEX(Table24[[#All],[Year]:[Details]],ROWS(prem_analysis!$M$420:N811),COLUMNS(Data!$Q$3:R394)))))),"")</f>
        <v/>
      </c>
      <c r="T393" s="1" t="str">
        <f>IFERROR(IF($Q$1=$P$3,INDEX(prem_analysis!$P$2:$Q$441,ROWS(Data!$P$2:S393),COLUMNS(Data!$P$3:R394)),IF($Q$1=$P$5,INDEX(prem_analysis!$BH$1:$BS$23,ROWS(Data!$Q$3:S394),COLUMNS(Data!$Q$3:S394)),IF($Q$1=$P$6,INDEX(prem_analysis!$BU$1:$CF$67,ROWS(prem_analysis!$N$2:P393),COLUMNS(prem_analysis!$N$2:P393)),IF($Q$1=$P$4,INDEX(Table24[[#All],[Year]:[Details]],ROWS(prem_analysis!$M$420:O811),COLUMNS(Data!$Q$3:S394)))))),"")</f>
        <v/>
      </c>
      <c r="U393" s="1" t="str">
        <f>IFERROR(IF($Q$1=$P$3,INDEX(prem_analysis!$P$2:$Q$441,ROWS(Data!$P$2:T393),COLUMNS(Data!$P$3:S394)),IF($Q$1=$P$5,INDEX(prem_analysis!$BH$1:$BS$23,ROWS(Data!$Q$3:T394),COLUMNS(Data!$Q$3:T394)),IF($Q$1=$P$6,INDEX(prem_analysis!$BU$1:$CF$67,ROWS(prem_analysis!$N$2:Q393),COLUMNS(prem_analysis!$N$2:Q393)),IF($Q$1=$P$4,INDEX(Table24[[#All],[Year]:[Details]],ROWS(prem_analysis!$M$420:P811),COLUMNS(Data!$Q$3:T394)))))),"")</f>
        <v/>
      </c>
      <c r="V393" s="1" t="str">
        <f>IFERROR(IF($Q$1=$P$3,INDEX(prem_analysis!$P$2:$Q$441,ROWS(Data!$P$2:U393),COLUMNS(Data!$P$3:T394)),IF($Q$1=$P$5,INDEX(prem_analysis!$BH$1:$BS$23,ROWS(Data!$Q$3:U394),COLUMNS(Data!$Q$3:U394)),IF($Q$1=$P$6,INDEX(prem_analysis!$BU$1:$CF$67,ROWS(prem_analysis!$N$2:R393),COLUMNS(prem_analysis!$N$2:R393)),IF($Q$1=$P$4,INDEX(Table24[[#All],[Year]:[Details]],ROWS(prem_analysis!$M$420:Q811),COLUMNS(Data!$Q$3:U394)))))),"")</f>
        <v/>
      </c>
      <c r="W393" s="1" t="str">
        <f>IFERROR(IF($Q$1=$P$3,INDEX(prem_analysis!$P$2:$Q$441,ROWS(Data!$P$2:V393),COLUMNS(Data!$P$3:U394)),IF($Q$1=$P$5,INDEX(prem_analysis!$BH$1:$BS$23,ROWS(Data!$Q$3:V394),COLUMNS(Data!$Q$3:V394)),IF($Q$1=$P$6,INDEX(prem_analysis!$BU$1:$CF$67,ROWS(prem_analysis!$N$2:S393),COLUMNS(prem_analysis!$N$2:S393)),IF($Q$1=$P$4,INDEX(Table24[[#All],[Year]:[Details]],ROWS(prem_analysis!$M$420:R811),COLUMNS(Data!$Q$3:V394)))))),"")</f>
        <v/>
      </c>
      <c r="X393" s="1" t="str">
        <f>IFERROR(IF($Q$1=$P$3,INDEX(prem_analysis!$P$2:$Q$441,ROWS(Data!$P$2:W393),COLUMNS(Data!$P$3:V394)),IF($Q$1=$P$5,INDEX(prem_analysis!$BH$1:$BS$23,ROWS(Data!$Q$3:W394),COLUMNS(Data!$Q$3:W394)),IF($Q$1=$P$6,INDEX(prem_analysis!$BU$1:$CF$67,ROWS(prem_analysis!$N$2:T393),COLUMNS(prem_analysis!$N$2:T393)),IF($Q$1=$P$4,INDEX(Table24[[#All],[Year]:[Details]],ROWS(prem_analysis!$M$420:S811),COLUMNS(Data!$Q$3:W394)))))),"")</f>
        <v/>
      </c>
      <c r="Y393" s="1" t="str">
        <f>IFERROR(IF($Q$1=$P$3,INDEX(prem_analysis!$P$2:$Q$441,ROWS(Data!$P$2:X393),COLUMNS(Data!$P$3:W394)),IF($Q$1=$P$5,INDEX(prem_analysis!$BH$1:$BS$23,ROWS(Data!$Q$3:X394),COLUMNS(Data!$Q$3:X394)),IF($Q$1=$P$6,INDEX(prem_analysis!$BU$1:$CF$67,ROWS(prem_analysis!$N$2:U393),COLUMNS(prem_analysis!$N$2:U393)),IF($Q$1=$P$4,INDEX(Table24[[#All],[Year]:[Details]],ROWS(prem_analysis!$M$420:T811),COLUMNS(Data!$Q$3:X394)))))),"")</f>
        <v/>
      </c>
      <c r="Z393" s="1" t="str">
        <f>IFERROR(IF($Q$1=$P$3,INDEX(prem_analysis!$P$2:$Q$441,ROWS(Data!$P$2:Y393),COLUMNS(Data!$P$3:X394)),IF($Q$1=$P$5,INDEX(prem_analysis!$BH$1:$BS$23,ROWS(Data!$Q$3:Y394),COLUMNS(Data!$Q$3:Y394)),IF($Q$1=$P$6,INDEX(prem_analysis!$BU$1:$CF$67,ROWS(prem_analysis!$N$2:V393),COLUMNS(prem_analysis!$N$2:V393)),IF($Q$1=$P$4,INDEX(Table24[[#All],[Year]:[Details]],ROWS(prem_analysis!$M$420:U811),COLUMNS(Data!$Q$3:Y394)))))),"")</f>
        <v/>
      </c>
      <c r="AA393" s="1" t="str">
        <f>IFERROR(IF($Q$1=$P$3,INDEX(prem_analysis!$P$2:$Q$441,ROWS(Data!$P$2:Z393),COLUMNS(Data!$P$3:Y394)),IF($Q$1=$P$5,INDEX(prem_analysis!$BH$1:$BS$23,ROWS(Data!$Q$3:Z394),COLUMNS(Data!$Q$3:Z394)),IF($Q$1=$P$6,INDEX(prem_analysis!$BU$1:$CF$67,ROWS(prem_analysis!$N$2:W393),COLUMNS(prem_analysis!$N$2:W393)),IF($Q$1=$P$4,INDEX(Table24[[#All],[Year]:[Details]],ROWS(prem_analysis!$M$420:V811),COLUMNS(Data!$Q$3:Z394)))))),"")</f>
        <v/>
      </c>
      <c r="AB393" s="1" t="str">
        <f>IFERROR(IF($Q$1=$P$3,INDEX(prem_analysis!$P$2:$Q$441,ROWS(Data!$P$2:AA393),COLUMNS(Data!$P$3:Z394)),IF($Q$1=$P$5,INDEX(prem_analysis!$BH$1:$BS$23,ROWS(Data!$Q$3:AA394),COLUMNS(Data!$Q$3:AA394)),IF($Q$1=$P$6,INDEX(prem_analysis!$BU$1:$CF$67,ROWS(prem_analysis!$N$2:X393),COLUMNS(prem_analysis!$N$2:X393)),IF($Q$1=$P$4,INDEX(Table24[[#All],[Year]:[Details]],ROWS(prem_analysis!$M$420:W811),COLUMNS(Data!$Q$3:AA394)))))),"")</f>
        <v/>
      </c>
      <c r="AC393" s="1" t="str">
        <f>IFERROR(IF($Q$1=$P$3,INDEX(prem_analysis!$P$2:$Q$441,ROWS(Data!$P$2:AB393),COLUMNS(Data!$P$3:AA394)),IF($Q$1=$P$5,INDEX(prem_analysis!$BH$1:$BS$23,ROWS(Data!$Q$3:AB394),COLUMNS(Data!$Q$3:AB394)),IF($Q$1=$P$6,INDEX(prem_analysis!$BU$1:$CF$67,ROWS(prem_analysis!$N$2:Y393),COLUMNS(prem_analysis!$N$2:Y393)),IF($Q$1=$P$4,INDEX(Table24[[#All],[Year]:[Details]],ROWS(prem_analysis!$M$420:X811),COLUMNS(Data!$Q$3:AB394)))))),"")</f>
        <v/>
      </c>
    </row>
    <row r="394" spans="1:29" x14ac:dyDescent="0.2">
      <c r="A394" s="3">
        <v>2019</v>
      </c>
      <c r="B394" s="3">
        <v>13</v>
      </c>
      <c r="C394" s="4" t="s">
        <v>21</v>
      </c>
      <c r="D394" s="3">
        <v>38</v>
      </c>
      <c r="E394" s="3">
        <v>11</v>
      </c>
      <c r="F394" s="3">
        <v>11</v>
      </c>
      <c r="G394" s="3">
        <v>16</v>
      </c>
      <c r="H394" s="3">
        <v>38</v>
      </c>
      <c r="I394" s="3">
        <v>58</v>
      </c>
      <c r="J394" s="3">
        <v>-20</v>
      </c>
      <c r="K394" s="3">
        <v>44</v>
      </c>
      <c r="L394" s="5">
        <f>IF(Table24[[#This Row],['#]]=1,"Champion", IF(Table24[[#This Row],['#]]&gt;=18,"Relegated",Table24[[#This Row],['#]]))</f>
        <v>13</v>
      </c>
      <c r="M394" s="5" t="str">
        <f>IF(Table24[[#This Row],[Details]]=2,K393-Table24[[#This Row],[Pts]],IF(Table24[[#This Row],[Details]]=17,Table24[[#This Row],[Pts]]-K395,""))</f>
        <v/>
      </c>
      <c r="R394" s="1" t="str">
        <f>IFERROR(IF($Q$1=$P$3,INDEX(prem_analysis!$P$2:$Q$441,ROWS(Data!$P$2:Q394),COLUMNS(Data!$P$3:P395)),IF($Q$1=$P$5,INDEX(prem_analysis!$BH$1:$BS$23,ROWS(Data!$Q$3:Q395),COLUMNS(Data!$Q$3:Q395)),IF($Q$1=$P$6,INDEX(prem_analysis!$BU$1:$CF$67,ROWS(prem_analysis!$N$2:N394),COLUMNS(prem_analysis!$N$2:N394)),IF($Q$1=$P$4,INDEX(Table24[[#All],[Year]:[Details]],ROWS(prem_analysis!$M$420:M812),COLUMNS(Data!$Q$3:Q395)))))),"")</f>
        <v/>
      </c>
      <c r="S394" s="1" t="str">
        <f>IFERROR(IF($Q$1=$P$3,INDEX(prem_analysis!$P$2:$Q$441,ROWS(Data!$P$2:R394),COLUMNS(Data!$P$3:Q395)),IF($Q$1=$P$5,INDEX(prem_analysis!$BH$1:$BS$23,ROWS(Data!$Q$3:R395),COLUMNS(Data!$Q$3:R395)),IF($Q$1=$P$6,INDEX(prem_analysis!$BU$1:$CF$67,ROWS(prem_analysis!$N$2:O394),COLUMNS(prem_analysis!$N$2:O394)),IF($Q$1=$P$4,INDEX(Table24[[#All],[Year]:[Details]],ROWS(prem_analysis!$M$420:N812),COLUMNS(Data!$Q$3:R395)))))),"")</f>
        <v/>
      </c>
      <c r="T394" s="1" t="str">
        <f>IFERROR(IF($Q$1=$P$3,INDEX(prem_analysis!$P$2:$Q$441,ROWS(Data!$P$2:S394),COLUMNS(Data!$P$3:R395)),IF($Q$1=$P$5,INDEX(prem_analysis!$BH$1:$BS$23,ROWS(Data!$Q$3:S395),COLUMNS(Data!$Q$3:S395)),IF($Q$1=$P$6,INDEX(prem_analysis!$BU$1:$CF$67,ROWS(prem_analysis!$N$2:P394),COLUMNS(prem_analysis!$N$2:P394)),IF($Q$1=$P$4,INDEX(Table24[[#All],[Year]:[Details]],ROWS(prem_analysis!$M$420:O812),COLUMNS(Data!$Q$3:S395)))))),"")</f>
        <v/>
      </c>
      <c r="U394" s="1" t="str">
        <f>IFERROR(IF($Q$1=$P$3,INDEX(prem_analysis!$P$2:$Q$441,ROWS(Data!$P$2:T394),COLUMNS(Data!$P$3:S395)),IF($Q$1=$P$5,INDEX(prem_analysis!$BH$1:$BS$23,ROWS(Data!$Q$3:T395),COLUMNS(Data!$Q$3:T395)),IF($Q$1=$P$6,INDEX(prem_analysis!$BU$1:$CF$67,ROWS(prem_analysis!$N$2:Q394),COLUMNS(prem_analysis!$N$2:Q394)),IF($Q$1=$P$4,INDEX(Table24[[#All],[Year]:[Details]],ROWS(prem_analysis!$M$420:P812),COLUMNS(Data!$Q$3:T395)))))),"")</f>
        <v/>
      </c>
      <c r="V394" s="1" t="str">
        <f>IFERROR(IF($Q$1=$P$3,INDEX(prem_analysis!$P$2:$Q$441,ROWS(Data!$P$2:U394),COLUMNS(Data!$P$3:T395)),IF($Q$1=$P$5,INDEX(prem_analysis!$BH$1:$BS$23,ROWS(Data!$Q$3:U395),COLUMNS(Data!$Q$3:U395)),IF($Q$1=$P$6,INDEX(prem_analysis!$BU$1:$CF$67,ROWS(prem_analysis!$N$2:R394),COLUMNS(prem_analysis!$N$2:R394)),IF($Q$1=$P$4,INDEX(Table24[[#All],[Year]:[Details]],ROWS(prem_analysis!$M$420:Q812),COLUMNS(Data!$Q$3:U395)))))),"")</f>
        <v/>
      </c>
      <c r="W394" s="1" t="str">
        <f>IFERROR(IF($Q$1=$P$3,INDEX(prem_analysis!$P$2:$Q$441,ROWS(Data!$P$2:V394),COLUMNS(Data!$P$3:U395)),IF($Q$1=$P$5,INDEX(prem_analysis!$BH$1:$BS$23,ROWS(Data!$Q$3:V395),COLUMNS(Data!$Q$3:V395)),IF($Q$1=$P$6,INDEX(prem_analysis!$BU$1:$CF$67,ROWS(prem_analysis!$N$2:S394),COLUMNS(prem_analysis!$N$2:S394)),IF($Q$1=$P$4,INDEX(Table24[[#All],[Year]:[Details]],ROWS(prem_analysis!$M$420:R812),COLUMNS(Data!$Q$3:V395)))))),"")</f>
        <v/>
      </c>
      <c r="X394" s="1" t="str">
        <f>IFERROR(IF($Q$1=$P$3,INDEX(prem_analysis!$P$2:$Q$441,ROWS(Data!$P$2:W394),COLUMNS(Data!$P$3:V395)),IF($Q$1=$P$5,INDEX(prem_analysis!$BH$1:$BS$23,ROWS(Data!$Q$3:W395),COLUMNS(Data!$Q$3:W395)),IF($Q$1=$P$6,INDEX(prem_analysis!$BU$1:$CF$67,ROWS(prem_analysis!$N$2:T394),COLUMNS(prem_analysis!$N$2:T394)),IF($Q$1=$P$4,INDEX(Table24[[#All],[Year]:[Details]],ROWS(prem_analysis!$M$420:S812),COLUMNS(Data!$Q$3:W395)))))),"")</f>
        <v/>
      </c>
      <c r="Y394" s="1" t="str">
        <f>IFERROR(IF($Q$1=$P$3,INDEX(prem_analysis!$P$2:$Q$441,ROWS(Data!$P$2:X394),COLUMNS(Data!$P$3:W395)),IF($Q$1=$P$5,INDEX(prem_analysis!$BH$1:$BS$23,ROWS(Data!$Q$3:X395),COLUMNS(Data!$Q$3:X395)),IF($Q$1=$P$6,INDEX(prem_analysis!$BU$1:$CF$67,ROWS(prem_analysis!$N$2:U394),COLUMNS(prem_analysis!$N$2:U394)),IF($Q$1=$P$4,INDEX(Table24[[#All],[Year]:[Details]],ROWS(prem_analysis!$M$420:T812),COLUMNS(Data!$Q$3:X395)))))),"")</f>
        <v/>
      </c>
      <c r="Z394" s="1" t="str">
        <f>IFERROR(IF($Q$1=$P$3,INDEX(prem_analysis!$P$2:$Q$441,ROWS(Data!$P$2:Y394),COLUMNS(Data!$P$3:X395)),IF($Q$1=$P$5,INDEX(prem_analysis!$BH$1:$BS$23,ROWS(Data!$Q$3:Y395),COLUMNS(Data!$Q$3:Y395)),IF($Q$1=$P$6,INDEX(prem_analysis!$BU$1:$CF$67,ROWS(prem_analysis!$N$2:V394),COLUMNS(prem_analysis!$N$2:V394)),IF($Q$1=$P$4,INDEX(Table24[[#All],[Year]:[Details]],ROWS(prem_analysis!$M$420:U812),COLUMNS(Data!$Q$3:Y395)))))),"")</f>
        <v/>
      </c>
      <c r="AA394" s="1" t="str">
        <f>IFERROR(IF($Q$1=$P$3,INDEX(prem_analysis!$P$2:$Q$441,ROWS(Data!$P$2:Z394),COLUMNS(Data!$P$3:Y395)),IF($Q$1=$P$5,INDEX(prem_analysis!$BH$1:$BS$23,ROWS(Data!$Q$3:Z395),COLUMNS(Data!$Q$3:Z395)),IF($Q$1=$P$6,INDEX(prem_analysis!$BU$1:$CF$67,ROWS(prem_analysis!$N$2:W394),COLUMNS(prem_analysis!$N$2:W394)),IF($Q$1=$P$4,INDEX(Table24[[#All],[Year]:[Details]],ROWS(prem_analysis!$M$420:V812),COLUMNS(Data!$Q$3:Z395)))))),"")</f>
        <v/>
      </c>
      <c r="AB394" s="1" t="str">
        <f>IFERROR(IF($Q$1=$P$3,INDEX(prem_analysis!$P$2:$Q$441,ROWS(Data!$P$2:AA394),COLUMNS(Data!$P$3:Z395)),IF($Q$1=$P$5,INDEX(prem_analysis!$BH$1:$BS$23,ROWS(Data!$Q$3:AA395),COLUMNS(Data!$Q$3:AA395)),IF($Q$1=$P$6,INDEX(prem_analysis!$BU$1:$CF$67,ROWS(prem_analysis!$N$2:X394),COLUMNS(prem_analysis!$N$2:X394)),IF($Q$1=$P$4,INDEX(Table24[[#All],[Year]:[Details]],ROWS(prem_analysis!$M$420:W812),COLUMNS(Data!$Q$3:AA395)))))),"")</f>
        <v/>
      </c>
      <c r="AC394" s="1" t="str">
        <f>IFERROR(IF($Q$1=$P$3,INDEX(prem_analysis!$P$2:$Q$441,ROWS(Data!$P$2:AB394),COLUMNS(Data!$P$3:AA395)),IF($Q$1=$P$5,INDEX(prem_analysis!$BH$1:$BS$23,ROWS(Data!$Q$3:AB395),COLUMNS(Data!$Q$3:AB395)),IF($Q$1=$P$6,INDEX(prem_analysis!$BU$1:$CF$67,ROWS(prem_analysis!$N$2:Y394),COLUMNS(prem_analysis!$N$2:Y394)),IF($Q$1=$P$4,INDEX(Table24[[#All],[Year]:[Details]],ROWS(prem_analysis!$M$420:X812),COLUMNS(Data!$Q$3:AB395)))))),"")</f>
        <v/>
      </c>
    </row>
    <row r="395" spans="1:29" x14ac:dyDescent="0.2">
      <c r="A395" s="5">
        <v>2019</v>
      </c>
      <c r="B395" s="5">
        <v>14</v>
      </c>
      <c r="C395" s="6" t="s">
        <v>38</v>
      </c>
      <c r="D395" s="5">
        <v>38</v>
      </c>
      <c r="E395" s="5">
        <v>11</v>
      </c>
      <c r="F395" s="5">
        <v>10</v>
      </c>
      <c r="G395" s="5">
        <v>17</v>
      </c>
      <c r="H395" s="5">
        <v>31</v>
      </c>
      <c r="I395" s="5">
        <v>50</v>
      </c>
      <c r="J395" s="5">
        <v>-19</v>
      </c>
      <c r="K395" s="5">
        <v>43</v>
      </c>
      <c r="L395" s="5">
        <f>IF(Table24[[#This Row],['#]]=1,"Champion", IF(Table24[[#This Row],['#]]&gt;=18,"Relegated",Table24[[#This Row],['#]]))</f>
        <v>14</v>
      </c>
      <c r="M395" s="5" t="str">
        <f>IF(Table24[[#This Row],[Details]]=2,K394-Table24[[#This Row],[Pts]],IF(Table24[[#This Row],[Details]]=17,Table24[[#This Row],[Pts]]-K396,""))</f>
        <v/>
      </c>
      <c r="R395" s="1" t="str">
        <f>IFERROR(IF($Q$1=$P$3,INDEX(prem_analysis!$P$2:$Q$441,ROWS(Data!$P$2:Q395),COLUMNS(Data!$P$3:P396)),IF($Q$1=$P$5,INDEX(prem_analysis!$BH$1:$BS$23,ROWS(Data!$Q$3:Q396),COLUMNS(Data!$Q$3:Q396)),IF($Q$1=$P$6,INDEX(prem_analysis!$BU$1:$CF$67,ROWS(prem_analysis!$N$2:N395),COLUMNS(prem_analysis!$N$2:N395)),IF($Q$1=$P$4,INDEX(Table24[[#All],[Year]:[Details]],ROWS(prem_analysis!$M$420:M813),COLUMNS(Data!$Q$3:Q396)))))),"")</f>
        <v/>
      </c>
      <c r="S395" s="1" t="str">
        <f>IFERROR(IF($Q$1=$P$3,INDEX(prem_analysis!$P$2:$Q$441,ROWS(Data!$P$2:R395),COLUMNS(Data!$P$3:Q396)),IF($Q$1=$P$5,INDEX(prem_analysis!$BH$1:$BS$23,ROWS(Data!$Q$3:R396),COLUMNS(Data!$Q$3:R396)),IF($Q$1=$P$6,INDEX(prem_analysis!$BU$1:$CF$67,ROWS(prem_analysis!$N$2:O395),COLUMNS(prem_analysis!$N$2:O395)),IF($Q$1=$P$4,INDEX(Table24[[#All],[Year]:[Details]],ROWS(prem_analysis!$M$420:N813),COLUMNS(Data!$Q$3:R396)))))),"")</f>
        <v/>
      </c>
      <c r="T395" s="1" t="str">
        <f>IFERROR(IF($Q$1=$P$3,INDEX(prem_analysis!$P$2:$Q$441,ROWS(Data!$P$2:S395),COLUMNS(Data!$P$3:R396)),IF($Q$1=$P$5,INDEX(prem_analysis!$BH$1:$BS$23,ROWS(Data!$Q$3:S396),COLUMNS(Data!$Q$3:S396)),IF($Q$1=$P$6,INDEX(prem_analysis!$BU$1:$CF$67,ROWS(prem_analysis!$N$2:P395),COLUMNS(prem_analysis!$N$2:P395)),IF($Q$1=$P$4,INDEX(Table24[[#All],[Year]:[Details]],ROWS(prem_analysis!$M$420:O813),COLUMNS(Data!$Q$3:S396)))))),"")</f>
        <v/>
      </c>
      <c r="U395" s="1" t="str">
        <f>IFERROR(IF($Q$1=$P$3,INDEX(prem_analysis!$P$2:$Q$441,ROWS(Data!$P$2:T395),COLUMNS(Data!$P$3:S396)),IF($Q$1=$P$5,INDEX(prem_analysis!$BH$1:$BS$23,ROWS(Data!$Q$3:T396),COLUMNS(Data!$Q$3:T396)),IF($Q$1=$P$6,INDEX(prem_analysis!$BU$1:$CF$67,ROWS(prem_analysis!$N$2:Q395),COLUMNS(prem_analysis!$N$2:Q395)),IF($Q$1=$P$4,INDEX(Table24[[#All],[Year]:[Details]],ROWS(prem_analysis!$M$420:P813),COLUMNS(Data!$Q$3:T396)))))),"")</f>
        <v/>
      </c>
      <c r="V395" s="1" t="str">
        <f>IFERROR(IF($Q$1=$P$3,INDEX(prem_analysis!$P$2:$Q$441,ROWS(Data!$P$2:U395),COLUMNS(Data!$P$3:T396)),IF($Q$1=$P$5,INDEX(prem_analysis!$BH$1:$BS$23,ROWS(Data!$Q$3:U396),COLUMNS(Data!$Q$3:U396)),IF($Q$1=$P$6,INDEX(prem_analysis!$BU$1:$CF$67,ROWS(prem_analysis!$N$2:R395),COLUMNS(prem_analysis!$N$2:R395)),IF($Q$1=$P$4,INDEX(Table24[[#All],[Year]:[Details]],ROWS(prem_analysis!$M$420:Q813),COLUMNS(Data!$Q$3:U396)))))),"")</f>
        <v/>
      </c>
      <c r="W395" s="1" t="str">
        <f>IFERROR(IF($Q$1=$P$3,INDEX(prem_analysis!$P$2:$Q$441,ROWS(Data!$P$2:V395),COLUMNS(Data!$P$3:U396)),IF($Q$1=$P$5,INDEX(prem_analysis!$BH$1:$BS$23,ROWS(Data!$Q$3:V396),COLUMNS(Data!$Q$3:V396)),IF($Q$1=$P$6,INDEX(prem_analysis!$BU$1:$CF$67,ROWS(prem_analysis!$N$2:S395),COLUMNS(prem_analysis!$N$2:S395)),IF($Q$1=$P$4,INDEX(Table24[[#All],[Year]:[Details]],ROWS(prem_analysis!$M$420:R813),COLUMNS(Data!$Q$3:V396)))))),"")</f>
        <v/>
      </c>
      <c r="X395" s="1" t="str">
        <f>IFERROR(IF($Q$1=$P$3,INDEX(prem_analysis!$P$2:$Q$441,ROWS(Data!$P$2:W395),COLUMNS(Data!$P$3:V396)),IF($Q$1=$P$5,INDEX(prem_analysis!$BH$1:$BS$23,ROWS(Data!$Q$3:W396),COLUMNS(Data!$Q$3:W396)),IF($Q$1=$P$6,INDEX(prem_analysis!$BU$1:$CF$67,ROWS(prem_analysis!$N$2:T395),COLUMNS(prem_analysis!$N$2:T395)),IF($Q$1=$P$4,INDEX(Table24[[#All],[Year]:[Details]],ROWS(prem_analysis!$M$420:S813),COLUMNS(Data!$Q$3:W396)))))),"")</f>
        <v/>
      </c>
      <c r="Y395" s="1" t="str">
        <f>IFERROR(IF($Q$1=$P$3,INDEX(prem_analysis!$P$2:$Q$441,ROWS(Data!$P$2:X395),COLUMNS(Data!$P$3:W396)),IF($Q$1=$P$5,INDEX(prem_analysis!$BH$1:$BS$23,ROWS(Data!$Q$3:X396),COLUMNS(Data!$Q$3:X396)),IF($Q$1=$P$6,INDEX(prem_analysis!$BU$1:$CF$67,ROWS(prem_analysis!$N$2:U395),COLUMNS(prem_analysis!$N$2:U395)),IF($Q$1=$P$4,INDEX(Table24[[#All],[Year]:[Details]],ROWS(prem_analysis!$M$420:T813),COLUMNS(Data!$Q$3:X396)))))),"")</f>
        <v/>
      </c>
      <c r="Z395" s="1" t="str">
        <f>IFERROR(IF($Q$1=$P$3,INDEX(prem_analysis!$P$2:$Q$441,ROWS(Data!$P$2:Y395),COLUMNS(Data!$P$3:X396)),IF($Q$1=$P$5,INDEX(prem_analysis!$BH$1:$BS$23,ROWS(Data!$Q$3:Y396),COLUMNS(Data!$Q$3:Y396)),IF($Q$1=$P$6,INDEX(prem_analysis!$BU$1:$CF$67,ROWS(prem_analysis!$N$2:V395),COLUMNS(prem_analysis!$N$2:V395)),IF($Q$1=$P$4,INDEX(Table24[[#All],[Year]:[Details]],ROWS(prem_analysis!$M$420:U813),COLUMNS(Data!$Q$3:Y396)))))),"")</f>
        <v/>
      </c>
      <c r="AA395" s="1" t="str">
        <f>IFERROR(IF($Q$1=$P$3,INDEX(prem_analysis!$P$2:$Q$441,ROWS(Data!$P$2:Z395),COLUMNS(Data!$P$3:Y396)),IF($Q$1=$P$5,INDEX(prem_analysis!$BH$1:$BS$23,ROWS(Data!$Q$3:Z396),COLUMNS(Data!$Q$3:Z396)),IF($Q$1=$P$6,INDEX(prem_analysis!$BU$1:$CF$67,ROWS(prem_analysis!$N$2:W395),COLUMNS(prem_analysis!$N$2:W395)),IF($Q$1=$P$4,INDEX(Table24[[#All],[Year]:[Details]],ROWS(prem_analysis!$M$420:V813),COLUMNS(Data!$Q$3:Z396)))))),"")</f>
        <v/>
      </c>
      <c r="AB395" s="1" t="str">
        <f>IFERROR(IF($Q$1=$P$3,INDEX(prem_analysis!$P$2:$Q$441,ROWS(Data!$P$2:AA395),COLUMNS(Data!$P$3:Z396)),IF($Q$1=$P$5,INDEX(prem_analysis!$BH$1:$BS$23,ROWS(Data!$Q$3:AA396),COLUMNS(Data!$Q$3:AA396)),IF($Q$1=$P$6,INDEX(prem_analysis!$BU$1:$CF$67,ROWS(prem_analysis!$N$2:X395),COLUMNS(prem_analysis!$N$2:X395)),IF($Q$1=$P$4,INDEX(Table24[[#All],[Year]:[Details]],ROWS(prem_analysis!$M$420:W813),COLUMNS(Data!$Q$3:AA396)))))),"")</f>
        <v/>
      </c>
      <c r="AC395" s="1" t="str">
        <f>IFERROR(IF($Q$1=$P$3,INDEX(prem_analysis!$P$2:$Q$441,ROWS(Data!$P$2:AB395),COLUMNS(Data!$P$3:AA396)),IF($Q$1=$P$5,INDEX(prem_analysis!$BH$1:$BS$23,ROWS(Data!$Q$3:AB396),COLUMNS(Data!$Q$3:AB396)),IF($Q$1=$P$6,INDEX(prem_analysis!$BU$1:$CF$67,ROWS(prem_analysis!$N$2:Y395),COLUMNS(prem_analysis!$N$2:Y395)),IF($Q$1=$P$4,INDEX(Table24[[#All],[Year]:[Details]],ROWS(prem_analysis!$M$420:X813),COLUMNS(Data!$Q$3:AB396)))))),"")</f>
        <v/>
      </c>
    </row>
    <row r="396" spans="1:29" x14ac:dyDescent="0.2">
      <c r="A396" s="3">
        <v>2019</v>
      </c>
      <c r="B396" s="3">
        <v>15</v>
      </c>
      <c r="C396" s="4" t="s">
        <v>55</v>
      </c>
      <c r="D396" s="3">
        <v>38</v>
      </c>
      <c r="E396" s="3">
        <v>9</v>
      </c>
      <c r="F396" s="3">
        <v>14</v>
      </c>
      <c r="G396" s="3">
        <v>15</v>
      </c>
      <c r="H396" s="3">
        <v>39</v>
      </c>
      <c r="I396" s="3">
        <v>54</v>
      </c>
      <c r="J396" s="3">
        <v>-15</v>
      </c>
      <c r="K396" s="3">
        <v>41</v>
      </c>
      <c r="L396" s="5">
        <f>IF(Table24[[#This Row],['#]]=1,"Champion", IF(Table24[[#This Row],['#]]&gt;=18,"Relegated",Table24[[#This Row],['#]]))</f>
        <v>15</v>
      </c>
      <c r="M396" s="5" t="str">
        <f>IF(Table24[[#This Row],[Details]]=2,K395-Table24[[#This Row],[Pts]],IF(Table24[[#This Row],[Details]]=17,Table24[[#This Row],[Pts]]-K397,""))</f>
        <v/>
      </c>
      <c r="R396" s="1" t="str">
        <f>IFERROR(IF($Q$1=$P$3,INDEX(prem_analysis!$P$2:$Q$441,ROWS(Data!$P$2:Q396),COLUMNS(Data!$P$3:P397)),IF($Q$1=$P$5,INDEX(prem_analysis!$BH$1:$BS$23,ROWS(Data!$Q$3:Q397),COLUMNS(Data!$Q$3:Q397)),IF($Q$1=$P$6,INDEX(prem_analysis!$BU$1:$CF$67,ROWS(prem_analysis!$N$2:N396),COLUMNS(prem_analysis!$N$2:N396)),IF($Q$1=$P$4,INDEX(Table24[[#All],[Year]:[Details]],ROWS(prem_analysis!$M$420:M814),COLUMNS(Data!$Q$3:Q397)))))),"")</f>
        <v/>
      </c>
      <c r="S396" s="1" t="str">
        <f>IFERROR(IF($Q$1=$P$3,INDEX(prem_analysis!$P$2:$Q$441,ROWS(Data!$P$2:R396),COLUMNS(Data!$P$3:Q397)),IF($Q$1=$P$5,INDEX(prem_analysis!$BH$1:$BS$23,ROWS(Data!$Q$3:R397),COLUMNS(Data!$Q$3:R397)),IF($Q$1=$P$6,INDEX(prem_analysis!$BU$1:$CF$67,ROWS(prem_analysis!$N$2:O396),COLUMNS(prem_analysis!$N$2:O396)),IF($Q$1=$P$4,INDEX(Table24[[#All],[Year]:[Details]],ROWS(prem_analysis!$M$420:N814),COLUMNS(Data!$Q$3:R397)))))),"")</f>
        <v/>
      </c>
      <c r="T396" s="1" t="str">
        <f>IFERROR(IF($Q$1=$P$3,INDEX(prem_analysis!$P$2:$Q$441,ROWS(Data!$P$2:S396),COLUMNS(Data!$P$3:R397)),IF($Q$1=$P$5,INDEX(prem_analysis!$BH$1:$BS$23,ROWS(Data!$Q$3:S397),COLUMNS(Data!$Q$3:S397)),IF($Q$1=$P$6,INDEX(prem_analysis!$BU$1:$CF$67,ROWS(prem_analysis!$N$2:P396),COLUMNS(prem_analysis!$N$2:P396)),IF($Q$1=$P$4,INDEX(Table24[[#All],[Year]:[Details]],ROWS(prem_analysis!$M$420:O814),COLUMNS(Data!$Q$3:S397)))))),"")</f>
        <v/>
      </c>
      <c r="U396" s="1" t="str">
        <f>IFERROR(IF($Q$1=$P$3,INDEX(prem_analysis!$P$2:$Q$441,ROWS(Data!$P$2:T396),COLUMNS(Data!$P$3:S397)),IF($Q$1=$P$5,INDEX(prem_analysis!$BH$1:$BS$23,ROWS(Data!$Q$3:T397),COLUMNS(Data!$Q$3:T397)),IF($Q$1=$P$6,INDEX(prem_analysis!$BU$1:$CF$67,ROWS(prem_analysis!$N$2:Q396),COLUMNS(prem_analysis!$N$2:Q396)),IF($Q$1=$P$4,INDEX(Table24[[#All],[Year]:[Details]],ROWS(prem_analysis!$M$420:P814),COLUMNS(Data!$Q$3:T397)))))),"")</f>
        <v/>
      </c>
      <c r="V396" s="1" t="str">
        <f>IFERROR(IF($Q$1=$P$3,INDEX(prem_analysis!$P$2:$Q$441,ROWS(Data!$P$2:U396),COLUMNS(Data!$P$3:T397)),IF($Q$1=$P$5,INDEX(prem_analysis!$BH$1:$BS$23,ROWS(Data!$Q$3:U397),COLUMNS(Data!$Q$3:U397)),IF($Q$1=$P$6,INDEX(prem_analysis!$BU$1:$CF$67,ROWS(prem_analysis!$N$2:R396),COLUMNS(prem_analysis!$N$2:R396)),IF($Q$1=$P$4,INDEX(Table24[[#All],[Year]:[Details]],ROWS(prem_analysis!$M$420:Q814),COLUMNS(Data!$Q$3:U397)))))),"")</f>
        <v/>
      </c>
      <c r="W396" s="1" t="str">
        <f>IFERROR(IF($Q$1=$P$3,INDEX(prem_analysis!$P$2:$Q$441,ROWS(Data!$P$2:V396),COLUMNS(Data!$P$3:U397)),IF($Q$1=$P$5,INDEX(prem_analysis!$BH$1:$BS$23,ROWS(Data!$Q$3:V397),COLUMNS(Data!$Q$3:V397)),IF($Q$1=$P$6,INDEX(prem_analysis!$BU$1:$CF$67,ROWS(prem_analysis!$N$2:S396),COLUMNS(prem_analysis!$N$2:S396)),IF($Q$1=$P$4,INDEX(Table24[[#All],[Year]:[Details]],ROWS(prem_analysis!$M$420:R814),COLUMNS(Data!$Q$3:V397)))))),"")</f>
        <v/>
      </c>
      <c r="X396" s="1" t="str">
        <f>IFERROR(IF($Q$1=$P$3,INDEX(prem_analysis!$P$2:$Q$441,ROWS(Data!$P$2:W396),COLUMNS(Data!$P$3:V397)),IF($Q$1=$P$5,INDEX(prem_analysis!$BH$1:$BS$23,ROWS(Data!$Q$3:W397),COLUMNS(Data!$Q$3:W397)),IF($Q$1=$P$6,INDEX(prem_analysis!$BU$1:$CF$67,ROWS(prem_analysis!$N$2:T396),COLUMNS(prem_analysis!$N$2:T396)),IF($Q$1=$P$4,INDEX(Table24[[#All],[Year]:[Details]],ROWS(prem_analysis!$M$420:S814),COLUMNS(Data!$Q$3:W397)))))),"")</f>
        <v/>
      </c>
      <c r="Y396" s="1" t="str">
        <f>IFERROR(IF($Q$1=$P$3,INDEX(prem_analysis!$P$2:$Q$441,ROWS(Data!$P$2:X396),COLUMNS(Data!$P$3:W397)),IF($Q$1=$P$5,INDEX(prem_analysis!$BH$1:$BS$23,ROWS(Data!$Q$3:X397),COLUMNS(Data!$Q$3:X397)),IF($Q$1=$P$6,INDEX(prem_analysis!$BU$1:$CF$67,ROWS(prem_analysis!$N$2:U396),COLUMNS(prem_analysis!$N$2:U396)),IF($Q$1=$P$4,INDEX(Table24[[#All],[Year]:[Details]],ROWS(prem_analysis!$M$420:T814),COLUMNS(Data!$Q$3:X397)))))),"")</f>
        <v/>
      </c>
      <c r="Z396" s="1" t="str">
        <f>IFERROR(IF($Q$1=$P$3,INDEX(prem_analysis!$P$2:$Q$441,ROWS(Data!$P$2:Y396),COLUMNS(Data!$P$3:X397)),IF($Q$1=$P$5,INDEX(prem_analysis!$BH$1:$BS$23,ROWS(Data!$Q$3:Y397),COLUMNS(Data!$Q$3:Y397)),IF($Q$1=$P$6,INDEX(prem_analysis!$BU$1:$CF$67,ROWS(prem_analysis!$N$2:V396),COLUMNS(prem_analysis!$N$2:V396)),IF($Q$1=$P$4,INDEX(Table24[[#All],[Year]:[Details]],ROWS(prem_analysis!$M$420:U814),COLUMNS(Data!$Q$3:Y397)))))),"")</f>
        <v/>
      </c>
      <c r="AA396" s="1" t="str">
        <f>IFERROR(IF($Q$1=$P$3,INDEX(prem_analysis!$P$2:$Q$441,ROWS(Data!$P$2:Z396),COLUMNS(Data!$P$3:Y397)),IF($Q$1=$P$5,INDEX(prem_analysis!$BH$1:$BS$23,ROWS(Data!$Q$3:Z397),COLUMNS(Data!$Q$3:Z397)),IF($Q$1=$P$6,INDEX(prem_analysis!$BU$1:$CF$67,ROWS(prem_analysis!$N$2:W396),COLUMNS(prem_analysis!$N$2:W396)),IF($Q$1=$P$4,INDEX(Table24[[#All],[Year]:[Details]],ROWS(prem_analysis!$M$420:V814),COLUMNS(Data!$Q$3:Z397)))))),"")</f>
        <v/>
      </c>
      <c r="AB396" s="1" t="str">
        <f>IFERROR(IF($Q$1=$P$3,INDEX(prem_analysis!$P$2:$Q$441,ROWS(Data!$P$2:AA396),COLUMNS(Data!$P$3:Z397)),IF($Q$1=$P$5,INDEX(prem_analysis!$BH$1:$BS$23,ROWS(Data!$Q$3:AA397),COLUMNS(Data!$Q$3:AA397)),IF($Q$1=$P$6,INDEX(prem_analysis!$BU$1:$CF$67,ROWS(prem_analysis!$N$2:X396),COLUMNS(prem_analysis!$N$2:X396)),IF($Q$1=$P$4,INDEX(Table24[[#All],[Year]:[Details]],ROWS(prem_analysis!$M$420:W814),COLUMNS(Data!$Q$3:AA397)))))),"")</f>
        <v/>
      </c>
      <c r="AC396" s="1" t="str">
        <f>IFERROR(IF($Q$1=$P$3,INDEX(prem_analysis!$P$2:$Q$441,ROWS(Data!$P$2:AB396),COLUMNS(Data!$P$3:AA397)),IF($Q$1=$P$5,INDEX(prem_analysis!$BH$1:$BS$23,ROWS(Data!$Q$3:AB397),COLUMNS(Data!$Q$3:AB397)),IF($Q$1=$P$6,INDEX(prem_analysis!$BU$1:$CF$67,ROWS(prem_analysis!$N$2:Y396),COLUMNS(prem_analysis!$N$2:Y396)),IF($Q$1=$P$4,INDEX(Table24[[#All],[Year]:[Details]],ROWS(prem_analysis!$M$420:X814),COLUMNS(Data!$Q$3:AB397)))))),"")</f>
        <v/>
      </c>
    </row>
    <row r="397" spans="1:29" x14ac:dyDescent="0.2">
      <c r="A397" s="5">
        <v>2019</v>
      </c>
      <c r="B397" s="5">
        <v>16</v>
      </c>
      <c r="C397" s="6" t="s">
        <v>25</v>
      </c>
      <c r="D397" s="5">
        <v>38</v>
      </c>
      <c r="E397" s="5">
        <v>10</v>
      </c>
      <c r="F397" s="5">
        <v>9</v>
      </c>
      <c r="G397" s="5">
        <v>19</v>
      </c>
      <c r="H397" s="5">
        <v>49</v>
      </c>
      <c r="I397" s="5">
        <v>62</v>
      </c>
      <c r="J397" s="5">
        <v>-13</v>
      </c>
      <c r="K397" s="5">
        <v>39</v>
      </c>
      <c r="L397" s="5">
        <f>IF(Table24[[#This Row],['#]]=1,"Champion", IF(Table24[[#This Row],['#]]&gt;=18,"Relegated",Table24[[#This Row],['#]]))</f>
        <v>16</v>
      </c>
      <c r="M397" s="5" t="str">
        <f>IF(Table24[[#This Row],[Details]]=2,K396-Table24[[#This Row],[Pts]],IF(Table24[[#This Row],[Details]]=17,Table24[[#This Row],[Pts]]-K398,""))</f>
        <v/>
      </c>
      <c r="R397" s="1" t="str">
        <f>IFERROR(IF($Q$1=$P$3,INDEX(prem_analysis!$P$2:$Q$441,ROWS(Data!$P$2:Q397),COLUMNS(Data!$P$3:P398)),IF($Q$1=$P$5,INDEX(prem_analysis!$BH$1:$BS$23,ROWS(Data!$Q$3:Q398),COLUMNS(Data!$Q$3:Q398)),IF($Q$1=$P$6,INDEX(prem_analysis!$BU$1:$CF$67,ROWS(prem_analysis!$N$2:N397),COLUMNS(prem_analysis!$N$2:N397)),IF($Q$1=$P$4,INDEX(Table24[[#All],[Year]:[Details]],ROWS(prem_analysis!$M$420:M815),COLUMNS(Data!$Q$3:Q398)))))),"")</f>
        <v/>
      </c>
      <c r="S397" s="1" t="str">
        <f>IFERROR(IF($Q$1=$P$3,INDEX(prem_analysis!$P$2:$Q$441,ROWS(Data!$P$2:R397),COLUMNS(Data!$P$3:Q398)),IF($Q$1=$P$5,INDEX(prem_analysis!$BH$1:$BS$23,ROWS(Data!$Q$3:R398),COLUMNS(Data!$Q$3:R398)),IF($Q$1=$P$6,INDEX(prem_analysis!$BU$1:$CF$67,ROWS(prem_analysis!$N$2:O397),COLUMNS(prem_analysis!$N$2:O397)),IF($Q$1=$P$4,INDEX(Table24[[#All],[Year]:[Details]],ROWS(prem_analysis!$M$420:N815),COLUMNS(Data!$Q$3:R398)))))),"")</f>
        <v/>
      </c>
      <c r="T397" s="1" t="str">
        <f>IFERROR(IF($Q$1=$P$3,INDEX(prem_analysis!$P$2:$Q$441,ROWS(Data!$P$2:S397),COLUMNS(Data!$P$3:R398)),IF($Q$1=$P$5,INDEX(prem_analysis!$BH$1:$BS$23,ROWS(Data!$Q$3:S398),COLUMNS(Data!$Q$3:S398)),IF($Q$1=$P$6,INDEX(prem_analysis!$BU$1:$CF$67,ROWS(prem_analysis!$N$2:P397),COLUMNS(prem_analysis!$N$2:P397)),IF($Q$1=$P$4,INDEX(Table24[[#All],[Year]:[Details]],ROWS(prem_analysis!$M$420:O815),COLUMNS(Data!$Q$3:S398)))))),"")</f>
        <v/>
      </c>
      <c r="U397" s="1" t="str">
        <f>IFERROR(IF($Q$1=$P$3,INDEX(prem_analysis!$P$2:$Q$441,ROWS(Data!$P$2:T397),COLUMNS(Data!$P$3:S398)),IF($Q$1=$P$5,INDEX(prem_analysis!$BH$1:$BS$23,ROWS(Data!$Q$3:T398),COLUMNS(Data!$Q$3:T398)),IF($Q$1=$P$6,INDEX(prem_analysis!$BU$1:$CF$67,ROWS(prem_analysis!$N$2:Q397),COLUMNS(prem_analysis!$N$2:Q397)),IF($Q$1=$P$4,INDEX(Table24[[#All],[Year]:[Details]],ROWS(prem_analysis!$M$420:P815),COLUMNS(Data!$Q$3:T398)))))),"")</f>
        <v/>
      </c>
      <c r="V397" s="1" t="str">
        <f>IFERROR(IF($Q$1=$P$3,INDEX(prem_analysis!$P$2:$Q$441,ROWS(Data!$P$2:U397),COLUMNS(Data!$P$3:T398)),IF($Q$1=$P$5,INDEX(prem_analysis!$BH$1:$BS$23,ROWS(Data!$Q$3:U398),COLUMNS(Data!$Q$3:U398)),IF($Q$1=$P$6,INDEX(prem_analysis!$BU$1:$CF$67,ROWS(prem_analysis!$N$2:R397),COLUMNS(prem_analysis!$N$2:R397)),IF($Q$1=$P$4,INDEX(Table24[[#All],[Year]:[Details]],ROWS(prem_analysis!$M$420:Q815),COLUMNS(Data!$Q$3:U398)))))),"")</f>
        <v/>
      </c>
      <c r="W397" s="1" t="str">
        <f>IFERROR(IF($Q$1=$P$3,INDEX(prem_analysis!$P$2:$Q$441,ROWS(Data!$P$2:V397),COLUMNS(Data!$P$3:U398)),IF($Q$1=$P$5,INDEX(prem_analysis!$BH$1:$BS$23,ROWS(Data!$Q$3:V398),COLUMNS(Data!$Q$3:V398)),IF($Q$1=$P$6,INDEX(prem_analysis!$BU$1:$CF$67,ROWS(prem_analysis!$N$2:S397),COLUMNS(prem_analysis!$N$2:S397)),IF($Q$1=$P$4,INDEX(Table24[[#All],[Year]:[Details]],ROWS(prem_analysis!$M$420:R815),COLUMNS(Data!$Q$3:V398)))))),"")</f>
        <v/>
      </c>
      <c r="X397" s="1" t="str">
        <f>IFERROR(IF($Q$1=$P$3,INDEX(prem_analysis!$P$2:$Q$441,ROWS(Data!$P$2:W397),COLUMNS(Data!$P$3:V398)),IF($Q$1=$P$5,INDEX(prem_analysis!$BH$1:$BS$23,ROWS(Data!$Q$3:W398),COLUMNS(Data!$Q$3:W398)),IF($Q$1=$P$6,INDEX(prem_analysis!$BU$1:$CF$67,ROWS(prem_analysis!$N$2:T397),COLUMNS(prem_analysis!$N$2:T397)),IF($Q$1=$P$4,INDEX(Table24[[#All],[Year]:[Details]],ROWS(prem_analysis!$M$420:S815),COLUMNS(Data!$Q$3:W398)))))),"")</f>
        <v/>
      </c>
      <c r="Y397" s="1" t="str">
        <f>IFERROR(IF($Q$1=$P$3,INDEX(prem_analysis!$P$2:$Q$441,ROWS(Data!$P$2:X397),COLUMNS(Data!$P$3:W398)),IF($Q$1=$P$5,INDEX(prem_analysis!$BH$1:$BS$23,ROWS(Data!$Q$3:X398),COLUMNS(Data!$Q$3:X398)),IF($Q$1=$P$6,INDEX(prem_analysis!$BU$1:$CF$67,ROWS(prem_analysis!$N$2:U397),COLUMNS(prem_analysis!$N$2:U397)),IF($Q$1=$P$4,INDEX(Table24[[#All],[Year]:[Details]],ROWS(prem_analysis!$M$420:T815),COLUMNS(Data!$Q$3:X398)))))),"")</f>
        <v/>
      </c>
      <c r="Z397" s="1" t="str">
        <f>IFERROR(IF($Q$1=$P$3,INDEX(prem_analysis!$P$2:$Q$441,ROWS(Data!$P$2:Y397),COLUMNS(Data!$P$3:X398)),IF($Q$1=$P$5,INDEX(prem_analysis!$BH$1:$BS$23,ROWS(Data!$Q$3:Y398),COLUMNS(Data!$Q$3:Y398)),IF($Q$1=$P$6,INDEX(prem_analysis!$BU$1:$CF$67,ROWS(prem_analysis!$N$2:V397),COLUMNS(prem_analysis!$N$2:V397)),IF($Q$1=$P$4,INDEX(Table24[[#All],[Year]:[Details]],ROWS(prem_analysis!$M$420:U815),COLUMNS(Data!$Q$3:Y398)))))),"")</f>
        <v/>
      </c>
      <c r="AA397" s="1" t="str">
        <f>IFERROR(IF($Q$1=$P$3,INDEX(prem_analysis!$P$2:$Q$441,ROWS(Data!$P$2:Z397),COLUMNS(Data!$P$3:Y398)),IF($Q$1=$P$5,INDEX(prem_analysis!$BH$1:$BS$23,ROWS(Data!$Q$3:Z398),COLUMNS(Data!$Q$3:Z398)),IF($Q$1=$P$6,INDEX(prem_analysis!$BU$1:$CF$67,ROWS(prem_analysis!$N$2:W397),COLUMNS(prem_analysis!$N$2:W397)),IF($Q$1=$P$4,INDEX(Table24[[#All],[Year]:[Details]],ROWS(prem_analysis!$M$420:V815),COLUMNS(Data!$Q$3:Z398)))))),"")</f>
        <v/>
      </c>
      <c r="AB397" s="1" t="str">
        <f>IFERROR(IF($Q$1=$P$3,INDEX(prem_analysis!$P$2:$Q$441,ROWS(Data!$P$2:AA397),COLUMNS(Data!$P$3:Z398)),IF($Q$1=$P$5,INDEX(prem_analysis!$BH$1:$BS$23,ROWS(Data!$Q$3:AA398),COLUMNS(Data!$Q$3:AA398)),IF($Q$1=$P$6,INDEX(prem_analysis!$BU$1:$CF$67,ROWS(prem_analysis!$N$2:X397),COLUMNS(prem_analysis!$N$2:X397)),IF($Q$1=$P$4,INDEX(Table24[[#All],[Year]:[Details]],ROWS(prem_analysis!$M$420:W815),COLUMNS(Data!$Q$3:AA398)))))),"")</f>
        <v/>
      </c>
      <c r="AC397" s="1" t="str">
        <f>IFERROR(IF($Q$1=$P$3,INDEX(prem_analysis!$P$2:$Q$441,ROWS(Data!$P$2:AB397),COLUMNS(Data!$P$3:AA398)),IF($Q$1=$P$5,INDEX(prem_analysis!$BH$1:$BS$23,ROWS(Data!$Q$3:AB398),COLUMNS(Data!$Q$3:AB398)),IF($Q$1=$P$6,INDEX(prem_analysis!$BU$1:$CF$67,ROWS(prem_analysis!$N$2:Y397),COLUMNS(prem_analysis!$N$2:Y397)),IF($Q$1=$P$4,INDEX(Table24[[#All],[Year]:[Details]],ROWS(prem_analysis!$M$420:X815),COLUMNS(Data!$Q$3:AB398)))))),"")</f>
        <v/>
      </c>
    </row>
    <row r="398" spans="1:29" x14ac:dyDescent="0.2">
      <c r="A398" s="3">
        <v>2019</v>
      </c>
      <c r="B398" s="3">
        <v>17</v>
      </c>
      <c r="C398" s="4" t="s">
        <v>18</v>
      </c>
      <c r="D398" s="3">
        <v>38</v>
      </c>
      <c r="E398" s="3">
        <v>9</v>
      </c>
      <c r="F398" s="3">
        <v>8</v>
      </c>
      <c r="G398" s="3">
        <v>21</v>
      </c>
      <c r="H398" s="3">
        <v>41</v>
      </c>
      <c r="I398" s="3">
        <v>67</v>
      </c>
      <c r="J398" s="3">
        <v>-26</v>
      </c>
      <c r="K398" s="3">
        <v>35</v>
      </c>
      <c r="L398" s="5">
        <f>IF(Table24[[#This Row],['#]]=1,"Champion", IF(Table24[[#This Row],['#]]&gt;=18,"Relegated",Table24[[#This Row],['#]]))</f>
        <v>17</v>
      </c>
      <c r="M398" s="5">
        <f>IF(Table24[[#This Row],[Details]]=2,K397-Table24[[#This Row],[Pts]],IF(Table24[[#This Row],[Details]]=17,Table24[[#This Row],[Pts]]-K399,""))</f>
        <v>1</v>
      </c>
      <c r="R398" s="1" t="str">
        <f>IFERROR(IF($Q$1=$P$3,INDEX(prem_analysis!$P$2:$Q$441,ROWS(Data!$P$2:Q398),COLUMNS(Data!$P$3:P399)),IF($Q$1=$P$5,INDEX(prem_analysis!$BH$1:$BS$23,ROWS(Data!$Q$3:Q399),COLUMNS(Data!$Q$3:Q399)),IF($Q$1=$P$6,INDEX(prem_analysis!$BU$1:$CF$67,ROWS(prem_analysis!$N$2:N398),COLUMNS(prem_analysis!$N$2:N398)),IF($Q$1=$P$4,INDEX(Table24[[#All],[Year]:[Details]],ROWS(prem_analysis!$M$420:M816),COLUMNS(Data!$Q$3:Q399)))))),"")</f>
        <v/>
      </c>
      <c r="S398" s="1" t="str">
        <f>IFERROR(IF($Q$1=$P$3,INDEX(prem_analysis!$P$2:$Q$441,ROWS(Data!$P$2:R398),COLUMNS(Data!$P$3:Q399)),IF($Q$1=$P$5,INDEX(prem_analysis!$BH$1:$BS$23,ROWS(Data!$Q$3:R399),COLUMNS(Data!$Q$3:R399)),IF($Q$1=$P$6,INDEX(prem_analysis!$BU$1:$CF$67,ROWS(prem_analysis!$N$2:O398),COLUMNS(prem_analysis!$N$2:O398)),IF($Q$1=$P$4,INDEX(Table24[[#All],[Year]:[Details]],ROWS(prem_analysis!$M$420:N816),COLUMNS(Data!$Q$3:R399)))))),"")</f>
        <v/>
      </c>
      <c r="T398" s="1" t="str">
        <f>IFERROR(IF($Q$1=$P$3,INDEX(prem_analysis!$P$2:$Q$441,ROWS(Data!$P$2:S398),COLUMNS(Data!$P$3:R399)),IF($Q$1=$P$5,INDEX(prem_analysis!$BH$1:$BS$23,ROWS(Data!$Q$3:S399),COLUMNS(Data!$Q$3:S399)),IF($Q$1=$P$6,INDEX(prem_analysis!$BU$1:$CF$67,ROWS(prem_analysis!$N$2:P398),COLUMNS(prem_analysis!$N$2:P398)),IF($Q$1=$P$4,INDEX(Table24[[#All],[Year]:[Details]],ROWS(prem_analysis!$M$420:O816),COLUMNS(Data!$Q$3:S399)))))),"")</f>
        <v/>
      </c>
      <c r="U398" s="1" t="str">
        <f>IFERROR(IF($Q$1=$P$3,INDEX(prem_analysis!$P$2:$Q$441,ROWS(Data!$P$2:T398),COLUMNS(Data!$P$3:S399)),IF($Q$1=$P$5,INDEX(prem_analysis!$BH$1:$BS$23,ROWS(Data!$Q$3:T399),COLUMNS(Data!$Q$3:T399)),IF($Q$1=$P$6,INDEX(prem_analysis!$BU$1:$CF$67,ROWS(prem_analysis!$N$2:Q398),COLUMNS(prem_analysis!$N$2:Q398)),IF($Q$1=$P$4,INDEX(Table24[[#All],[Year]:[Details]],ROWS(prem_analysis!$M$420:P816),COLUMNS(Data!$Q$3:T399)))))),"")</f>
        <v/>
      </c>
      <c r="V398" s="1" t="str">
        <f>IFERROR(IF($Q$1=$P$3,INDEX(prem_analysis!$P$2:$Q$441,ROWS(Data!$P$2:U398),COLUMNS(Data!$P$3:T399)),IF($Q$1=$P$5,INDEX(prem_analysis!$BH$1:$BS$23,ROWS(Data!$Q$3:U399),COLUMNS(Data!$Q$3:U399)),IF($Q$1=$P$6,INDEX(prem_analysis!$BU$1:$CF$67,ROWS(prem_analysis!$N$2:R398),COLUMNS(prem_analysis!$N$2:R398)),IF($Q$1=$P$4,INDEX(Table24[[#All],[Year]:[Details]],ROWS(prem_analysis!$M$420:Q816),COLUMNS(Data!$Q$3:U399)))))),"")</f>
        <v/>
      </c>
      <c r="W398" s="1" t="str">
        <f>IFERROR(IF($Q$1=$P$3,INDEX(prem_analysis!$P$2:$Q$441,ROWS(Data!$P$2:V398),COLUMNS(Data!$P$3:U399)),IF($Q$1=$P$5,INDEX(prem_analysis!$BH$1:$BS$23,ROWS(Data!$Q$3:V399),COLUMNS(Data!$Q$3:V399)),IF($Q$1=$P$6,INDEX(prem_analysis!$BU$1:$CF$67,ROWS(prem_analysis!$N$2:S398),COLUMNS(prem_analysis!$N$2:S398)),IF($Q$1=$P$4,INDEX(Table24[[#All],[Year]:[Details]],ROWS(prem_analysis!$M$420:R816),COLUMNS(Data!$Q$3:V399)))))),"")</f>
        <v/>
      </c>
      <c r="X398" s="1" t="str">
        <f>IFERROR(IF($Q$1=$P$3,INDEX(prem_analysis!$P$2:$Q$441,ROWS(Data!$P$2:W398),COLUMNS(Data!$P$3:V399)),IF($Q$1=$P$5,INDEX(prem_analysis!$BH$1:$BS$23,ROWS(Data!$Q$3:W399),COLUMNS(Data!$Q$3:W399)),IF($Q$1=$P$6,INDEX(prem_analysis!$BU$1:$CF$67,ROWS(prem_analysis!$N$2:T398),COLUMNS(prem_analysis!$N$2:T398)),IF($Q$1=$P$4,INDEX(Table24[[#All],[Year]:[Details]],ROWS(prem_analysis!$M$420:S816),COLUMNS(Data!$Q$3:W399)))))),"")</f>
        <v/>
      </c>
      <c r="Y398" s="1" t="str">
        <f>IFERROR(IF($Q$1=$P$3,INDEX(prem_analysis!$P$2:$Q$441,ROWS(Data!$P$2:X398),COLUMNS(Data!$P$3:W399)),IF($Q$1=$P$5,INDEX(prem_analysis!$BH$1:$BS$23,ROWS(Data!$Q$3:X399),COLUMNS(Data!$Q$3:X399)),IF($Q$1=$P$6,INDEX(prem_analysis!$BU$1:$CF$67,ROWS(prem_analysis!$N$2:U398),COLUMNS(prem_analysis!$N$2:U398)),IF($Q$1=$P$4,INDEX(Table24[[#All],[Year]:[Details]],ROWS(prem_analysis!$M$420:T816),COLUMNS(Data!$Q$3:X399)))))),"")</f>
        <v/>
      </c>
      <c r="Z398" s="1" t="str">
        <f>IFERROR(IF($Q$1=$P$3,INDEX(prem_analysis!$P$2:$Q$441,ROWS(Data!$P$2:Y398),COLUMNS(Data!$P$3:X399)),IF($Q$1=$P$5,INDEX(prem_analysis!$BH$1:$BS$23,ROWS(Data!$Q$3:Y399),COLUMNS(Data!$Q$3:Y399)),IF($Q$1=$P$6,INDEX(prem_analysis!$BU$1:$CF$67,ROWS(prem_analysis!$N$2:V398),COLUMNS(prem_analysis!$N$2:V398)),IF($Q$1=$P$4,INDEX(Table24[[#All],[Year]:[Details]],ROWS(prem_analysis!$M$420:U816),COLUMNS(Data!$Q$3:Y399)))))),"")</f>
        <v/>
      </c>
      <c r="AA398" s="1" t="str">
        <f>IFERROR(IF($Q$1=$P$3,INDEX(prem_analysis!$P$2:$Q$441,ROWS(Data!$P$2:Z398),COLUMNS(Data!$P$3:Y399)),IF($Q$1=$P$5,INDEX(prem_analysis!$BH$1:$BS$23,ROWS(Data!$Q$3:Z399),COLUMNS(Data!$Q$3:Z399)),IF($Q$1=$P$6,INDEX(prem_analysis!$BU$1:$CF$67,ROWS(prem_analysis!$N$2:W398),COLUMNS(prem_analysis!$N$2:W398)),IF($Q$1=$P$4,INDEX(Table24[[#All],[Year]:[Details]],ROWS(prem_analysis!$M$420:V816),COLUMNS(Data!$Q$3:Z399)))))),"")</f>
        <v/>
      </c>
      <c r="AB398" s="1" t="str">
        <f>IFERROR(IF($Q$1=$P$3,INDEX(prem_analysis!$P$2:$Q$441,ROWS(Data!$P$2:AA398),COLUMNS(Data!$P$3:Z399)),IF($Q$1=$P$5,INDEX(prem_analysis!$BH$1:$BS$23,ROWS(Data!$Q$3:AA399),COLUMNS(Data!$Q$3:AA399)),IF($Q$1=$P$6,INDEX(prem_analysis!$BU$1:$CF$67,ROWS(prem_analysis!$N$2:X398),COLUMNS(prem_analysis!$N$2:X398)),IF($Q$1=$P$4,INDEX(Table24[[#All],[Year]:[Details]],ROWS(prem_analysis!$M$420:W816),COLUMNS(Data!$Q$3:AA399)))))),"")</f>
        <v/>
      </c>
      <c r="AC398" s="1" t="str">
        <f>IFERROR(IF($Q$1=$P$3,INDEX(prem_analysis!$P$2:$Q$441,ROWS(Data!$P$2:AB398),COLUMNS(Data!$P$3:AA399)),IF($Q$1=$P$5,INDEX(prem_analysis!$BH$1:$BS$23,ROWS(Data!$Q$3:AB399),COLUMNS(Data!$Q$3:AB399)),IF($Q$1=$P$6,INDEX(prem_analysis!$BU$1:$CF$67,ROWS(prem_analysis!$N$2:Y398),COLUMNS(prem_analysis!$N$2:Y398)),IF($Q$1=$P$4,INDEX(Table24[[#All],[Year]:[Details]],ROWS(prem_analysis!$M$420:X816),COLUMNS(Data!$Q$3:AB399)))))),"")</f>
        <v/>
      </c>
    </row>
    <row r="399" spans="1:29" x14ac:dyDescent="0.2">
      <c r="A399" s="5">
        <v>2019</v>
      </c>
      <c r="B399" s="5">
        <v>18</v>
      </c>
      <c r="C399" s="6" t="s">
        <v>51</v>
      </c>
      <c r="D399" s="5">
        <v>38</v>
      </c>
      <c r="E399" s="5">
        <v>9</v>
      </c>
      <c r="F399" s="5">
        <v>7</v>
      </c>
      <c r="G399" s="5">
        <v>22</v>
      </c>
      <c r="H399" s="5">
        <v>40</v>
      </c>
      <c r="I399" s="5">
        <v>65</v>
      </c>
      <c r="J399" s="5">
        <v>-25</v>
      </c>
      <c r="K399" s="5">
        <v>34</v>
      </c>
      <c r="L399" s="5" t="str">
        <f>IF(Table24[[#This Row],['#]]=1,"Champion", IF(Table24[[#This Row],['#]]&gt;=18,"Relegated",Table24[[#This Row],['#]]))</f>
        <v>Relegated</v>
      </c>
      <c r="M399" s="5" t="str">
        <f>IF(Table24[[#This Row],[Details]]=2,K398-Table24[[#This Row],[Pts]],IF(Table24[[#This Row],[Details]]=17,Table24[[#This Row],[Pts]]-K400,""))</f>
        <v/>
      </c>
      <c r="R399" s="1" t="str">
        <f>IFERROR(IF($Q$1=$P$3,INDEX(prem_analysis!$P$2:$Q$441,ROWS(Data!$P$2:Q399),COLUMNS(Data!$P$3:P400)),IF($Q$1=$P$5,INDEX(prem_analysis!$BH$1:$BS$23,ROWS(Data!$Q$3:Q400),COLUMNS(Data!$Q$3:Q400)),IF($Q$1=$P$6,INDEX(prem_analysis!$BU$1:$CF$67,ROWS(prem_analysis!$N$2:N399),COLUMNS(prem_analysis!$N$2:N399)),IF($Q$1=$P$4,INDEX(Table24[[#All],[Year]:[Details]],ROWS(prem_analysis!$M$420:M817),COLUMNS(Data!$Q$3:Q400)))))),"")</f>
        <v/>
      </c>
      <c r="S399" s="1" t="str">
        <f>IFERROR(IF($Q$1=$P$3,INDEX(prem_analysis!$P$2:$Q$441,ROWS(Data!$P$2:R399),COLUMNS(Data!$P$3:Q400)),IF($Q$1=$P$5,INDEX(prem_analysis!$BH$1:$BS$23,ROWS(Data!$Q$3:R400),COLUMNS(Data!$Q$3:R400)),IF($Q$1=$P$6,INDEX(prem_analysis!$BU$1:$CF$67,ROWS(prem_analysis!$N$2:O399),COLUMNS(prem_analysis!$N$2:O399)),IF($Q$1=$P$4,INDEX(Table24[[#All],[Year]:[Details]],ROWS(prem_analysis!$M$420:N817),COLUMNS(Data!$Q$3:R400)))))),"")</f>
        <v/>
      </c>
      <c r="T399" s="1" t="str">
        <f>IFERROR(IF($Q$1=$P$3,INDEX(prem_analysis!$P$2:$Q$441,ROWS(Data!$P$2:S399),COLUMNS(Data!$P$3:R400)),IF($Q$1=$P$5,INDEX(prem_analysis!$BH$1:$BS$23,ROWS(Data!$Q$3:S400),COLUMNS(Data!$Q$3:S400)),IF($Q$1=$P$6,INDEX(prem_analysis!$BU$1:$CF$67,ROWS(prem_analysis!$N$2:P399),COLUMNS(prem_analysis!$N$2:P399)),IF($Q$1=$P$4,INDEX(Table24[[#All],[Year]:[Details]],ROWS(prem_analysis!$M$420:O817),COLUMNS(Data!$Q$3:S400)))))),"")</f>
        <v/>
      </c>
      <c r="U399" s="1" t="str">
        <f>IFERROR(IF($Q$1=$P$3,INDEX(prem_analysis!$P$2:$Q$441,ROWS(Data!$P$2:T399),COLUMNS(Data!$P$3:S400)),IF($Q$1=$P$5,INDEX(prem_analysis!$BH$1:$BS$23,ROWS(Data!$Q$3:T400),COLUMNS(Data!$Q$3:T400)),IF($Q$1=$P$6,INDEX(prem_analysis!$BU$1:$CF$67,ROWS(prem_analysis!$N$2:Q399),COLUMNS(prem_analysis!$N$2:Q399)),IF($Q$1=$P$4,INDEX(Table24[[#All],[Year]:[Details]],ROWS(prem_analysis!$M$420:P817),COLUMNS(Data!$Q$3:T400)))))),"")</f>
        <v/>
      </c>
      <c r="V399" s="1" t="str">
        <f>IFERROR(IF($Q$1=$P$3,INDEX(prem_analysis!$P$2:$Q$441,ROWS(Data!$P$2:U399),COLUMNS(Data!$P$3:T400)),IF($Q$1=$P$5,INDEX(prem_analysis!$BH$1:$BS$23,ROWS(Data!$Q$3:U400),COLUMNS(Data!$Q$3:U400)),IF($Q$1=$P$6,INDEX(prem_analysis!$BU$1:$CF$67,ROWS(prem_analysis!$N$2:R399),COLUMNS(prem_analysis!$N$2:R399)),IF($Q$1=$P$4,INDEX(Table24[[#All],[Year]:[Details]],ROWS(prem_analysis!$M$420:Q817),COLUMNS(Data!$Q$3:U400)))))),"")</f>
        <v/>
      </c>
      <c r="W399" s="1" t="str">
        <f>IFERROR(IF($Q$1=$P$3,INDEX(prem_analysis!$P$2:$Q$441,ROWS(Data!$P$2:V399),COLUMNS(Data!$P$3:U400)),IF($Q$1=$P$5,INDEX(prem_analysis!$BH$1:$BS$23,ROWS(Data!$Q$3:V400),COLUMNS(Data!$Q$3:V400)),IF($Q$1=$P$6,INDEX(prem_analysis!$BU$1:$CF$67,ROWS(prem_analysis!$N$2:S399),COLUMNS(prem_analysis!$N$2:S399)),IF($Q$1=$P$4,INDEX(Table24[[#All],[Year]:[Details]],ROWS(prem_analysis!$M$420:R817),COLUMNS(Data!$Q$3:V400)))))),"")</f>
        <v/>
      </c>
      <c r="X399" s="1" t="str">
        <f>IFERROR(IF($Q$1=$P$3,INDEX(prem_analysis!$P$2:$Q$441,ROWS(Data!$P$2:W399),COLUMNS(Data!$P$3:V400)),IF($Q$1=$P$5,INDEX(prem_analysis!$BH$1:$BS$23,ROWS(Data!$Q$3:W400),COLUMNS(Data!$Q$3:W400)),IF($Q$1=$P$6,INDEX(prem_analysis!$BU$1:$CF$67,ROWS(prem_analysis!$N$2:T399),COLUMNS(prem_analysis!$N$2:T399)),IF($Q$1=$P$4,INDEX(Table24[[#All],[Year]:[Details]],ROWS(prem_analysis!$M$420:S817),COLUMNS(Data!$Q$3:W400)))))),"")</f>
        <v/>
      </c>
      <c r="Y399" s="1" t="str">
        <f>IFERROR(IF($Q$1=$P$3,INDEX(prem_analysis!$P$2:$Q$441,ROWS(Data!$P$2:X399),COLUMNS(Data!$P$3:W400)),IF($Q$1=$P$5,INDEX(prem_analysis!$BH$1:$BS$23,ROWS(Data!$Q$3:X400),COLUMNS(Data!$Q$3:X400)),IF($Q$1=$P$6,INDEX(prem_analysis!$BU$1:$CF$67,ROWS(prem_analysis!$N$2:U399),COLUMNS(prem_analysis!$N$2:U399)),IF($Q$1=$P$4,INDEX(Table24[[#All],[Year]:[Details]],ROWS(prem_analysis!$M$420:T817),COLUMNS(Data!$Q$3:X400)))))),"")</f>
        <v/>
      </c>
      <c r="Z399" s="1" t="str">
        <f>IFERROR(IF($Q$1=$P$3,INDEX(prem_analysis!$P$2:$Q$441,ROWS(Data!$P$2:Y399),COLUMNS(Data!$P$3:X400)),IF($Q$1=$P$5,INDEX(prem_analysis!$BH$1:$BS$23,ROWS(Data!$Q$3:Y400),COLUMNS(Data!$Q$3:Y400)),IF($Q$1=$P$6,INDEX(prem_analysis!$BU$1:$CF$67,ROWS(prem_analysis!$N$2:V399),COLUMNS(prem_analysis!$N$2:V399)),IF($Q$1=$P$4,INDEX(Table24[[#All],[Year]:[Details]],ROWS(prem_analysis!$M$420:U817),COLUMNS(Data!$Q$3:Y400)))))),"")</f>
        <v/>
      </c>
      <c r="AA399" s="1" t="str">
        <f>IFERROR(IF($Q$1=$P$3,INDEX(prem_analysis!$P$2:$Q$441,ROWS(Data!$P$2:Z399),COLUMNS(Data!$P$3:Y400)),IF($Q$1=$P$5,INDEX(prem_analysis!$BH$1:$BS$23,ROWS(Data!$Q$3:Z400),COLUMNS(Data!$Q$3:Z400)),IF($Q$1=$P$6,INDEX(prem_analysis!$BU$1:$CF$67,ROWS(prem_analysis!$N$2:W399),COLUMNS(prem_analysis!$N$2:W399)),IF($Q$1=$P$4,INDEX(Table24[[#All],[Year]:[Details]],ROWS(prem_analysis!$M$420:V817),COLUMNS(Data!$Q$3:Z400)))))),"")</f>
        <v/>
      </c>
      <c r="AB399" s="1" t="str">
        <f>IFERROR(IF($Q$1=$P$3,INDEX(prem_analysis!$P$2:$Q$441,ROWS(Data!$P$2:AA399),COLUMNS(Data!$P$3:Z400)),IF($Q$1=$P$5,INDEX(prem_analysis!$BH$1:$BS$23,ROWS(Data!$Q$3:AA400),COLUMNS(Data!$Q$3:AA400)),IF($Q$1=$P$6,INDEX(prem_analysis!$BU$1:$CF$67,ROWS(prem_analysis!$N$2:X399),COLUMNS(prem_analysis!$N$2:X399)),IF($Q$1=$P$4,INDEX(Table24[[#All],[Year]:[Details]],ROWS(prem_analysis!$M$420:W817),COLUMNS(Data!$Q$3:AA400)))))),"")</f>
        <v/>
      </c>
      <c r="AC399" s="1" t="str">
        <f>IFERROR(IF($Q$1=$P$3,INDEX(prem_analysis!$P$2:$Q$441,ROWS(Data!$P$2:AB399),COLUMNS(Data!$P$3:AA400)),IF($Q$1=$P$5,INDEX(prem_analysis!$BH$1:$BS$23,ROWS(Data!$Q$3:AB400),COLUMNS(Data!$Q$3:AB400)),IF($Q$1=$P$6,INDEX(prem_analysis!$BU$1:$CF$67,ROWS(prem_analysis!$N$2:Y399),COLUMNS(prem_analysis!$N$2:Y399)),IF($Q$1=$P$4,INDEX(Table24[[#All],[Year]:[Details]],ROWS(prem_analysis!$M$420:X817),COLUMNS(Data!$Q$3:AB400)))))),"")</f>
        <v/>
      </c>
    </row>
    <row r="400" spans="1:29" x14ac:dyDescent="0.2">
      <c r="A400" s="3">
        <v>2019</v>
      </c>
      <c r="B400" s="3">
        <v>19</v>
      </c>
      <c r="C400" s="4" t="s">
        <v>43</v>
      </c>
      <c r="D400" s="3">
        <v>38</v>
      </c>
      <c r="E400" s="3">
        <v>8</v>
      </c>
      <c r="F400" s="3">
        <v>10</v>
      </c>
      <c r="G400" s="3">
        <v>20</v>
      </c>
      <c r="H400" s="3">
        <v>36</v>
      </c>
      <c r="I400" s="3">
        <v>64</v>
      </c>
      <c r="J400" s="3">
        <v>-28</v>
      </c>
      <c r="K400" s="3">
        <v>34</v>
      </c>
      <c r="L400" s="5" t="str">
        <f>IF(Table24[[#This Row],['#]]=1,"Champion", IF(Table24[[#This Row],['#]]&gt;=18,"Relegated",Table24[[#This Row],['#]]))</f>
        <v>Relegated</v>
      </c>
      <c r="M400" s="5" t="str">
        <f>IF(Table24[[#This Row],[Details]]=2,K399-Table24[[#This Row],[Pts]],IF(Table24[[#This Row],[Details]]=17,Table24[[#This Row],[Pts]]-K401,""))</f>
        <v/>
      </c>
      <c r="R400" s="1" t="str">
        <f>IFERROR(IF($Q$1=$P$3,INDEX(prem_analysis!$P$2:$Q$441,ROWS(Data!$P$2:Q400),COLUMNS(Data!$P$3:P401)),IF($Q$1=$P$5,INDEX(prem_analysis!$BH$1:$BS$23,ROWS(Data!$Q$3:Q401),COLUMNS(Data!$Q$3:Q401)),IF($Q$1=$P$6,INDEX(prem_analysis!$BU$1:$CF$67,ROWS(prem_analysis!$N$2:N400),COLUMNS(prem_analysis!$N$2:N400)),IF($Q$1=$P$4,INDEX(Table24[[#All],[Year]:[Details]],ROWS(prem_analysis!$M$420:M818),COLUMNS(Data!$Q$3:Q401)))))),"")</f>
        <v/>
      </c>
      <c r="S400" s="1" t="str">
        <f>IFERROR(IF($Q$1=$P$3,INDEX(prem_analysis!$P$2:$Q$441,ROWS(Data!$P$2:R400),COLUMNS(Data!$P$3:Q401)),IF($Q$1=$P$5,INDEX(prem_analysis!$BH$1:$BS$23,ROWS(Data!$Q$3:R401),COLUMNS(Data!$Q$3:R401)),IF($Q$1=$P$6,INDEX(prem_analysis!$BU$1:$CF$67,ROWS(prem_analysis!$N$2:O400),COLUMNS(prem_analysis!$N$2:O400)),IF($Q$1=$P$4,INDEX(Table24[[#All],[Year]:[Details]],ROWS(prem_analysis!$M$420:N818),COLUMNS(Data!$Q$3:R401)))))),"")</f>
        <v/>
      </c>
      <c r="T400" s="1" t="str">
        <f>IFERROR(IF($Q$1=$P$3,INDEX(prem_analysis!$P$2:$Q$441,ROWS(Data!$P$2:S400),COLUMNS(Data!$P$3:R401)),IF($Q$1=$P$5,INDEX(prem_analysis!$BH$1:$BS$23,ROWS(Data!$Q$3:S401),COLUMNS(Data!$Q$3:S401)),IF($Q$1=$P$6,INDEX(prem_analysis!$BU$1:$CF$67,ROWS(prem_analysis!$N$2:P400),COLUMNS(prem_analysis!$N$2:P400)),IF($Q$1=$P$4,INDEX(Table24[[#All],[Year]:[Details]],ROWS(prem_analysis!$M$420:O818),COLUMNS(Data!$Q$3:S401)))))),"")</f>
        <v/>
      </c>
      <c r="U400" s="1" t="str">
        <f>IFERROR(IF($Q$1=$P$3,INDEX(prem_analysis!$P$2:$Q$441,ROWS(Data!$P$2:T400),COLUMNS(Data!$P$3:S401)),IF($Q$1=$P$5,INDEX(prem_analysis!$BH$1:$BS$23,ROWS(Data!$Q$3:T401),COLUMNS(Data!$Q$3:T401)),IF($Q$1=$P$6,INDEX(prem_analysis!$BU$1:$CF$67,ROWS(prem_analysis!$N$2:Q400),COLUMNS(prem_analysis!$N$2:Q400)),IF($Q$1=$P$4,INDEX(Table24[[#All],[Year]:[Details]],ROWS(prem_analysis!$M$420:P818),COLUMNS(Data!$Q$3:T401)))))),"")</f>
        <v/>
      </c>
      <c r="V400" s="1" t="str">
        <f>IFERROR(IF($Q$1=$P$3,INDEX(prem_analysis!$P$2:$Q$441,ROWS(Data!$P$2:U400),COLUMNS(Data!$P$3:T401)),IF($Q$1=$P$5,INDEX(prem_analysis!$BH$1:$BS$23,ROWS(Data!$Q$3:U401),COLUMNS(Data!$Q$3:U401)),IF($Q$1=$P$6,INDEX(prem_analysis!$BU$1:$CF$67,ROWS(prem_analysis!$N$2:R400),COLUMNS(prem_analysis!$N$2:R400)),IF($Q$1=$P$4,INDEX(Table24[[#All],[Year]:[Details]],ROWS(prem_analysis!$M$420:Q818),COLUMNS(Data!$Q$3:U401)))))),"")</f>
        <v/>
      </c>
      <c r="W400" s="1" t="str">
        <f>IFERROR(IF($Q$1=$P$3,INDEX(prem_analysis!$P$2:$Q$441,ROWS(Data!$P$2:V400),COLUMNS(Data!$P$3:U401)),IF($Q$1=$P$5,INDEX(prem_analysis!$BH$1:$BS$23,ROWS(Data!$Q$3:V401),COLUMNS(Data!$Q$3:V401)),IF($Q$1=$P$6,INDEX(prem_analysis!$BU$1:$CF$67,ROWS(prem_analysis!$N$2:S400),COLUMNS(prem_analysis!$N$2:S400)),IF($Q$1=$P$4,INDEX(Table24[[#All],[Year]:[Details]],ROWS(prem_analysis!$M$420:R818),COLUMNS(Data!$Q$3:V401)))))),"")</f>
        <v/>
      </c>
      <c r="X400" s="1" t="str">
        <f>IFERROR(IF($Q$1=$P$3,INDEX(prem_analysis!$P$2:$Q$441,ROWS(Data!$P$2:W400),COLUMNS(Data!$P$3:V401)),IF($Q$1=$P$5,INDEX(prem_analysis!$BH$1:$BS$23,ROWS(Data!$Q$3:W401),COLUMNS(Data!$Q$3:W401)),IF($Q$1=$P$6,INDEX(prem_analysis!$BU$1:$CF$67,ROWS(prem_analysis!$N$2:T400),COLUMNS(prem_analysis!$N$2:T400)),IF($Q$1=$P$4,INDEX(Table24[[#All],[Year]:[Details]],ROWS(prem_analysis!$M$420:S818),COLUMNS(Data!$Q$3:W401)))))),"")</f>
        <v/>
      </c>
      <c r="Y400" s="1" t="str">
        <f>IFERROR(IF($Q$1=$P$3,INDEX(prem_analysis!$P$2:$Q$441,ROWS(Data!$P$2:X400),COLUMNS(Data!$P$3:W401)),IF($Q$1=$P$5,INDEX(prem_analysis!$BH$1:$BS$23,ROWS(Data!$Q$3:X401),COLUMNS(Data!$Q$3:X401)),IF($Q$1=$P$6,INDEX(prem_analysis!$BU$1:$CF$67,ROWS(prem_analysis!$N$2:U400),COLUMNS(prem_analysis!$N$2:U400)),IF($Q$1=$P$4,INDEX(Table24[[#All],[Year]:[Details]],ROWS(prem_analysis!$M$420:T818),COLUMNS(Data!$Q$3:X401)))))),"")</f>
        <v/>
      </c>
      <c r="Z400" s="1" t="str">
        <f>IFERROR(IF($Q$1=$P$3,INDEX(prem_analysis!$P$2:$Q$441,ROWS(Data!$P$2:Y400),COLUMNS(Data!$P$3:X401)),IF($Q$1=$P$5,INDEX(prem_analysis!$BH$1:$BS$23,ROWS(Data!$Q$3:Y401),COLUMNS(Data!$Q$3:Y401)),IF($Q$1=$P$6,INDEX(prem_analysis!$BU$1:$CF$67,ROWS(prem_analysis!$N$2:V400),COLUMNS(prem_analysis!$N$2:V400)),IF($Q$1=$P$4,INDEX(Table24[[#All],[Year]:[Details]],ROWS(prem_analysis!$M$420:U818),COLUMNS(Data!$Q$3:Y401)))))),"")</f>
        <v/>
      </c>
      <c r="AA400" s="1" t="str">
        <f>IFERROR(IF($Q$1=$P$3,INDEX(prem_analysis!$P$2:$Q$441,ROWS(Data!$P$2:Z400),COLUMNS(Data!$P$3:Y401)),IF($Q$1=$P$5,INDEX(prem_analysis!$BH$1:$BS$23,ROWS(Data!$Q$3:Z401),COLUMNS(Data!$Q$3:Z401)),IF($Q$1=$P$6,INDEX(prem_analysis!$BU$1:$CF$67,ROWS(prem_analysis!$N$2:W400),COLUMNS(prem_analysis!$N$2:W400)),IF($Q$1=$P$4,INDEX(Table24[[#All],[Year]:[Details]],ROWS(prem_analysis!$M$420:V818),COLUMNS(Data!$Q$3:Z401)))))),"")</f>
        <v/>
      </c>
      <c r="AB400" s="1" t="str">
        <f>IFERROR(IF($Q$1=$P$3,INDEX(prem_analysis!$P$2:$Q$441,ROWS(Data!$P$2:AA400),COLUMNS(Data!$P$3:Z401)),IF($Q$1=$P$5,INDEX(prem_analysis!$BH$1:$BS$23,ROWS(Data!$Q$3:AA401),COLUMNS(Data!$Q$3:AA401)),IF($Q$1=$P$6,INDEX(prem_analysis!$BU$1:$CF$67,ROWS(prem_analysis!$N$2:X400),COLUMNS(prem_analysis!$N$2:X400)),IF($Q$1=$P$4,INDEX(Table24[[#All],[Year]:[Details]],ROWS(prem_analysis!$M$420:W818),COLUMNS(Data!$Q$3:AA401)))))),"")</f>
        <v/>
      </c>
      <c r="AC400" s="1" t="str">
        <f>IFERROR(IF($Q$1=$P$3,INDEX(prem_analysis!$P$2:$Q$441,ROWS(Data!$P$2:AB400),COLUMNS(Data!$P$3:AA401)),IF($Q$1=$P$5,INDEX(prem_analysis!$BH$1:$BS$23,ROWS(Data!$Q$3:AB401),COLUMNS(Data!$Q$3:AB401)),IF($Q$1=$P$6,INDEX(prem_analysis!$BU$1:$CF$67,ROWS(prem_analysis!$N$2:Y400),COLUMNS(prem_analysis!$N$2:Y400)),IF($Q$1=$P$4,INDEX(Table24[[#All],[Year]:[Details]],ROWS(prem_analysis!$M$420:X818),COLUMNS(Data!$Q$3:AB401)))))),"")</f>
        <v/>
      </c>
    </row>
    <row r="401" spans="1:29" x14ac:dyDescent="0.2">
      <c r="A401" s="5">
        <v>2019</v>
      </c>
      <c r="B401" s="5">
        <v>20</v>
      </c>
      <c r="C401" s="6" t="s">
        <v>39</v>
      </c>
      <c r="D401" s="5">
        <v>38</v>
      </c>
      <c r="E401" s="5">
        <v>5</v>
      </c>
      <c r="F401" s="5">
        <v>6</v>
      </c>
      <c r="G401" s="5">
        <v>27</v>
      </c>
      <c r="H401" s="5">
        <v>26</v>
      </c>
      <c r="I401" s="5">
        <v>75</v>
      </c>
      <c r="J401" s="5">
        <v>-49</v>
      </c>
      <c r="K401" s="5">
        <v>21</v>
      </c>
      <c r="L401" s="5" t="str">
        <f>IF(Table24[[#This Row],['#]]=1,"Champion", IF(Table24[[#This Row],['#]]&gt;=18,"Relegated",Table24[[#This Row],['#]]))</f>
        <v>Relegated</v>
      </c>
      <c r="M401" s="5" t="str">
        <f>IF(Table24[[#This Row],[Details]]=2,K400-Table24[[#This Row],[Pts]],IF(Table24[[#This Row],[Details]]=17,Table24[[#This Row],[Pts]]-K402,""))</f>
        <v/>
      </c>
      <c r="R401" s="1" t="str">
        <f>IFERROR(IF($Q$1=$P$3,INDEX(prem_analysis!$P$2:$Q$441,ROWS(Data!$P$2:Q401),COLUMNS(Data!$P$3:P402)),IF($Q$1=$P$5,INDEX(prem_analysis!$BH$1:$BS$23,ROWS(Data!$Q$3:Q402),COLUMNS(Data!$Q$3:Q402)),IF($Q$1=$P$6,INDEX(prem_analysis!$BU$1:$CF$67,ROWS(prem_analysis!$N$2:N401),COLUMNS(prem_analysis!$N$2:N401)),IF($Q$1=$P$4,INDEX(Table24[[#All],[Year]:[Details]],ROWS(prem_analysis!$M$420:M819),COLUMNS(Data!$Q$3:Q402)))))),"")</f>
        <v/>
      </c>
      <c r="S401" s="1" t="str">
        <f>IFERROR(IF($Q$1=$P$3,INDEX(prem_analysis!$P$2:$Q$441,ROWS(Data!$P$2:R401),COLUMNS(Data!$P$3:Q402)),IF($Q$1=$P$5,INDEX(prem_analysis!$BH$1:$BS$23,ROWS(Data!$Q$3:R402),COLUMNS(Data!$Q$3:R402)),IF($Q$1=$P$6,INDEX(prem_analysis!$BU$1:$CF$67,ROWS(prem_analysis!$N$2:O401),COLUMNS(prem_analysis!$N$2:O401)),IF($Q$1=$P$4,INDEX(Table24[[#All],[Year]:[Details]],ROWS(prem_analysis!$M$420:N819),COLUMNS(Data!$Q$3:R402)))))),"")</f>
        <v/>
      </c>
      <c r="T401" s="1" t="str">
        <f>IFERROR(IF($Q$1=$P$3,INDEX(prem_analysis!$P$2:$Q$441,ROWS(Data!$P$2:S401),COLUMNS(Data!$P$3:R402)),IF($Q$1=$P$5,INDEX(prem_analysis!$BH$1:$BS$23,ROWS(Data!$Q$3:S402),COLUMNS(Data!$Q$3:S402)),IF($Q$1=$P$6,INDEX(prem_analysis!$BU$1:$CF$67,ROWS(prem_analysis!$N$2:P401),COLUMNS(prem_analysis!$N$2:P401)),IF($Q$1=$P$4,INDEX(Table24[[#All],[Year]:[Details]],ROWS(prem_analysis!$M$420:O819),COLUMNS(Data!$Q$3:S402)))))),"")</f>
        <v/>
      </c>
      <c r="U401" s="1" t="str">
        <f>IFERROR(IF($Q$1=$P$3,INDEX(prem_analysis!$P$2:$Q$441,ROWS(Data!$P$2:T401),COLUMNS(Data!$P$3:S402)),IF($Q$1=$P$5,INDEX(prem_analysis!$BH$1:$BS$23,ROWS(Data!$Q$3:T402),COLUMNS(Data!$Q$3:T402)),IF($Q$1=$P$6,INDEX(prem_analysis!$BU$1:$CF$67,ROWS(prem_analysis!$N$2:Q401),COLUMNS(prem_analysis!$N$2:Q401)),IF($Q$1=$P$4,INDEX(Table24[[#All],[Year]:[Details]],ROWS(prem_analysis!$M$420:P819),COLUMNS(Data!$Q$3:T402)))))),"")</f>
        <v/>
      </c>
      <c r="V401" s="1" t="str">
        <f>IFERROR(IF($Q$1=$P$3,INDEX(prem_analysis!$P$2:$Q$441,ROWS(Data!$P$2:U401),COLUMNS(Data!$P$3:T402)),IF($Q$1=$P$5,INDEX(prem_analysis!$BH$1:$BS$23,ROWS(Data!$Q$3:U402),COLUMNS(Data!$Q$3:U402)),IF($Q$1=$P$6,INDEX(prem_analysis!$BU$1:$CF$67,ROWS(prem_analysis!$N$2:R401),COLUMNS(prem_analysis!$N$2:R401)),IF($Q$1=$P$4,INDEX(Table24[[#All],[Year]:[Details]],ROWS(prem_analysis!$M$420:Q819),COLUMNS(Data!$Q$3:U402)))))),"")</f>
        <v/>
      </c>
      <c r="W401" s="1" t="str">
        <f>IFERROR(IF($Q$1=$P$3,INDEX(prem_analysis!$P$2:$Q$441,ROWS(Data!$P$2:V401),COLUMNS(Data!$P$3:U402)),IF($Q$1=$P$5,INDEX(prem_analysis!$BH$1:$BS$23,ROWS(Data!$Q$3:V402),COLUMNS(Data!$Q$3:V402)),IF($Q$1=$P$6,INDEX(prem_analysis!$BU$1:$CF$67,ROWS(prem_analysis!$N$2:S401),COLUMNS(prem_analysis!$N$2:S401)),IF($Q$1=$P$4,INDEX(Table24[[#All],[Year]:[Details]],ROWS(prem_analysis!$M$420:R819),COLUMNS(Data!$Q$3:V402)))))),"")</f>
        <v/>
      </c>
      <c r="X401" s="1" t="str">
        <f>IFERROR(IF($Q$1=$P$3,INDEX(prem_analysis!$P$2:$Q$441,ROWS(Data!$P$2:W401),COLUMNS(Data!$P$3:V402)),IF($Q$1=$P$5,INDEX(prem_analysis!$BH$1:$BS$23,ROWS(Data!$Q$3:W402),COLUMNS(Data!$Q$3:W402)),IF($Q$1=$P$6,INDEX(prem_analysis!$BU$1:$CF$67,ROWS(prem_analysis!$N$2:T401),COLUMNS(prem_analysis!$N$2:T401)),IF($Q$1=$P$4,INDEX(Table24[[#All],[Year]:[Details]],ROWS(prem_analysis!$M$420:S819),COLUMNS(Data!$Q$3:W402)))))),"")</f>
        <v/>
      </c>
      <c r="Y401" s="1" t="str">
        <f>IFERROR(IF($Q$1=$P$3,INDEX(prem_analysis!$P$2:$Q$441,ROWS(Data!$P$2:X401),COLUMNS(Data!$P$3:W402)),IF($Q$1=$P$5,INDEX(prem_analysis!$BH$1:$BS$23,ROWS(Data!$Q$3:X402),COLUMNS(Data!$Q$3:X402)),IF($Q$1=$P$6,INDEX(prem_analysis!$BU$1:$CF$67,ROWS(prem_analysis!$N$2:U401),COLUMNS(prem_analysis!$N$2:U401)),IF($Q$1=$P$4,INDEX(Table24[[#All],[Year]:[Details]],ROWS(prem_analysis!$M$420:T819),COLUMNS(Data!$Q$3:X402)))))),"")</f>
        <v/>
      </c>
      <c r="Z401" s="1" t="str">
        <f>IFERROR(IF($Q$1=$P$3,INDEX(prem_analysis!$P$2:$Q$441,ROWS(Data!$P$2:Y401),COLUMNS(Data!$P$3:X402)),IF($Q$1=$P$5,INDEX(prem_analysis!$BH$1:$BS$23,ROWS(Data!$Q$3:Y402),COLUMNS(Data!$Q$3:Y402)),IF($Q$1=$P$6,INDEX(prem_analysis!$BU$1:$CF$67,ROWS(prem_analysis!$N$2:V401),COLUMNS(prem_analysis!$N$2:V401)),IF($Q$1=$P$4,INDEX(Table24[[#All],[Year]:[Details]],ROWS(prem_analysis!$M$420:U819),COLUMNS(Data!$Q$3:Y402)))))),"")</f>
        <v/>
      </c>
      <c r="AA401" s="1" t="str">
        <f>IFERROR(IF($Q$1=$P$3,INDEX(prem_analysis!$P$2:$Q$441,ROWS(Data!$P$2:Z401),COLUMNS(Data!$P$3:Y402)),IF($Q$1=$P$5,INDEX(prem_analysis!$BH$1:$BS$23,ROWS(Data!$Q$3:Z402),COLUMNS(Data!$Q$3:Z402)),IF($Q$1=$P$6,INDEX(prem_analysis!$BU$1:$CF$67,ROWS(prem_analysis!$N$2:W401),COLUMNS(prem_analysis!$N$2:W401)),IF($Q$1=$P$4,INDEX(Table24[[#All],[Year]:[Details]],ROWS(prem_analysis!$M$420:V819),COLUMNS(Data!$Q$3:Z402)))))),"")</f>
        <v/>
      </c>
      <c r="AB401" s="1" t="str">
        <f>IFERROR(IF($Q$1=$P$3,INDEX(prem_analysis!$P$2:$Q$441,ROWS(Data!$P$2:AA401),COLUMNS(Data!$P$3:Z402)),IF($Q$1=$P$5,INDEX(prem_analysis!$BH$1:$BS$23,ROWS(Data!$Q$3:AA402),COLUMNS(Data!$Q$3:AA402)),IF($Q$1=$P$6,INDEX(prem_analysis!$BU$1:$CF$67,ROWS(prem_analysis!$N$2:X401),COLUMNS(prem_analysis!$N$2:X401)),IF($Q$1=$P$4,INDEX(Table24[[#All],[Year]:[Details]],ROWS(prem_analysis!$M$420:W819),COLUMNS(Data!$Q$3:AA402)))))),"")</f>
        <v/>
      </c>
      <c r="AC401" s="1" t="str">
        <f>IFERROR(IF($Q$1=$P$3,INDEX(prem_analysis!$P$2:$Q$441,ROWS(Data!$P$2:AB401),COLUMNS(Data!$P$3:AA402)),IF($Q$1=$P$5,INDEX(prem_analysis!$BH$1:$BS$23,ROWS(Data!$Q$3:AB402),COLUMNS(Data!$Q$3:AB402)),IF($Q$1=$P$6,INDEX(prem_analysis!$BU$1:$CF$67,ROWS(prem_analysis!$N$2:Y401),COLUMNS(prem_analysis!$N$2:Y401)),IF($Q$1=$P$4,INDEX(Table24[[#All],[Year]:[Details]],ROWS(prem_analysis!$M$420:X819),COLUMNS(Data!$Q$3:AB402)))))),"")</f>
        <v/>
      </c>
    </row>
    <row r="402" spans="1:29" x14ac:dyDescent="0.2">
      <c r="A402" s="3">
        <v>2020</v>
      </c>
      <c r="B402" s="3">
        <v>1</v>
      </c>
      <c r="C402" s="4" t="s">
        <v>28</v>
      </c>
      <c r="D402" s="3">
        <v>38</v>
      </c>
      <c r="E402" s="3">
        <v>27</v>
      </c>
      <c r="F402" s="3">
        <v>5</v>
      </c>
      <c r="G402" s="3">
        <v>6</v>
      </c>
      <c r="H402" s="3">
        <v>83</v>
      </c>
      <c r="I402" s="3">
        <v>32</v>
      </c>
      <c r="J402" s="3">
        <v>51</v>
      </c>
      <c r="K402" s="3">
        <v>86</v>
      </c>
      <c r="L402" s="5" t="str">
        <f>IF(Table24[[#This Row],['#]]=1,"Champion", IF(Table24[[#This Row],['#]]&gt;=18,"Relegated",Table24[[#This Row],['#]]))</f>
        <v>Champion</v>
      </c>
      <c r="M402" s="5" t="str">
        <f>IF(Table24[[#This Row],[Details]]=2,K401-Table24[[#This Row],[Pts]],IF(Table24[[#This Row],[Details]]=17,Table24[[#This Row],[Pts]]-K403,""))</f>
        <v/>
      </c>
      <c r="R402" s="1" t="str">
        <f>IFERROR(IF($Q$1=$P$3,INDEX(prem_analysis!$P$2:$Q$441,ROWS(Data!$P$2:Q402),COLUMNS(Data!$P$3:P403)),IF($Q$1=$P$5,INDEX(prem_analysis!$BH$1:$BS$23,ROWS(Data!$Q$3:Q403),COLUMNS(Data!$Q$3:Q403)),IF($Q$1=$P$6,INDEX(prem_analysis!$BU$1:$CF$67,ROWS(prem_analysis!$N$2:N402),COLUMNS(prem_analysis!$N$2:N402)),IF($Q$1=$P$4,INDEX(Table24[[#All],[Year]:[Details]],ROWS(prem_analysis!$M$420:M820),COLUMNS(Data!$Q$3:Q403)))))),"")</f>
        <v/>
      </c>
      <c r="S402" s="1" t="str">
        <f>IFERROR(IF($Q$1=$P$3,INDEX(prem_analysis!$P$2:$Q$441,ROWS(Data!$P$2:R402),COLUMNS(Data!$P$3:Q403)),IF($Q$1=$P$5,INDEX(prem_analysis!$BH$1:$BS$23,ROWS(Data!$Q$3:R403),COLUMNS(Data!$Q$3:R403)),IF($Q$1=$P$6,INDEX(prem_analysis!$BU$1:$CF$67,ROWS(prem_analysis!$N$2:O402),COLUMNS(prem_analysis!$N$2:O402)),IF($Q$1=$P$4,INDEX(Table24[[#All],[Year]:[Details]],ROWS(prem_analysis!$M$420:N820),COLUMNS(Data!$Q$3:R403)))))),"")</f>
        <v/>
      </c>
      <c r="T402" s="1" t="str">
        <f>IFERROR(IF($Q$1=$P$3,INDEX(prem_analysis!$P$2:$Q$441,ROWS(Data!$P$2:S402),COLUMNS(Data!$P$3:R403)),IF($Q$1=$P$5,INDEX(prem_analysis!$BH$1:$BS$23,ROWS(Data!$Q$3:S403),COLUMNS(Data!$Q$3:S403)),IF($Q$1=$P$6,INDEX(prem_analysis!$BU$1:$CF$67,ROWS(prem_analysis!$N$2:P402),COLUMNS(prem_analysis!$N$2:P402)),IF($Q$1=$P$4,INDEX(Table24[[#All],[Year]:[Details]],ROWS(prem_analysis!$M$420:O820),COLUMNS(Data!$Q$3:S403)))))),"")</f>
        <v/>
      </c>
      <c r="U402" s="1" t="str">
        <f>IFERROR(IF($Q$1=$P$3,INDEX(prem_analysis!$P$2:$Q$441,ROWS(Data!$P$2:T402),COLUMNS(Data!$P$3:S403)),IF($Q$1=$P$5,INDEX(prem_analysis!$BH$1:$BS$23,ROWS(Data!$Q$3:T403),COLUMNS(Data!$Q$3:T403)),IF($Q$1=$P$6,INDEX(prem_analysis!$BU$1:$CF$67,ROWS(prem_analysis!$N$2:Q402),COLUMNS(prem_analysis!$N$2:Q402)),IF($Q$1=$P$4,INDEX(Table24[[#All],[Year]:[Details]],ROWS(prem_analysis!$M$420:P820),COLUMNS(Data!$Q$3:T403)))))),"")</f>
        <v/>
      </c>
      <c r="V402" s="1" t="str">
        <f>IFERROR(IF($Q$1=$P$3,INDEX(prem_analysis!$P$2:$Q$441,ROWS(Data!$P$2:U402),COLUMNS(Data!$P$3:T403)),IF($Q$1=$P$5,INDEX(prem_analysis!$BH$1:$BS$23,ROWS(Data!$Q$3:U403),COLUMNS(Data!$Q$3:U403)),IF($Q$1=$P$6,INDEX(prem_analysis!$BU$1:$CF$67,ROWS(prem_analysis!$N$2:R402),COLUMNS(prem_analysis!$N$2:R402)),IF($Q$1=$P$4,INDEX(Table24[[#All],[Year]:[Details]],ROWS(prem_analysis!$M$420:Q820),COLUMNS(Data!$Q$3:U403)))))),"")</f>
        <v/>
      </c>
      <c r="W402" s="1" t="str">
        <f>IFERROR(IF($Q$1=$P$3,INDEX(prem_analysis!$P$2:$Q$441,ROWS(Data!$P$2:V402),COLUMNS(Data!$P$3:U403)),IF($Q$1=$P$5,INDEX(prem_analysis!$BH$1:$BS$23,ROWS(Data!$Q$3:V403),COLUMNS(Data!$Q$3:V403)),IF($Q$1=$P$6,INDEX(prem_analysis!$BU$1:$CF$67,ROWS(prem_analysis!$N$2:S402),COLUMNS(prem_analysis!$N$2:S402)),IF($Q$1=$P$4,INDEX(Table24[[#All],[Year]:[Details]],ROWS(prem_analysis!$M$420:R820),COLUMNS(Data!$Q$3:V403)))))),"")</f>
        <v/>
      </c>
      <c r="X402" s="1" t="str">
        <f>IFERROR(IF($Q$1=$P$3,INDEX(prem_analysis!$P$2:$Q$441,ROWS(Data!$P$2:W402),COLUMNS(Data!$P$3:V403)),IF($Q$1=$P$5,INDEX(prem_analysis!$BH$1:$BS$23,ROWS(Data!$Q$3:W403),COLUMNS(Data!$Q$3:W403)),IF($Q$1=$P$6,INDEX(prem_analysis!$BU$1:$CF$67,ROWS(prem_analysis!$N$2:T402),COLUMNS(prem_analysis!$N$2:T402)),IF($Q$1=$P$4,INDEX(Table24[[#All],[Year]:[Details]],ROWS(prem_analysis!$M$420:S820),COLUMNS(Data!$Q$3:W403)))))),"")</f>
        <v/>
      </c>
      <c r="Y402" s="1" t="str">
        <f>IFERROR(IF($Q$1=$P$3,INDEX(prem_analysis!$P$2:$Q$441,ROWS(Data!$P$2:X402),COLUMNS(Data!$P$3:W403)),IF($Q$1=$P$5,INDEX(prem_analysis!$BH$1:$BS$23,ROWS(Data!$Q$3:X403),COLUMNS(Data!$Q$3:X403)),IF($Q$1=$P$6,INDEX(prem_analysis!$BU$1:$CF$67,ROWS(prem_analysis!$N$2:U402),COLUMNS(prem_analysis!$N$2:U402)),IF($Q$1=$P$4,INDEX(Table24[[#All],[Year]:[Details]],ROWS(prem_analysis!$M$420:T820),COLUMNS(Data!$Q$3:X403)))))),"")</f>
        <v/>
      </c>
      <c r="Z402" s="1" t="str">
        <f>IFERROR(IF($Q$1=$P$3,INDEX(prem_analysis!$P$2:$Q$441,ROWS(Data!$P$2:Y402),COLUMNS(Data!$P$3:X403)),IF($Q$1=$P$5,INDEX(prem_analysis!$BH$1:$BS$23,ROWS(Data!$Q$3:Y403),COLUMNS(Data!$Q$3:Y403)),IF($Q$1=$P$6,INDEX(prem_analysis!$BU$1:$CF$67,ROWS(prem_analysis!$N$2:V402),COLUMNS(prem_analysis!$N$2:V402)),IF($Q$1=$P$4,INDEX(Table24[[#All],[Year]:[Details]],ROWS(prem_analysis!$M$420:U820),COLUMNS(Data!$Q$3:Y403)))))),"")</f>
        <v/>
      </c>
      <c r="AA402" s="1" t="str">
        <f>IFERROR(IF($Q$1=$P$3,INDEX(prem_analysis!$P$2:$Q$441,ROWS(Data!$P$2:Z402),COLUMNS(Data!$P$3:Y403)),IF($Q$1=$P$5,INDEX(prem_analysis!$BH$1:$BS$23,ROWS(Data!$Q$3:Z403),COLUMNS(Data!$Q$3:Z403)),IF($Q$1=$P$6,INDEX(prem_analysis!$BU$1:$CF$67,ROWS(prem_analysis!$N$2:W402),COLUMNS(prem_analysis!$N$2:W402)),IF($Q$1=$P$4,INDEX(Table24[[#All],[Year]:[Details]],ROWS(prem_analysis!$M$420:V820),COLUMNS(Data!$Q$3:Z403)))))),"")</f>
        <v/>
      </c>
      <c r="AB402" s="1" t="str">
        <f>IFERROR(IF($Q$1=$P$3,INDEX(prem_analysis!$P$2:$Q$441,ROWS(Data!$P$2:AA402),COLUMNS(Data!$P$3:Z403)),IF($Q$1=$P$5,INDEX(prem_analysis!$BH$1:$BS$23,ROWS(Data!$Q$3:AA403),COLUMNS(Data!$Q$3:AA403)),IF($Q$1=$P$6,INDEX(prem_analysis!$BU$1:$CF$67,ROWS(prem_analysis!$N$2:X402),COLUMNS(prem_analysis!$N$2:X402)),IF($Q$1=$P$4,INDEX(Table24[[#All],[Year]:[Details]],ROWS(prem_analysis!$M$420:W820),COLUMNS(Data!$Q$3:AA403)))))),"")</f>
        <v/>
      </c>
      <c r="AC402" s="1" t="str">
        <f>IFERROR(IF($Q$1=$P$3,INDEX(prem_analysis!$P$2:$Q$441,ROWS(Data!$P$2:AB402),COLUMNS(Data!$P$3:AA403)),IF($Q$1=$P$5,INDEX(prem_analysis!$BH$1:$BS$23,ROWS(Data!$Q$3:AB403),COLUMNS(Data!$Q$3:AB403)),IF($Q$1=$P$6,INDEX(prem_analysis!$BU$1:$CF$67,ROWS(prem_analysis!$N$2:Y402),COLUMNS(prem_analysis!$N$2:Y402)),IF($Q$1=$P$4,INDEX(Table24[[#All],[Year]:[Details]],ROWS(prem_analysis!$M$420:X820),COLUMNS(Data!$Q$3:AB403)))))),"")</f>
        <v/>
      </c>
    </row>
    <row r="403" spans="1:29" x14ac:dyDescent="0.2">
      <c r="A403" s="5">
        <v>2020</v>
      </c>
      <c r="B403" s="5">
        <v>2</v>
      </c>
      <c r="C403" s="6" t="s">
        <v>11</v>
      </c>
      <c r="D403" s="5">
        <v>38</v>
      </c>
      <c r="E403" s="5">
        <v>21</v>
      </c>
      <c r="F403" s="5">
        <v>11</v>
      </c>
      <c r="G403" s="5">
        <v>6</v>
      </c>
      <c r="H403" s="5">
        <v>73</v>
      </c>
      <c r="I403" s="5">
        <v>44</v>
      </c>
      <c r="J403" s="5">
        <v>29</v>
      </c>
      <c r="K403" s="5">
        <v>74</v>
      </c>
      <c r="L403" s="5">
        <f>IF(Table24[[#This Row],['#]]=1,"Champion", IF(Table24[[#This Row],['#]]&gt;=18,"Relegated",Table24[[#This Row],['#]]))</f>
        <v>2</v>
      </c>
      <c r="M403" s="5">
        <f>IF(Table24[[#This Row],[Details]]=2,K402-Table24[[#This Row],[Pts]],IF(Table24[[#This Row],[Details]]=17,Table24[[#This Row],[Pts]]-K404,""))</f>
        <v>12</v>
      </c>
      <c r="R403" s="1" t="str">
        <f>IFERROR(IF($Q$1=$P$3,INDEX(prem_analysis!$P$2:$Q$441,ROWS(Data!$P$2:Q403),COLUMNS(Data!$P$3:P404)),IF($Q$1=$P$5,INDEX(prem_analysis!$BH$1:$BS$23,ROWS(Data!$Q$3:Q404),COLUMNS(Data!$Q$3:Q404)),IF($Q$1=$P$6,INDEX(prem_analysis!$BU$1:$CF$67,ROWS(prem_analysis!$N$2:N403),COLUMNS(prem_analysis!$N$2:N403)),IF($Q$1=$P$4,INDEX(Table24[[#All],[Year]:[Details]],ROWS(prem_analysis!$M$420:M821),COLUMNS(Data!$Q$3:Q404)))))),"")</f>
        <v/>
      </c>
      <c r="S403" s="1" t="str">
        <f>IFERROR(IF($Q$1=$P$3,INDEX(prem_analysis!$P$2:$Q$441,ROWS(Data!$P$2:R403),COLUMNS(Data!$P$3:Q404)),IF($Q$1=$P$5,INDEX(prem_analysis!$BH$1:$BS$23,ROWS(Data!$Q$3:R404),COLUMNS(Data!$Q$3:R404)),IF($Q$1=$P$6,INDEX(prem_analysis!$BU$1:$CF$67,ROWS(prem_analysis!$N$2:O403),COLUMNS(prem_analysis!$N$2:O403)),IF($Q$1=$P$4,INDEX(Table24[[#All],[Year]:[Details]],ROWS(prem_analysis!$M$420:N821),COLUMNS(Data!$Q$3:R404)))))),"")</f>
        <v/>
      </c>
      <c r="T403" s="1" t="str">
        <f>IFERROR(IF($Q$1=$P$3,INDEX(prem_analysis!$P$2:$Q$441,ROWS(Data!$P$2:S403),COLUMNS(Data!$P$3:R404)),IF($Q$1=$P$5,INDEX(prem_analysis!$BH$1:$BS$23,ROWS(Data!$Q$3:S404),COLUMNS(Data!$Q$3:S404)),IF($Q$1=$P$6,INDEX(prem_analysis!$BU$1:$CF$67,ROWS(prem_analysis!$N$2:P403),COLUMNS(prem_analysis!$N$2:P403)),IF($Q$1=$P$4,INDEX(Table24[[#All],[Year]:[Details]],ROWS(prem_analysis!$M$420:O821),COLUMNS(Data!$Q$3:S404)))))),"")</f>
        <v/>
      </c>
      <c r="U403" s="1" t="str">
        <f>IFERROR(IF($Q$1=$P$3,INDEX(prem_analysis!$P$2:$Q$441,ROWS(Data!$P$2:T403),COLUMNS(Data!$P$3:S404)),IF($Q$1=$P$5,INDEX(prem_analysis!$BH$1:$BS$23,ROWS(Data!$Q$3:T404),COLUMNS(Data!$Q$3:T404)),IF($Q$1=$P$6,INDEX(prem_analysis!$BU$1:$CF$67,ROWS(prem_analysis!$N$2:Q403),COLUMNS(prem_analysis!$N$2:Q403)),IF($Q$1=$P$4,INDEX(Table24[[#All],[Year]:[Details]],ROWS(prem_analysis!$M$420:P821),COLUMNS(Data!$Q$3:T404)))))),"")</f>
        <v/>
      </c>
      <c r="V403" s="1" t="str">
        <f>IFERROR(IF($Q$1=$P$3,INDEX(prem_analysis!$P$2:$Q$441,ROWS(Data!$P$2:U403),COLUMNS(Data!$P$3:T404)),IF($Q$1=$P$5,INDEX(prem_analysis!$BH$1:$BS$23,ROWS(Data!$Q$3:U404),COLUMNS(Data!$Q$3:U404)),IF($Q$1=$P$6,INDEX(prem_analysis!$BU$1:$CF$67,ROWS(prem_analysis!$N$2:R403),COLUMNS(prem_analysis!$N$2:R403)),IF($Q$1=$P$4,INDEX(Table24[[#All],[Year]:[Details]],ROWS(prem_analysis!$M$420:Q821),COLUMNS(Data!$Q$3:U404)))))),"")</f>
        <v/>
      </c>
      <c r="W403" s="1" t="str">
        <f>IFERROR(IF($Q$1=$P$3,INDEX(prem_analysis!$P$2:$Q$441,ROWS(Data!$P$2:V403),COLUMNS(Data!$P$3:U404)),IF($Q$1=$P$5,INDEX(prem_analysis!$BH$1:$BS$23,ROWS(Data!$Q$3:V404),COLUMNS(Data!$Q$3:V404)),IF($Q$1=$P$6,INDEX(prem_analysis!$BU$1:$CF$67,ROWS(prem_analysis!$N$2:S403),COLUMNS(prem_analysis!$N$2:S403)),IF($Q$1=$P$4,INDEX(Table24[[#All],[Year]:[Details]],ROWS(prem_analysis!$M$420:R821),COLUMNS(Data!$Q$3:V404)))))),"")</f>
        <v/>
      </c>
      <c r="X403" s="1" t="str">
        <f>IFERROR(IF($Q$1=$P$3,INDEX(prem_analysis!$P$2:$Q$441,ROWS(Data!$P$2:W403),COLUMNS(Data!$P$3:V404)),IF($Q$1=$P$5,INDEX(prem_analysis!$BH$1:$BS$23,ROWS(Data!$Q$3:W404),COLUMNS(Data!$Q$3:W404)),IF($Q$1=$P$6,INDEX(prem_analysis!$BU$1:$CF$67,ROWS(prem_analysis!$N$2:T403),COLUMNS(prem_analysis!$N$2:T403)),IF($Q$1=$P$4,INDEX(Table24[[#All],[Year]:[Details]],ROWS(prem_analysis!$M$420:S821),COLUMNS(Data!$Q$3:W404)))))),"")</f>
        <v/>
      </c>
      <c r="Y403" s="1" t="str">
        <f>IFERROR(IF($Q$1=$P$3,INDEX(prem_analysis!$P$2:$Q$441,ROWS(Data!$P$2:X403),COLUMNS(Data!$P$3:W404)),IF($Q$1=$P$5,INDEX(prem_analysis!$BH$1:$BS$23,ROWS(Data!$Q$3:X404),COLUMNS(Data!$Q$3:X404)),IF($Q$1=$P$6,INDEX(prem_analysis!$BU$1:$CF$67,ROWS(prem_analysis!$N$2:U403),COLUMNS(prem_analysis!$N$2:U403)),IF($Q$1=$P$4,INDEX(Table24[[#All],[Year]:[Details]],ROWS(prem_analysis!$M$420:T821),COLUMNS(Data!$Q$3:X404)))))),"")</f>
        <v/>
      </c>
      <c r="Z403" s="1" t="str">
        <f>IFERROR(IF($Q$1=$P$3,INDEX(prem_analysis!$P$2:$Q$441,ROWS(Data!$P$2:Y403),COLUMNS(Data!$P$3:X404)),IF($Q$1=$P$5,INDEX(prem_analysis!$BH$1:$BS$23,ROWS(Data!$Q$3:Y404),COLUMNS(Data!$Q$3:Y404)),IF($Q$1=$P$6,INDEX(prem_analysis!$BU$1:$CF$67,ROWS(prem_analysis!$N$2:V403),COLUMNS(prem_analysis!$N$2:V403)),IF($Q$1=$P$4,INDEX(Table24[[#All],[Year]:[Details]],ROWS(prem_analysis!$M$420:U821),COLUMNS(Data!$Q$3:Y404)))))),"")</f>
        <v/>
      </c>
      <c r="AA403" s="1" t="str">
        <f>IFERROR(IF($Q$1=$P$3,INDEX(prem_analysis!$P$2:$Q$441,ROWS(Data!$P$2:Z403),COLUMNS(Data!$P$3:Y404)),IF($Q$1=$P$5,INDEX(prem_analysis!$BH$1:$BS$23,ROWS(Data!$Q$3:Z404),COLUMNS(Data!$Q$3:Z404)),IF($Q$1=$P$6,INDEX(prem_analysis!$BU$1:$CF$67,ROWS(prem_analysis!$N$2:W403),COLUMNS(prem_analysis!$N$2:W403)),IF($Q$1=$P$4,INDEX(Table24[[#All],[Year]:[Details]],ROWS(prem_analysis!$M$420:V821),COLUMNS(Data!$Q$3:Z404)))))),"")</f>
        <v/>
      </c>
      <c r="AB403" s="1" t="str">
        <f>IFERROR(IF($Q$1=$P$3,INDEX(prem_analysis!$P$2:$Q$441,ROWS(Data!$P$2:AA403),COLUMNS(Data!$P$3:Z404)),IF($Q$1=$P$5,INDEX(prem_analysis!$BH$1:$BS$23,ROWS(Data!$Q$3:AA404),COLUMNS(Data!$Q$3:AA404)),IF($Q$1=$P$6,INDEX(prem_analysis!$BU$1:$CF$67,ROWS(prem_analysis!$N$2:X403),COLUMNS(prem_analysis!$N$2:X403)),IF($Q$1=$P$4,INDEX(Table24[[#All],[Year]:[Details]],ROWS(prem_analysis!$M$420:W821),COLUMNS(Data!$Q$3:AA404)))))),"")</f>
        <v/>
      </c>
      <c r="AC403" s="1" t="str">
        <f>IFERROR(IF($Q$1=$P$3,INDEX(prem_analysis!$P$2:$Q$441,ROWS(Data!$P$2:AB403),COLUMNS(Data!$P$3:AA404)),IF($Q$1=$P$5,INDEX(prem_analysis!$BH$1:$BS$23,ROWS(Data!$Q$3:AB404),COLUMNS(Data!$Q$3:AB404)),IF($Q$1=$P$6,INDEX(prem_analysis!$BU$1:$CF$67,ROWS(prem_analysis!$N$2:Y403),COLUMNS(prem_analysis!$N$2:Y403)),IF($Q$1=$P$4,INDEX(Table24[[#All],[Year]:[Details]],ROWS(prem_analysis!$M$420:X821),COLUMNS(Data!$Q$3:AB404)))))),"")</f>
        <v/>
      </c>
    </row>
    <row r="404" spans="1:29" x14ac:dyDescent="0.2">
      <c r="A404" s="3">
        <v>2020</v>
      </c>
      <c r="B404" s="3">
        <v>3</v>
      </c>
      <c r="C404" s="4" t="s">
        <v>13</v>
      </c>
      <c r="D404" s="3">
        <v>38</v>
      </c>
      <c r="E404" s="3">
        <v>20</v>
      </c>
      <c r="F404" s="3">
        <v>9</v>
      </c>
      <c r="G404" s="3">
        <v>9</v>
      </c>
      <c r="H404" s="3">
        <v>68</v>
      </c>
      <c r="I404" s="3">
        <v>42</v>
      </c>
      <c r="J404" s="3">
        <v>26</v>
      </c>
      <c r="K404" s="3">
        <v>69</v>
      </c>
      <c r="L404" s="5">
        <f>IF(Table24[[#This Row],['#]]=1,"Champion", IF(Table24[[#This Row],['#]]&gt;=18,"Relegated",Table24[[#This Row],['#]]))</f>
        <v>3</v>
      </c>
      <c r="M404" s="5" t="str">
        <f>IF(Table24[[#This Row],[Details]]=2,K403-Table24[[#This Row],[Pts]],IF(Table24[[#This Row],[Details]]=17,Table24[[#This Row],[Pts]]-K405,""))</f>
        <v/>
      </c>
      <c r="R404" s="1" t="str">
        <f>IFERROR(IF($Q$1=$P$3,INDEX(prem_analysis!$P$2:$Q$441,ROWS(Data!$P$2:Q404),COLUMNS(Data!$P$3:P405)),IF($Q$1=$P$5,INDEX(prem_analysis!$BH$1:$BS$23,ROWS(Data!$Q$3:Q405),COLUMNS(Data!$Q$3:Q405)),IF($Q$1=$P$6,INDEX(prem_analysis!$BU$1:$CF$67,ROWS(prem_analysis!$N$2:N404),COLUMNS(prem_analysis!$N$2:N404)),IF($Q$1=$P$4,INDEX(Table24[[#All],[Year]:[Details]],ROWS(prem_analysis!$M$420:M822),COLUMNS(Data!$Q$3:Q405)))))),"")</f>
        <v/>
      </c>
      <c r="S404" s="1" t="str">
        <f>IFERROR(IF($Q$1=$P$3,INDEX(prem_analysis!$P$2:$Q$441,ROWS(Data!$P$2:R404),COLUMNS(Data!$P$3:Q405)),IF($Q$1=$P$5,INDEX(prem_analysis!$BH$1:$BS$23,ROWS(Data!$Q$3:R405),COLUMNS(Data!$Q$3:R405)),IF($Q$1=$P$6,INDEX(prem_analysis!$BU$1:$CF$67,ROWS(prem_analysis!$N$2:O404),COLUMNS(prem_analysis!$N$2:O404)),IF($Q$1=$P$4,INDEX(Table24[[#All],[Year]:[Details]],ROWS(prem_analysis!$M$420:N822),COLUMNS(Data!$Q$3:R405)))))),"")</f>
        <v/>
      </c>
      <c r="T404" s="1" t="str">
        <f>IFERROR(IF($Q$1=$P$3,INDEX(prem_analysis!$P$2:$Q$441,ROWS(Data!$P$2:S404),COLUMNS(Data!$P$3:R405)),IF($Q$1=$P$5,INDEX(prem_analysis!$BH$1:$BS$23,ROWS(Data!$Q$3:S405),COLUMNS(Data!$Q$3:S405)),IF($Q$1=$P$6,INDEX(prem_analysis!$BU$1:$CF$67,ROWS(prem_analysis!$N$2:P404),COLUMNS(prem_analysis!$N$2:P404)),IF($Q$1=$P$4,INDEX(Table24[[#All],[Year]:[Details]],ROWS(prem_analysis!$M$420:O822),COLUMNS(Data!$Q$3:S405)))))),"")</f>
        <v/>
      </c>
      <c r="U404" s="1" t="str">
        <f>IFERROR(IF($Q$1=$P$3,INDEX(prem_analysis!$P$2:$Q$441,ROWS(Data!$P$2:T404),COLUMNS(Data!$P$3:S405)),IF($Q$1=$P$5,INDEX(prem_analysis!$BH$1:$BS$23,ROWS(Data!$Q$3:T405),COLUMNS(Data!$Q$3:T405)),IF($Q$1=$P$6,INDEX(prem_analysis!$BU$1:$CF$67,ROWS(prem_analysis!$N$2:Q404),COLUMNS(prem_analysis!$N$2:Q404)),IF($Q$1=$P$4,INDEX(Table24[[#All],[Year]:[Details]],ROWS(prem_analysis!$M$420:P822),COLUMNS(Data!$Q$3:T405)))))),"")</f>
        <v/>
      </c>
      <c r="V404" s="1" t="str">
        <f>IFERROR(IF($Q$1=$P$3,INDEX(prem_analysis!$P$2:$Q$441,ROWS(Data!$P$2:U404),COLUMNS(Data!$P$3:T405)),IF($Q$1=$P$5,INDEX(prem_analysis!$BH$1:$BS$23,ROWS(Data!$Q$3:U405),COLUMNS(Data!$Q$3:U405)),IF($Q$1=$P$6,INDEX(prem_analysis!$BU$1:$CF$67,ROWS(prem_analysis!$N$2:R404),COLUMNS(prem_analysis!$N$2:R404)),IF($Q$1=$P$4,INDEX(Table24[[#All],[Year]:[Details]],ROWS(prem_analysis!$M$420:Q822),COLUMNS(Data!$Q$3:U405)))))),"")</f>
        <v/>
      </c>
      <c r="W404" s="1" t="str">
        <f>IFERROR(IF($Q$1=$P$3,INDEX(prem_analysis!$P$2:$Q$441,ROWS(Data!$P$2:V404),COLUMNS(Data!$P$3:U405)),IF($Q$1=$P$5,INDEX(prem_analysis!$BH$1:$BS$23,ROWS(Data!$Q$3:V405),COLUMNS(Data!$Q$3:V405)),IF($Q$1=$P$6,INDEX(prem_analysis!$BU$1:$CF$67,ROWS(prem_analysis!$N$2:S404),COLUMNS(prem_analysis!$N$2:S404)),IF($Q$1=$P$4,INDEX(Table24[[#All],[Year]:[Details]],ROWS(prem_analysis!$M$420:R822),COLUMNS(Data!$Q$3:V405)))))),"")</f>
        <v/>
      </c>
      <c r="X404" s="1" t="str">
        <f>IFERROR(IF($Q$1=$P$3,INDEX(prem_analysis!$P$2:$Q$441,ROWS(Data!$P$2:W404),COLUMNS(Data!$P$3:V405)),IF($Q$1=$P$5,INDEX(prem_analysis!$BH$1:$BS$23,ROWS(Data!$Q$3:W405),COLUMNS(Data!$Q$3:W405)),IF($Q$1=$P$6,INDEX(prem_analysis!$BU$1:$CF$67,ROWS(prem_analysis!$N$2:T404),COLUMNS(prem_analysis!$N$2:T404)),IF($Q$1=$P$4,INDEX(Table24[[#All],[Year]:[Details]],ROWS(prem_analysis!$M$420:S822),COLUMNS(Data!$Q$3:W405)))))),"")</f>
        <v/>
      </c>
      <c r="Y404" s="1" t="str">
        <f>IFERROR(IF($Q$1=$P$3,INDEX(prem_analysis!$P$2:$Q$441,ROWS(Data!$P$2:X404),COLUMNS(Data!$P$3:W405)),IF($Q$1=$P$5,INDEX(prem_analysis!$BH$1:$BS$23,ROWS(Data!$Q$3:X405),COLUMNS(Data!$Q$3:X405)),IF($Q$1=$P$6,INDEX(prem_analysis!$BU$1:$CF$67,ROWS(prem_analysis!$N$2:U404),COLUMNS(prem_analysis!$N$2:U404)),IF($Q$1=$P$4,INDEX(Table24[[#All],[Year]:[Details]],ROWS(prem_analysis!$M$420:T822),COLUMNS(Data!$Q$3:X405)))))),"")</f>
        <v/>
      </c>
      <c r="Z404" s="1" t="str">
        <f>IFERROR(IF($Q$1=$P$3,INDEX(prem_analysis!$P$2:$Q$441,ROWS(Data!$P$2:Y404),COLUMNS(Data!$P$3:X405)),IF($Q$1=$P$5,INDEX(prem_analysis!$BH$1:$BS$23,ROWS(Data!$Q$3:Y405),COLUMNS(Data!$Q$3:Y405)),IF($Q$1=$P$6,INDEX(prem_analysis!$BU$1:$CF$67,ROWS(prem_analysis!$N$2:V404),COLUMNS(prem_analysis!$N$2:V404)),IF($Q$1=$P$4,INDEX(Table24[[#All],[Year]:[Details]],ROWS(prem_analysis!$M$420:U822),COLUMNS(Data!$Q$3:Y405)))))),"")</f>
        <v/>
      </c>
      <c r="AA404" s="1" t="str">
        <f>IFERROR(IF($Q$1=$P$3,INDEX(prem_analysis!$P$2:$Q$441,ROWS(Data!$P$2:Z404),COLUMNS(Data!$P$3:Y405)),IF($Q$1=$P$5,INDEX(prem_analysis!$BH$1:$BS$23,ROWS(Data!$Q$3:Z405),COLUMNS(Data!$Q$3:Z405)),IF($Q$1=$P$6,INDEX(prem_analysis!$BU$1:$CF$67,ROWS(prem_analysis!$N$2:W404),COLUMNS(prem_analysis!$N$2:W404)),IF($Q$1=$P$4,INDEX(Table24[[#All],[Year]:[Details]],ROWS(prem_analysis!$M$420:V822),COLUMNS(Data!$Q$3:Z405)))))),"")</f>
        <v/>
      </c>
      <c r="AB404" s="1" t="str">
        <f>IFERROR(IF($Q$1=$P$3,INDEX(prem_analysis!$P$2:$Q$441,ROWS(Data!$P$2:AA404),COLUMNS(Data!$P$3:Z405)),IF($Q$1=$P$5,INDEX(prem_analysis!$BH$1:$BS$23,ROWS(Data!$Q$3:AA405),COLUMNS(Data!$Q$3:AA405)),IF($Q$1=$P$6,INDEX(prem_analysis!$BU$1:$CF$67,ROWS(prem_analysis!$N$2:X404),COLUMNS(prem_analysis!$N$2:X404)),IF($Q$1=$P$4,INDEX(Table24[[#All],[Year]:[Details]],ROWS(prem_analysis!$M$420:W822),COLUMNS(Data!$Q$3:AA405)))))),"")</f>
        <v/>
      </c>
      <c r="AC404" s="1" t="str">
        <f>IFERROR(IF($Q$1=$P$3,INDEX(prem_analysis!$P$2:$Q$441,ROWS(Data!$P$2:AB404),COLUMNS(Data!$P$3:AA405)),IF($Q$1=$P$5,INDEX(prem_analysis!$BH$1:$BS$23,ROWS(Data!$Q$3:AB405),COLUMNS(Data!$Q$3:AB405)),IF($Q$1=$P$6,INDEX(prem_analysis!$BU$1:$CF$67,ROWS(prem_analysis!$N$2:Y404),COLUMNS(prem_analysis!$N$2:Y404)),IF($Q$1=$P$4,INDEX(Table24[[#All],[Year]:[Details]],ROWS(prem_analysis!$M$420:X822),COLUMNS(Data!$Q$3:AB405)))))),"")</f>
        <v/>
      </c>
    </row>
    <row r="405" spans="1:29" x14ac:dyDescent="0.2">
      <c r="A405" s="5">
        <v>2020</v>
      </c>
      <c r="B405" s="5">
        <v>4</v>
      </c>
      <c r="C405" s="6" t="s">
        <v>16</v>
      </c>
      <c r="D405" s="5">
        <v>38</v>
      </c>
      <c r="E405" s="5">
        <v>19</v>
      </c>
      <c r="F405" s="5">
        <v>10</v>
      </c>
      <c r="G405" s="5">
        <v>9</v>
      </c>
      <c r="H405" s="5">
        <v>58</v>
      </c>
      <c r="I405" s="5">
        <v>36</v>
      </c>
      <c r="J405" s="5">
        <v>22</v>
      </c>
      <c r="K405" s="5">
        <v>67</v>
      </c>
      <c r="L405" s="5">
        <f>IF(Table24[[#This Row],['#]]=1,"Champion", IF(Table24[[#This Row],['#]]&gt;=18,"Relegated",Table24[[#This Row],['#]]))</f>
        <v>4</v>
      </c>
      <c r="M405" s="5" t="str">
        <f>IF(Table24[[#This Row],[Details]]=2,K404-Table24[[#This Row],[Pts]],IF(Table24[[#This Row],[Details]]=17,Table24[[#This Row],[Pts]]-K406,""))</f>
        <v/>
      </c>
      <c r="R405" s="1" t="str">
        <f>IFERROR(IF($Q$1=$P$3,INDEX(prem_analysis!$P$2:$Q$441,ROWS(Data!$P$2:Q405),COLUMNS(Data!$P$3:P406)),IF($Q$1=$P$5,INDEX(prem_analysis!$BH$1:$BS$23,ROWS(Data!$Q$3:Q406),COLUMNS(Data!$Q$3:Q406)),IF($Q$1=$P$6,INDEX(prem_analysis!$BU$1:$CF$67,ROWS(prem_analysis!$N$2:N405),COLUMNS(prem_analysis!$N$2:N405)),IF($Q$1=$P$4,INDEX(Table24[[#All],[Year]:[Details]],ROWS(prem_analysis!$M$420:M823),COLUMNS(Data!$Q$3:Q406)))))),"")</f>
        <v/>
      </c>
      <c r="S405" s="1" t="str">
        <f>IFERROR(IF($Q$1=$P$3,INDEX(prem_analysis!$P$2:$Q$441,ROWS(Data!$P$2:R405),COLUMNS(Data!$P$3:Q406)),IF($Q$1=$P$5,INDEX(prem_analysis!$BH$1:$BS$23,ROWS(Data!$Q$3:R406),COLUMNS(Data!$Q$3:R406)),IF($Q$1=$P$6,INDEX(prem_analysis!$BU$1:$CF$67,ROWS(prem_analysis!$N$2:O405),COLUMNS(prem_analysis!$N$2:O405)),IF($Q$1=$P$4,INDEX(Table24[[#All],[Year]:[Details]],ROWS(prem_analysis!$M$420:N823),COLUMNS(Data!$Q$3:R406)))))),"")</f>
        <v/>
      </c>
      <c r="T405" s="1" t="str">
        <f>IFERROR(IF($Q$1=$P$3,INDEX(prem_analysis!$P$2:$Q$441,ROWS(Data!$P$2:S405),COLUMNS(Data!$P$3:R406)),IF($Q$1=$P$5,INDEX(prem_analysis!$BH$1:$BS$23,ROWS(Data!$Q$3:S406),COLUMNS(Data!$Q$3:S406)),IF($Q$1=$P$6,INDEX(prem_analysis!$BU$1:$CF$67,ROWS(prem_analysis!$N$2:P405),COLUMNS(prem_analysis!$N$2:P405)),IF($Q$1=$P$4,INDEX(Table24[[#All],[Year]:[Details]],ROWS(prem_analysis!$M$420:O823),COLUMNS(Data!$Q$3:S406)))))),"")</f>
        <v/>
      </c>
      <c r="U405" s="1" t="str">
        <f>IFERROR(IF($Q$1=$P$3,INDEX(prem_analysis!$P$2:$Q$441,ROWS(Data!$P$2:T405),COLUMNS(Data!$P$3:S406)),IF($Q$1=$P$5,INDEX(prem_analysis!$BH$1:$BS$23,ROWS(Data!$Q$3:T406),COLUMNS(Data!$Q$3:T406)),IF($Q$1=$P$6,INDEX(prem_analysis!$BU$1:$CF$67,ROWS(prem_analysis!$N$2:Q405),COLUMNS(prem_analysis!$N$2:Q405)),IF($Q$1=$P$4,INDEX(Table24[[#All],[Year]:[Details]],ROWS(prem_analysis!$M$420:P823),COLUMNS(Data!$Q$3:T406)))))),"")</f>
        <v/>
      </c>
      <c r="V405" s="1" t="str">
        <f>IFERROR(IF($Q$1=$P$3,INDEX(prem_analysis!$P$2:$Q$441,ROWS(Data!$P$2:U405),COLUMNS(Data!$P$3:T406)),IF($Q$1=$P$5,INDEX(prem_analysis!$BH$1:$BS$23,ROWS(Data!$Q$3:U406),COLUMNS(Data!$Q$3:U406)),IF($Q$1=$P$6,INDEX(prem_analysis!$BU$1:$CF$67,ROWS(prem_analysis!$N$2:R405),COLUMNS(prem_analysis!$N$2:R405)),IF($Q$1=$P$4,INDEX(Table24[[#All],[Year]:[Details]],ROWS(prem_analysis!$M$420:Q823),COLUMNS(Data!$Q$3:U406)))))),"")</f>
        <v/>
      </c>
      <c r="W405" s="1" t="str">
        <f>IFERROR(IF($Q$1=$P$3,INDEX(prem_analysis!$P$2:$Q$441,ROWS(Data!$P$2:V405),COLUMNS(Data!$P$3:U406)),IF($Q$1=$P$5,INDEX(prem_analysis!$BH$1:$BS$23,ROWS(Data!$Q$3:V406),COLUMNS(Data!$Q$3:V406)),IF($Q$1=$P$6,INDEX(prem_analysis!$BU$1:$CF$67,ROWS(prem_analysis!$N$2:S405),COLUMNS(prem_analysis!$N$2:S405)),IF($Q$1=$P$4,INDEX(Table24[[#All],[Year]:[Details]],ROWS(prem_analysis!$M$420:R823),COLUMNS(Data!$Q$3:V406)))))),"")</f>
        <v/>
      </c>
      <c r="X405" s="1" t="str">
        <f>IFERROR(IF($Q$1=$P$3,INDEX(prem_analysis!$P$2:$Q$441,ROWS(Data!$P$2:W405),COLUMNS(Data!$P$3:V406)),IF($Q$1=$P$5,INDEX(prem_analysis!$BH$1:$BS$23,ROWS(Data!$Q$3:W406),COLUMNS(Data!$Q$3:W406)),IF($Q$1=$P$6,INDEX(prem_analysis!$BU$1:$CF$67,ROWS(prem_analysis!$N$2:T405),COLUMNS(prem_analysis!$N$2:T405)),IF($Q$1=$P$4,INDEX(Table24[[#All],[Year]:[Details]],ROWS(prem_analysis!$M$420:S823),COLUMNS(Data!$Q$3:W406)))))),"")</f>
        <v/>
      </c>
      <c r="Y405" s="1" t="str">
        <f>IFERROR(IF($Q$1=$P$3,INDEX(prem_analysis!$P$2:$Q$441,ROWS(Data!$P$2:X405),COLUMNS(Data!$P$3:W406)),IF($Q$1=$P$5,INDEX(prem_analysis!$BH$1:$BS$23,ROWS(Data!$Q$3:X406),COLUMNS(Data!$Q$3:X406)),IF($Q$1=$P$6,INDEX(prem_analysis!$BU$1:$CF$67,ROWS(prem_analysis!$N$2:U405),COLUMNS(prem_analysis!$N$2:U405)),IF($Q$1=$P$4,INDEX(Table24[[#All],[Year]:[Details]],ROWS(prem_analysis!$M$420:T823),COLUMNS(Data!$Q$3:X406)))))),"")</f>
        <v/>
      </c>
      <c r="Z405" s="1" t="str">
        <f>IFERROR(IF($Q$1=$P$3,INDEX(prem_analysis!$P$2:$Q$441,ROWS(Data!$P$2:Y405),COLUMNS(Data!$P$3:X406)),IF($Q$1=$P$5,INDEX(prem_analysis!$BH$1:$BS$23,ROWS(Data!$Q$3:Y406),COLUMNS(Data!$Q$3:Y406)),IF($Q$1=$P$6,INDEX(prem_analysis!$BU$1:$CF$67,ROWS(prem_analysis!$N$2:V405),COLUMNS(prem_analysis!$N$2:V405)),IF($Q$1=$P$4,INDEX(Table24[[#All],[Year]:[Details]],ROWS(prem_analysis!$M$420:U823),COLUMNS(Data!$Q$3:Y406)))))),"")</f>
        <v/>
      </c>
      <c r="AA405" s="1" t="str">
        <f>IFERROR(IF($Q$1=$P$3,INDEX(prem_analysis!$P$2:$Q$441,ROWS(Data!$P$2:Z405),COLUMNS(Data!$P$3:Y406)),IF($Q$1=$P$5,INDEX(prem_analysis!$BH$1:$BS$23,ROWS(Data!$Q$3:Z406),COLUMNS(Data!$Q$3:Z406)),IF($Q$1=$P$6,INDEX(prem_analysis!$BU$1:$CF$67,ROWS(prem_analysis!$N$2:W405),COLUMNS(prem_analysis!$N$2:W405)),IF($Q$1=$P$4,INDEX(Table24[[#All],[Year]:[Details]],ROWS(prem_analysis!$M$420:V823),COLUMNS(Data!$Q$3:Z406)))))),"")</f>
        <v/>
      </c>
      <c r="AB405" s="1" t="str">
        <f>IFERROR(IF($Q$1=$P$3,INDEX(prem_analysis!$P$2:$Q$441,ROWS(Data!$P$2:AA405),COLUMNS(Data!$P$3:Z406)),IF($Q$1=$P$5,INDEX(prem_analysis!$BH$1:$BS$23,ROWS(Data!$Q$3:AA406),COLUMNS(Data!$Q$3:AA406)),IF($Q$1=$P$6,INDEX(prem_analysis!$BU$1:$CF$67,ROWS(prem_analysis!$N$2:X405),COLUMNS(prem_analysis!$N$2:X405)),IF($Q$1=$P$4,INDEX(Table24[[#All],[Year]:[Details]],ROWS(prem_analysis!$M$420:W823),COLUMNS(Data!$Q$3:AA406)))))),"")</f>
        <v/>
      </c>
      <c r="AC405" s="1" t="str">
        <f>IFERROR(IF($Q$1=$P$3,INDEX(prem_analysis!$P$2:$Q$441,ROWS(Data!$P$2:AB405),COLUMNS(Data!$P$3:AA406)),IF($Q$1=$P$5,INDEX(prem_analysis!$BH$1:$BS$23,ROWS(Data!$Q$3:AB406),COLUMNS(Data!$Q$3:AB406)),IF($Q$1=$P$6,INDEX(prem_analysis!$BU$1:$CF$67,ROWS(prem_analysis!$N$2:Y405),COLUMNS(prem_analysis!$N$2:Y405)),IF($Q$1=$P$4,INDEX(Table24[[#All],[Year]:[Details]],ROWS(prem_analysis!$M$420:X823),COLUMNS(Data!$Q$3:AB406)))))),"")</f>
        <v/>
      </c>
    </row>
    <row r="406" spans="1:29" x14ac:dyDescent="0.2">
      <c r="A406" s="3">
        <v>2020</v>
      </c>
      <c r="B406" s="3">
        <v>5</v>
      </c>
      <c r="C406" s="4" t="s">
        <v>23</v>
      </c>
      <c r="D406" s="3">
        <v>38</v>
      </c>
      <c r="E406" s="3">
        <v>20</v>
      </c>
      <c r="F406" s="3">
        <v>6</v>
      </c>
      <c r="G406" s="3">
        <v>12</v>
      </c>
      <c r="H406" s="3">
        <v>68</v>
      </c>
      <c r="I406" s="3">
        <v>50</v>
      </c>
      <c r="J406" s="3">
        <v>18</v>
      </c>
      <c r="K406" s="3">
        <v>66</v>
      </c>
      <c r="L406" s="5">
        <f>IF(Table24[[#This Row],['#]]=1,"Champion", IF(Table24[[#This Row],['#]]&gt;=18,"Relegated",Table24[[#This Row],['#]]))</f>
        <v>5</v>
      </c>
      <c r="M406" s="5" t="str">
        <f>IF(Table24[[#This Row],[Details]]=2,K405-Table24[[#This Row],[Pts]],IF(Table24[[#This Row],[Details]]=17,Table24[[#This Row],[Pts]]-K407,""))</f>
        <v/>
      </c>
      <c r="R406" s="1" t="str">
        <f>IFERROR(IF($Q$1=$P$3,INDEX(prem_analysis!$P$2:$Q$441,ROWS(Data!$P$2:Q406),COLUMNS(Data!$P$3:P407)),IF($Q$1=$P$5,INDEX(prem_analysis!$BH$1:$BS$23,ROWS(Data!$Q$3:Q407),COLUMNS(Data!$Q$3:Q407)),IF($Q$1=$P$6,INDEX(prem_analysis!$BU$1:$CF$67,ROWS(prem_analysis!$N$2:N406),COLUMNS(prem_analysis!$N$2:N406)),IF($Q$1=$P$4,INDEX(Table24[[#All],[Year]:[Details]],ROWS(prem_analysis!$M$420:M824),COLUMNS(Data!$Q$3:Q407)))))),"")</f>
        <v/>
      </c>
      <c r="S406" s="1" t="str">
        <f>IFERROR(IF($Q$1=$P$3,INDEX(prem_analysis!$P$2:$Q$441,ROWS(Data!$P$2:R406),COLUMNS(Data!$P$3:Q407)),IF($Q$1=$P$5,INDEX(prem_analysis!$BH$1:$BS$23,ROWS(Data!$Q$3:R407),COLUMNS(Data!$Q$3:R407)),IF($Q$1=$P$6,INDEX(prem_analysis!$BU$1:$CF$67,ROWS(prem_analysis!$N$2:O406),COLUMNS(prem_analysis!$N$2:O406)),IF($Q$1=$P$4,INDEX(Table24[[#All],[Year]:[Details]],ROWS(prem_analysis!$M$420:N824),COLUMNS(Data!$Q$3:R407)))))),"")</f>
        <v/>
      </c>
      <c r="T406" s="1" t="str">
        <f>IFERROR(IF($Q$1=$P$3,INDEX(prem_analysis!$P$2:$Q$441,ROWS(Data!$P$2:S406),COLUMNS(Data!$P$3:R407)),IF($Q$1=$P$5,INDEX(prem_analysis!$BH$1:$BS$23,ROWS(Data!$Q$3:S407),COLUMNS(Data!$Q$3:S407)),IF($Q$1=$P$6,INDEX(prem_analysis!$BU$1:$CF$67,ROWS(prem_analysis!$N$2:P406),COLUMNS(prem_analysis!$N$2:P406)),IF($Q$1=$P$4,INDEX(Table24[[#All],[Year]:[Details]],ROWS(prem_analysis!$M$420:O824),COLUMNS(Data!$Q$3:S407)))))),"")</f>
        <v/>
      </c>
      <c r="U406" s="1" t="str">
        <f>IFERROR(IF($Q$1=$P$3,INDEX(prem_analysis!$P$2:$Q$441,ROWS(Data!$P$2:T406),COLUMNS(Data!$P$3:S407)),IF($Q$1=$P$5,INDEX(prem_analysis!$BH$1:$BS$23,ROWS(Data!$Q$3:T407),COLUMNS(Data!$Q$3:T407)),IF($Q$1=$P$6,INDEX(prem_analysis!$BU$1:$CF$67,ROWS(prem_analysis!$N$2:Q406),COLUMNS(prem_analysis!$N$2:Q406)),IF($Q$1=$P$4,INDEX(Table24[[#All],[Year]:[Details]],ROWS(prem_analysis!$M$420:P824),COLUMNS(Data!$Q$3:T407)))))),"")</f>
        <v/>
      </c>
      <c r="V406" s="1" t="str">
        <f>IFERROR(IF($Q$1=$P$3,INDEX(prem_analysis!$P$2:$Q$441,ROWS(Data!$P$2:U406),COLUMNS(Data!$P$3:T407)),IF($Q$1=$P$5,INDEX(prem_analysis!$BH$1:$BS$23,ROWS(Data!$Q$3:U407),COLUMNS(Data!$Q$3:U407)),IF($Q$1=$P$6,INDEX(prem_analysis!$BU$1:$CF$67,ROWS(prem_analysis!$N$2:R406),COLUMNS(prem_analysis!$N$2:R406)),IF($Q$1=$P$4,INDEX(Table24[[#All],[Year]:[Details]],ROWS(prem_analysis!$M$420:Q824),COLUMNS(Data!$Q$3:U407)))))),"")</f>
        <v/>
      </c>
      <c r="W406" s="1" t="str">
        <f>IFERROR(IF($Q$1=$P$3,INDEX(prem_analysis!$P$2:$Q$441,ROWS(Data!$P$2:V406),COLUMNS(Data!$P$3:U407)),IF($Q$1=$P$5,INDEX(prem_analysis!$BH$1:$BS$23,ROWS(Data!$Q$3:V407),COLUMNS(Data!$Q$3:V407)),IF($Q$1=$P$6,INDEX(prem_analysis!$BU$1:$CF$67,ROWS(prem_analysis!$N$2:S406),COLUMNS(prem_analysis!$N$2:S406)),IF($Q$1=$P$4,INDEX(Table24[[#All],[Year]:[Details]],ROWS(prem_analysis!$M$420:R824),COLUMNS(Data!$Q$3:V407)))))),"")</f>
        <v/>
      </c>
      <c r="X406" s="1" t="str">
        <f>IFERROR(IF($Q$1=$P$3,INDEX(prem_analysis!$P$2:$Q$441,ROWS(Data!$P$2:W406),COLUMNS(Data!$P$3:V407)),IF($Q$1=$P$5,INDEX(prem_analysis!$BH$1:$BS$23,ROWS(Data!$Q$3:W407),COLUMNS(Data!$Q$3:W407)),IF($Q$1=$P$6,INDEX(prem_analysis!$BU$1:$CF$67,ROWS(prem_analysis!$N$2:T406),COLUMNS(prem_analysis!$N$2:T406)),IF($Q$1=$P$4,INDEX(Table24[[#All],[Year]:[Details]],ROWS(prem_analysis!$M$420:S824),COLUMNS(Data!$Q$3:W407)))))),"")</f>
        <v/>
      </c>
      <c r="Y406" s="1" t="str">
        <f>IFERROR(IF($Q$1=$P$3,INDEX(prem_analysis!$P$2:$Q$441,ROWS(Data!$P$2:X406),COLUMNS(Data!$P$3:W407)),IF($Q$1=$P$5,INDEX(prem_analysis!$BH$1:$BS$23,ROWS(Data!$Q$3:X407),COLUMNS(Data!$Q$3:X407)),IF($Q$1=$P$6,INDEX(prem_analysis!$BU$1:$CF$67,ROWS(prem_analysis!$N$2:U406),COLUMNS(prem_analysis!$N$2:U406)),IF($Q$1=$P$4,INDEX(Table24[[#All],[Year]:[Details]],ROWS(prem_analysis!$M$420:T824),COLUMNS(Data!$Q$3:X407)))))),"")</f>
        <v/>
      </c>
      <c r="Z406" s="1" t="str">
        <f>IFERROR(IF($Q$1=$P$3,INDEX(prem_analysis!$P$2:$Q$441,ROWS(Data!$P$2:Y406),COLUMNS(Data!$P$3:X407)),IF($Q$1=$P$5,INDEX(prem_analysis!$BH$1:$BS$23,ROWS(Data!$Q$3:Y407),COLUMNS(Data!$Q$3:Y407)),IF($Q$1=$P$6,INDEX(prem_analysis!$BU$1:$CF$67,ROWS(prem_analysis!$N$2:V406),COLUMNS(prem_analysis!$N$2:V406)),IF($Q$1=$P$4,INDEX(Table24[[#All],[Year]:[Details]],ROWS(prem_analysis!$M$420:U824),COLUMNS(Data!$Q$3:Y407)))))),"")</f>
        <v/>
      </c>
      <c r="AA406" s="1" t="str">
        <f>IFERROR(IF($Q$1=$P$3,INDEX(prem_analysis!$P$2:$Q$441,ROWS(Data!$P$2:Z406),COLUMNS(Data!$P$3:Y407)),IF($Q$1=$P$5,INDEX(prem_analysis!$BH$1:$BS$23,ROWS(Data!$Q$3:Z407),COLUMNS(Data!$Q$3:Z407)),IF($Q$1=$P$6,INDEX(prem_analysis!$BU$1:$CF$67,ROWS(prem_analysis!$N$2:W406),COLUMNS(prem_analysis!$N$2:W406)),IF($Q$1=$P$4,INDEX(Table24[[#All],[Year]:[Details]],ROWS(prem_analysis!$M$420:V824),COLUMNS(Data!$Q$3:Z407)))))),"")</f>
        <v/>
      </c>
      <c r="AB406" s="1" t="str">
        <f>IFERROR(IF($Q$1=$P$3,INDEX(prem_analysis!$P$2:$Q$441,ROWS(Data!$P$2:AA406),COLUMNS(Data!$P$3:Z407)),IF($Q$1=$P$5,INDEX(prem_analysis!$BH$1:$BS$23,ROWS(Data!$Q$3:AA407),COLUMNS(Data!$Q$3:AA407)),IF($Q$1=$P$6,INDEX(prem_analysis!$BU$1:$CF$67,ROWS(prem_analysis!$N$2:X406),COLUMNS(prem_analysis!$N$2:X406)),IF($Q$1=$P$4,INDEX(Table24[[#All],[Year]:[Details]],ROWS(prem_analysis!$M$420:W824),COLUMNS(Data!$Q$3:AA407)))))),"")</f>
        <v/>
      </c>
      <c r="AC406" s="1" t="str">
        <f>IFERROR(IF($Q$1=$P$3,INDEX(prem_analysis!$P$2:$Q$441,ROWS(Data!$P$2:AB406),COLUMNS(Data!$P$3:AA407)),IF($Q$1=$P$5,INDEX(prem_analysis!$BH$1:$BS$23,ROWS(Data!$Q$3:AB407),COLUMNS(Data!$Q$3:AB407)),IF($Q$1=$P$6,INDEX(prem_analysis!$BU$1:$CF$67,ROWS(prem_analysis!$N$2:Y406),COLUMNS(prem_analysis!$N$2:Y406)),IF($Q$1=$P$4,INDEX(Table24[[#All],[Year]:[Details]],ROWS(prem_analysis!$M$420:X824),COLUMNS(Data!$Q$3:AB407)))))),"")</f>
        <v/>
      </c>
    </row>
    <row r="407" spans="1:29" x14ac:dyDescent="0.2">
      <c r="A407" s="5">
        <v>2020</v>
      </c>
      <c r="B407" s="5">
        <v>6</v>
      </c>
      <c r="C407" s="6" t="s">
        <v>25</v>
      </c>
      <c r="D407" s="5">
        <v>38</v>
      </c>
      <c r="E407" s="5">
        <v>19</v>
      </c>
      <c r="F407" s="5">
        <v>8</v>
      </c>
      <c r="G407" s="5">
        <v>11</v>
      </c>
      <c r="H407" s="5">
        <v>62</v>
      </c>
      <c r="I407" s="5">
        <v>47</v>
      </c>
      <c r="J407" s="5">
        <v>15</v>
      </c>
      <c r="K407" s="5">
        <v>65</v>
      </c>
      <c r="L407" s="5">
        <f>IF(Table24[[#This Row],['#]]=1,"Champion", IF(Table24[[#This Row],['#]]&gt;=18,"Relegated",Table24[[#This Row],['#]]))</f>
        <v>6</v>
      </c>
      <c r="M407" s="5" t="str">
        <f>IF(Table24[[#This Row],[Details]]=2,K406-Table24[[#This Row],[Pts]],IF(Table24[[#This Row],[Details]]=17,Table24[[#This Row],[Pts]]-K408,""))</f>
        <v/>
      </c>
      <c r="R407" s="1" t="str">
        <f>IFERROR(IF($Q$1=$P$3,INDEX(prem_analysis!$P$2:$Q$441,ROWS(Data!$P$2:Q407),COLUMNS(Data!$P$3:P408)),IF($Q$1=$P$5,INDEX(prem_analysis!$BH$1:$BS$23,ROWS(Data!$Q$3:Q408),COLUMNS(Data!$Q$3:Q408)),IF($Q$1=$P$6,INDEX(prem_analysis!$BU$1:$CF$67,ROWS(prem_analysis!$N$2:N407),COLUMNS(prem_analysis!$N$2:N407)),IF($Q$1=$P$4,INDEX(Table24[[#All],[Year]:[Details]],ROWS(prem_analysis!$M$420:M825),COLUMNS(Data!$Q$3:Q408)))))),"")</f>
        <v/>
      </c>
      <c r="S407" s="1" t="str">
        <f>IFERROR(IF($Q$1=$P$3,INDEX(prem_analysis!$P$2:$Q$441,ROWS(Data!$P$2:R407),COLUMNS(Data!$P$3:Q408)),IF($Q$1=$P$5,INDEX(prem_analysis!$BH$1:$BS$23,ROWS(Data!$Q$3:R408),COLUMNS(Data!$Q$3:R408)),IF($Q$1=$P$6,INDEX(prem_analysis!$BU$1:$CF$67,ROWS(prem_analysis!$N$2:O407),COLUMNS(prem_analysis!$N$2:O407)),IF($Q$1=$P$4,INDEX(Table24[[#All],[Year]:[Details]],ROWS(prem_analysis!$M$420:N825),COLUMNS(Data!$Q$3:R408)))))),"")</f>
        <v/>
      </c>
      <c r="T407" s="1" t="str">
        <f>IFERROR(IF($Q$1=$P$3,INDEX(prem_analysis!$P$2:$Q$441,ROWS(Data!$P$2:S407),COLUMNS(Data!$P$3:R408)),IF($Q$1=$P$5,INDEX(prem_analysis!$BH$1:$BS$23,ROWS(Data!$Q$3:S408),COLUMNS(Data!$Q$3:S408)),IF($Q$1=$P$6,INDEX(prem_analysis!$BU$1:$CF$67,ROWS(prem_analysis!$N$2:P407),COLUMNS(prem_analysis!$N$2:P407)),IF($Q$1=$P$4,INDEX(Table24[[#All],[Year]:[Details]],ROWS(prem_analysis!$M$420:O825),COLUMNS(Data!$Q$3:S408)))))),"")</f>
        <v/>
      </c>
      <c r="U407" s="1" t="str">
        <f>IFERROR(IF($Q$1=$P$3,INDEX(prem_analysis!$P$2:$Q$441,ROWS(Data!$P$2:T407),COLUMNS(Data!$P$3:S408)),IF($Q$1=$P$5,INDEX(prem_analysis!$BH$1:$BS$23,ROWS(Data!$Q$3:T408),COLUMNS(Data!$Q$3:T408)),IF($Q$1=$P$6,INDEX(prem_analysis!$BU$1:$CF$67,ROWS(prem_analysis!$N$2:Q407),COLUMNS(prem_analysis!$N$2:Q407)),IF($Q$1=$P$4,INDEX(Table24[[#All],[Year]:[Details]],ROWS(prem_analysis!$M$420:P825),COLUMNS(Data!$Q$3:T408)))))),"")</f>
        <v/>
      </c>
      <c r="V407" s="1" t="str">
        <f>IFERROR(IF($Q$1=$P$3,INDEX(prem_analysis!$P$2:$Q$441,ROWS(Data!$P$2:U407),COLUMNS(Data!$P$3:T408)),IF($Q$1=$P$5,INDEX(prem_analysis!$BH$1:$BS$23,ROWS(Data!$Q$3:U408),COLUMNS(Data!$Q$3:U408)),IF($Q$1=$P$6,INDEX(prem_analysis!$BU$1:$CF$67,ROWS(prem_analysis!$N$2:R407),COLUMNS(prem_analysis!$N$2:R407)),IF($Q$1=$P$4,INDEX(Table24[[#All],[Year]:[Details]],ROWS(prem_analysis!$M$420:Q825),COLUMNS(Data!$Q$3:U408)))))),"")</f>
        <v/>
      </c>
      <c r="W407" s="1" t="str">
        <f>IFERROR(IF($Q$1=$P$3,INDEX(prem_analysis!$P$2:$Q$441,ROWS(Data!$P$2:V407),COLUMNS(Data!$P$3:U408)),IF($Q$1=$P$5,INDEX(prem_analysis!$BH$1:$BS$23,ROWS(Data!$Q$3:V408),COLUMNS(Data!$Q$3:V408)),IF($Q$1=$P$6,INDEX(prem_analysis!$BU$1:$CF$67,ROWS(prem_analysis!$N$2:S407),COLUMNS(prem_analysis!$N$2:S407)),IF($Q$1=$P$4,INDEX(Table24[[#All],[Year]:[Details]],ROWS(prem_analysis!$M$420:R825),COLUMNS(Data!$Q$3:V408)))))),"")</f>
        <v/>
      </c>
      <c r="X407" s="1" t="str">
        <f>IFERROR(IF($Q$1=$P$3,INDEX(prem_analysis!$P$2:$Q$441,ROWS(Data!$P$2:W407),COLUMNS(Data!$P$3:V408)),IF($Q$1=$P$5,INDEX(prem_analysis!$BH$1:$BS$23,ROWS(Data!$Q$3:W408),COLUMNS(Data!$Q$3:W408)),IF($Q$1=$P$6,INDEX(prem_analysis!$BU$1:$CF$67,ROWS(prem_analysis!$N$2:T407),COLUMNS(prem_analysis!$N$2:T407)),IF($Q$1=$P$4,INDEX(Table24[[#All],[Year]:[Details]],ROWS(prem_analysis!$M$420:S825),COLUMNS(Data!$Q$3:W408)))))),"")</f>
        <v/>
      </c>
      <c r="Y407" s="1" t="str">
        <f>IFERROR(IF($Q$1=$P$3,INDEX(prem_analysis!$P$2:$Q$441,ROWS(Data!$P$2:X407),COLUMNS(Data!$P$3:W408)),IF($Q$1=$P$5,INDEX(prem_analysis!$BH$1:$BS$23,ROWS(Data!$Q$3:X408),COLUMNS(Data!$Q$3:X408)),IF($Q$1=$P$6,INDEX(prem_analysis!$BU$1:$CF$67,ROWS(prem_analysis!$N$2:U407),COLUMNS(prem_analysis!$N$2:U407)),IF($Q$1=$P$4,INDEX(Table24[[#All],[Year]:[Details]],ROWS(prem_analysis!$M$420:T825),COLUMNS(Data!$Q$3:X408)))))),"")</f>
        <v/>
      </c>
      <c r="Z407" s="1" t="str">
        <f>IFERROR(IF($Q$1=$P$3,INDEX(prem_analysis!$P$2:$Q$441,ROWS(Data!$P$2:Y407),COLUMNS(Data!$P$3:X408)),IF($Q$1=$P$5,INDEX(prem_analysis!$BH$1:$BS$23,ROWS(Data!$Q$3:Y408),COLUMNS(Data!$Q$3:Y408)),IF($Q$1=$P$6,INDEX(prem_analysis!$BU$1:$CF$67,ROWS(prem_analysis!$N$2:V407),COLUMNS(prem_analysis!$N$2:V407)),IF($Q$1=$P$4,INDEX(Table24[[#All],[Year]:[Details]],ROWS(prem_analysis!$M$420:U825),COLUMNS(Data!$Q$3:Y408)))))),"")</f>
        <v/>
      </c>
      <c r="AA407" s="1" t="str">
        <f>IFERROR(IF($Q$1=$P$3,INDEX(prem_analysis!$P$2:$Q$441,ROWS(Data!$P$2:Z407),COLUMNS(Data!$P$3:Y408)),IF($Q$1=$P$5,INDEX(prem_analysis!$BH$1:$BS$23,ROWS(Data!$Q$3:Z408),COLUMNS(Data!$Q$3:Z408)),IF($Q$1=$P$6,INDEX(prem_analysis!$BU$1:$CF$67,ROWS(prem_analysis!$N$2:W407),COLUMNS(prem_analysis!$N$2:W407)),IF($Q$1=$P$4,INDEX(Table24[[#All],[Year]:[Details]],ROWS(prem_analysis!$M$420:V825),COLUMNS(Data!$Q$3:Z408)))))),"")</f>
        <v/>
      </c>
      <c r="AB407" s="1" t="str">
        <f>IFERROR(IF($Q$1=$P$3,INDEX(prem_analysis!$P$2:$Q$441,ROWS(Data!$P$2:AA407),COLUMNS(Data!$P$3:Z408)),IF($Q$1=$P$5,INDEX(prem_analysis!$BH$1:$BS$23,ROWS(Data!$Q$3:AA408),COLUMNS(Data!$Q$3:AA408)),IF($Q$1=$P$6,INDEX(prem_analysis!$BU$1:$CF$67,ROWS(prem_analysis!$N$2:X407),COLUMNS(prem_analysis!$N$2:X407)),IF($Q$1=$P$4,INDEX(Table24[[#All],[Year]:[Details]],ROWS(prem_analysis!$M$420:W825),COLUMNS(Data!$Q$3:AA408)))))),"")</f>
        <v/>
      </c>
      <c r="AC407" s="1" t="str">
        <f>IFERROR(IF($Q$1=$P$3,INDEX(prem_analysis!$P$2:$Q$441,ROWS(Data!$P$2:AB407),COLUMNS(Data!$P$3:AA408)),IF($Q$1=$P$5,INDEX(prem_analysis!$BH$1:$BS$23,ROWS(Data!$Q$3:AB408),COLUMNS(Data!$Q$3:AB408)),IF($Q$1=$P$6,INDEX(prem_analysis!$BU$1:$CF$67,ROWS(prem_analysis!$N$2:Y407),COLUMNS(prem_analysis!$N$2:Y407)),IF($Q$1=$P$4,INDEX(Table24[[#All],[Year]:[Details]],ROWS(prem_analysis!$M$420:X825),COLUMNS(Data!$Q$3:AB408)))))),"")</f>
        <v/>
      </c>
    </row>
    <row r="408" spans="1:29" x14ac:dyDescent="0.2">
      <c r="A408" s="3">
        <v>2020</v>
      </c>
      <c r="B408" s="3">
        <v>7</v>
      </c>
      <c r="C408" s="4" t="s">
        <v>22</v>
      </c>
      <c r="D408" s="3">
        <v>38</v>
      </c>
      <c r="E408" s="3">
        <v>18</v>
      </c>
      <c r="F408" s="3">
        <v>8</v>
      </c>
      <c r="G408" s="3">
        <v>12</v>
      </c>
      <c r="H408" s="3">
        <v>68</v>
      </c>
      <c r="I408" s="3">
        <v>45</v>
      </c>
      <c r="J408" s="3">
        <v>23</v>
      </c>
      <c r="K408" s="3">
        <v>62</v>
      </c>
      <c r="L408" s="5">
        <f>IF(Table24[[#This Row],['#]]=1,"Champion", IF(Table24[[#This Row],['#]]&gt;=18,"Relegated",Table24[[#This Row],['#]]))</f>
        <v>7</v>
      </c>
      <c r="M408" s="5" t="str">
        <f>IF(Table24[[#This Row],[Details]]=2,K407-Table24[[#This Row],[Pts]],IF(Table24[[#This Row],[Details]]=17,Table24[[#This Row],[Pts]]-K409,""))</f>
        <v/>
      </c>
      <c r="R408" s="1" t="str">
        <f>IFERROR(IF($Q$1=$P$3,INDEX(prem_analysis!$P$2:$Q$441,ROWS(Data!$P$2:Q408),COLUMNS(Data!$P$3:P409)),IF($Q$1=$P$5,INDEX(prem_analysis!$BH$1:$BS$23,ROWS(Data!$Q$3:Q409),COLUMNS(Data!$Q$3:Q409)),IF($Q$1=$P$6,INDEX(prem_analysis!$BU$1:$CF$67,ROWS(prem_analysis!$N$2:N408),COLUMNS(prem_analysis!$N$2:N408)),IF($Q$1=$P$4,INDEX(Table24[[#All],[Year]:[Details]],ROWS(prem_analysis!$M$420:M826),COLUMNS(Data!$Q$3:Q409)))))),"")</f>
        <v/>
      </c>
      <c r="S408" s="1" t="str">
        <f>IFERROR(IF($Q$1=$P$3,INDEX(prem_analysis!$P$2:$Q$441,ROWS(Data!$P$2:R408),COLUMNS(Data!$P$3:Q409)),IF($Q$1=$P$5,INDEX(prem_analysis!$BH$1:$BS$23,ROWS(Data!$Q$3:R409),COLUMNS(Data!$Q$3:R409)),IF($Q$1=$P$6,INDEX(prem_analysis!$BU$1:$CF$67,ROWS(prem_analysis!$N$2:O408),COLUMNS(prem_analysis!$N$2:O408)),IF($Q$1=$P$4,INDEX(Table24[[#All],[Year]:[Details]],ROWS(prem_analysis!$M$420:N826),COLUMNS(Data!$Q$3:R409)))))),"")</f>
        <v/>
      </c>
      <c r="T408" s="1" t="str">
        <f>IFERROR(IF($Q$1=$P$3,INDEX(prem_analysis!$P$2:$Q$441,ROWS(Data!$P$2:S408),COLUMNS(Data!$P$3:R409)),IF($Q$1=$P$5,INDEX(prem_analysis!$BH$1:$BS$23,ROWS(Data!$Q$3:S409),COLUMNS(Data!$Q$3:S409)),IF($Q$1=$P$6,INDEX(prem_analysis!$BU$1:$CF$67,ROWS(prem_analysis!$N$2:P408),COLUMNS(prem_analysis!$N$2:P408)),IF($Q$1=$P$4,INDEX(Table24[[#All],[Year]:[Details]],ROWS(prem_analysis!$M$420:O826),COLUMNS(Data!$Q$3:S409)))))),"")</f>
        <v/>
      </c>
      <c r="U408" s="1" t="str">
        <f>IFERROR(IF($Q$1=$P$3,INDEX(prem_analysis!$P$2:$Q$441,ROWS(Data!$P$2:T408),COLUMNS(Data!$P$3:S409)),IF($Q$1=$P$5,INDEX(prem_analysis!$BH$1:$BS$23,ROWS(Data!$Q$3:T409),COLUMNS(Data!$Q$3:T409)),IF($Q$1=$P$6,INDEX(prem_analysis!$BU$1:$CF$67,ROWS(prem_analysis!$N$2:Q408),COLUMNS(prem_analysis!$N$2:Q408)),IF($Q$1=$P$4,INDEX(Table24[[#All],[Year]:[Details]],ROWS(prem_analysis!$M$420:P826),COLUMNS(Data!$Q$3:T409)))))),"")</f>
        <v/>
      </c>
      <c r="V408" s="1" t="str">
        <f>IFERROR(IF($Q$1=$P$3,INDEX(prem_analysis!$P$2:$Q$441,ROWS(Data!$P$2:U408),COLUMNS(Data!$P$3:T409)),IF($Q$1=$P$5,INDEX(prem_analysis!$BH$1:$BS$23,ROWS(Data!$Q$3:U409),COLUMNS(Data!$Q$3:U409)),IF($Q$1=$P$6,INDEX(prem_analysis!$BU$1:$CF$67,ROWS(prem_analysis!$N$2:R408),COLUMNS(prem_analysis!$N$2:R408)),IF($Q$1=$P$4,INDEX(Table24[[#All],[Year]:[Details]],ROWS(prem_analysis!$M$420:Q826),COLUMNS(Data!$Q$3:U409)))))),"")</f>
        <v/>
      </c>
      <c r="W408" s="1" t="str">
        <f>IFERROR(IF($Q$1=$P$3,INDEX(prem_analysis!$P$2:$Q$441,ROWS(Data!$P$2:V408),COLUMNS(Data!$P$3:U409)),IF($Q$1=$P$5,INDEX(prem_analysis!$BH$1:$BS$23,ROWS(Data!$Q$3:V409),COLUMNS(Data!$Q$3:V409)),IF($Q$1=$P$6,INDEX(prem_analysis!$BU$1:$CF$67,ROWS(prem_analysis!$N$2:S408),COLUMNS(prem_analysis!$N$2:S408)),IF($Q$1=$P$4,INDEX(Table24[[#All],[Year]:[Details]],ROWS(prem_analysis!$M$420:R826),COLUMNS(Data!$Q$3:V409)))))),"")</f>
        <v/>
      </c>
      <c r="X408" s="1" t="str">
        <f>IFERROR(IF($Q$1=$P$3,INDEX(prem_analysis!$P$2:$Q$441,ROWS(Data!$P$2:W408),COLUMNS(Data!$P$3:V409)),IF($Q$1=$P$5,INDEX(prem_analysis!$BH$1:$BS$23,ROWS(Data!$Q$3:W409),COLUMNS(Data!$Q$3:W409)),IF($Q$1=$P$6,INDEX(prem_analysis!$BU$1:$CF$67,ROWS(prem_analysis!$N$2:T408),COLUMNS(prem_analysis!$N$2:T408)),IF($Q$1=$P$4,INDEX(Table24[[#All],[Year]:[Details]],ROWS(prem_analysis!$M$420:S826),COLUMNS(Data!$Q$3:W409)))))),"")</f>
        <v/>
      </c>
      <c r="Y408" s="1" t="str">
        <f>IFERROR(IF($Q$1=$P$3,INDEX(prem_analysis!$P$2:$Q$441,ROWS(Data!$P$2:X408),COLUMNS(Data!$P$3:W409)),IF($Q$1=$P$5,INDEX(prem_analysis!$BH$1:$BS$23,ROWS(Data!$Q$3:X409),COLUMNS(Data!$Q$3:X409)),IF($Q$1=$P$6,INDEX(prem_analysis!$BU$1:$CF$67,ROWS(prem_analysis!$N$2:U408),COLUMNS(prem_analysis!$N$2:U408)),IF($Q$1=$P$4,INDEX(Table24[[#All],[Year]:[Details]],ROWS(prem_analysis!$M$420:T826),COLUMNS(Data!$Q$3:X409)))))),"")</f>
        <v/>
      </c>
      <c r="Z408" s="1" t="str">
        <f>IFERROR(IF($Q$1=$P$3,INDEX(prem_analysis!$P$2:$Q$441,ROWS(Data!$P$2:Y408),COLUMNS(Data!$P$3:X409)),IF($Q$1=$P$5,INDEX(prem_analysis!$BH$1:$BS$23,ROWS(Data!$Q$3:Y409),COLUMNS(Data!$Q$3:Y409)),IF($Q$1=$P$6,INDEX(prem_analysis!$BU$1:$CF$67,ROWS(prem_analysis!$N$2:V408),COLUMNS(prem_analysis!$N$2:V408)),IF($Q$1=$P$4,INDEX(Table24[[#All],[Year]:[Details]],ROWS(prem_analysis!$M$420:U826),COLUMNS(Data!$Q$3:Y409)))))),"")</f>
        <v/>
      </c>
      <c r="AA408" s="1" t="str">
        <f>IFERROR(IF($Q$1=$P$3,INDEX(prem_analysis!$P$2:$Q$441,ROWS(Data!$P$2:Z408),COLUMNS(Data!$P$3:Y409)),IF($Q$1=$P$5,INDEX(prem_analysis!$BH$1:$BS$23,ROWS(Data!$Q$3:Z409),COLUMNS(Data!$Q$3:Z409)),IF($Q$1=$P$6,INDEX(prem_analysis!$BU$1:$CF$67,ROWS(prem_analysis!$N$2:W408),COLUMNS(prem_analysis!$N$2:W408)),IF($Q$1=$P$4,INDEX(Table24[[#All],[Year]:[Details]],ROWS(prem_analysis!$M$420:V826),COLUMNS(Data!$Q$3:Z409)))))),"")</f>
        <v/>
      </c>
      <c r="AB408" s="1" t="str">
        <f>IFERROR(IF($Q$1=$P$3,INDEX(prem_analysis!$P$2:$Q$441,ROWS(Data!$P$2:AA408),COLUMNS(Data!$P$3:Z409)),IF($Q$1=$P$5,INDEX(prem_analysis!$BH$1:$BS$23,ROWS(Data!$Q$3:AA409),COLUMNS(Data!$Q$3:AA409)),IF($Q$1=$P$6,INDEX(prem_analysis!$BU$1:$CF$67,ROWS(prem_analysis!$N$2:X408),COLUMNS(prem_analysis!$N$2:X408)),IF($Q$1=$P$4,INDEX(Table24[[#All],[Year]:[Details]],ROWS(prem_analysis!$M$420:W826),COLUMNS(Data!$Q$3:AA409)))))),"")</f>
        <v/>
      </c>
      <c r="AC408" s="1" t="str">
        <f>IFERROR(IF($Q$1=$P$3,INDEX(prem_analysis!$P$2:$Q$441,ROWS(Data!$P$2:AB408),COLUMNS(Data!$P$3:AA409)),IF($Q$1=$P$5,INDEX(prem_analysis!$BH$1:$BS$23,ROWS(Data!$Q$3:AB409),COLUMNS(Data!$Q$3:AB409)),IF($Q$1=$P$6,INDEX(prem_analysis!$BU$1:$CF$67,ROWS(prem_analysis!$N$2:Y408),COLUMNS(prem_analysis!$N$2:Y408)),IF($Q$1=$P$4,INDEX(Table24[[#All],[Year]:[Details]],ROWS(prem_analysis!$M$420:X826),COLUMNS(Data!$Q$3:AB409)))))),"")</f>
        <v/>
      </c>
    </row>
    <row r="409" spans="1:29" x14ac:dyDescent="0.2">
      <c r="A409" s="5">
        <v>2020</v>
      </c>
      <c r="B409" s="5">
        <v>8</v>
      </c>
      <c r="C409" s="6" t="s">
        <v>12</v>
      </c>
      <c r="D409" s="5">
        <v>38</v>
      </c>
      <c r="E409" s="5">
        <v>18</v>
      </c>
      <c r="F409" s="5">
        <v>7</v>
      </c>
      <c r="G409" s="5">
        <v>13</v>
      </c>
      <c r="H409" s="5">
        <v>55</v>
      </c>
      <c r="I409" s="5">
        <v>39</v>
      </c>
      <c r="J409" s="5">
        <v>16</v>
      </c>
      <c r="K409" s="5">
        <v>61</v>
      </c>
      <c r="L409" s="5">
        <f>IF(Table24[[#This Row],['#]]=1,"Champion", IF(Table24[[#This Row],['#]]&gt;=18,"Relegated",Table24[[#This Row],['#]]))</f>
        <v>8</v>
      </c>
      <c r="M409" s="5" t="str">
        <f>IF(Table24[[#This Row],[Details]]=2,K408-Table24[[#This Row],[Pts]],IF(Table24[[#This Row],[Details]]=17,Table24[[#This Row],[Pts]]-K410,""))</f>
        <v/>
      </c>
      <c r="R409" s="1" t="str">
        <f>IFERROR(IF($Q$1=$P$3,INDEX(prem_analysis!$P$2:$Q$441,ROWS(Data!$P$2:Q409),COLUMNS(Data!$P$3:P410)),IF($Q$1=$P$5,INDEX(prem_analysis!$BH$1:$BS$23,ROWS(Data!$Q$3:Q410),COLUMNS(Data!$Q$3:Q410)),IF($Q$1=$P$6,INDEX(prem_analysis!$BU$1:$CF$67,ROWS(prem_analysis!$N$2:N409),COLUMNS(prem_analysis!$N$2:N409)),IF($Q$1=$P$4,INDEX(Table24[[#All],[Year]:[Details]],ROWS(prem_analysis!$M$420:M827),COLUMNS(Data!$Q$3:Q410)))))),"")</f>
        <v/>
      </c>
      <c r="S409" s="1" t="str">
        <f>IFERROR(IF($Q$1=$P$3,INDEX(prem_analysis!$P$2:$Q$441,ROWS(Data!$P$2:R409),COLUMNS(Data!$P$3:Q410)),IF($Q$1=$P$5,INDEX(prem_analysis!$BH$1:$BS$23,ROWS(Data!$Q$3:R410),COLUMNS(Data!$Q$3:R410)),IF($Q$1=$P$6,INDEX(prem_analysis!$BU$1:$CF$67,ROWS(prem_analysis!$N$2:O409),COLUMNS(prem_analysis!$N$2:O409)),IF($Q$1=$P$4,INDEX(Table24[[#All],[Year]:[Details]],ROWS(prem_analysis!$M$420:N827),COLUMNS(Data!$Q$3:R410)))))),"")</f>
        <v/>
      </c>
      <c r="T409" s="1" t="str">
        <f>IFERROR(IF($Q$1=$P$3,INDEX(prem_analysis!$P$2:$Q$441,ROWS(Data!$P$2:S409),COLUMNS(Data!$P$3:R410)),IF($Q$1=$P$5,INDEX(prem_analysis!$BH$1:$BS$23,ROWS(Data!$Q$3:S410),COLUMNS(Data!$Q$3:S410)),IF($Q$1=$P$6,INDEX(prem_analysis!$BU$1:$CF$67,ROWS(prem_analysis!$N$2:P409),COLUMNS(prem_analysis!$N$2:P409)),IF($Q$1=$P$4,INDEX(Table24[[#All],[Year]:[Details]],ROWS(prem_analysis!$M$420:O827),COLUMNS(Data!$Q$3:S410)))))),"")</f>
        <v/>
      </c>
      <c r="U409" s="1" t="str">
        <f>IFERROR(IF($Q$1=$P$3,INDEX(prem_analysis!$P$2:$Q$441,ROWS(Data!$P$2:T409),COLUMNS(Data!$P$3:S410)),IF($Q$1=$P$5,INDEX(prem_analysis!$BH$1:$BS$23,ROWS(Data!$Q$3:T410),COLUMNS(Data!$Q$3:T410)),IF($Q$1=$P$6,INDEX(prem_analysis!$BU$1:$CF$67,ROWS(prem_analysis!$N$2:Q409),COLUMNS(prem_analysis!$N$2:Q409)),IF($Q$1=$P$4,INDEX(Table24[[#All],[Year]:[Details]],ROWS(prem_analysis!$M$420:P827),COLUMNS(Data!$Q$3:T410)))))),"")</f>
        <v/>
      </c>
      <c r="V409" s="1" t="str">
        <f>IFERROR(IF($Q$1=$P$3,INDEX(prem_analysis!$P$2:$Q$441,ROWS(Data!$P$2:U409),COLUMNS(Data!$P$3:T410)),IF($Q$1=$P$5,INDEX(prem_analysis!$BH$1:$BS$23,ROWS(Data!$Q$3:U410),COLUMNS(Data!$Q$3:U410)),IF($Q$1=$P$6,INDEX(prem_analysis!$BU$1:$CF$67,ROWS(prem_analysis!$N$2:R409),COLUMNS(prem_analysis!$N$2:R409)),IF($Q$1=$P$4,INDEX(Table24[[#All],[Year]:[Details]],ROWS(prem_analysis!$M$420:Q827),COLUMNS(Data!$Q$3:U410)))))),"")</f>
        <v/>
      </c>
      <c r="W409" s="1" t="str">
        <f>IFERROR(IF($Q$1=$P$3,INDEX(prem_analysis!$P$2:$Q$441,ROWS(Data!$P$2:V409),COLUMNS(Data!$P$3:U410)),IF($Q$1=$P$5,INDEX(prem_analysis!$BH$1:$BS$23,ROWS(Data!$Q$3:V410),COLUMNS(Data!$Q$3:V410)),IF($Q$1=$P$6,INDEX(prem_analysis!$BU$1:$CF$67,ROWS(prem_analysis!$N$2:S409),COLUMNS(prem_analysis!$N$2:S409)),IF($Q$1=$P$4,INDEX(Table24[[#All],[Year]:[Details]],ROWS(prem_analysis!$M$420:R827),COLUMNS(Data!$Q$3:V410)))))),"")</f>
        <v/>
      </c>
      <c r="X409" s="1" t="str">
        <f>IFERROR(IF($Q$1=$P$3,INDEX(prem_analysis!$P$2:$Q$441,ROWS(Data!$P$2:W409),COLUMNS(Data!$P$3:V410)),IF($Q$1=$P$5,INDEX(prem_analysis!$BH$1:$BS$23,ROWS(Data!$Q$3:W410),COLUMNS(Data!$Q$3:W410)),IF($Q$1=$P$6,INDEX(prem_analysis!$BU$1:$CF$67,ROWS(prem_analysis!$N$2:T409),COLUMNS(prem_analysis!$N$2:T409)),IF($Q$1=$P$4,INDEX(Table24[[#All],[Year]:[Details]],ROWS(prem_analysis!$M$420:S827),COLUMNS(Data!$Q$3:W410)))))),"")</f>
        <v/>
      </c>
      <c r="Y409" s="1" t="str">
        <f>IFERROR(IF($Q$1=$P$3,INDEX(prem_analysis!$P$2:$Q$441,ROWS(Data!$P$2:X409),COLUMNS(Data!$P$3:W410)),IF($Q$1=$P$5,INDEX(prem_analysis!$BH$1:$BS$23,ROWS(Data!$Q$3:X410),COLUMNS(Data!$Q$3:X410)),IF($Q$1=$P$6,INDEX(prem_analysis!$BU$1:$CF$67,ROWS(prem_analysis!$N$2:U409),COLUMNS(prem_analysis!$N$2:U409)),IF($Q$1=$P$4,INDEX(Table24[[#All],[Year]:[Details]],ROWS(prem_analysis!$M$420:T827),COLUMNS(Data!$Q$3:X410)))))),"")</f>
        <v/>
      </c>
      <c r="Z409" s="1" t="str">
        <f>IFERROR(IF($Q$1=$P$3,INDEX(prem_analysis!$P$2:$Q$441,ROWS(Data!$P$2:Y409),COLUMNS(Data!$P$3:X410)),IF($Q$1=$P$5,INDEX(prem_analysis!$BH$1:$BS$23,ROWS(Data!$Q$3:Y410),COLUMNS(Data!$Q$3:Y410)),IF($Q$1=$P$6,INDEX(prem_analysis!$BU$1:$CF$67,ROWS(prem_analysis!$N$2:V409),COLUMNS(prem_analysis!$N$2:V409)),IF($Q$1=$P$4,INDEX(Table24[[#All],[Year]:[Details]],ROWS(prem_analysis!$M$420:U827),COLUMNS(Data!$Q$3:Y410)))))),"")</f>
        <v/>
      </c>
      <c r="AA409" s="1" t="str">
        <f>IFERROR(IF($Q$1=$P$3,INDEX(prem_analysis!$P$2:$Q$441,ROWS(Data!$P$2:Z409),COLUMNS(Data!$P$3:Y410)),IF($Q$1=$P$5,INDEX(prem_analysis!$BH$1:$BS$23,ROWS(Data!$Q$3:Z410),COLUMNS(Data!$Q$3:Z410)),IF($Q$1=$P$6,INDEX(prem_analysis!$BU$1:$CF$67,ROWS(prem_analysis!$N$2:W409),COLUMNS(prem_analysis!$N$2:W409)),IF($Q$1=$P$4,INDEX(Table24[[#All],[Year]:[Details]],ROWS(prem_analysis!$M$420:V827),COLUMNS(Data!$Q$3:Z410)))))),"")</f>
        <v/>
      </c>
      <c r="AB409" s="1" t="str">
        <f>IFERROR(IF($Q$1=$P$3,INDEX(prem_analysis!$P$2:$Q$441,ROWS(Data!$P$2:AA409),COLUMNS(Data!$P$3:Z410)),IF($Q$1=$P$5,INDEX(prem_analysis!$BH$1:$BS$23,ROWS(Data!$Q$3:AA410),COLUMNS(Data!$Q$3:AA410)),IF($Q$1=$P$6,INDEX(prem_analysis!$BU$1:$CF$67,ROWS(prem_analysis!$N$2:X409),COLUMNS(prem_analysis!$N$2:X409)),IF($Q$1=$P$4,INDEX(Table24[[#All],[Year]:[Details]],ROWS(prem_analysis!$M$420:W827),COLUMNS(Data!$Q$3:AA410)))))),"")</f>
        <v/>
      </c>
      <c r="AC409" s="1" t="str">
        <f>IFERROR(IF($Q$1=$P$3,INDEX(prem_analysis!$P$2:$Q$441,ROWS(Data!$P$2:AB409),COLUMNS(Data!$P$3:AA410)),IF($Q$1=$P$5,INDEX(prem_analysis!$BH$1:$BS$23,ROWS(Data!$Q$3:AB410),COLUMNS(Data!$Q$3:AB410)),IF($Q$1=$P$6,INDEX(prem_analysis!$BU$1:$CF$67,ROWS(prem_analysis!$N$2:Y409),COLUMNS(prem_analysis!$N$2:Y409)),IF($Q$1=$P$4,INDEX(Table24[[#All],[Year]:[Details]],ROWS(prem_analysis!$M$420:X827),COLUMNS(Data!$Q$3:AB410)))))),"")</f>
        <v/>
      </c>
    </row>
    <row r="410" spans="1:29" x14ac:dyDescent="0.2">
      <c r="A410" s="3">
        <v>2020</v>
      </c>
      <c r="B410" s="3">
        <v>9</v>
      </c>
      <c r="C410" s="4" t="s">
        <v>14</v>
      </c>
      <c r="D410" s="3">
        <v>38</v>
      </c>
      <c r="E410" s="3">
        <v>18</v>
      </c>
      <c r="F410" s="3">
        <v>5</v>
      </c>
      <c r="G410" s="3">
        <v>15</v>
      </c>
      <c r="H410" s="3">
        <v>62</v>
      </c>
      <c r="I410" s="3">
        <v>54</v>
      </c>
      <c r="J410" s="3">
        <v>8</v>
      </c>
      <c r="K410" s="3">
        <v>59</v>
      </c>
      <c r="L410" s="5">
        <f>IF(Table24[[#This Row],['#]]=1,"Champion", IF(Table24[[#This Row],['#]]&gt;=18,"Relegated",Table24[[#This Row],['#]]))</f>
        <v>9</v>
      </c>
      <c r="M410" s="5" t="str">
        <f>IF(Table24[[#This Row],[Details]]=2,K409-Table24[[#This Row],[Pts]],IF(Table24[[#This Row],[Details]]=17,Table24[[#This Row],[Pts]]-K411,""))</f>
        <v/>
      </c>
      <c r="R410" s="1" t="str">
        <f>IFERROR(IF($Q$1=$P$3,INDEX(prem_analysis!$P$2:$Q$441,ROWS(Data!$P$2:Q410),COLUMNS(Data!$P$3:P411)),IF($Q$1=$P$5,INDEX(prem_analysis!$BH$1:$BS$23,ROWS(Data!$Q$3:Q411),COLUMNS(Data!$Q$3:Q411)),IF($Q$1=$P$6,INDEX(prem_analysis!$BU$1:$CF$67,ROWS(prem_analysis!$N$2:N410),COLUMNS(prem_analysis!$N$2:N410)),IF($Q$1=$P$4,INDEX(Table24[[#All],[Year]:[Details]],ROWS(prem_analysis!$M$420:M828),COLUMNS(Data!$Q$3:Q411)))))),"")</f>
        <v/>
      </c>
      <c r="S410" s="1" t="str">
        <f>IFERROR(IF($Q$1=$P$3,INDEX(prem_analysis!$P$2:$Q$441,ROWS(Data!$P$2:R410),COLUMNS(Data!$P$3:Q411)),IF($Q$1=$P$5,INDEX(prem_analysis!$BH$1:$BS$23,ROWS(Data!$Q$3:R411),COLUMNS(Data!$Q$3:R411)),IF($Q$1=$P$6,INDEX(prem_analysis!$BU$1:$CF$67,ROWS(prem_analysis!$N$2:O410),COLUMNS(prem_analysis!$N$2:O410)),IF($Q$1=$P$4,INDEX(Table24[[#All],[Year]:[Details]],ROWS(prem_analysis!$M$420:N828),COLUMNS(Data!$Q$3:R411)))))),"")</f>
        <v/>
      </c>
      <c r="T410" s="1" t="str">
        <f>IFERROR(IF($Q$1=$P$3,INDEX(prem_analysis!$P$2:$Q$441,ROWS(Data!$P$2:S410),COLUMNS(Data!$P$3:R411)),IF($Q$1=$P$5,INDEX(prem_analysis!$BH$1:$BS$23,ROWS(Data!$Q$3:S411),COLUMNS(Data!$Q$3:S411)),IF($Q$1=$P$6,INDEX(prem_analysis!$BU$1:$CF$67,ROWS(prem_analysis!$N$2:P410),COLUMNS(prem_analysis!$N$2:P410)),IF($Q$1=$P$4,INDEX(Table24[[#All],[Year]:[Details]],ROWS(prem_analysis!$M$420:O828),COLUMNS(Data!$Q$3:S411)))))),"")</f>
        <v/>
      </c>
      <c r="U410" s="1" t="str">
        <f>IFERROR(IF($Q$1=$P$3,INDEX(prem_analysis!$P$2:$Q$441,ROWS(Data!$P$2:T410),COLUMNS(Data!$P$3:S411)),IF($Q$1=$P$5,INDEX(prem_analysis!$BH$1:$BS$23,ROWS(Data!$Q$3:T411),COLUMNS(Data!$Q$3:T411)),IF($Q$1=$P$6,INDEX(prem_analysis!$BU$1:$CF$67,ROWS(prem_analysis!$N$2:Q410),COLUMNS(prem_analysis!$N$2:Q410)),IF($Q$1=$P$4,INDEX(Table24[[#All],[Year]:[Details]],ROWS(prem_analysis!$M$420:P828),COLUMNS(Data!$Q$3:T411)))))),"")</f>
        <v/>
      </c>
      <c r="V410" s="1" t="str">
        <f>IFERROR(IF($Q$1=$P$3,INDEX(prem_analysis!$P$2:$Q$441,ROWS(Data!$P$2:U410),COLUMNS(Data!$P$3:T411)),IF($Q$1=$P$5,INDEX(prem_analysis!$BH$1:$BS$23,ROWS(Data!$Q$3:U411),COLUMNS(Data!$Q$3:U411)),IF($Q$1=$P$6,INDEX(prem_analysis!$BU$1:$CF$67,ROWS(prem_analysis!$N$2:R410),COLUMNS(prem_analysis!$N$2:R410)),IF($Q$1=$P$4,INDEX(Table24[[#All],[Year]:[Details]],ROWS(prem_analysis!$M$420:Q828),COLUMNS(Data!$Q$3:U411)))))),"")</f>
        <v/>
      </c>
      <c r="W410" s="1" t="str">
        <f>IFERROR(IF($Q$1=$P$3,INDEX(prem_analysis!$P$2:$Q$441,ROWS(Data!$P$2:V410),COLUMNS(Data!$P$3:U411)),IF($Q$1=$P$5,INDEX(prem_analysis!$BH$1:$BS$23,ROWS(Data!$Q$3:V411),COLUMNS(Data!$Q$3:V411)),IF($Q$1=$P$6,INDEX(prem_analysis!$BU$1:$CF$67,ROWS(prem_analysis!$N$2:S410),COLUMNS(prem_analysis!$N$2:S410)),IF($Q$1=$P$4,INDEX(Table24[[#All],[Year]:[Details]],ROWS(prem_analysis!$M$420:R828),COLUMNS(Data!$Q$3:V411)))))),"")</f>
        <v/>
      </c>
      <c r="X410" s="1" t="str">
        <f>IFERROR(IF($Q$1=$P$3,INDEX(prem_analysis!$P$2:$Q$441,ROWS(Data!$P$2:W410),COLUMNS(Data!$P$3:V411)),IF($Q$1=$P$5,INDEX(prem_analysis!$BH$1:$BS$23,ROWS(Data!$Q$3:W411),COLUMNS(Data!$Q$3:W411)),IF($Q$1=$P$6,INDEX(prem_analysis!$BU$1:$CF$67,ROWS(prem_analysis!$N$2:T410),COLUMNS(prem_analysis!$N$2:T410)),IF($Q$1=$P$4,INDEX(Table24[[#All],[Year]:[Details]],ROWS(prem_analysis!$M$420:S828),COLUMNS(Data!$Q$3:W411)))))),"")</f>
        <v/>
      </c>
      <c r="Y410" s="1" t="str">
        <f>IFERROR(IF($Q$1=$P$3,INDEX(prem_analysis!$P$2:$Q$441,ROWS(Data!$P$2:X410),COLUMNS(Data!$P$3:W411)),IF($Q$1=$P$5,INDEX(prem_analysis!$BH$1:$BS$23,ROWS(Data!$Q$3:X411),COLUMNS(Data!$Q$3:X411)),IF($Q$1=$P$6,INDEX(prem_analysis!$BU$1:$CF$67,ROWS(prem_analysis!$N$2:U410),COLUMNS(prem_analysis!$N$2:U410)),IF($Q$1=$P$4,INDEX(Table24[[#All],[Year]:[Details]],ROWS(prem_analysis!$M$420:T828),COLUMNS(Data!$Q$3:X411)))))),"")</f>
        <v/>
      </c>
      <c r="Z410" s="1" t="str">
        <f>IFERROR(IF($Q$1=$P$3,INDEX(prem_analysis!$P$2:$Q$441,ROWS(Data!$P$2:Y410),COLUMNS(Data!$P$3:X411)),IF($Q$1=$P$5,INDEX(prem_analysis!$BH$1:$BS$23,ROWS(Data!$Q$3:Y411),COLUMNS(Data!$Q$3:Y411)),IF($Q$1=$P$6,INDEX(prem_analysis!$BU$1:$CF$67,ROWS(prem_analysis!$N$2:V410),COLUMNS(prem_analysis!$N$2:V410)),IF($Q$1=$P$4,INDEX(Table24[[#All],[Year]:[Details]],ROWS(prem_analysis!$M$420:U828),COLUMNS(Data!$Q$3:Y411)))))),"")</f>
        <v/>
      </c>
      <c r="AA410" s="1" t="str">
        <f>IFERROR(IF($Q$1=$P$3,INDEX(prem_analysis!$P$2:$Q$441,ROWS(Data!$P$2:Z410),COLUMNS(Data!$P$3:Y411)),IF($Q$1=$P$5,INDEX(prem_analysis!$BH$1:$BS$23,ROWS(Data!$Q$3:Z411),COLUMNS(Data!$Q$3:Z411)),IF($Q$1=$P$6,INDEX(prem_analysis!$BU$1:$CF$67,ROWS(prem_analysis!$N$2:W410),COLUMNS(prem_analysis!$N$2:W410)),IF($Q$1=$P$4,INDEX(Table24[[#All],[Year]:[Details]],ROWS(prem_analysis!$M$420:V828),COLUMNS(Data!$Q$3:Z411)))))),"")</f>
        <v/>
      </c>
      <c r="AB410" s="1" t="str">
        <f>IFERROR(IF($Q$1=$P$3,INDEX(prem_analysis!$P$2:$Q$441,ROWS(Data!$P$2:AA410),COLUMNS(Data!$P$3:Z411)),IF($Q$1=$P$5,INDEX(prem_analysis!$BH$1:$BS$23,ROWS(Data!$Q$3:AA411),COLUMNS(Data!$Q$3:AA411)),IF($Q$1=$P$6,INDEX(prem_analysis!$BU$1:$CF$67,ROWS(prem_analysis!$N$2:X410),COLUMNS(prem_analysis!$N$2:X410)),IF($Q$1=$P$4,INDEX(Table24[[#All],[Year]:[Details]],ROWS(prem_analysis!$M$420:W828),COLUMNS(Data!$Q$3:AA411)))))),"")</f>
        <v/>
      </c>
      <c r="AC410" s="1" t="str">
        <f>IFERROR(IF($Q$1=$P$3,INDEX(prem_analysis!$P$2:$Q$441,ROWS(Data!$P$2:AB410),COLUMNS(Data!$P$3:AA411)),IF($Q$1=$P$5,INDEX(prem_analysis!$BH$1:$BS$23,ROWS(Data!$Q$3:AB411),COLUMNS(Data!$Q$3:AB411)),IF($Q$1=$P$6,INDEX(prem_analysis!$BU$1:$CF$67,ROWS(prem_analysis!$N$2:Y410),COLUMNS(prem_analysis!$N$2:Y410)),IF($Q$1=$P$4,INDEX(Table24[[#All],[Year]:[Details]],ROWS(prem_analysis!$M$420:X828),COLUMNS(Data!$Q$3:AB411)))))),"")</f>
        <v/>
      </c>
    </row>
    <row r="411" spans="1:29" x14ac:dyDescent="0.2">
      <c r="A411" s="5">
        <v>2020</v>
      </c>
      <c r="B411" s="5">
        <v>10</v>
      </c>
      <c r="C411" s="6" t="s">
        <v>26</v>
      </c>
      <c r="D411" s="5">
        <v>38</v>
      </c>
      <c r="E411" s="5">
        <v>17</v>
      </c>
      <c r="F411" s="5">
        <v>8</v>
      </c>
      <c r="G411" s="5">
        <v>13</v>
      </c>
      <c r="H411" s="5">
        <v>47</v>
      </c>
      <c r="I411" s="5">
        <v>48</v>
      </c>
      <c r="J411" s="5">
        <v>-1</v>
      </c>
      <c r="K411" s="5">
        <v>59</v>
      </c>
      <c r="L411" s="5">
        <f>IF(Table24[[#This Row],['#]]=1,"Champion", IF(Table24[[#This Row],['#]]&gt;=18,"Relegated",Table24[[#This Row],['#]]))</f>
        <v>10</v>
      </c>
      <c r="M411" s="5" t="str">
        <f>IF(Table24[[#This Row],[Details]]=2,K410-Table24[[#This Row],[Pts]],IF(Table24[[#This Row],[Details]]=17,Table24[[#This Row],[Pts]]-K412,""))</f>
        <v/>
      </c>
      <c r="R411" s="1" t="str">
        <f>IFERROR(IF($Q$1=$P$3,INDEX(prem_analysis!$P$2:$Q$441,ROWS(Data!$P$2:Q411),COLUMNS(Data!$P$3:P412)),IF($Q$1=$P$5,INDEX(prem_analysis!$BH$1:$BS$23,ROWS(Data!$Q$3:Q412),COLUMNS(Data!$Q$3:Q412)),IF($Q$1=$P$6,INDEX(prem_analysis!$BU$1:$CF$67,ROWS(prem_analysis!$N$2:N411),COLUMNS(prem_analysis!$N$2:N411)),IF($Q$1=$P$4,INDEX(Table24[[#All],[Year]:[Details]],ROWS(prem_analysis!$M$420:M829),COLUMNS(Data!$Q$3:Q412)))))),"")</f>
        <v/>
      </c>
      <c r="S411" s="1" t="str">
        <f>IFERROR(IF($Q$1=$P$3,INDEX(prem_analysis!$P$2:$Q$441,ROWS(Data!$P$2:R411),COLUMNS(Data!$P$3:Q412)),IF($Q$1=$P$5,INDEX(prem_analysis!$BH$1:$BS$23,ROWS(Data!$Q$3:R412),COLUMNS(Data!$Q$3:R412)),IF($Q$1=$P$6,INDEX(prem_analysis!$BU$1:$CF$67,ROWS(prem_analysis!$N$2:O411),COLUMNS(prem_analysis!$N$2:O411)),IF($Q$1=$P$4,INDEX(Table24[[#All],[Year]:[Details]],ROWS(prem_analysis!$M$420:N829),COLUMNS(Data!$Q$3:R412)))))),"")</f>
        <v/>
      </c>
      <c r="T411" s="1" t="str">
        <f>IFERROR(IF($Q$1=$P$3,INDEX(prem_analysis!$P$2:$Q$441,ROWS(Data!$P$2:S411),COLUMNS(Data!$P$3:R412)),IF($Q$1=$P$5,INDEX(prem_analysis!$BH$1:$BS$23,ROWS(Data!$Q$3:S412),COLUMNS(Data!$Q$3:S412)),IF($Q$1=$P$6,INDEX(prem_analysis!$BU$1:$CF$67,ROWS(prem_analysis!$N$2:P411),COLUMNS(prem_analysis!$N$2:P411)),IF($Q$1=$P$4,INDEX(Table24[[#All],[Year]:[Details]],ROWS(prem_analysis!$M$420:O829),COLUMNS(Data!$Q$3:S412)))))),"")</f>
        <v/>
      </c>
      <c r="U411" s="1" t="str">
        <f>IFERROR(IF($Q$1=$P$3,INDEX(prem_analysis!$P$2:$Q$441,ROWS(Data!$P$2:T411),COLUMNS(Data!$P$3:S412)),IF($Q$1=$P$5,INDEX(prem_analysis!$BH$1:$BS$23,ROWS(Data!$Q$3:T412),COLUMNS(Data!$Q$3:T412)),IF($Q$1=$P$6,INDEX(prem_analysis!$BU$1:$CF$67,ROWS(prem_analysis!$N$2:Q411),COLUMNS(prem_analysis!$N$2:Q411)),IF($Q$1=$P$4,INDEX(Table24[[#All],[Year]:[Details]],ROWS(prem_analysis!$M$420:P829),COLUMNS(Data!$Q$3:T412)))))),"")</f>
        <v/>
      </c>
      <c r="V411" s="1" t="str">
        <f>IFERROR(IF($Q$1=$P$3,INDEX(prem_analysis!$P$2:$Q$441,ROWS(Data!$P$2:U411),COLUMNS(Data!$P$3:T412)),IF($Q$1=$P$5,INDEX(prem_analysis!$BH$1:$BS$23,ROWS(Data!$Q$3:U412),COLUMNS(Data!$Q$3:U412)),IF($Q$1=$P$6,INDEX(prem_analysis!$BU$1:$CF$67,ROWS(prem_analysis!$N$2:R411),COLUMNS(prem_analysis!$N$2:R411)),IF($Q$1=$P$4,INDEX(Table24[[#All],[Year]:[Details]],ROWS(prem_analysis!$M$420:Q829),COLUMNS(Data!$Q$3:U412)))))),"")</f>
        <v/>
      </c>
      <c r="W411" s="1" t="str">
        <f>IFERROR(IF($Q$1=$P$3,INDEX(prem_analysis!$P$2:$Q$441,ROWS(Data!$P$2:V411),COLUMNS(Data!$P$3:U412)),IF($Q$1=$P$5,INDEX(prem_analysis!$BH$1:$BS$23,ROWS(Data!$Q$3:V412),COLUMNS(Data!$Q$3:V412)),IF($Q$1=$P$6,INDEX(prem_analysis!$BU$1:$CF$67,ROWS(prem_analysis!$N$2:S411),COLUMNS(prem_analysis!$N$2:S411)),IF($Q$1=$P$4,INDEX(Table24[[#All],[Year]:[Details]],ROWS(prem_analysis!$M$420:R829),COLUMNS(Data!$Q$3:V412)))))),"")</f>
        <v/>
      </c>
      <c r="X411" s="1" t="str">
        <f>IFERROR(IF($Q$1=$P$3,INDEX(prem_analysis!$P$2:$Q$441,ROWS(Data!$P$2:W411),COLUMNS(Data!$P$3:V412)),IF($Q$1=$P$5,INDEX(prem_analysis!$BH$1:$BS$23,ROWS(Data!$Q$3:W412),COLUMNS(Data!$Q$3:W412)),IF($Q$1=$P$6,INDEX(prem_analysis!$BU$1:$CF$67,ROWS(prem_analysis!$N$2:T411),COLUMNS(prem_analysis!$N$2:T411)),IF($Q$1=$P$4,INDEX(Table24[[#All],[Year]:[Details]],ROWS(prem_analysis!$M$420:S829),COLUMNS(Data!$Q$3:W412)))))),"")</f>
        <v/>
      </c>
      <c r="Y411" s="1" t="str">
        <f>IFERROR(IF($Q$1=$P$3,INDEX(prem_analysis!$P$2:$Q$441,ROWS(Data!$P$2:X411),COLUMNS(Data!$P$3:W412)),IF($Q$1=$P$5,INDEX(prem_analysis!$BH$1:$BS$23,ROWS(Data!$Q$3:X412),COLUMNS(Data!$Q$3:X412)),IF($Q$1=$P$6,INDEX(prem_analysis!$BU$1:$CF$67,ROWS(prem_analysis!$N$2:U411),COLUMNS(prem_analysis!$N$2:U411)),IF($Q$1=$P$4,INDEX(Table24[[#All],[Year]:[Details]],ROWS(prem_analysis!$M$420:T829),COLUMNS(Data!$Q$3:X412)))))),"")</f>
        <v/>
      </c>
      <c r="Z411" s="1" t="str">
        <f>IFERROR(IF($Q$1=$P$3,INDEX(prem_analysis!$P$2:$Q$441,ROWS(Data!$P$2:Y411),COLUMNS(Data!$P$3:X412)),IF($Q$1=$P$5,INDEX(prem_analysis!$BH$1:$BS$23,ROWS(Data!$Q$3:Y412),COLUMNS(Data!$Q$3:Y412)),IF($Q$1=$P$6,INDEX(prem_analysis!$BU$1:$CF$67,ROWS(prem_analysis!$N$2:V411),COLUMNS(prem_analysis!$N$2:V411)),IF($Q$1=$P$4,INDEX(Table24[[#All],[Year]:[Details]],ROWS(prem_analysis!$M$420:U829),COLUMNS(Data!$Q$3:Y412)))))),"")</f>
        <v/>
      </c>
      <c r="AA411" s="1" t="str">
        <f>IFERROR(IF($Q$1=$P$3,INDEX(prem_analysis!$P$2:$Q$441,ROWS(Data!$P$2:Z411),COLUMNS(Data!$P$3:Y412)),IF($Q$1=$P$5,INDEX(prem_analysis!$BH$1:$BS$23,ROWS(Data!$Q$3:Z412),COLUMNS(Data!$Q$3:Z412)),IF($Q$1=$P$6,INDEX(prem_analysis!$BU$1:$CF$67,ROWS(prem_analysis!$N$2:W411),COLUMNS(prem_analysis!$N$2:W411)),IF($Q$1=$P$4,INDEX(Table24[[#All],[Year]:[Details]],ROWS(prem_analysis!$M$420:V829),COLUMNS(Data!$Q$3:Z412)))))),"")</f>
        <v/>
      </c>
      <c r="AB411" s="1" t="str">
        <f>IFERROR(IF($Q$1=$P$3,INDEX(prem_analysis!$P$2:$Q$441,ROWS(Data!$P$2:AA411),COLUMNS(Data!$P$3:Z412)),IF($Q$1=$P$5,INDEX(prem_analysis!$BH$1:$BS$23,ROWS(Data!$Q$3:AA412),COLUMNS(Data!$Q$3:AA412)),IF($Q$1=$P$6,INDEX(prem_analysis!$BU$1:$CF$67,ROWS(prem_analysis!$N$2:X411),COLUMNS(prem_analysis!$N$2:X411)),IF($Q$1=$P$4,INDEX(Table24[[#All],[Year]:[Details]],ROWS(prem_analysis!$M$420:W829),COLUMNS(Data!$Q$3:AA412)))))),"")</f>
        <v/>
      </c>
      <c r="AC411" s="1" t="str">
        <f>IFERROR(IF($Q$1=$P$3,INDEX(prem_analysis!$P$2:$Q$441,ROWS(Data!$P$2:AB411),COLUMNS(Data!$P$3:AA412)),IF($Q$1=$P$5,INDEX(prem_analysis!$BH$1:$BS$23,ROWS(Data!$Q$3:AB412),COLUMNS(Data!$Q$3:AB412)),IF($Q$1=$P$6,INDEX(prem_analysis!$BU$1:$CF$67,ROWS(prem_analysis!$N$2:Y411),COLUMNS(prem_analysis!$N$2:Y411)),IF($Q$1=$P$4,INDEX(Table24[[#All],[Year]:[Details]],ROWS(prem_analysis!$M$420:X829),COLUMNS(Data!$Q$3:AB412)))))),"")</f>
        <v/>
      </c>
    </row>
    <row r="412" spans="1:29" x14ac:dyDescent="0.2">
      <c r="A412" s="3">
        <v>2020</v>
      </c>
      <c r="B412" s="3">
        <v>11</v>
      </c>
      <c r="C412" s="4" t="s">
        <v>18</v>
      </c>
      <c r="D412" s="3">
        <v>38</v>
      </c>
      <c r="E412" s="3">
        <v>16</v>
      </c>
      <c r="F412" s="3">
        <v>7</v>
      </c>
      <c r="G412" s="3">
        <v>15</v>
      </c>
      <c r="H412" s="3">
        <v>55</v>
      </c>
      <c r="I412" s="3">
        <v>46</v>
      </c>
      <c r="J412" s="3">
        <v>9</v>
      </c>
      <c r="K412" s="3">
        <v>55</v>
      </c>
      <c r="L412" s="5">
        <f>IF(Table24[[#This Row],['#]]=1,"Champion", IF(Table24[[#This Row],['#]]&gt;=18,"Relegated",Table24[[#This Row],['#]]))</f>
        <v>11</v>
      </c>
      <c r="M412" s="5" t="str">
        <f>IF(Table24[[#This Row],[Details]]=2,K411-Table24[[#This Row],[Pts]],IF(Table24[[#This Row],[Details]]=17,Table24[[#This Row],[Pts]]-K413,""))</f>
        <v/>
      </c>
      <c r="R412" s="1" t="str">
        <f>IFERROR(IF($Q$1=$P$3,INDEX(prem_analysis!$P$2:$Q$441,ROWS(Data!$P$2:Q412),COLUMNS(Data!$P$3:P413)),IF($Q$1=$P$5,INDEX(prem_analysis!$BH$1:$BS$23,ROWS(Data!$Q$3:Q413),COLUMNS(Data!$Q$3:Q413)),IF($Q$1=$P$6,INDEX(prem_analysis!$BU$1:$CF$67,ROWS(prem_analysis!$N$2:N412),COLUMNS(prem_analysis!$N$2:N412)),IF($Q$1=$P$4,INDEX(Table24[[#All],[Year]:[Details]],ROWS(prem_analysis!$M$420:M830),COLUMNS(Data!$Q$3:Q413)))))),"")</f>
        <v/>
      </c>
      <c r="S412" s="1" t="str">
        <f>IFERROR(IF($Q$1=$P$3,INDEX(prem_analysis!$P$2:$Q$441,ROWS(Data!$P$2:R412),COLUMNS(Data!$P$3:Q413)),IF($Q$1=$P$5,INDEX(prem_analysis!$BH$1:$BS$23,ROWS(Data!$Q$3:R413),COLUMNS(Data!$Q$3:R413)),IF($Q$1=$P$6,INDEX(prem_analysis!$BU$1:$CF$67,ROWS(prem_analysis!$N$2:O412),COLUMNS(prem_analysis!$N$2:O412)),IF($Q$1=$P$4,INDEX(Table24[[#All],[Year]:[Details]],ROWS(prem_analysis!$M$420:N830),COLUMNS(Data!$Q$3:R413)))))),"")</f>
        <v/>
      </c>
      <c r="T412" s="1" t="str">
        <f>IFERROR(IF($Q$1=$P$3,INDEX(prem_analysis!$P$2:$Q$441,ROWS(Data!$P$2:S412),COLUMNS(Data!$P$3:R413)),IF($Q$1=$P$5,INDEX(prem_analysis!$BH$1:$BS$23,ROWS(Data!$Q$3:S413),COLUMNS(Data!$Q$3:S413)),IF($Q$1=$P$6,INDEX(prem_analysis!$BU$1:$CF$67,ROWS(prem_analysis!$N$2:P412),COLUMNS(prem_analysis!$N$2:P412)),IF($Q$1=$P$4,INDEX(Table24[[#All],[Year]:[Details]],ROWS(prem_analysis!$M$420:O830),COLUMNS(Data!$Q$3:S413)))))),"")</f>
        <v/>
      </c>
      <c r="U412" s="1" t="str">
        <f>IFERROR(IF($Q$1=$P$3,INDEX(prem_analysis!$P$2:$Q$441,ROWS(Data!$P$2:T412),COLUMNS(Data!$P$3:S413)),IF($Q$1=$P$5,INDEX(prem_analysis!$BH$1:$BS$23,ROWS(Data!$Q$3:T413),COLUMNS(Data!$Q$3:T413)),IF($Q$1=$P$6,INDEX(prem_analysis!$BU$1:$CF$67,ROWS(prem_analysis!$N$2:Q412),COLUMNS(prem_analysis!$N$2:Q412)),IF($Q$1=$P$4,INDEX(Table24[[#All],[Year]:[Details]],ROWS(prem_analysis!$M$420:P830),COLUMNS(Data!$Q$3:T413)))))),"")</f>
        <v/>
      </c>
      <c r="V412" s="1" t="str">
        <f>IFERROR(IF($Q$1=$P$3,INDEX(prem_analysis!$P$2:$Q$441,ROWS(Data!$P$2:U412),COLUMNS(Data!$P$3:T413)),IF($Q$1=$P$5,INDEX(prem_analysis!$BH$1:$BS$23,ROWS(Data!$Q$3:U413),COLUMNS(Data!$Q$3:U413)),IF($Q$1=$P$6,INDEX(prem_analysis!$BU$1:$CF$67,ROWS(prem_analysis!$N$2:R412),COLUMNS(prem_analysis!$N$2:R412)),IF($Q$1=$P$4,INDEX(Table24[[#All],[Year]:[Details]],ROWS(prem_analysis!$M$420:Q830),COLUMNS(Data!$Q$3:U413)))))),"")</f>
        <v/>
      </c>
      <c r="W412" s="1" t="str">
        <f>IFERROR(IF($Q$1=$P$3,INDEX(prem_analysis!$P$2:$Q$441,ROWS(Data!$P$2:V412),COLUMNS(Data!$P$3:U413)),IF($Q$1=$P$5,INDEX(prem_analysis!$BH$1:$BS$23,ROWS(Data!$Q$3:V413),COLUMNS(Data!$Q$3:V413)),IF($Q$1=$P$6,INDEX(prem_analysis!$BU$1:$CF$67,ROWS(prem_analysis!$N$2:S412),COLUMNS(prem_analysis!$N$2:S412)),IF($Q$1=$P$4,INDEX(Table24[[#All],[Year]:[Details]],ROWS(prem_analysis!$M$420:R830),COLUMNS(Data!$Q$3:V413)))))),"")</f>
        <v/>
      </c>
      <c r="X412" s="1" t="str">
        <f>IFERROR(IF($Q$1=$P$3,INDEX(prem_analysis!$P$2:$Q$441,ROWS(Data!$P$2:W412),COLUMNS(Data!$P$3:V413)),IF($Q$1=$P$5,INDEX(prem_analysis!$BH$1:$BS$23,ROWS(Data!$Q$3:W413),COLUMNS(Data!$Q$3:W413)),IF($Q$1=$P$6,INDEX(prem_analysis!$BU$1:$CF$67,ROWS(prem_analysis!$N$2:T412),COLUMNS(prem_analysis!$N$2:T412)),IF($Q$1=$P$4,INDEX(Table24[[#All],[Year]:[Details]],ROWS(prem_analysis!$M$420:S830),COLUMNS(Data!$Q$3:W413)))))),"")</f>
        <v/>
      </c>
      <c r="Y412" s="1" t="str">
        <f>IFERROR(IF($Q$1=$P$3,INDEX(prem_analysis!$P$2:$Q$441,ROWS(Data!$P$2:X412),COLUMNS(Data!$P$3:W413)),IF($Q$1=$P$5,INDEX(prem_analysis!$BH$1:$BS$23,ROWS(Data!$Q$3:X413),COLUMNS(Data!$Q$3:X413)),IF($Q$1=$P$6,INDEX(prem_analysis!$BU$1:$CF$67,ROWS(prem_analysis!$N$2:U412),COLUMNS(prem_analysis!$N$2:U412)),IF($Q$1=$P$4,INDEX(Table24[[#All],[Year]:[Details]],ROWS(prem_analysis!$M$420:T830),COLUMNS(Data!$Q$3:X413)))))),"")</f>
        <v/>
      </c>
      <c r="Z412" s="1" t="str">
        <f>IFERROR(IF($Q$1=$P$3,INDEX(prem_analysis!$P$2:$Q$441,ROWS(Data!$P$2:Y412),COLUMNS(Data!$P$3:X413)),IF($Q$1=$P$5,INDEX(prem_analysis!$BH$1:$BS$23,ROWS(Data!$Q$3:Y413),COLUMNS(Data!$Q$3:Y413)),IF($Q$1=$P$6,INDEX(prem_analysis!$BU$1:$CF$67,ROWS(prem_analysis!$N$2:V412),COLUMNS(prem_analysis!$N$2:V412)),IF($Q$1=$P$4,INDEX(Table24[[#All],[Year]:[Details]],ROWS(prem_analysis!$M$420:U830),COLUMNS(Data!$Q$3:Y413)))))),"")</f>
        <v/>
      </c>
      <c r="AA412" s="1" t="str">
        <f>IFERROR(IF($Q$1=$P$3,INDEX(prem_analysis!$P$2:$Q$441,ROWS(Data!$P$2:Z412),COLUMNS(Data!$P$3:Y413)),IF($Q$1=$P$5,INDEX(prem_analysis!$BH$1:$BS$23,ROWS(Data!$Q$3:Z413),COLUMNS(Data!$Q$3:Z413)),IF($Q$1=$P$6,INDEX(prem_analysis!$BU$1:$CF$67,ROWS(prem_analysis!$N$2:W412),COLUMNS(prem_analysis!$N$2:W412)),IF($Q$1=$P$4,INDEX(Table24[[#All],[Year]:[Details]],ROWS(prem_analysis!$M$420:V830),COLUMNS(Data!$Q$3:Z413)))))),"")</f>
        <v/>
      </c>
      <c r="AB412" s="1" t="str">
        <f>IFERROR(IF($Q$1=$P$3,INDEX(prem_analysis!$P$2:$Q$441,ROWS(Data!$P$2:AA412),COLUMNS(Data!$P$3:Z413)),IF($Q$1=$P$5,INDEX(prem_analysis!$BH$1:$BS$23,ROWS(Data!$Q$3:AA413),COLUMNS(Data!$Q$3:AA413)),IF($Q$1=$P$6,INDEX(prem_analysis!$BU$1:$CF$67,ROWS(prem_analysis!$N$2:X412),COLUMNS(prem_analysis!$N$2:X412)),IF($Q$1=$P$4,INDEX(Table24[[#All],[Year]:[Details]],ROWS(prem_analysis!$M$420:W830),COLUMNS(Data!$Q$3:AA413)))))),"")</f>
        <v/>
      </c>
      <c r="AC412" s="1" t="str">
        <f>IFERROR(IF($Q$1=$P$3,INDEX(prem_analysis!$P$2:$Q$441,ROWS(Data!$P$2:AB412),COLUMNS(Data!$P$3:AA413)),IF($Q$1=$P$5,INDEX(prem_analysis!$BH$1:$BS$23,ROWS(Data!$Q$3:AB413),COLUMNS(Data!$Q$3:AB413)),IF($Q$1=$P$6,INDEX(prem_analysis!$BU$1:$CF$67,ROWS(prem_analysis!$N$2:Y412),COLUMNS(prem_analysis!$N$2:Y412)),IF($Q$1=$P$4,INDEX(Table24[[#All],[Year]:[Details]],ROWS(prem_analysis!$M$420:X830),COLUMNS(Data!$Q$3:AB413)))))),"")</f>
        <v/>
      </c>
    </row>
    <row r="413" spans="1:29" x14ac:dyDescent="0.2">
      <c r="A413" s="5">
        <v>2020</v>
      </c>
      <c r="B413" s="5">
        <v>12</v>
      </c>
      <c r="C413" s="6" t="s">
        <v>21</v>
      </c>
      <c r="D413" s="5">
        <v>38</v>
      </c>
      <c r="E413" s="5">
        <v>12</v>
      </c>
      <c r="F413" s="5">
        <v>9</v>
      </c>
      <c r="G413" s="5">
        <v>17</v>
      </c>
      <c r="H413" s="5">
        <v>46</v>
      </c>
      <c r="I413" s="5">
        <v>62</v>
      </c>
      <c r="J413" s="5">
        <v>-16</v>
      </c>
      <c r="K413" s="5">
        <v>45</v>
      </c>
      <c r="L413" s="5">
        <f>IF(Table24[[#This Row],['#]]=1,"Champion", IF(Table24[[#This Row],['#]]&gt;=18,"Relegated",Table24[[#This Row],['#]]))</f>
        <v>12</v>
      </c>
      <c r="M413" s="5" t="str">
        <f>IF(Table24[[#This Row],[Details]]=2,K412-Table24[[#This Row],[Pts]],IF(Table24[[#This Row],[Details]]=17,Table24[[#This Row],[Pts]]-K414,""))</f>
        <v/>
      </c>
      <c r="R413" s="1" t="str">
        <f>IFERROR(IF($Q$1=$P$3,INDEX(prem_analysis!$P$2:$Q$441,ROWS(Data!$P$2:Q413),COLUMNS(Data!$P$3:P414)),IF($Q$1=$P$5,INDEX(prem_analysis!$BH$1:$BS$23,ROWS(Data!$Q$3:Q414),COLUMNS(Data!$Q$3:Q414)),IF($Q$1=$P$6,INDEX(prem_analysis!$BU$1:$CF$67,ROWS(prem_analysis!$N$2:N413),COLUMNS(prem_analysis!$N$2:N413)),IF($Q$1=$P$4,INDEX(Table24[[#All],[Year]:[Details]],ROWS(prem_analysis!$M$420:M831),COLUMNS(Data!$Q$3:Q414)))))),"")</f>
        <v/>
      </c>
      <c r="S413" s="1" t="str">
        <f>IFERROR(IF($Q$1=$P$3,INDEX(prem_analysis!$P$2:$Q$441,ROWS(Data!$P$2:R413),COLUMNS(Data!$P$3:Q414)),IF($Q$1=$P$5,INDEX(prem_analysis!$BH$1:$BS$23,ROWS(Data!$Q$3:R414),COLUMNS(Data!$Q$3:R414)),IF($Q$1=$P$6,INDEX(prem_analysis!$BU$1:$CF$67,ROWS(prem_analysis!$N$2:O413),COLUMNS(prem_analysis!$N$2:O413)),IF($Q$1=$P$4,INDEX(Table24[[#All],[Year]:[Details]],ROWS(prem_analysis!$M$420:N831),COLUMNS(Data!$Q$3:R414)))))),"")</f>
        <v/>
      </c>
      <c r="T413" s="1" t="str">
        <f>IFERROR(IF($Q$1=$P$3,INDEX(prem_analysis!$P$2:$Q$441,ROWS(Data!$P$2:S413),COLUMNS(Data!$P$3:R414)),IF($Q$1=$P$5,INDEX(prem_analysis!$BH$1:$BS$23,ROWS(Data!$Q$3:S414),COLUMNS(Data!$Q$3:S414)),IF($Q$1=$P$6,INDEX(prem_analysis!$BU$1:$CF$67,ROWS(prem_analysis!$N$2:P413),COLUMNS(prem_analysis!$N$2:P413)),IF($Q$1=$P$4,INDEX(Table24[[#All],[Year]:[Details]],ROWS(prem_analysis!$M$420:O831),COLUMNS(Data!$Q$3:S414)))))),"")</f>
        <v/>
      </c>
      <c r="U413" s="1" t="str">
        <f>IFERROR(IF($Q$1=$P$3,INDEX(prem_analysis!$P$2:$Q$441,ROWS(Data!$P$2:T413),COLUMNS(Data!$P$3:S414)),IF($Q$1=$P$5,INDEX(prem_analysis!$BH$1:$BS$23,ROWS(Data!$Q$3:T414),COLUMNS(Data!$Q$3:T414)),IF($Q$1=$P$6,INDEX(prem_analysis!$BU$1:$CF$67,ROWS(prem_analysis!$N$2:Q413),COLUMNS(prem_analysis!$N$2:Q413)),IF($Q$1=$P$4,INDEX(Table24[[#All],[Year]:[Details]],ROWS(prem_analysis!$M$420:P831),COLUMNS(Data!$Q$3:T414)))))),"")</f>
        <v/>
      </c>
      <c r="V413" s="1" t="str">
        <f>IFERROR(IF($Q$1=$P$3,INDEX(prem_analysis!$P$2:$Q$441,ROWS(Data!$P$2:U413),COLUMNS(Data!$P$3:T414)),IF($Q$1=$P$5,INDEX(prem_analysis!$BH$1:$BS$23,ROWS(Data!$Q$3:U414),COLUMNS(Data!$Q$3:U414)),IF($Q$1=$P$6,INDEX(prem_analysis!$BU$1:$CF$67,ROWS(prem_analysis!$N$2:R413),COLUMNS(prem_analysis!$N$2:R413)),IF($Q$1=$P$4,INDEX(Table24[[#All],[Year]:[Details]],ROWS(prem_analysis!$M$420:Q831),COLUMNS(Data!$Q$3:U414)))))),"")</f>
        <v/>
      </c>
      <c r="W413" s="1" t="str">
        <f>IFERROR(IF($Q$1=$P$3,INDEX(prem_analysis!$P$2:$Q$441,ROWS(Data!$P$2:V413),COLUMNS(Data!$P$3:U414)),IF($Q$1=$P$5,INDEX(prem_analysis!$BH$1:$BS$23,ROWS(Data!$Q$3:V414),COLUMNS(Data!$Q$3:V414)),IF($Q$1=$P$6,INDEX(prem_analysis!$BU$1:$CF$67,ROWS(prem_analysis!$N$2:S413),COLUMNS(prem_analysis!$N$2:S413)),IF($Q$1=$P$4,INDEX(Table24[[#All],[Year]:[Details]],ROWS(prem_analysis!$M$420:R831),COLUMNS(Data!$Q$3:V414)))))),"")</f>
        <v/>
      </c>
      <c r="X413" s="1" t="str">
        <f>IFERROR(IF($Q$1=$P$3,INDEX(prem_analysis!$P$2:$Q$441,ROWS(Data!$P$2:W413),COLUMNS(Data!$P$3:V414)),IF($Q$1=$P$5,INDEX(prem_analysis!$BH$1:$BS$23,ROWS(Data!$Q$3:W414),COLUMNS(Data!$Q$3:W414)),IF($Q$1=$P$6,INDEX(prem_analysis!$BU$1:$CF$67,ROWS(prem_analysis!$N$2:T413),COLUMNS(prem_analysis!$N$2:T413)),IF($Q$1=$P$4,INDEX(Table24[[#All],[Year]:[Details]],ROWS(prem_analysis!$M$420:S831),COLUMNS(Data!$Q$3:W414)))))),"")</f>
        <v/>
      </c>
      <c r="Y413" s="1" t="str">
        <f>IFERROR(IF($Q$1=$P$3,INDEX(prem_analysis!$P$2:$Q$441,ROWS(Data!$P$2:X413),COLUMNS(Data!$P$3:W414)),IF($Q$1=$P$5,INDEX(prem_analysis!$BH$1:$BS$23,ROWS(Data!$Q$3:X414),COLUMNS(Data!$Q$3:X414)),IF($Q$1=$P$6,INDEX(prem_analysis!$BU$1:$CF$67,ROWS(prem_analysis!$N$2:U413),COLUMNS(prem_analysis!$N$2:U413)),IF($Q$1=$P$4,INDEX(Table24[[#All],[Year]:[Details]],ROWS(prem_analysis!$M$420:T831),COLUMNS(Data!$Q$3:X414)))))),"")</f>
        <v/>
      </c>
      <c r="Z413" s="1" t="str">
        <f>IFERROR(IF($Q$1=$P$3,INDEX(prem_analysis!$P$2:$Q$441,ROWS(Data!$P$2:Y413),COLUMNS(Data!$P$3:X414)),IF($Q$1=$P$5,INDEX(prem_analysis!$BH$1:$BS$23,ROWS(Data!$Q$3:Y414),COLUMNS(Data!$Q$3:Y414)),IF($Q$1=$P$6,INDEX(prem_analysis!$BU$1:$CF$67,ROWS(prem_analysis!$N$2:V413),COLUMNS(prem_analysis!$N$2:V413)),IF($Q$1=$P$4,INDEX(Table24[[#All],[Year]:[Details]],ROWS(prem_analysis!$M$420:U831),COLUMNS(Data!$Q$3:Y414)))))),"")</f>
        <v/>
      </c>
      <c r="AA413" s="1" t="str">
        <f>IFERROR(IF($Q$1=$P$3,INDEX(prem_analysis!$P$2:$Q$441,ROWS(Data!$P$2:Z413),COLUMNS(Data!$P$3:Y414)),IF($Q$1=$P$5,INDEX(prem_analysis!$BH$1:$BS$23,ROWS(Data!$Q$3:Z414),COLUMNS(Data!$Q$3:Z414)),IF($Q$1=$P$6,INDEX(prem_analysis!$BU$1:$CF$67,ROWS(prem_analysis!$N$2:W413),COLUMNS(prem_analysis!$N$2:W413)),IF($Q$1=$P$4,INDEX(Table24[[#All],[Year]:[Details]],ROWS(prem_analysis!$M$420:V831),COLUMNS(Data!$Q$3:Z414)))))),"")</f>
        <v/>
      </c>
      <c r="AB413" s="1" t="str">
        <f>IFERROR(IF($Q$1=$P$3,INDEX(prem_analysis!$P$2:$Q$441,ROWS(Data!$P$2:AA413),COLUMNS(Data!$P$3:Z414)),IF($Q$1=$P$5,INDEX(prem_analysis!$BH$1:$BS$23,ROWS(Data!$Q$3:AA414),COLUMNS(Data!$Q$3:AA414)),IF($Q$1=$P$6,INDEX(prem_analysis!$BU$1:$CF$67,ROWS(prem_analysis!$N$2:X413),COLUMNS(prem_analysis!$N$2:X413)),IF($Q$1=$P$4,INDEX(Table24[[#All],[Year]:[Details]],ROWS(prem_analysis!$M$420:W831),COLUMNS(Data!$Q$3:AA414)))))),"")</f>
        <v/>
      </c>
      <c r="AC413" s="1" t="str">
        <f>IFERROR(IF($Q$1=$P$3,INDEX(prem_analysis!$P$2:$Q$441,ROWS(Data!$P$2:AB413),COLUMNS(Data!$P$3:AA414)),IF($Q$1=$P$5,INDEX(prem_analysis!$BH$1:$BS$23,ROWS(Data!$Q$3:AB414),COLUMNS(Data!$Q$3:AB414)),IF($Q$1=$P$6,INDEX(prem_analysis!$BU$1:$CF$67,ROWS(prem_analysis!$N$2:Y413),COLUMNS(prem_analysis!$N$2:Y413)),IF($Q$1=$P$4,INDEX(Table24[[#All],[Year]:[Details]],ROWS(prem_analysis!$M$420:X831),COLUMNS(Data!$Q$3:AB414)))))),"")</f>
        <v/>
      </c>
    </row>
    <row r="414" spans="1:29" x14ac:dyDescent="0.2">
      <c r="A414" s="3">
        <v>2020</v>
      </c>
      <c r="B414" s="3">
        <v>13</v>
      </c>
      <c r="C414" s="4" t="s">
        <v>37</v>
      </c>
      <c r="D414" s="3">
        <v>38</v>
      </c>
      <c r="E414" s="3">
        <v>12</v>
      </c>
      <c r="F414" s="3">
        <v>9</v>
      </c>
      <c r="G414" s="3">
        <v>17</v>
      </c>
      <c r="H414" s="3">
        <v>36</v>
      </c>
      <c r="I414" s="3">
        <v>52</v>
      </c>
      <c r="J414" s="3">
        <v>-16</v>
      </c>
      <c r="K414" s="3">
        <v>45</v>
      </c>
      <c r="L414" s="5">
        <f>IF(Table24[[#This Row],['#]]=1,"Champion", IF(Table24[[#This Row],['#]]&gt;=18,"Relegated",Table24[[#This Row],['#]]))</f>
        <v>13</v>
      </c>
      <c r="M414" s="5" t="str">
        <f>IF(Table24[[#This Row],[Details]]=2,K413-Table24[[#This Row],[Pts]],IF(Table24[[#This Row],[Details]]=17,Table24[[#This Row],[Pts]]-K415,""))</f>
        <v/>
      </c>
      <c r="R414" s="1" t="str">
        <f>IFERROR(IF($Q$1=$P$3,INDEX(prem_analysis!$P$2:$Q$441,ROWS(Data!$P$2:Q414),COLUMNS(Data!$P$3:P415)),IF($Q$1=$P$5,INDEX(prem_analysis!$BH$1:$BS$23,ROWS(Data!$Q$3:Q415),COLUMNS(Data!$Q$3:Q415)),IF($Q$1=$P$6,INDEX(prem_analysis!$BU$1:$CF$67,ROWS(prem_analysis!$N$2:N414),COLUMNS(prem_analysis!$N$2:N414)),IF($Q$1=$P$4,INDEX(Table24[[#All],[Year]:[Details]],ROWS(prem_analysis!$M$420:M832),COLUMNS(Data!$Q$3:Q415)))))),"")</f>
        <v/>
      </c>
      <c r="S414" s="1" t="str">
        <f>IFERROR(IF($Q$1=$P$3,INDEX(prem_analysis!$P$2:$Q$441,ROWS(Data!$P$2:R414),COLUMNS(Data!$P$3:Q415)),IF($Q$1=$P$5,INDEX(prem_analysis!$BH$1:$BS$23,ROWS(Data!$Q$3:R415),COLUMNS(Data!$Q$3:R415)),IF($Q$1=$P$6,INDEX(prem_analysis!$BU$1:$CF$67,ROWS(prem_analysis!$N$2:O414),COLUMNS(prem_analysis!$N$2:O414)),IF($Q$1=$P$4,INDEX(Table24[[#All],[Year]:[Details]],ROWS(prem_analysis!$M$420:N832),COLUMNS(Data!$Q$3:R415)))))),"")</f>
        <v/>
      </c>
      <c r="T414" s="1" t="str">
        <f>IFERROR(IF($Q$1=$P$3,INDEX(prem_analysis!$P$2:$Q$441,ROWS(Data!$P$2:S414),COLUMNS(Data!$P$3:R415)),IF($Q$1=$P$5,INDEX(prem_analysis!$BH$1:$BS$23,ROWS(Data!$Q$3:S415),COLUMNS(Data!$Q$3:S415)),IF($Q$1=$P$6,INDEX(prem_analysis!$BU$1:$CF$67,ROWS(prem_analysis!$N$2:P414),COLUMNS(prem_analysis!$N$2:P414)),IF($Q$1=$P$4,INDEX(Table24[[#All],[Year]:[Details]],ROWS(prem_analysis!$M$420:O832),COLUMNS(Data!$Q$3:S415)))))),"")</f>
        <v/>
      </c>
      <c r="U414" s="1" t="str">
        <f>IFERROR(IF($Q$1=$P$3,INDEX(prem_analysis!$P$2:$Q$441,ROWS(Data!$P$2:T414),COLUMNS(Data!$P$3:S415)),IF($Q$1=$P$5,INDEX(prem_analysis!$BH$1:$BS$23,ROWS(Data!$Q$3:T415),COLUMNS(Data!$Q$3:T415)),IF($Q$1=$P$6,INDEX(prem_analysis!$BU$1:$CF$67,ROWS(prem_analysis!$N$2:Q414),COLUMNS(prem_analysis!$N$2:Q414)),IF($Q$1=$P$4,INDEX(Table24[[#All],[Year]:[Details]],ROWS(prem_analysis!$M$420:P832),COLUMNS(Data!$Q$3:T415)))))),"")</f>
        <v/>
      </c>
      <c r="V414" s="1" t="str">
        <f>IFERROR(IF($Q$1=$P$3,INDEX(prem_analysis!$P$2:$Q$441,ROWS(Data!$P$2:U414),COLUMNS(Data!$P$3:T415)),IF($Q$1=$P$5,INDEX(prem_analysis!$BH$1:$BS$23,ROWS(Data!$Q$3:U415),COLUMNS(Data!$Q$3:U415)),IF($Q$1=$P$6,INDEX(prem_analysis!$BU$1:$CF$67,ROWS(prem_analysis!$N$2:R414),COLUMNS(prem_analysis!$N$2:R414)),IF($Q$1=$P$4,INDEX(Table24[[#All],[Year]:[Details]],ROWS(prem_analysis!$M$420:Q832),COLUMNS(Data!$Q$3:U415)))))),"")</f>
        <v/>
      </c>
      <c r="W414" s="1" t="str">
        <f>IFERROR(IF($Q$1=$P$3,INDEX(prem_analysis!$P$2:$Q$441,ROWS(Data!$P$2:V414),COLUMNS(Data!$P$3:U415)),IF($Q$1=$P$5,INDEX(prem_analysis!$BH$1:$BS$23,ROWS(Data!$Q$3:V415),COLUMNS(Data!$Q$3:V415)),IF($Q$1=$P$6,INDEX(prem_analysis!$BU$1:$CF$67,ROWS(prem_analysis!$N$2:S414),COLUMNS(prem_analysis!$N$2:S414)),IF($Q$1=$P$4,INDEX(Table24[[#All],[Year]:[Details]],ROWS(prem_analysis!$M$420:R832),COLUMNS(Data!$Q$3:V415)))))),"")</f>
        <v/>
      </c>
      <c r="X414" s="1" t="str">
        <f>IFERROR(IF($Q$1=$P$3,INDEX(prem_analysis!$P$2:$Q$441,ROWS(Data!$P$2:W414),COLUMNS(Data!$P$3:V415)),IF($Q$1=$P$5,INDEX(prem_analysis!$BH$1:$BS$23,ROWS(Data!$Q$3:W415),COLUMNS(Data!$Q$3:W415)),IF($Q$1=$P$6,INDEX(prem_analysis!$BU$1:$CF$67,ROWS(prem_analysis!$N$2:T414),COLUMNS(prem_analysis!$N$2:T414)),IF($Q$1=$P$4,INDEX(Table24[[#All],[Year]:[Details]],ROWS(prem_analysis!$M$420:S832),COLUMNS(Data!$Q$3:W415)))))),"")</f>
        <v/>
      </c>
      <c r="Y414" s="1" t="str">
        <f>IFERROR(IF($Q$1=$P$3,INDEX(prem_analysis!$P$2:$Q$441,ROWS(Data!$P$2:X414),COLUMNS(Data!$P$3:W415)),IF($Q$1=$P$5,INDEX(prem_analysis!$BH$1:$BS$23,ROWS(Data!$Q$3:X415),COLUMNS(Data!$Q$3:X415)),IF($Q$1=$P$6,INDEX(prem_analysis!$BU$1:$CF$67,ROWS(prem_analysis!$N$2:U414),COLUMNS(prem_analysis!$N$2:U414)),IF($Q$1=$P$4,INDEX(Table24[[#All],[Year]:[Details]],ROWS(prem_analysis!$M$420:T832),COLUMNS(Data!$Q$3:X415)))))),"")</f>
        <v/>
      </c>
      <c r="Z414" s="1" t="str">
        <f>IFERROR(IF($Q$1=$P$3,INDEX(prem_analysis!$P$2:$Q$441,ROWS(Data!$P$2:Y414),COLUMNS(Data!$P$3:X415)),IF($Q$1=$P$5,INDEX(prem_analysis!$BH$1:$BS$23,ROWS(Data!$Q$3:Y415),COLUMNS(Data!$Q$3:Y415)),IF($Q$1=$P$6,INDEX(prem_analysis!$BU$1:$CF$67,ROWS(prem_analysis!$N$2:V414),COLUMNS(prem_analysis!$N$2:V414)),IF($Q$1=$P$4,INDEX(Table24[[#All],[Year]:[Details]],ROWS(prem_analysis!$M$420:U832),COLUMNS(Data!$Q$3:Y415)))))),"")</f>
        <v/>
      </c>
      <c r="AA414" s="1" t="str">
        <f>IFERROR(IF($Q$1=$P$3,INDEX(prem_analysis!$P$2:$Q$441,ROWS(Data!$P$2:Z414),COLUMNS(Data!$P$3:Y415)),IF($Q$1=$P$5,INDEX(prem_analysis!$BH$1:$BS$23,ROWS(Data!$Q$3:Z415),COLUMNS(Data!$Q$3:Z415)),IF($Q$1=$P$6,INDEX(prem_analysis!$BU$1:$CF$67,ROWS(prem_analysis!$N$2:W414),COLUMNS(prem_analysis!$N$2:W414)),IF($Q$1=$P$4,INDEX(Table24[[#All],[Year]:[Details]],ROWS(prem_analysis!$M$420:V832),COLUMNS(Data!$Q$3:Z415)))))),"")</f>
        <v/>
      </c>
      <c r="AB414" s="1" t="str">
        <f>IFERROR(IF($Q$1=$P$3,INDEX(prem_analysis!$P$2:$Q$441,ROWS(Data!$P$2:AA414),COLUMNS(Data!$P$3:Z415)),IF($Q$1=$P$5,INDEX(prem_analysis!$BH$1:$BS$23,ROWS(Data!$Q$3:AA415),COLUMNS(Data!$Q$3:AA415)),IF($Q$1=$P$6,INDEX(prem_analysis!$BU$1:$CF$67,ROWS(prem_analysis!$N$2:X414),COLUMNS(prem_analysis!$N$2:X414)),IF($Q$1=$P$4,INDEX(Table24[[#All],[Year]:[Details]],ROWS(prem_analysis!$M$420:W832),COLUMNS(Data!$Q$3:AA415)))))),"")</f>
        <v/>
      </c>
      <c r="AC414" s="1" t="str">
        <f>IFERROR(IF($Q$1=$P$3,INDEX(prem_analysis!$P$2:$Q$441,ROWS(Data!$P$2:AB414),COLUMNS(Data!$P$3:AA415)),IF($Q$1=$P$5,INDEX(prem_analysis!$BH$1:$BS$23,ROWS(Data!$Q$3:AB415),COLUMNS(Data!$Q$3:AB415)),IF($Q$1=$P$6,INDEX(prem_analysis!$BU$1:$CF$67,ROWS(prem_analysis!$N$2:Y414),COLUMNS(prem_analysis!$N$2:Y414)),IF($Q$1=$P$4,INDEX(Table24[[#All],[Year]:[Details]],ROWS(prem_analysis!$M$420:X832),COLUMNS(Data!$Q$3:AB415)))))),"")</f>
        <v/>
      </c>
    </row>
    <row r="415" spans="1:29" x14ac:dyDescent="0.2">
      <c r="A415" s="5">
        <v>2020</v>
      </c>
      <c r="B415" s="5">
        <v>14</v>
      </c>
      <c r="C415" s="6" t="s">
        <v>38</v>
      </c>
      <c r="D415" s="5">
        <v>38</v>
      </c>
      <c r="E415" s="5">
        <v>12</v>
      </c>
      <c r="F415" s="5">
        <v>8</v>
      </c>
      <c r="G415" s="5">
        <v>18</v>
      </c>
      <c r="H415" s="5">
        <v>41</v>
      </c>
      <c r="I415" s="5">
        <v>66</v>
      </c>
      <c r="J415" s="5">
        <v>-25</v>
      </c>
      <c r="K415" s="5">
        <v>44</v>
      </c>
      <c r="L415" s="5">
        <f>IF(Table24[[#This Row],['#]]=1,"Champion", IF(Table24[[#This Row],['#]]&gt;=18,"Relegated",Table24[[#This Row],['#]]))</f>
        <v>14</v>
      </c>
      <c r="M415" s="5" t="str">
        <f>IF(Table24[[#This Row],[Details]]=2,K414-Table24[[#This Row],[Pts]],IF(Table24[[#This Row],[Details]]=17,Table24[[#This Row],[Pts]]-K416,""))</f>
        <v/>
      </c>
      <c r="R415" s="1" t="str">
        <f>IFERROR(IF($Q$1=$P$3,INDEX(prem_analysis!$P$2:$Q$441,ROWS(Data!$P$2:Q415),COLUMNS(Data!$P$3:P416)),IF($Q$1=$P$5,INDEX(prem_analysis!$BH$1:$BS$23,ROWS(Data!$Q$3:Q416),COLUMNS(Data!$Q$3:Q416)),IF($Q$1=$P$6,INDEX(prem_analysis!$BU$1:$CF$67,ROWS(prem_analysis!$N$2:N415),COLUMNS(prem_analysis!$N$2:N415)),IF($Q$1=$P$4,INDEX(Table24[[#All],[Year]:[Details]],ROWS(prem_analysis!$M$420:M833),COLUMNS(Data!$Q$3:Q416)))))),"")</f>
        <v/>
      </c>
      <c r="S415" s="1" t="str">
        <f>IFERROR(IF($Q$1=$P$3,INDEX(prem_analysis!$P$2:$Q$441,ROWS(Data!$P$2:R415),COLUMNS(Data!$P$3:Q416)),IF($Q$1=$P$5,INDEX(prem_analysis!$BH$1:$BS$23,ROWS(Data!$Q$3:R416),COLUMNS(Data!$Q$3:R416)),IF($Q$1=$P$6,INDEX(prem_analysis!$BU$1:$CF$67,ROWS(prem_analysis!$N$2:O415),COLUMNS(prem_analysis!$N$2:O415)),IF($Q$1=$P$4,INDEX(Table24[[#All],[Year]:[Details]],ROWS(prem_analysis!$M$420:N833),COLUMNS(Data!$Q$3:R416)))))),"")</f>
        <v/>
      </c>
      <c r="T415" s="1" t="str">
        <f>IFERROR(IF($Q$1=$P$3,INDEX(prem_analysis!$P$2:$Q$441,ROWS(Data!$P$2:S415),COLUMNS(Data!$P$3:R416)),IF($Q$1=$P$5,INDEX(prem_analysis!$BH$1:$BS$23,ROWS(Data!$Q$3:S416),COLUMNS(Data!$Q$3:S416)),IF($Q$1=$P$6,INDEX(prem_analysis!$BU$1:$CF$67,ROWS(prem_analysis!$N$2:P415),COLUMNS(prem_analysis!$N$2:P415)),IF($Q$1=$P$4,INDEX(Table24[[#All],[Year]:[Details]],ROWS(prem_analysis!$M$420:O833),COLUMNS(Data!$Q$3:S416)))))),"")</f>
        <v/>
      </c>
      <c r="U415" s="1" t="str">
        <f>IFERROR(IF($Q$1=$P$3,INDEX(prem_analysis!$P$2:$Q$441,ROWS(Data!$P$2:T415),COLUMNS(Data!$P$3:S416)),IF($Q$1=$P$5,INDEX(prem_analysis!$BH$1:$BS$23,ROWS(Data!$Q$3:T416),COLUMNS(Data!$Q$3:T416)),IF($Q$1=$P$6,INDEX(prem_analysis!$BU$1:$CF$67,ROWS(prem_analysis!$N$2:Q415),COLUMNS(prem_analysis!$N$2:Q415)),IF($Q$1=$P$4,INDEX(Table24[[#All],[Year]:[Details]],ROWS(prem_analysis!$M$420:P833),COLUMNS(Data!$Q$3:T416)))))),"")</f>
        <v/>
      </c>
      <c r="V415" s="1" t="str">
        <f>IFERROR(IF($Q$1=$P$3,INDEX(prem_analysis!$P$2:$Q$441,ROWS(Data!$P$2:U415),COLUMNS(Data!$P$3:T416)),IF($Q$1=$P$5,INDEX(prem_analysis!$BH$1:$BS$23,ROWS(Data!$Q$3:U416),COLUMNS(Data!$Q$3:U416)),IF($Q$1=$P$6,INDEX(prem_analysis!$BU$1:$CF$67,ROWS(prem_analysis!$N$2:R415),COLUMNS(prem_analysis!$N$2:R415)),IF($Q$1=$P$4,INDEX(Table24[[#All],[Year]:[Details]],ROWS(prem_analysis!$M$420:Q833),COLUMNS(Data!$Q$3:U416)))))),"")</f>
        <v/>
      </c>
      <c r="W415" s="1" t="str">
        <f>IFERROR(IF($Q$1=$P$3,INDEX(prem_analysis!$P$2:$Q$441,ROWS(Data!$P$2:V415),COLUMNS(Data!$P$3:U416)),IF($Q$1=$P$5,INDEX(prem_analysis!$BH$1:$BS$23,ROWS(Data!$Q$3:V416),COLUMNS(Data!$Q$3:V416)),IF($Q$1=$P$6,INDEX(prem_analysis!$BU$1:$CF$67,ROWS(prem_analysis!$N$2:S415),COLUMNS(prem_analysis!$N$2:S415)),IF($Q$1=$P$4,INDEX(Table24[[#All],[Year]:[Details]],ROWS(prem_analysis!$M$420:R833),COLUMNS(Data!$Q$3:V416)))))),"")</f>
        <v/>
      </c>
      <c r="X415" s="1" t="str">
        <f>IFERROR(IF($Q$1=$P$3,INDEX(prem_analysis!$P$2:$Q$441,ROWS(Data!$P$2:W415),COLUMNS(Data!$P$3:V416)),IF($Q$1=$P$5,INDEX(prem_analysis!$BH$1:$BS$23,ROWS(Data!$Q$3:W416),COLUMNS(Data!$Q$3:W416)),IF($Q$1=$P$6,INDEX(prem_analysis!$BU$1:$CF$67,ROWS(prem_analysis!$N$2:T415),COLUMNS(prem_analysis!$N$2:T415)),IF($Q$1=$P$4,INDEX(Table24[[#All],[Year]:[Details]],ROWS(prem_analysis!$M$420:S833),COLUMNS(Data!$Q$3:W416)))))),"")</f>
        <v/>
      </c>
      <c r="Y415" s="1" t="str">
        <f>IFERROR(IF($Q$1=$P$3,INDEX(prem_analysis!$P$2:$Q$441,ROWS(Data!$P$2:X415),COLUMNS(Data!$P$3:W416)),IF($Q$1=$P$5,INDEX(prem_analysis!$BH$1:$BS$23,ROWS(Data!$Q$3:X416),COLUMNS(Data!$Q$3:X416)),IF($Q$1=$P$6,INDEX(prem_analysis!$BU$1:$CF$67,ROWS(prem_analysis!$N$2:U415),COLUMNS(prem_analysis!$N$2:U415)),IF($Q$1=$P$4,INDEX(Table24[[#All],[Year]:[Details]],ROWS(prem_analysis!$M$420:T833),COLUMNS(Data!$Q$3:X416)))))),"")</f>
        <v/>
      </c>
      <c r="Z415" s="1" t="str">
        <f>IFERROR(IF($Q$1=$P$3,INDEX(prem_analysis!$P$2:$Q$441,ROWS(Data!$P$2:Y415),COLUMNS(Data!$P$3:X416)),IF($Q$1=$P$5,INDEX(prem_analysis!$BH$1:$BS$23,ROWS(Data!$Q$3:Y416),COLUMNS(Data!$Q$3:Y416)),IF($Q$1=$P$6,INDEX(prem_analysis!$BU$1:$CF$67,ROWS(prem_analysis!$N$2:V415),COLUMNS(prem_analysis!$N$2:V415)),IF($Q$1=$P$4,INDEX(Table24[[#All],[Year]:[Details]],ROWS(prem_analysis!$M$420:U833),COLUMNS(Data!$Q$3:Y416)))))),"")</f>
        <v/>
      </c>
      <c r="AA415" s="1" t="str">
        <f>IFERROR(IF($Q$1=$P$3,INDEX(prem_analysis!$P$2:$Q$441,ROWS(Data!$P$2:Z415),COLUMNS(Data!$P$3:Y416)),IF($Q$1=$P$5,INDEX(prem_analysis!$BH$1:$BS$23,ROWS(Data!$Q$3:Z416),COLUMNS(Data!$Q$3:Z416)),IF($Q$1=$P$6,INDEX(prem_analysis!$BU$1:$CF$67,ROWS(prem_analysis!$N$2:W415),COLUMNS(prem_analysis!$N$2:W415)),IF($Q$1=$P$4,INDEX(Table24[[#All],[Year]:[Details]],ROWS(prem_analysis!$M$420:V833),COLUMNS(Data!$Q$3:Z416)))))),"")</f>
        <v/>
      </c>
      <c r="AB415" s="1" t="str">
        <f>IFERROR(IF($Q$1=$P$3,INDEX(prem_analysis!$P$2:$Q$441,ROWS(Data!$P$2:AA415),COLUMNS(Data!$P$3:Z416)),IF($Q$1=$P$5,INDEX(prem_analysis!$BH$1:$BS$23,ROWS(Data!$Q$3:AA416),COLUMNS(Data!$Q$3:AA416)),IF($Q$1=$P$6,INDEX(prem_analysis!$BU$1:$CF$67,ROWS(prem_analysis!$N$2:X415),COLUMNS(prem_analysis!$N$2:X415)),IF($Q$1=$P$4,INDEX(Table24[[#All],[Year]:[Details]],ROWS(prem_analysis!$M$420:W833),COLUMNS(Data!$Q$3:AA416)))))),"")</f>
        <v/>
      </c>
      <c r="AC415" s="1" t="str">
        <f>IFERROR(IF($Q$1=$P$3,INDEX(prem_analysis!$P$2:$Q$441,ROWS(Data!$P$2:AB415),COLUMNS(Data!$P$3:AA416)),IF($Q$1=$P$5,INDEX(prem_analysis!$BH$1:$BS$23,ROWS(Data!$Q$3:AB416),COLUMNS(Data!$Q$3:AB416)),IF($Q$1=$P$6,INDEX(prem_analysis!$BU$1:$CF$67,ROWS(prem_analysis!$N$2:Y415),COLUMNS(prem_analysis!$N$2:Y415)),IF($Q$1=$P$4,INDEX(Table24[[#All],[Year]:[Details]],ROWS(prem_analysis!$M$420:X833),COLUMNS(Data!$Q$3:AB416)))))),"")</f>
        <v/>
      </c>
    </row>
    <row r="416" spans="1:29" x14ac:dyDescent="0.2">
      <c r="A416" s="3">
        <v>2020</v>
      </c>
      <c r="B416" s="3">
        <v>15</v>
      </c>
      <c r="C416" s="4" t="s">
        <v>20</v>
      </c>
      <c r="D416" s="3">
        <v>38</v>
      </c>
      <c r="E416" s="3">
        <v>12</v>
      </c>
      <c r="F416" s="3">
        <v>7</v>
      </c>
      <c r="G416" s="3">
        <v>19</v>
      </c>
      <c r="H416" s="3">
        <v>47</v>
      </c>
      <c r="I416" s="3">
        <v>68</v>
      </c>
      <c r="J416" s="3">
        <v>-21</v>
      </c>
      <c r="K416" s="3">
        <v>43</v>
      </c>
      <c r="L416" s="5">
        <f>IF(Table24[[#This Row],['#]]=1,"Champion", IF(Table24[[#This Row],['#]]&gt;=18,"Relegated",Table24[[#This Row],['#]]))</f>
        <v>15</v>
      </c>
      <c r="M416" s="5" t="str">
        <f>IF(Table24[[#This Row],[Details]]=2,K415-Table24[[#This Row],[Pts]],IF(Table24[[#This Row],[Details]]=17,Table24[[#This Row],[Pts]]-K417,""))</f>
        <v/>
      </c>
      <c r="R416" s="1" t="str">
        <f>IFERROR(IF($Q$1=$P$3,INDEX(prem_analysis!$P$2:$Q$441,ROWS(Data!$P$2:Q416),COLUMNS(Data!$P$3:P417)),IF($Q$1=$P$5,INDEX(prem_analysis!$BH$1:$BS$23,ROWS(Data!$Q$3:Q417),COLUMNS(Data!$Q$3:Q417)),IF($Q$1=$P$6,INDEX(prem_analysis!$BU$1:$CF$67,ROWS(prem_analysis!$N$2:N416),COLUMNS(prem_analysis!$N$2:N416)),IF($Q$1=$P$4,INDEX(Table24[[#All],[Year]:[Details]],ROWS(prem_analysis!$M$420:M834),COLUMNS(Data!$Q$3:Q417)))))),"")</f>
        <v/>
      </c>
      <c r="S416" s="1" t="str">
        <f>IFERROR(IF($Q$1=$P$3,INDEX(prem_analysis!$P$2:$Q$441,ROWS(Data!$P$2:R416),COLUMNS(Data!$P$3:Q417)),IF($Q$1=$P$5,INDEX(prem_analysis!$BH$1:$BS$23,ROWS(Data!$Q$3:R417),COLUMNS(Data!$Q$3:R417)),IF($Q$1=$P$6,INDEX(prem_analysis!$BU$1:$CF$67,ROWS(prem_analysis!$N$2:O416),COLUMNS(prem_analysis!$N$2:O416)),IF($Q$1=$P$4,INDEX(Table24[[#All],[Year]:[Details]],ROWS(prem_analysis!$M$420:N834),COLUMNS(Data!$Q$3:R417)))))),"")</f>
        <v/>
      </c>
      <c r="T416" s="1" t="str">
        <f>IFERROR(IF($Q$1=$P$3,INDEX(prem_analysis!$P$2:$Q$441,ROWS(Data!$P$2:S416),COLUMNS(Data!$P$3:R417)),IF($Q$1=$P$5,INDEX(prem_analysis!$BH$1:$BS$23,ROWS(Data!$Q$3:S417),COLUMNS(Data!$Q$3:S417)),IF($Q$1=$P$6,INDEX(prem_analysis!$BU$1:$CF$67,ROWS(prem_analysis!$N$2:P416),COLUMNS(prem_analysis!$N$2:P416)),IF($Q$1=$P$4,INDEX(Table24[[#All],[Year]:[Details]],ROWS(prem_analysis!$M$420:O834),COLUMNS(Data!$Q$3:S417)))))),"")</f>
        <v/>
      </c>
      <c r="U416" s="1" t="str">
        <f>IFERROR(IF($Q$1=$P$3,INDEX(prem_analysis!$P$2:$Q$441,ROWS(Data!$P$2:T416),COLUMNS(Data!$P$3:S417)),IF($Q$1=$P$5,INDEX(prem_analysis!$BH$1:$BS$23,ROWS(Data!$Q$3:T417),COLUMNS(Data!$Q$3:T417)),IF($Q$1=$P$6,INDEX(prem_analysis!$BU$1:$CF$67,ROWS(prem_analysis!$N$2:Q416),COLUMNS(prem_analysis!$N$2:Q416)),IF($Q$1=$P$4,INDEX(Table24[[#All],[Year]:[Details]],ROWS(prem_analysis!$M$420:P834),COLUMNS(Data!$Q$3:T417)))))),"")</f>
        <v/>
      </c>
      <c r="V416" s="1" t="str">
        <f>IFERROR(IF($Q$1=$P$3,INDEX(prem_analysis!$P$2:$Q$441,ROWS(Data!$P$2:U416),COLUMNS(Data!$P$3:T417)),IF($Q$1=$P$5,INDEX(prem_analysis!$BH$1:$BS$23,ROWS(Data!$Q$3:U417),COLUMNS(Data!$Q$3:U417)),IF($Q$1=$P$6,INDEX(prem_analysis!$BU$1:$CF$67,ROWS(prem_analysis!$N$2:R416),COLUMNS(prem_analysis!$N$2:R416)),IF($Q$1=$P$4,INDEX(Table24[[#All],[Year]:[Details]],ROWS(prem_analysis!$M$420:Q834),COLUMNS(Data!$Q$3:U417)))))),"")</f>
        <v/>
      </c>
      <c r="W416" s="1" t="str">
        <f>IFERROR(IF($Q$1=$P$3,INDEX(prem_analysis!$P$2:$Q$441,ROWS(Data!$P$2:V416),COLUMNS(Data!$P$3:U417)),IF($Q$1=$P$5,INDEX(prem_analysis!$BH$1:$BS$23,ROWS(Data!$Q$3:V417),COLUMNS(Data!$Q$3:V417)),IF($Q$1=$P$6,INDEX(prem_analysis!$BU$1:$CF$67,ROWS(prem_analysis!$N$2:S416),COLUMNS(prem_analysis!$N$2:S416)),IF($Q$1=$P$4,INDEX(Table24[[#All],[Year]:[Details]],ROWS(prem_analysis!$M$420:R834),COLUMNS(Data!$Q$3:V417)))))),"")</f>
        <v/>
      </c>
      <c r="X416" s="1" t="str">
        <f>IFERROR(IF($Q$1=$P$3,INDEX(prem_analysis!$P$2:$Q$441,ROWS(Data!$P$2:W416),COLUMNS(Data!$P$3:V417)),IF($Q$1=$P$5,INDEX(prem_analysis!$BH$1:$BS$23,ROWS(Data!$Q$3:W417),COLUMNS(Data!$Q$3:W417)),IF($Q$1=$P$6,INDEX(prem_analysis!$BU$1:$CF$67,ROWS(prem_analysis!$N$2:T416),COLUMNS(prem_analysis!$N$2:T416)),IF($Q$1=$P$4,INDEX(Table24[[#All],[Year]:[Details]],ROWS(prem_analysis!$M$420:S834),COLUMNS(Data!$Q$3:W417)))))),"")</f>
        <v/>
      </c>
      <c r="Y416" s="1" t="str">
        <f>IFERROR(IF($Q$1=$P$3,INDEX(prem_analysis!$P$2:$Q$441,ROWS(Data!$P$2:X416),COLUMNS(Data!$P$3:W417)),IF($Q$1=$P$5,INDEX(prem_analysis!$BH$1:$BS$23,ROWS(Data!$Q$3:X417),COLUMNS(Data!$Q$3:X417)),IF($Q$1=$P$6,INDEX(prem_analysis!$BU$1:$CF$67,ROWS(prem_analysis!$N$2:U416),COLUMNS(prem_analysis!$N$2:U416)),IF($Q$1=$P$4,INDEX(Table24[[#All],[Year]:[Details]],ROWS(prem_analysis!$M$420:T834),COLUMNS(Data!$Q$3:X417)))))),"")</f>
        <v/>
      </c>
      <c r="Z416" s="1" t="str">
        <f>IFERROR(IF($Q$1=$P$3,INDEX(prem_analysis!$P$2:$Q$441,ROWS(Data!$P$2:Y416),COLUMNS(Data!$P$3:X417)),IF($Q$1=$P$5,INDEX(prem_analysis!$BH$1:$BS$23,ROWS(Data!$Q$3:Y417),COLUMNS(Data!$Q$3:Y417)),IF($Q$1=$P$6,INDEX(prem_analysis!$BU$1:$CF$67,ROWS(prem_analysis!$N$2:V416),COLUMNS(prem_analysis!$N$2:V416)),IF($Q$1=$P$4,INDEX(Table24[[#All],[Year]:[Details]],ROWS(prem_analysis!$M$420:U834),COLUMNS(Data!$Q$3:Y417)))))),"")</f>
        <v/>
      </c>
      <c r="AA416" s="1" t="str">
        <f>IFERROR(IF($Q$1=$P$3,INDEX(prem_analysis!$P$2:$Q$441,ROWS(Data!$P$2:Z416),COLUMNS(Data!$P$3:Y417)),IF($Q$1=$P$5,INDEX(prem_analysis!$BH$1:$BS$23,ROWS(Data!$Q$3:Z417),COLUMNS(Data!$Q$3:Z417)),IF($Q$1=$P$6,INDEX(prem_analysis!$BU$1:$CF$67,ROWS(prem_analysis!$N$2:W416),COLUMNS(prem_analysis!$N$2:W416)),IF($Q$1=$P$4,INDEX(Table24[[#All],[Year]:[Details]],ROWS(prem_analysis!$M$420:V834),COLUMNS(Data!$Q$3:Z417)))))),"")</f>
        <v/>
      </c>
      <c r="AB416" s="1" t="str">
        <f>IFERROR(IF($Q$1=$P$3,INDEX(prem_analysis!$P$2:$Q$441,ROWS(Data!$P$2:AA416),COLUMNS(Data!$P$3:Z417)),IF($Q$1=$P$5,INDEX(prem_analysis!$BH$1:$BS$23,ROWS(Data!$Q$3:AA417),COLUMNS(Data!$Q$3:AA417)),IF($Q$1=$P$6,INDEX(prem_analysis!$BU$1:$CF$67,ROWS(prem_analysis!$N$2:X416),COLUMNS(prem_analysis!$N$2:X416)),IF($Q$1=$P$4,INDEX(Table24[[#All],[Year]:[Details]],ROWS(prem_analysis!$M$420:W834),COLUMNS(Data!$Q$3:AA417)))))),"")</f>
        <v/>
      </c>
      <c r="AC416" s="1" t="str">
        <f>IFERROR(IF($Q$1=$P$3,INDEX(prem_analysis!$P$2:$Q$441,ROWS(Data!$P$2:AB416),COLUMNS(Data!$P$3:AA417)),IF($Q$1=$P$5,INDEX(prem_analysis!$BH$1:$BS$23,ROWS(Data!$Q$3:AB417),COLUMNS(Data!$Q$3:AB417)),IF($Q$1=$P$6,INDEX(prem_analysis!$BU$1:$CF$67,ROWS(prem_analysis!$N$2:Y416),COLUMNS(prem_analysis!$N$2:Y416)),IF($Q$1=$P$4,INDEX(Table24[[#All],[Year]:[Details]],ROWS(prem_analysis!$M$420:X834),COLUMNS(Data!$Q$3:AB417)))))),"")</f>
        <v/>
      </c>
    </row>
    <row r="417" spans="1:29" x14ac:dyDescent="0.2">
      <c r="A417" s="5">
        <v>2020</v>
      </c>
      <c r="B417" s="5">
        <v>16</v>
      </c>
      <c r="C417" s="6" t="s">
        <v>55</v>
      </c>
      <c r="D417" s="5">
        <v>38</v>
      </c>
      <c r="E417" s="5">
        <v>9</v>
      </c>
      <c r="F417" s="5">
        <v>14</v>
      </c>
      <c r="G417" s="5">
        <v>15</v>
      </c>
      <c r="H417" s="5">
        <v>40</v>
      </c>
      <c r="I417" s="5">
        <v>46</v>
      </c>
      <c r="J417" s="5">
        <v>-6</v>
      </c>
      <c r="K417" s="5">
        <v>41</v>
      </c>
      <c r="L417" s="5">
        <f>IF(Table24[[#This Row],['#]]=1,"Champion", IF(Table24[[#This Row],['#]]&gt;=18,"Relegated",Table24[[#This Row],['#]]))</f>
        <v>16</v>
      </c>
      <c r="M417" s="5" t="str">
        <f>IF(Table24[[#This Row],[Details]]=2,K416-Table24[[#This Row],[Pts]],IF(Table24[[#This Row],[Details]]=17,Table24[[#This Row],[Pts]]-K418,""))</f>
        <v/>
      </c>
      <c r="R417" s="1" t="str">
        <f>IFERROR(IF($Q$1=$P$3,INDEX(prem_analysis!$P$2:$Q$441,ROWS(Data!$P$2:Q417),COLUMNS(Data!$P$3:P418)),IF($Q$1=$P$5,INDEX(prem_analysis!$BH$1:$BS$23,ROWS(Data!$Q$3:Q418),COLUMNS(Data!$Q$3:Q418)),IF($Q$1=$P$6,INDEX(prem_analysis!$BU$1:$CF$67,ROWS(prem_analysis!$N$2:N417),COLUMNS(prem_analysis!$N$2:N417)),IF($Q$1=$P$4,INDEX(Table24[[#All],[Year]:[Details]],ROWS(prem_analysis!$M$420:M835),COLUMNS(Data!$Q$3:Q418)))))),"")</f>
        <v/>
      </c>
      <c r="S417" s="1" t="str">
        <f>IFERROR(IF($Q$1=$P$3,INDEX(prem_analysis!$P$2:$Q$441,ROWS(Data!$P$2:R417),COLUMNS(Data!$P$3:Q418)),IF($Q$1=$P$5,INDEX(prem_analysis!$BH$1:$BS$23,ROWS(Data!$Q$3:R418),COLUMNS(Data!$Q$3:R418)),IF($Q$1=$P$6,INDEX(prem_analysis!$BU$1:$CF$67,ROWS(prem_analysis!$N$2:O417),COLUMNS(prem_analysis!$N$2:O417)),IF($Q$1=$P$4,INDEX(Table24[[#All],[Year]:[Details]],ROWS(prem_analysis!$M$420:N835),COLUMNS(Data!$Q$3:R418)))))),"")</f>
        <v/>
      </c>
      <c r="T417" s="1" t="str">
        <f>IFERROR(IF($Q$1=$P$3,INDEX(prem_analysis!$P$2:$Q$441,ROWS(Data!$P$2:S417),COLUMNS(Data!$P$3:R418)),IF($Q$1=$P$5,INDEX(prem_analysis!$BH$1:$BS$23,ROWS(Data!$Q$3:S418),COLUMNS(Data!$Q$3:S418)),IF($Q$1=$P$6,INDEX(prem_analysis!$BU$1:$CF$67,ROWS(prem_analysis!$N$2:P417),COLUMNS(prem_analysis!$N$2:P417)),IF($Q$1=$P$4,INDEX(Table24[[#All],[Year]:[Details]],ROWS(prem_analysis!$M$420:O835),COLUMNS(Data!$Q$3:S418)))))),"")</f>
        <v/>
      </c>
      <c r="U417" s="1" t="str">
        <f>IFERROR(IF($Q$1=$P$3,INDEX(prem_analysis!$P$2:$Q$441,ROWS(Data!$P$2:T417),COLUMNS(Data!$P$3:S418)),IF($Q$1=$P$5,INDEX(prem_analysis!$BH$1:$BS$23,ROWS(Data!$Q$3:T418),COLUMNS(Data!$Q$3:T418)),IF($Q$1=$P$6,INDEX(prem_analysis!$BU$1:$CF$67,ROWS(prem_analysis!$N$2:Q417),COLUMNS(prem_analysis!$N$2:Q417)),IF($Q$1=$P$4,INDEX(Table24[[#All],[Year]:[Details]],ROWS(prem_analysis!$M$420:P835),COLUMNS(Data!$Q$3:T418)))))),"")</f>
        <v/>
      </c>
      <c r="V417" s="1" t="str">
        <f>IFERROR(IF($Q$1=$P$3,INDEX(prem_analysis!$P$2:$Q$441,ROWS(Data!$P$2:U417),COLUMNS(Data!$P$3:T418)),IF($Q$1=$P$5,INDEX(prem_analysis!$BH$1:$BS$23,ROWS(Data!$Q$3:U418),COLUMNS(Data!$Q$3:U418)),IF($Q$1=$P$6,INDEX(prem_analysis!$BU$1:$CF$67,ROWS(prem_analysis!$N$2:R417),COLUMNS(prem_analysis!$N$2:R417)),IF($Q$1=$P$4,INDEX(Table24[[#All],[Year]:[Details]],ROWS(prem_analysis!$M$420:Q835),COLUMNS(Data!$Q$3:U418)))))),"")</f>
        <v/>
      </c>
      <c r="W417" s="1" t="str">
        <f>IFERROR(IF($Q$1=$P$3,INDEX(prem_analysis!$P$2:$Q$441,ROWS(Data!$P$2:V417),COLUMNS(Data!$P$3:U418)),IF($Q$1=$P$5,INDEX(prem_analysis!$BH$1:$BS$23,ROWS(Data!$Q$3:V418),COLUMNS(Data!$Q$3:V418)),IF($Q$1=$P$6,INDEX(prem_analysis!$BU$1:$CF$67,ROWS(prem_analysis!$N$2:S417),COLUMNS(prem_analysis!$N$2:S417)),IF($Q$1=$P$4,INDEX(Table24[[#All],[Year]:[Details]],ROWS(prem_analysis!$M$420:R835),COLUMNS(Data!$Q$3:V418)))))),"")</f>
        <v/>
      </c>
      <c r="X417" s="1" t="str">
        <f>IFERROR(IF($Q$1=$P$3,INDEX(prem_analysis!$P$2:$Q$441,ROWS(Data!$P$2:W417),COLUMNS(Data!$P$3:V418)),IF($Q$1=$P$5,INDEX(prem_analysis!$BH$1:$BS$23,ROWS(Data!$Q$3:W418),COLUMNS(Data!$Q$3:W418)),IF($Q$1=$P$6,INDEX(prem_analysis!$BU$1:$CF$67,ROWS(prem_analysis!$N$2:T417),COLUMNS(prem_analysis!$N$2:T417)),IF($Q$1=$P$4,INDEX(Table24[[#All],[Year]:[Details]],ROWS(prem_analysis!$M$420:S835),COLUMNS(Data!$Q$3:W418)))))),"")</f>
        <v/>
      </c>
      <c r="Y417" s="1" t="str">
        <f>IFERROR(IF($Q$1=$P$3,INDEX(prem_analysis!$P$2:$Q$441,ROWS(Data!$P$2:X417),COLUMNS(Data!$P$3:W418)),IF($Q$1=$P$5,INDEX(prem_analysis!$BH$1:$BS$23,ROWS(Data!$Q$3:X418),COLUMNS(Data!$Q$3:X418)),IF($Q$1=$P$6,INDEX(prem_analysis!$BU$1:$CF$67,ROWS(prem_analysis!$N$2:U417),COLUMNS(prem_analysis!$N$2:U417)),IF($Q$1=$P$4,INDEX(Table24[[#All],[Year]:[Details]],ROWS(prem_analysis!$M$420:T835),COLUMNS(Data!$Q$3:X418)))))),"")</f>
        <v/>
      </c>
      <c r="Z417" s="1" t="str">
        <f>IFERROR(IF($Q$1=$P$3,INDEX(prem_analysis!$P$2:$Q$441,ROWS(Data!$P$2:Y417),COLUMNS(Data!$P$3:X418)),IF($Q$1=$P$5,INDEX(prem_analysis!$BH$1:$BS$23,ROWS(Data!$Q$3:Y418),COLUMNS(Data!$Q$3:Y418)),IF($Q$1=$P$6,INDEX(prem_analysis!$BU$1:$CF$67,ROWS(prem_analysis!$N$2:V417),COLUMNS(prem_analysis!$N$2:V417)),IF($Q$1=$P$4,INDEX(Table24[[#All],[Year]:[Details]],ROWS(prem_analysis!$M$420:U835),COLUMNS(Data!$Q$3:Y418)))))),"")</f>
        <v/>
      </c>
      <c r="AA417" s="1" t="str">
        <f>IFERROR(IF($Q$1=$P$3,INDEX(prem_analysis!$P$2:$Q$441,ROWS(Data!$P$2:Z417),COLUMNS(Data!$P$3:Y418)),IF($Q$1=$P$5,INDEX(prem_analysis!$BH$1:$BS$23,ROWS(Data!$Q$3:Z418),COLUMNS(Data!$Q$3:Z418)),IF($Q$1=$P$6,INDEX(prem_analysis!$BU$1:$CF$67,ROWS(prem_analysis!$N$2:W417),COLUMNS(prem_analysis!$N$2:W417)),IF($Q$1=$P$4,INDEX(Table24[[#All],[Year]:[Details]],ROWS(prem_analysis!$M$420:V835),COLUMNS(Data!$Q$3:Z418)))))),"")</f>
        <v/>
      </c>
      <c r="AB417" s="1" t="str">
        <f>IFERROR(IF($Q$1=$P$3,INDEX(prem_analysis!$P$2:$Q$441,ROWS(Data!$P$2:AA417),COLUMNS(Data!$P$3:Z418)),IF($Q$1=$P$5,INDEX(prem_analysis!$BH$1:$BS$23,ROWS(Data!$Q$3:AA418),COLUMNS(Data!$Q$3:AA418)),IF($Q$1=$P$6,INDEX(prem_analysis!$BU$1:$CF$67,ROWS(prem_analysis!$N$2:X417),COLUMNS(prem_analysis!$N$2:X417)),IF($Q$1=$P$4,INDEX(Table24[[#All],[Year]:[Details]],ROWS(prem_analysis!$M$420:W835),COLUMNS(Data!$Q$3:AA418)))))),"")</f>
        <v/>
      </c>
      <c r="AC417" s="1" t="str">
        <f>IFERROR(IF($Q$1=$P$3,INDEX(prem_analysis!$P$2:$Q$441,ROWS(Data!$P$2:AB417),COLUMNS(Data!$P$3:AA418)),IF($Q$1=$P$5,INDEX(prem_analysis!$BH$1:$BS$23,ROWS(Data!$Q$3:AB418),COLUMNS(Data!$Q$3:AB418)),IF($Q$1=$P$6,INDEX(prem_analysis!$BU$1:$CF$67,ROWS(prem_analysis!$N$2:Y417),COLUMNS(prem_analysis!$N$2:Y417)),IF($Q$1=$P$4,INDEX(Table24[[#All],[Year]:[Details]],ROWS(prem_analysis!$M$420:X835),COLUMNS(Data!$Q$3:AB418)))))),"")</f>
        <v/>
      </c>
    </row>
    <row r="418" spans="1:29" x14ac:dyDescent="0.2">
      <c r="A418" s="3">
        <v>2020</v>
      </c>
      <c r="B418" s="3">
        <v>17</v>
      </c>
      <c r="C418" s="4" t="s">
        <v>46</v>
      </c>
      <c r="D418" s="3">
        <v>38</v>
      </c>
      <c r="E418" s="3">
        <v>10</v>
      </c>
      <c r="F418" s="3">
        <v>9</v>
      </c>
      <c r="G418" s="3">
        <v>19</v>
      </c>
      <c r="H418" s="3">
        <v>33</v>
      </c>
      <c r="I418" s="3">
        <v>55</v>
      </c>
      <c r="J418" s="3">
        <v>-22</v>
      </c>
      <c r="K418" s="3">
        <v>39</v>
      </c>
      <c r="L418" s="5">
        <f>IF(Table24[[#This Row],['#]]=1,"Champion", IF(Table24[[#This Row],['#]]&gt;=18,"Relegated",Table24[[#This Row],['#]]))</f>
        <v>17</v>
      </c>
      <c r="M418" s="5">
        <f>IF(Table24[[#This Row],[Details]]=2,K417-Table24[[#This Row],[Pts]],IF(Table24[[#This Row],[Details]]=17,Table24[[#This Row],[Pts]]-K419,""))</f>
        <v>11</v>
      </c>
      <c r="R418" s="1" t="str">
        <f>IFERROR(IF($Q$1=$P$3,INDEX(prem_analysis!$P$2:$Q$441,ROWS(Data!$P$2:Q418),COLUMNS(Data!$P$3:P419)),IF($Q$1=$P$5,INDEX(prem_analysis!$BH$1:$BS$23,ROWS(Data!$Q$3:Q419),COLUMNS(Data!$Q$3:Q419)),IF($Q$1=$P$6,INDEX(prem_analysis!$BU$1:$CF$67,ROWS(prem_analysis!$N$2:N418),COLUMNS(prem_analysis!$N$2:N418)),IF($Q$1=$P$4,INDEX(Table24[[#All],[Year]:[Details]],ROWS(prem_analysis!$M$420:M836),COLUMNS(Data!$Q$3:Q419)))))),"")</f>
        <v/>
      </c>
      <c r="S418" s="1" t="str">
        <f>IFERROR(IF($Q$1=$P$3,INDEX(prem_analysis!$P$2:$Q$441,ROWS(Data!$P$2:R418),COLUMNS(Data!$P$3:Q419)),IF($Q$1=$P$5,INDEX(prem_analysis!$BH$1:$BS$23,ROWS(Data!$Q$3:R419),COLUMNS(Data!$Q$3:R419)),IF($Q$1=$P$6,INDEX(prem_analysis!$BU$1:$CF$67,ROWS(prem_analysis!$N$2:O418),COLUMNS(prem_analysis!$N$2:O418)),IF($Q$1=$P$4,INDEX(Table24[[#All],[Year]:[Details]],ROWS(prem_analysis!$M$420:N836),COLUMNS(Data!$Q$3:R419)))))),"")</f>
        <v/>
      </c>
      <c r="T418" s="1" t="str">
        <f>IFERROR(IF($Q$1=$P$3,INDEX(prem_analysis!$P$2:$Q$441,ROWS(Data!$P$2:S418),COLUMNS(Data!$P$3:R419)),IF($Q$1=$P$5,INDEX(prem_analysis!$BH$1:$BS$23,ROWS(Data!$Q$3:S419),COLUMNS(Data!$Q$3:S419)),IF($Q$1=$P$6,INDEX(prem_analysis!$BU$1:$CF$67,ROWS(prem_analysis!$N$2:P418),COLUMNS(prem_analysis!$N$2:P418)),IF($Q$1=$P$4,INDEX(Table24[[#All],[Year]:[Details]],ROWS(prem_analysis!$M$420:O836),COLUMNS(Data!$Q$3:S419)))))),"")</f>
        <v/>
      </c>
      <c r="U418" s="1" t="str">
        <f>IFERROR(IF($Q$1=$P$3,INDEX(prem_analysis!$P$2:$Q$441,ROWS(Data!$P$2:T418),COLUMNS(Data!$P$3:S419)),IF($Q$1=$P$5,INDEX(prem_analysis!$BH$1:$BS$23,ROWS(Data!$Q$3:T419),COLUMNS(Data!$Q$3:T419)),IF($Q$1=$P$6,INDEX(prem_analysis!$BU$1:$CF$67,ROWS(prem_analysis!$N$2:Q418),COLUMNS(prem_analysis!$N$2:Q418)),IF($Q$1=$P$4,INDEX(Table24[[#All],[Year]:[Details]],ROWS(prem_analysis!$M$420:P836),COLUMNS(Data!$Q$3:T419)))))),"")</f>
        <v/>
      </c>
      <c r="V418" s="1" t="str">
        <f>IFERROR(IF($Q$1=$P$3,INDEX(prem_analysis!$P$2:$Q$441,ROWS(Data!$P$2:U418),COLUMNS(Data!$P$3:T419)),IF($Q$1=$P$5,INDEX(prem_analysis!$BH$1:$BS$23,ROWS(Data!$Q$3:U419),COLUMNS(Data!$Q$3:U419)),IF($Q$1=$P$6,INDEX(prem_analysis!$BU$1:$CF$67,ROWS(prem_analysis!$N$2:R418),COLUMNS(prem_analysis!$N$2:R418)),IF($Q$1=$P$4,INDEX(Table24[[#All],[Year]:[Details]],ROWS(prem_analysis!$M$420:Q836),COLUMNS(Data!$Q$3:U419)))))),"")</f>
        <v/>
      </c>
      <c r="W418" s="1" t="str">
        <f>IFERROR(IF($Q$1=$P$3,INDEX(prem_analysis!$P$2:$Q$441,ROWS(Data!$P$2:V418),COLUMNS(Data!$P$3:U419)),IF($Q$1=$P$5,INDEX(prem_analysis!$BH$1:$BS$23,ROWS(Data!$Q$3:V419),COLUMNS(Data!$Q$3:V419)),IF($Q$1=$P$6,INDEX(prem_analysis!$BU$1:$CF$67,ROWS(prem_analysis!$N$2:S418),COLUMNS(prem_analysis!$N$2:S418)),IF($Q$1=$P$4,INDEX(Table24[[#All],[Year]:[Details]],ROWS(prem_analysis!$M$420:R836),COLUMNS(Data!$Q$3:V419)))))),"")</f>
        <v/>
      </c>
      <c r="X418" s="1" t="str">
        <f>IFERROR(IF($Q$1=$P$3,INDEX(prem_analysis!$P$2:$Q$441,ROWS(Data!$P$2:W418),COLUMNS(Data!$P$3:V419)),IF($Q$1=$P$5,INDEX(prem_analysis!$BH$1:$BS$23,ROWS(Data!$Q$3:W419),COLUMNS(Data!$Q$3:W419)),IF($Q$1=$P$6,INDEX(prem_analysis!$BU$1:$CF$67,ROWS(prem_analysis!$N$2:T418),COLUMNS(prem_analysis!$N$2:T418)),IF($Q$1=$P$4,INDEX(Table24[[#All],[Year]:[Details]],ROWS(prem_analysis!$M$420:S836),COLUMNS(Data!$Q$3:W419)))))),"")</f>
        <v/>
      </c>
      <c r="Y418" s="1" t="str">
        <f>IFERROR(IF($Q$1=$P$3,INDEX(prem_analysis!$P$2:$Q$441,ROWS(Data!$P$2:X418),COLUMNS(Data!$P$3:W419)),IF($Q$1=$P$5,INDEX(prem_analysis!$BH$1:$BS$23,ROWS(Data!$Q$3:X419),COLUMNS(Data!$Q$3:X419)),IF($Q$1=$P$6,INDEX(prem_analysis!$BU$1:$CF$67,ROWS(prem_analysis!$N$2:U418),COLUMNS(prem_analysis!$N$2:U418)),IF($Q$1=$P$4,INDEX(Table24[[#All],[Year]:[Details]],ROWS(prem_analysis!$M$420:T836),COLUMNS(Data!$Q$3:X419)))))),"")</f>
        <v/>
      </c>
      <c r="Z418" s="1" t="str">
        <f>IFERROR(IF($Q$1=$P$3,INDEX(prem_analysis!$P$2:$Q$441,ROWS(Data!$P$2:Y418),COLUMNS(Data!$P$3:X419)),IF($Q$1=$P$5,INDEX(prem_analysis!$BH$1:$BS$23,ROWS(Data!$Q$3:Y419),COLUMNS(Data!$Q$3:Y419)),IF($Q$1=$P$6,INDEX(prem_analysis!$BU$1:$CF$67,ROWS(prem_analysis!$N$2:V418),COLUMNS(prem_analysis!$N$2:V418)),IF($Q$1=$P$4,INDEX(Table24[[#All],[Year]:[Details]],ROWS(prem_analysis!$M$420:U836),COLUMNS(Data!$Q$3:Y419)))))),"")</f>
        <v/>
      </c>
      <c r="AA418" s="1" t="str">
        <f>IFERROR(IF($Q$1=$P$3,INDEX(prem_analysis!$P$2:$Q$441,ROWS(Data!$P$2:Z418),COLUMNS(Data!$P$3:Y419)),IF($Q$1=$P$5,INDEX(prem_analysis!$BH$1:$BS$23,ROWS(Data!$Q$3:Z419),COLUMNS(Data!$Q$3:Z419)),IF($Q$1=$P$6,INDEX(prem_analysis!$BU$1:$CF$67,ROWS(prem_analysis!$N$2:W418),COLUMNS(prem_analysis!$N$2:W418)),IF($Q$1=$P$4,INDEX(Table24[[#All],[Year]:[Details]],ROWS(prem_analysis!$M$420:V836),COLUMNS(Data!$Q$3:Z419)))))),"")</f>
        <v/>
      </c>
      <c r="AB418" s="1" t="str">
        <f>IFERROR(IF($Q$1=$P$3,INDEX(prem_analysis!$P$2:$Q$441,ROWS(Data!$P$2:AA418),COLUMNS(Data!$P$3:Z419)),IF($Q$1=$P$5,INDEX(prem_analysis!$BH$1:$BS$23,ROWS(Data!$Q$3:AA419),COLUMNS(Data!$Q$3:AA419)),IF($Q$1=$P$6,INDEX(prem_analysis!$BU$1:$CF$67,ROWS(prem_analysis!$N$2:X418),COLUMNS(prem_analysis!$N$2:X418)),IF($Q$1=$P$4,INDEX(Table24[[#All],[Year]:[Details]],ROWS(prem_analysis!$M$420:W836),COLUMNS(Data!$Q$3:AA419)))))),"")</f>
        <v/>
      </c>
      <c r="AC418" s="1" t="str">
        <f>IFERROR(IF($Q$1=$P$3,INDEX(prem_analysis!$P$2:$Q$441,ROWS(Data!$P$2:AB418),COLUMNS(Data!$P$3:AA419)),IF($Q$1=$P$5,INDEX(prem_analysis!$BH$1:$BS$23,ROWS(Data!$Q$3:AB419),COLUMNS(Data!$Q$3:AB419)),IF($Q$1=$P$6,INDEX(prem_analysis!$BU$1:$CF$67,ROWS(prem_analysis!$N$2:Y418),COLUMNS(prem_analysis!$N$2:Y418)),IF($Q$1=$P$4,INDEX(Table24[[#All],[Year]:[Details]],ROWS(prem_analysis!$M$420:X836),COLUMNS(Data!$Q$3:AB419)))))),"")</f>
        <v/>
      </c>
    </row>
    <row r="419" spans="1:29" x14ac:dyDescent="0.2">
      <c r="A419" s="5">
        <v>2020</v>
      </c>
      <c r="B419" s="5">
        <v>18</v>
      </c>
      <c r="C419" s="6" t="s">
        <v>32</v>
      </c>
      <c r="D419" s="5">
        <v>38</v>
      </c>
      <c r="E419" s="5">
        <v>5</v>
      </c>
      <c r="F419" s="5">
        <v>13</v>
      </c>
      <c r="G419" s="5">
        <v>20</v>
      </c>
      <c r="H419" s="5">
        <v>27</v>
      </c>
      <c r="I419" s="5">
        <v>53</v>
      </c>
      <c r="J419" s="5">
        <v>-26</v>
      </c>
      <c r="K419" s="5">
        <v>28</v>
      </c>
      <c r="L419" s="5" t="str">
        <f>IF(Table24[[#This Row],['#]]=1,"Champion", IF(Table24[[#This Row],['#]]&gt;=18,"Relegated",Table24[[#This Row],['#]]))</f>
        <v>Relegated</v>
      </c>
      <c r="M419" s="5" t="str">
        <f>IF(Table24[[#This Row],[Details]]=2,K418-Table24[[#This Row],[Pts]],IF(Table24[[#This Row],[Details]]=17,Table24[[#This Row],[Pts]]-K420,""))</f>
        <v/>
      </c>
      <c r="R419" s="1" t="str">
        <f>IFERROR(IF($Q$1=$P$3,INDEX(prem_analysis!$P$2:$Q$441,ROWS(Data!$P$2:Q419),COLUMNS(Data!$P$3:P420)),IF($Q$1=$P$5,INDEX(prem_analysis!$BH$1:$BS$23,ROWS(Data!$Q$3:Q420),COLUMNS(Data!$Q$3:Q420)),IF($Q$1=$P$6,INDEX(prem_analysis!$BU$1:$CF$67,ROWS(prem_analysis!$N$2:N419),COLUMNS(prem_analysis!$N$2:N419)),IF($Q$1=$P$4,INDEX(Table24[[#All],[Year]:[Details]],ROWS(prem_analysis!$M$420:M837),COLUMNS(Data!$Q$3:Q420)))))),"")</f>
        <v/>
      </c>
      <c r="S419" s="1" t="str">
        <f>IFERROR(IF($Q$1=$P$3,INDEX(prem_analysis!$P$2:$Q$441,ROWS(Data!$P$2:R419),COLUMNS(Data!$P$3:Q420)),IF($Q$1=$P$5,INDEX(prem_analysis!$BH$1:$BS$23,ROWS(Data!$Q$3:R420),COLUMNS(Data!$Q$3:R420)),IF($Q$1=$P$6,INDEX(prem_analysis!$BU$1:$CF$67,ROWS(prem_analysis!$N$2:O419),COLUMNS(prem_analysis!$N$2:O419)),IF($Q$1=$P$4,INDEX(Table24[[#All],[Year]:[Details]],ROWS(prem_analysis!$M$420:N837),COLUMNS(Data!$Q$3:R420)))))),"")</f>
        <v/>
      </c>
      <c r="T419" s="1" t="str">
        <f>IFERROR(IF($Q$1=$P$3,INDEX(prem_analysis!$P$2:$Q$441,ROWS(Data!$P$2:S419),COLUMNS(Data!$P$3:R420)),IF($Q$1=$P$5,INDEX(prem_analysis!$BH$1:$BS$23,ROWS(Data!$Q$3:S420),COLUMNS(Data!$Q$3:S420)),IF($Q$1=$P$6,INDEX(prem_analysis!$BU$1:$CF$67,ROWS(prem_analysis!$N$2:P419),COLUMNS(prem_analysis!$N$2:P419)),IF($Q$1=$P$4,INDEX(Table24[[#All],[Year]:[Details]],ROWS(prem_analysis!$M$420:O837),COLUMNS(Data!$Q$3:S420)))))),"")</f>
        <v/>
      </c>
      <c r="U419" s="1" t="str">
        <f>IFERROR(IF($Q$1=$P$3,INDEX(prem_analysis!$P$2:$Q$441,ROWS(Data!$P$2:T419),COLUMNS(Data!$P$3:S420)),IF($Q$1=$P$5,INDEX(prem_analysis!$BH$1:$BS$23,ROWS(Data!$Q$3:T420),COLUMNS(Data!$Q$3:T420)),IF($Q$1=$P$6,INDEX(prem_analysis!$BU$1:$CF$67,ROWS(prem_analysis!$N$2:Q419),COLUMNS(prem_analysis!$N$2:Q419)),IF($Q$1=$P$4,INDEX(Table24[[#All],[Year]:[Details]],ROWS(prem_analysis!$M$420:P837),COLUMNS(Data!$Q$3:T420)))))),"")</f>
        <v/>
      </c>
      <c r="V419" s="1" t="str">
        <f>IFERROR(IF($Q$1=$P$3,INDEX(prem_analysis!$P$2:$Q$441,ROWS(Data!$P$2:U419),COLUMNS(Data!$P$3:T420)),IF($Q$1=$P$5,INDEX(prem_analysis!$BH$1:$BS$23,ROWS(Data!$Q$3:U420),COLUMNS(Data!$Q$3:U420)),IF($Q$1=$P$6,INDEX(prem_analysis!$BU$1:$CF$67,ROWS(prem_analysis!$N$2:R419),COLUMNS(prem_analysis!$N$2:R419)),IF($Q$1=$P$4,INDEX(Table24[[#All],[Year]:[Details]],ROWS(prem_analysis!$M$420:Q837),COLUMNS(Data!$Q$3:U420)))))),"")</f>
        <v/>
      </c>
      <c r="W419" s="1" t="str">
        <f>IFERROR(IF($Q$1=$P$3,INDEX(prem_analysis!$P$2:$Q$441,ROWS(Data!$P$2:V419),COLUMNS(Data!$P$3:U420)),IF($Q$1=$P$5,INDEX(prem_analysis!$BH$1:$BS$23,ROWS(Data!$Q$3:V420),COLUMNS(Data!$Q$3:V420)),IF($Q$1=$P$6,INDEX(prem_analysis!$BU$1:$CF$67,ROWS(prem_analysis!$N$2:S419),COLUMNS(prem_analysis!$N$2:S419)),IF($Q$1=$P$4,INDEX(Table24[[#All],[Year]:[Details]],ROWS(prem_analysis!$M$420:R837),COLUMNS(Data!$Q$3:V420)))))),"")</f>
        <v/>
      </c>
      <c r="X419" s="1" t="str">
        <f>IFERROR(IF($Q$1=$P$3,INDEX(prem_analysis!$P$2:$Q$441,ROWS(Data!$P$2:W419),COLUMNS(Data!$P$3:V420)),IF($Q$1=$P$5,INDEX(prem_analysis!$BH$1:$BS$23,ROWS(Data!$Q$3:W420),COLUMNS(Data!$Q$3:W420)),IF($Q$1=$P$6,INDEX(prem_analysis!$BU$1:$CF$67,ROWS(prem_analysis!$N$2:T419),COLUMNS(prem_analysis!$N$2:T419)),IF($Q$1=$P$4,INDEX(Table24[[#All],[Year]:[Details]],ROWS(prem_analysis!$M$420:S837),COLUMNS(Data!$Q$3:W420)))))),"")</f>
        <v/>
      </c>
      <c r="Y419" s="1" t="str">
        <f>IFERROR(IF($Q$1=$P$3,INDEX(prem_analysis!$P$2:$Q$441,ROWS(Data!$P$2:X419),COLUMNS(Data!$P$3:W420)),IF($Q$1=$P$5,INDEX(prem_analysis!$BH$1:$BS$23,ROWS(Data!$Q$3:X420),COLUMNS(Data!$Q$3:X420)),IF($Q$1=$P$6,INDEX(prem_analysis!$BU$1:$CF$67,ROWS(prem_analysis!$N$2:U419),COLUMNS(prem_analysis!$N$2:U419)),IF($Q$1=$P$4,INDEX(Table24[[#All],[Year]:[Details]],ROWS(prem_analysis!$M$420:T837),COLUMNS(Data!$Q$3:X420)))))),"")</f>
        <v/>
      </c>
      <c r="Z419" s="1" t="str">
        <f>IFERROR(IF($Q$1=$P$3,INDEX(prem_analysis!$P$2:$Q$441,ROWS(Data!$P$2:Y419),COLUMNS(Data!$P$3:X420)),IF($Q$1=$P$5,INDEX(prem_analysis!$BH$1:$BS$23,ROWS(Data!$Q$3:Y420),COLUMNS(Data!$Q$3:Y420)),IF($Q$1=$P$6,INDEX(prem_analysis!$BU$1:$CF$67,ROWS(prem_analysis!$N$2:V419),COLUMNS(prem_analysis!$N$2:V419)),IF($Q$1=$P$4,INDEX(Table24[[#All],[Year]:[Details]],ROWS(prem_analysis!$M$420:U837),COLUMNS(Data!$Q$3:Y420)))))),"")</f>
        <v/>
      </c>
      <c r="AA419" s="1" t="str">
        <f>IFERROR(IF($Q$1=$P$3,INDEX(prem_analysis!$P$2:$Q$441,ROWS(Data!$P$2:Z419),COLUMNS(Data!$P$3:Y420)),IF($Q$1=$P$5,INDEX(prem_analysis!$BH$1:$BS$23,ROWS(Data!$Q$3:Z420),COLUMNS(Data!$Q$3:Z420)),IF($Q$1=$P$6,INDEX(prem_analysis!$BU$1:$CF$67,ROWS(prem_analysis!$N$2:W419),COLUMNS(prem_analysis!$N$2:W419)),IF($Q$1=$P$4,INDEX(Table24[[#All],[Year]:[Details]],ROWS(prem_analysis!$M$420:V837),COLUMNS(Data!$Q$3:Z420)))))),"")</f>
        <v/>
      </c>
      <c r="AB419" s="1" t="str">
        <f>IFERROR(IF($Q$1=$P$3,INDEX(prem_analysis!$P$2:$Q$441,ROWS(Data!$P$2:AA419),COLUMNS(Data!$P$3:Z420)),IF($Q$1=$P$5,INDEX(prem_analysis!$BH$1:$BS$23,ROWS(Data!$Q$3:AA420),COLUMNS(Data!$Q$3:AA420)),IF($Q$1=$P$6,INDEX(prem_analysis!$BU$1:$CF$67,ROWS(prem_analysis!$N$2:X419),COLUMNS(prem_analysis!$N$2:X419)),IF($Q$1=$P$4,INDEX(Table24[[#All],[Year]:[Details]],ROWS(prem_analysis!$M$420:W837),COLUMNS(Data!$Q$3:AA420)))))),"")</f>
        <v/>
      </c>
      <c r="AC419" s="1" t="str">
        <f>IFERROR(IF($Q$1=$P$3,INDEX(prem_analysis!$P$2:$Q$441,ROWS(Data!$P$2:AB419),COLUMNS(Data!$P$3:AA420)),IF($Q$1=$P$5,INDEX(prem_analysis!$BH$1:$BS$23,ROWS(Data!$Q$3:AB420),COLUMNS(Data!$Q$3:AB420)),IF($Q$1=$P$6,INDEX(prem_analysis!$BU$1:$CF$67,ROWS(prem_analysis!$N$2:Y419),COLUMNS(prem_analysis!$N$2:Y419)),IF($Q$1=$P$4,INDEX(Table24[[#All],[Year]:[Details]],ROWS(prem_analysis!$M$420:X837),COLUMNS(Data!$Q$3:AB420)))))),"")</f>
        <v/>
      </c>
    </row>
    <row r="420" spans="1:29" x14ac:dyDescent="0.2">
      <c r="A420" s="3">
        <v>2020</v>
      </c>
      <c r="B420" s="3">
        <v>19</v>
      </c>
      <c r="C420" s="4" t="s">
        <v>35</v>
      </c>
      <c r="D420" s="3">
        <v>38</v>
      </c>
      <c r="E420" s="3">
        <v>5</v>
      </c>
      <c r="F420" s="3">
        <v>11</v>
      </c>
      <c r="G420" s="3">
        <v>22</v>
      </c>
      <c r="H420" s="3">
        <v>35</v>
      </c>
      <c r="I420" s="3">
        <v>76</v>
      </c>
      <c r="J420" s="3">
        <v>-41</v>
      </c>
      <c r="K420" s="3">
        <v>26</v>
      </c>
      <c r="L420" s="5" t="str">
        <f>IF(Table24[[#This Row],['#]]=1,"Champion", IF(Table24[[#This Row],['#]]&gt;=18,"Relegated",Table24[[#This Row],['#]]))</f>
        <v>Relegated</v>
      </c>
      <c r="M420" s="5" t="str">
        <f>IF(Table24[[#This Row],[Details]]=2,K419-Table24[[#This Row],[Pts]],IF(Table24[[#This Row],[Details]]=17,Table24[[#This Row],[Pts]]-K421,""))</f>
        <v/>
      </c>
      <c r="R420" s="1" t="str">
        <f>IFERROR(IF($Q$1=$P$3,INDEX(prem_analysis!$P$2:$Q$441,ROWS(Data!$P$2:Q420),COLUMNS(Data!$P$3:P421)),IF($Q$1=$P$5,INDEX(prem_analysis!$BH$1:$BS$23,ROWS(Data!$Q$3:Q421),COLUMNS(Data!$Q$3:Q421)),IF($Q$1=$P$6,INDEX(prem_analysis!$BU$1:$CF$67,ROWS(prem_analysis!$N$2:N420),COLUMNS(prem_analysis!$N$2:N420)),IF($Q$1=$P$4,INDEX(Table24[[#All],[Year]:[Details]],ROWS(prem_analysis!$M$420:M838),COLUMNS(Data!$Q$3:Q421)))))),"")</f>
        <v/>
      </c>
      <c r="S420" s="1" t="str">
        <f>IFERROR(IF($Q$1=$P$3,INDEX(prem_analysis!$P$2:$Q$441,ROWS(Data!$P$2:R420),COLUMNS(Data!$P$3:Q421)),IF($Q$1=$P$5,INDEX(prem_analysis!$BH$1:$BS$23,ROWS(Data!$Q$3:R421),COLUMNS(Data!$Q$3:R421)),IF($Q$1=$P$6,INDEX(prem_analysis!$BU$1:$CF$67,ROWS(prem_analysis!$N$2:O420),COLUMNS(prem_analysis!$N$2:O420)),IF($Q$1=$P$4,INDEX(Table24[[#All],[Year]:[Details]],ROWS(prem_analysis!$M$420:N838),COLUMNS(Data!$Q$3:R421)))))),"")</f>
        <v/>
      </c>
      <c r="T420" s="1" t="str">
        <f>IFERROR(IF($Q$1=$P$3,INDEX(prem_analysis!$P$2:$Q$441,ROWS(Data!$P$2:S420),COLUMNS(Data!$P$3:R421)),IF($Q$1=$P$5,INDEX(prem_analysis!$BH$1:$BS$23,ROWS(Data!$Q$3:S421),COLUMNS(Data!$Q$3:S421)),IF($Q$1=$P$6,INDEX(prem_analysis!$BU$1:$CF$67,ROWS(prem_analysis!$N$2:P420),COLUMNS(prem_analysis!$N$2:P420)),IF($Q$1=$P$4,INDEX(Table24[[#All],[Year]:[Details]],ROWS(prem_analysis!$M$420:O838),COLUMNS(Data!$Q$3:S421)))))),"")</f>
        <v/>
      </c>
      <c r="U420" s="1" t="str">
        <f>IFERROR(IF($Q$1=$P$3,INDEX(prem_analysis!$P$2:$Q$441,ROWS(Data!$P$2:T420),COLUMNS(Data!$P$3:S421)),IF($Q$1=$P$5,INDEX(prem_analysis!$BH$1:$BS$23,ROWS(Data!$Q$3:T421),COLUMNS(Data!$Q$3:T421)),IF($Q$1=$P$6,INDEX(prem_analysis!$BU$1:$CF$67,ROWS(prem_analysis!$N$2:Q420),COLUMNS(prem_analysis!$N$2:Q420)),IF($Q$1=$P$4,INDEX(Table24[[#All],[Year]:[Details]],ROWS(prem_analysis!$M$420:P838),COLUMNS(Data!$Q$3:T421)))))),"")</f>
        <v/>
      </c>
      <c r="V420" s="1" t="str">
        <f>IFERROR(IF($Q$1=$P$3,INDEX(prem_analysis!$P$2:$Q$441,ROWS(Data!$P$2:U420),COLUMNS(Data!$P$3:T421)),IF($Q$1=$P$5,INDEX(prem_analysis!$BH$1:$BS$23,ROWS(Data!$Q$3:U421),COLUMNS(Data!$Q$3:U421)),IF($Q$1=$P$6,INDEX(prem_analysis!$BU$1:$CF$67,ROWS(prem_analysis!$N$2:R420),COLUMNS(prem_analysis!$N$2:R420)),IF($Q$1=$P$4,INDEX(Table24[[#All],[Year]:[Details]],ROWS(prem_analysis!$M$420:Q838),COLUMNS(Data!$Q$3:U421)))))),"")</f>
        <v/>
      </c>
      <c r="W420" s="1" t="str">
        <f>IFERROR(IF($Q$1=$P$3,INDEX(prem_analysis!$P$2:$Q$441,ROWS(Data!$P$2:V420),COLUMNS(Data!$P$3:U421)),IF($Q$1=$P$5,INDEX(prem_analysis!$BH$1:$BS$23,ROWS(Data!$Q$3:V421),COLUMNS(Data!$Q$3:V421)),IF($Q$1=$P$6,INDEX(prem_analysis!$BU$1:$CF$67,ROWS(prem_analysis!$N$2:S420),COLUMNS(prem_analysis!$N$2:S420)),IF($Q$1=$P$4,INDEX(Table24[[#All],[Year]:[Details]],ROWS(prem_analysis!$M$420:R838),COLUMNS(Data!$Q$3:V421)))))),"")</f>
        <v/>
      </c>
      <c r="X420" s="1" t="str">
        <f>IFERROR(IF($Q$1=$P$3,INDEX(prem_analysis!$P$2:$Q$441,ROWS(Data!$P$2:W420),COLUMNS(Data!$P$3:V421)),IF($Q$1=$P$5,INDEX(prem_analysis!$BH$1:$BS$23,ROWS(Data!$Q$3:W421),COLUMNS(Data!$Q$3:W421)),IF($Q$1=$P$6,INDEX(prem_analysis!$BU$1:$CF$67,ROWS(prem_analysis!$N$2:T420),COLUMNS(prem_analysis!$N$2:T420)),IF($Q$1=$P$4,INDEX(Table24[[#All],[Year]:[Details]],ROWS(prem_analysis!$M$420:S838),COLUMNS(Data!$Q$3:W421)))))),"")</f>
        <v/>
      </c>
      <c r="Y420" s="1" t="str">
        <f>IFERROR(IF($Q$1=$P$3,INDEX(prem_analysis!$P$2:$Q$441,ROWS(Data!$P$2:X420),COLUMNS(Data!$P$3:W421)),IF($Q$1=$P$5,INDEX(prem_analysis!$BH$1:$BS$23,ROWS(Data!$Q$3:X421),COLUMNS(Data!$Q$3:X421)),IF($Q$1=$P$6,INDEX(prem_analysis!$BU$1:$CF$67,ROWS(prem_analysis!$N$2:U420),COLUMNS(prem_analysis!$N$2:U420)),IF($Q$1=$P$4,INDEX(Table24[[#All],[Year]:[Details]],ROWS(prem_analysis!$M$420:T838),COLUMNS(Data!$Q$3:X421)))))),"")</f>
        <v/>
      </c>
      <c r="Z420" s="1" t="str">
        <f>IFERROR(IF($Q$1=$P$3,INDEX(prem_analysis!$P$2:$Q$441,ROWS(Data!$P$2:Y420),COLUMNS(Data!$P$3:X421)),IF($Q$1=$P$5,INDEX(prem_analysis!$BH$1:$BS$23,ROWS(Data!$Q$3:Y421),COLUMNS(Data!$Q$3:Y421)),IF($Q$1=$P$6,INDEX(prem_analysis!$BU$1:$CF$67,ROWS(prem_analysis!$N$2:V420),COLUMNS(prem_analysis!$N$2:V420)),IF($Q$1=$P$4,INDEX(Table24[[#All],[Year]:[Details]],ROWS(prem_analysis!$M$420:U838),COLUMNS(Data!$Q$3:Y421)))))),"")</f>
        <v/>
      </c>
      <c r="AA420" s="1" t="str">
        <f>IFERROR(IF($Q$1=$P$3,INDEX(prem_analysis!$P$2:$Q$441,ROWS(Data!$P$2:Z420),COLUMNS(Data!$P$3:Y421)),IF($Q$1=$P$5,INDEX(prem_analysis!$BH$1:$BS$23,ROWS(Data!$Q$3:Z421),COLUMNS(Data!$Q$3:Z421)),IF($Q$1=$P$6,INDEX(prem_analysis!$BU$1:$CF$67,ROWS(prem_analysis!$N$2:W420),COLUMNS(prem_analysis!$N$2:W420)),IF($Q$1=$P$4,INDEX(Table24[[#All],[Year]:[Details]],ROWS(prem_analysis!$M$420:V838),COLUMNS(Data!$Q$3:Z421)))))),"")</f>
        <v/>
      </c>
      <c r="AB420" s="1" t="str">
        <f>IFERROR(IF($Q$1=$P$3,INDEX(prem_analysis!$P$2:$Q$441,ROWS(Data!$P$2:AA420),COLUMNS(Data!$P$3:Z421)),IF($Q$1=$P$5,INDEX(prem_analysis!$BH$1:$BS$23,ROWS(Data!$Q$3:AA421),COLUMNS(Data!$Q$3:AA421)),IF($Q$1=$P$6,INDEX(prem_analysis!$BU$1:$CF$67,ROWS(prem_analysis!$N$2:X420),COLUMNS(prem_analysis!$N$2:X420)),IF($Q$1=$P$4,INDEX(Table24[[#All],[Year]:[Details]],ROWS(prem_analysis!$M$420:W838),COLUMNS(Data!$Q$3:AA421)))))),"")</f>
        <v/>
      </c>
      <c r="AC420" s="1" t="str">
        <f>IFERROR(IF($Q$1=$P$3,INDEX(prem_analysis!$P$2:$Q$441,ROWS(Data!$P$2:AB420),COLUMNS(Data!$P$3:AA421)),IF($Q$1=$P$5,INDEX(prem_analysis!$BH$1:$BS$23,ROWS(Data!$Q$3:AB421),COLUMNS(Data!$Q$3:AB421)),IF($Q$1=$P$6,INDEX(prem_analysis!$BU$1:$CF$67,ROWS(prem_analysis!$N$2:Y420),COLUMNS(prem_analysis!$N$2:Y420)),IF($Q$1=$P$4,INDEX(Table24[[#All],[Year]:[Details]],ROWS(prem_analysis!$M$420:X838),COLUMNS(Data!$Q$3:AB421)))))),"")</f>
        <v/>
      </c>
    </row>
    <row r="421" spans="1:29" x14ac:dyDescent="0.2">
      <c r="A421" s="5">
        <v>2020</v>
      </c>
      <c r="B421" s="5">
        <v>20</v>
      </c>
      <c r="C421" s="6" t="s">
        <v>42</v>
      </c>
      <c r="D421" s="5">
        <v>38</v>
      </c>
      <c r="E421" s="5">
        <v>7</v>
      </c>
      <c r="F421" s="5">
        <v>2</v>
      </c>
      <c r="G421" s="5">
        <v>29</v>
      </c>
      <c r="H421" s="5">
        <v>20</v>
      </c>
      <c r="I421" s="5">
        <v>63</v>
      </c>
      <c r="J421" s="5">
        <v>-43</v>
      </c>
      <c r="K421" s="5">
        <v>23</v>
      </c>
      <c r="L421" s="5" t="str">
        <f>IF(Table24[[#This Row],['#]]=1,"Champion", IF(Table24[[#This Row],['#]]&gt;=18,"Relegated",Table24[[#This Row],['#]]))</f>
        <v>Relegated</v>
      </c>
      <c r="M421" s="5" t="str">
        <f>IF(Table24[[#This Row],[Details]]=2,K420-Table24[[#This Row],[Pts]],IF(Table24[[#This Row],[Details]]=17,Table24[[#This Row],[Pts]]-K422,""))</f>
        <v/>
      </c>
      <c r="R421" s="1" t="str">
        <f>IFERROR(IF($Q$1=$P$3,INDEX(prem_analysis!$P$2:$Q$441,ROWS(Data!$P$2:Q421),COLUMNS(Data!$P$3:P422)),IF($Q$1=$P$5,INDEX(prem_analysis!$BH$1:$BS$23,ROWS(Data!$Q$3:Q422),COLUMNS(Data!$Q$3:Q422)),IF($Q$1=$P$6,INDEX(prem_analysis!$BU$1:$CF$67,ROWS(prem_analysis!$N$2:N421),COLUMNS(prem_analysis!$N$2:N421)),IF($Q$1=$P$4,INDEX(Table24[[#All],[Year]:[Details]],ROWS(prem_analysis!$M$420:M839),COLUMNS(Data!$Q$3:Q422)))))),"")</f>
        <v/>
      </c>
      <c r="S421" s="1" t="str">
        <f>IFERROR(IF($Q$1=$P$3,INDEX(prem_analysis!$P$2:$Q$441,ROWS(Data!$P$2:R421),COLUMNS(Data!$P$3:Q422)),IF($Q$1=$P$5,INDEX(prem_analysis!$BH$1:$BS$23,ROWS(Data!$Q$3:R422),COLUMNS(Data!$Q$3:R422)),IF($Q$1=$P$6,INDEX(prem_analysis!$BU$1:$CF$67,ROWS(prem_analysis!$N$2:O421),COLUMNS(prem_analysis!$N$2:O421)),IF($Q$1=$P$4,INDEX(Table24[[#All],[Year]:[Details]],ROWS(prem_analysis!$M$420:N839),COLUMNS(Data!$Q$3:R422)))))),"")</f>
        <v/>
      </c>
      <c r="T421" s="1" t="str">
        <f>IFERROR(IF($Q$1=$P$3,INDEX(prem_analysis!$P$2:$Q$441,ROWS(Data!$P$2:S421),COLUMNS(Data!$P$3:R422)),IF($Q$1=$P$5,INDEX(prem_analysis!$BH$1:$BS$23,ROWS(Data!$Q$3:S422),COLUMNS(Data!$Q$3:S422)),IF($Q$1=$P$6,INDEX(prem_analysis!$BU$1:$CF$67,ROWS(prem_analysis!$N$2:P421),COLUMNS(prem_analysis!$N$2:P421)),IF($Q$1=$P$4,INDEX(Table24[[#All],[Year]:[Details]],ROWS(prem_analysis!$M$420:O839),COLUMNS(Data!$Q$3:S422)))))),"")</f>
        <v/>
      </c>
      <c r="U421" s="1" t="str">
        <f>IFERROR(IF($Q$1=$P$3,INDEX(prem_analysis!$P$2:$Q$441,ROWS(Data!$P$2:T421),COLUMNS(Data!$P$3:S422)),IF($Q$1=$P$5,INDEX(prem_analysis!$BH$1:$BS$23,ROWS(Data!$Q$3:T422),COLUMNS(Data!$Q$3:T422)),IF($Q$1=$P$6,INDEX(prem_analysis!$BU$1:$CF$67,ROWS(prem_analysis!$N$2:Q421),COLUMNS(prem_analysis!$N$2:Q421)),IF($Q$1=$P$4,INDEX(Table24[[#All],[Year]:[Details]],ROWS(prem_analysis!$M$420:P839),COLUMNS(Data!$Q$3:T422)))))),"")</f>
        <v/>
      </c>
      <c r="V421" s="1" t="str">
        <f>IFERROR(IF($Q$1=$P$3,INDEX(prem_analysis!$P$2:$Q$441,ROWS(Data!$P$2:U421),COLUMNS(Data!$P$3:T422)),IF($Q$1=$P$5,INDEX(prem_analysis!$BH$1:$BS$23,ROWS(Data!$Q$3:U422),COLUMNS(Data!$Q$3:U422)),IF($Q$1=$P$6,INDEX(prem_analysis!$BU$1:$CF$67,ROWS(prem_analysis!$N$2:R421),COLUMNS(prem_analysis!$N$2:R421)),IF($Q$1=$P$4,INDEX(Table24[[#All],[Year]:[Details]],ROWS(prem_analysis!$M$420:Q839),COLUMNS(Data!$Q$3:U422)))))),"")</f>
        <v/>
      </c>
      <c r="W421" s="1" t="str">
        <f>IFERROR(IF($Q$1=$P$3,INDEX(prem_analysis!$P$2:$Q$441,ROWS(Data!$P$2:V421),COLUMNS(Data!$P$3:U422)),IF($Q$1=$P$5,INDEX(prem_analysis!$BH$1:$BS$23,ROWS(Data!$Q$3:V422),COLUMNS(Data!$Q$3:V422)),IF($Q$1=$P$6,INDEX(prem_analysis!$BU$1:$CF$67,ROWS(prem_analysis!$N$2:S421),COLUMNS(prem_analysis!$N$2:S421)),IF($Q$1=$P$4,INDEX(Table24[[#All],[Year]:[Details]],ROWS(prem_analysis!$M$420:R839),COLUMNS(Data!$Q$3:V422)))))),"")</f>
        <v/>
      </c>
      <c r="X421" s="1" t="str">
        <f>IFERROR(IF($Q$1=$P$3,INDEX(prem_analysis!$P$2:$Q$441,ROWS(Data!$P$2:W421),COLUMNS(Data!$P$3:V422)),IF($Q$1=$P$5,INDEX(prem_analysis!$BH$1:$BS$23,ROWS(Data!$Q$3:W422),COLUMNS(Data!$Q$3:W422)),IF($Q$1=$P$6,INDEX(prem_analysis!$BU$1:$CF$67,ROWS(prem_analysis!$N$2:T421),COLUMNS(prem_analysis!$N$2:T421)),IF($Q$1=$P$4,INDEX(Table24[[#All],[Year]:[Details]],ROWS(prem_analysis!$M$420:S839),COLUMNS(Data!$Q$3:W422)))))),"")</f>
        <v/>
      </c>
      <c r="Y421" s="1" t="str">
        <f>IFERROR(IF($Q$1=$P$3,INDEX(prem_analysis!$P$2:$Q$441,ROWS(Data!$P$2:X421),COLUMNS(Data!$P$3:W422)),IF($Q$1=$P$5,INDEX(prem_analysis!$BH$1:$BS$23,ROWS(Data!$Q$3:X422),COLUMNS(Data!$Q$3:X422)),IF($Q$1=$P$6,INDEX(prem_analysis!$BU$1:$CF$67,ROWS(prem_analysis!$N$2:U421),COLUMNS(prem_analysis!$N$2:U421)),IF($Q$1=$P$4,INDEX(Table24[[#All],[Year]:[Details]],ROWS(prem_analysis!$M$420:T839),COLUMNS(Data!$Q$3:X422)))))),"")</f>
        <v/>
      </c>
      <c r="Z421" s="1" t="str">
        <f>IFERROR(IF($Q$1=$P$3,INDEX(prem_analysis!$P$2:$Q$441,ROWS(Data!$P$2:Y421),COLUMNS(Data!$P$3:X422)),IF($Q$1=$P$5,INDEX(prem_analysis!$BH$1:$BS$23,ROWS(Data!$Q$3:Y422),COLUMNS(Data!$Q$3:Y422)),IF($Q$1=$P$6,INDEX(prem_analysis!$BU$1:$CF$67,ROWS(prem_analysis!$N$2:V421),COLUMNS(prem_analysis!$N$2:V421)),IF($Q$1=$P$4,INDEX(Table24[[#All],[Year]:[Details]],ROWS(prem_analysis!$M$420:U839),COLUMNS(Data!$Q$3:Y422)))))),"")</f>
        <v/>
      </c>
      <c r="AA421" s="1" t="str">
        <f>IFERROR(IF($Q$1=$P$3,INDEX(prem_analysis!$P$2:$Q$441,ROWS(Data!$P$2:Z421),COLUMNS(Data!$P$3:Y422)),IF($Q$1=$P$5,INDEX(prem_analysis!$BH$1:$BS$23,ROWS(Data!$Q$3:Z422),COLUMNS(Data!$Q$3:Z422)),IF($Q$1=$P$6,INDEX(prem_analysis!$BU$1:$CF$67,ROWS(prem_analysis!$N$2:W421),COLUMNS(prem_analysis!$N$2:W421)),IF($Q$1=$P$4,INDEX(Table24[[#All],[Year]:[Details]],ROWS(prem_analysis!$M$420:V839),COLUMNS(Data!$Q$3:Z422)))))),"")</f>
        <v/>
      </c>
      <c r="AB421" s="1" t="str">
        <f>IFERROR(IF($Q$1=$P$3,INDEX(prem_analysis!$P$2:$Q$441,ROWS(Data!$P$2:AA421),COLUMNS(Data!$P$3:Z422)),IF($Q$1=$P$5,INDEX(prem_analysis!$BH$1:$BS$23,ROWS(Data!$Q$3:AA422),COLUMNS(Data!$Q$3:AA422)),IF($Q$1=$P$6,INDEX(prem_analysis!$BU$1:$CF$67,ROWS(prem_analysis!$N$2:X421),COLUMNS(prem_analysis!$N$2:X421)),IF($Q$1=$P$4,INDEX(Table24[[#All],[Year]:[Details]],ROWS(prem_analysis!$M$420:W839),COLUMNS(Data!$Q$3:AA422)))))),"")</f>
        <v/>
      </c>
      <c r="AC421" s="1" t="str">
        <f>IFERROR(IF($Q$1=$P$3,INDEX(prem_analysis!$P$2:$Q$441,ROWS(Data!$P$2:AB421),COLUMNS(Data!$P$3:AA422)),IF($Q$1=$P$5,INDEX(prem_analysis!$BH$1:$BS$23,ROWS(Data!$Q$3:AB422),COLUMNS(Data!$Q$3:AB422)),IF($Q$1=$P$6,INDEX(prem_analysis!$BU$1:$CF$67,ROWS(prem_analysis!$N$2:Y421),COLUMNS(prem_analysis!$N$2:Y421)),IF($Q$1=$P$4,INDEX(Table24[[#All],[Year]:[Details]],ROWS(prem_analysis!$M$420:X839),COLUMNS(Data!$Q$3:AB422)))))),"")</f>
        <v/>
      </c>
    </row>
    <row r="422" spans="1:29" x14ac:dyDescent="0.2">
      <c r="A422" s="3">
        <v>2021</v>
      </c>
      <c r="B422" s="3">
        <v>1</v>
      </c>
      <c r="C422" s="4" t="s">
        <v>28</v>
      </c>
      <c r="D422" s="3">
        <v>38</v>
      </c>
      <c r="E422" s="3">
        <v>29</v>
      </c>
      <c r="F422" s="3">
        <v>6</v>
      </c>
      <c r="G422" s="3">
        <v>3</v>
      </c>
      <c r="H422" s="3">
        <v>99</v>
      </c>
      <c r="I422" s="3">
        <v>26</v>
      </c>
      <c r="J422" s="3">
        <v>73</v>
      </c>
      <c r="K422" s="3">
        <v>93</v>
      </c>
      <c r="L422" s="5" t="str">
        <f>IF(Table24[[#This Row],['#]]=1,"Champion", IF(Table24[[#This Row],['#]]&gt;=18,"Relegated",Table24[[#This Row],['#]]))</f>
        <v>Champion</v>
      </c>
      <c r="M422" s="5" t="str">
        <f>IF(Table24[[#This Row],[Details]]=2,K421-Table24[[#This Row],[Pts]],IF(Table24[[#This Row],[Details]]=17,Table24[[#This Row],[Pts]]-K423,""))</f>
        <v/>
      </c>
      <c r="R422" s="1" t="str">
        <f>IFERROR(IF($Q$1=$P$3,INDEX(prem_analysis!$P$2:$Q$441,ROWS(Data!$P$2:Q422),COLUMNS(Data!$P$3:P423)),IF($Q$1=$P$5,INDEX(prem_analysis!$BH$1:$BS$23,ROWS(Data!$Q$3:Q423),COLUMNS(Data!$Q$3:Q423)),IF($Q$1=$P$6,INDEX(prem_analysis!$BU$1:$CF$67,ROWS(prem_analysis!$N$2:N422),COLUMNS(prem_analysis!$N$2:N422)),IF($Q$1=$P$4,INDEX(Table24[[#All],[Year]:[Details]],ROWS(prem_analysis!$M$420:M840),COLUMNS(Data!$Q$3:Q423)))))),"")</f>
        <v/>
      </c>
      <c r="S422" s="1" t="str">
        <f>IFERROR(IF($Q$1=$P$3,INDEX(prem_analysis!$P$2:$Q$441,ROWS(Data!$P$2:R422),COLUMNS(Data!$P$3:Q423)),IF($Q$1=$P$5,INDEX(prem_analysis!$BH$1:$BS$23,ROWS(Data!$Q$3:R423),COLUMNS(Data!$Q$3:R423)),IF($Q$1=$P$6,INDEX(prem_analysis!$BU$1:$CF$67,ROWS(prem_analysis!$N$2:O422),COLUMNS(prem_analysis!$N$2:O422)),IF($Q$1=$P$4,INDEX(Table24[[#All],[Year]:[Details]],ROWS(prem_analysis!$M$420:N840),COLUMNS(Data!$Q$3:R423)))))),"")</f>
        <v/>
      </c>
      <c r="T422" s="1" t="str">
        <f>IFERROR(IF($Q$1=$P$3,INDEX(prem_analysis!$P$2:$Q$441,ROWS(Data!$P$2:S422),COLUMNS(Data!$P$3:R423)),IF($Q$1=$P$5,INDEX(prem_analysis!$BH$1:$BS$23,ROWS(Data!$Q$3:S423),COLUMNS(Data!$Q$3:S423)),IF($Q$1=$P$6,INDEX(prem_analysis!$BU$1:$CF$67,ROWS(prem_analysis!$N$2:P422),COLUMNS(prem_analysis!$N$2:P422)),IF($Q$1=$P$4,INDEX(Table24[[#All],[Year]:[Details]],ROWS(prem_analysis!$M$420:O840),COLUMNS(Data!$Q$3:S423)))))),"")</f>
        <v/>
      </c>
      <c r="U422" s="1" t="str">
        <f>IFERROR(IF($Q$1=$P$3,INDEX(prem_analysis!$P$2:$Q$441,ROWS(Data!$P$2:T422),COLUMNS(Data!$P$3:S423)),IF($Q$1=$P$5,INDEX(prem_analysis!$BH$1:$BS$23,ROWS(Data!$Q$3:T423),COLUMNS(Data!$Q$3:T423)),IF($Q$1=$P$6,INDEX(prem_analysis!$BU$1:$CF$67,ROWS(prem_analysis!$N$2:Q422),COLUMNS(prem_analysis!$N$2:Q422)),IF($Q$1=$P$4,INDEX(Table24[[#All],[Year]:[Details]],ROWS(prem_analysis!$M$420:P840),COLUMNS(Data!$Q$3:T423)))))),"")</f>
        <v/>
      </c>
      <c r="V422" s="1" t="str">
        <f>IFERROR(IF($Q$1=$P$3,INDEX(prem_analysis!$P$2:$Q$441,ROWS(Data!$P$2:U422),COLUMNS(Data!$P$3:T423)),IF($Q$1=$P$5,INDEX(prem_analysis!$BH$1:$BS$23,ROWS(Data!$Q$3:U423),COLUMNS(Data!$Q$3:U423)),IF($Q$1=$P$6,INDEX(prem_analysis!$BU$1:$CF$67,ROWS(prem_analysis!$N$2:R422),COLUMNS(prem_analysis!$N$2:R422)),IF($Q$1=$P$4,INDEX(Table24[[#All],[Year]:[Details]],ROWS(prem_analysis!$M$420:Q840),COLUMNS(Data!$Q$3:U423)))))),"")</f>
        <v/>
      </c>
      <c r="W422" s="1" t="str">
        <f>IFERROR(IF($Q$1=$P$3,INDEX(prem_analysis!$P$2:$Q$441,ROWS(Data!$P$2:V422),COLUMNS(Data!$P$3:U423)),IF($Q$1=$P$5,INDEX(prem_analysis!$BH$1:$BS$23,ROWS(Data!$Q$3:V423),COLUMNS(Data!$Q$3:V423)),IF($Q$1=$P$6,INDEX(prem_analysis!$BU$1:$CF$67,ROWS(prem_analysis!$N$2:S422),COLUMNS(prem_analysis!$N$2:S422)),IF($Q$1=$P$4,INDEX(Table24[[#All],[Year]:[Details]],ROWS(prem_analysis!$M$420:R840),COLUMNS(Data!$Q$3:V423)))))),"")</f>
        <v/>
      </c>
      <c r="X422" s="1" t="str">
        <f>IFERROR(IF($Q$1=$P$3,INDEX(prem_analysis!$P$2:$Q$441,ROWS(Data!$P$2:W422),COLUMNS(Data!$P$3:V423)),IF($Q$1=$P$5,INDEX(prem_analysis!$BH$1:$BS$23,ROWS(Data!$Q$3:W423),COLUMNS(Data!$Q$3:W423)),IF($Q$1=$P$6,INDEX(prem_analysis!$BU$1:$CF$67,ROWS(prem_analysis!$N$2:T422),COLUMNS(prem_analysis!$N$2:T422)),IF($Q$1=$P$4,INDEX(Table24[[#All],[Year]:[Details]],ROWS(prem_analysis!$M$420:S840),COLUMNS(Data!$Q$3:W423)))))),"")</f>
        <v/>
      </c>
      <c r="Y422" s="1" t="str">
        <f>IFERROR(IF($Q$1=$P$3,INDEX(prem_analysis!$P$2:$Q$441,ROWS(Data!$P$2:X422),COLUMNS(Data!$P$3:W423)),IF($Q$1=$P$5,INDEX(prem_analysis!$BH$1:$BS$23,ROWS(Data!$Q$3:X423),COLUMNS(Data!$Q$3:X423)),IF($Q$1=$P$6,INDEX(prem_analysis!$BU$1:$CF$67,ROWS(prem_analysis!$N$2:U422),COLUMNS(prem_analysis!$N$2:U422)),IF($Q$1=$P$4,INDEX(Table24[[#All],[Year]:[Details]],ROWS(prem_analysis!$M$420:T840),COLUMNS(Data!$Q$3:X423)))))),"")</f>
        <v/>
      </c>
      <c r="Z422" s="1" t="str">
        <f>IFERROR(IF($Q$1=$P$3,INDEX(prem_analysis!$P$2:$Q$441,ROWS(Data!$P$2:Y422),COLUMNS(Data!$P$3:X423)),IF($Q$1=$P$5,INDEX(prem_analysis!$BH$1:$BS$23,ROWS(Data!$Q$3:Y423),COLUMNS(Data!$Q$3:Y423)),IF($Q$1=$P$6,INDEX(prem_analysis!$BU$1:$CF$67,ROWS(prem_analysis!$N$2:V422),COLUMNS(prem_analysis!$N$2:V422)),IF($Q$1=$P$4,INDEX(Table24[[#All],[Year]:[Details]],ROWS(prem_analysis!$M$420:U840),COLUMNS(Data!$Q$3:Y423)))))),"")</f>
        <v/>
      </c>
      <c r="AA422" s="1" t="str">
        <f>IFERROR(IF($Q$1=$P$3,INDEX(prem_analysis!$P$2:$Q$441,ROWS(Data!$P$2:Z422),COLUMNS(Data!$P$3:Y423)),IF($Q$1=$P$5,INDEX(prem_analysis!$BH$1:$BS$23,ROWS(Data!$Q$3:Z423),COLUMNS(Data!$Q$3:Z423)),IF($Q$1=$P$6,INDEX(prem_analysis!$BU$1:$CF$67,ROWS(prem_analysis!$N$2:W422),COLUMNS(prem_analysis!$N$2:W422)),IF($Q$1=$P$4,INDEX(Table24[[#All],[Year]:[Details]],ROWS(prem_analysis!$M$420:V840),COLUMNS(Data!$Q$3:Z423)))))),"")</f>
        <v/>
      </c>
      <c r="AB422" s="1" t="str">
        <f>IFERROR(IF($Q$1=$P$3,INDEX(prem_analysis!$P$2:$Q$441,ROWS(Data!$P$2:AA422),COLUMNS(Data!$P$3:Z423)),IF($Q$1=$P$5,INDEX(prem_analysis!$BH$1:$BS$23,ROWS(Data!$Q$3:AA423),COLUMNS(Data!$Q$3:AA423)),IF($Q$1=$P$6,INDEX(prem_analysis!$BU$1:$CF$67,ROWS(prem_analysis!$N$2:X422),COLUMNS(prem_analysis!$N$2:X422)),IF($Q$1=$P$4,INDEX(Table24[[#All],[Year]:[Details]],ROWS(prem_analysis!$M$420:W840),COLUMNS(Data!$Q$3:AA423)))))),"")</f>
        <v/>
      </c>
      <c r="AC422" s="1" t="str">
        <f>IFERROR(IF($Q$1=$P$3,INDEX(prem_analysis!$P$2:$Q$441,ROWS(Data!$P$2:AB422),COLUMNS(Data!$P$3:AA423)),IF($Q$1=$P$5,INDEX(prem_analysis!$BH$1:$BS$23,ROWS(Data!$Q$3:AB423),COLUMNS(Data!$Q$3:AB423)),IF($Q$1=$P$6,INDEX(prem_analysis!$BU$1:$CF$67,ROWS(prem_analysis!$N$2:Y422),COLUMNS(prem_analysis!$N$2:Y422)),IF($Q$1=$P$4,INDEX(Table24[[#All],[Year]:[Details]],ROWS(prem_analysis!$M$420:X840),COLUMNS(Data!$Q$3:AB423)))))),"")</f>
        <v/>
      </c>
    </row>
    <row r="423" spans="1:29" x14ac:dyDescent="0.2">
      <c r="A423" s="5">
        <v>2021</v>
      </c>
      <c r="B423" s="5">
        <v>2</v>
      </c>
      <c r="C423" s="4" t="s">
        <v>13</v>
      </c>
      <c r="D423" s="5">
        <v>38</v>
      </c>
      <c r="E423" s="5">
        <v>28</v>
      </c>
      <c r="F423" s="5">
        <v>8</v>
      </c>
      <c r="G423" s="5">
        <v>2</v>
      </c>
      <c r="H423" s="5">
        <v>94</v>
      </c>
      <c r="I423" s="5">
        <v>26</v>
      </c>
      <c r="J423" s="5">
        <v>68</v>
      </c>
      <c r="K423" s="5">
        <v>92</v>
      </c>
      <c r="L423" s="5">
        <f>IF(Table24[[#This Row],['#]]=1,"Champion", IF(Table24[[#This Row],['#]]&gt;=18,"Relegated",Table24[[#This Row],['#]]))</f>
        <v>2</v>
      </c>
      <c r="M423" s="5">
        <f>IF(Table24[[#This Row],[Details]]=2,K422-Table24[[#This Row],[Pts]],IF(Table24[[#This Row],[Details]]=17,Table24[[#This Row],[Pts]]-K424,""))</f>
        <v>1</v>
      </c>
      <c r="R423" s="1" t="str">
        <f>IFERROR(IF($Q$1=$P$3,INDEX(prem_analysis!$P$2:$Q$441,ROWS(Data!$P$2:Q423),COLUMNS(Data!$P$3:P424)),IF($Q$1=$P$5,INDEX(prem_analysis!$BH$1:$BS$23,ROWS(Data!$Q$3:Q424),COLUMNS(Data!$Q$3:Q424)),IF($Q$1=$P$6,INDEX(prem_analysis!$BU$1:$CF$67,ROWS(prem_analysis!$N$2:N423),COLUMNS(prem_analysis!$N$2:N423)),IF($Q$1=$P$4,INDEX(Table24[[#All],[Year]:[Details]],ROWS(prem_analysis!$M$420:M841),COLUMNS(Data!$Q$3:Q424)))))),"")</f>
        <v/>
      </c>
      <c r="S423" s="1" t="str">
        <f>IFERROR(IF($Q$1=$P$3,INDEX(prem_analysis!$P$2:$Q$441,ROWS(Data!$P$2:R423),COLUMNS(Data!$P$3:Q424)),IF($Q$1=$P$5,INDEX(prem_analysis!$BH$1:$BS$23,ROWS(Data!$Q$3:R424),COLUMNS(Data!$Q$3:R424)),IF($Q$1=$P$6,INDEX(prem_analysis!$BU$1:$CF$67,ROWS(prem_analysis!$N$2:O423),COLUMNS(prem_analysis!$N$2:O423)),IF($Q$1=$P$4,INDEX(Table24[[#All],[Year]:[Details]],ROWS(prem_analysis!$M$420:N841),COLUMNS(Data!$Q$3:R424)))))),"")</f>
        <v/>
      </c>
      <c r="T423" s="1" t="str">
        <f>IFERROR(IF($Q$1=$P$3,INDEX(prem_analysis!$P$2:$Q$441,ROWS(Data!$P$2:S423),COLUMNS(Data!$P$3:R424)),IF($Q$1=$P$5,INDEX(prem_analysis!$BH$1:$BS$23,ROWS(Data!$Q$3:S424),COLUMNS(Data!$Q$3:S424)),IF($Q$1=$P$6,INDEX(prem_analysis!$BU$1:$CF$67,ROWS(prem_analysis!$N$2:P423),COLUMNS(prem_analysis!$N$2:P423)),IF($Q$1=$P$4,INDEX(Table24[[#All],[Year]:[Details]],ROWS(prem_analysis!$M$420:O841),COLUMNS(Data!$Q$3:S424)))))),"")</f>
        <v/>
      </c>
      <c r="U423" s="1" t="str">
        <f>IFERROR(IF($Q$1=$P$3,INDEX(prem_analysis!$P$2:$Q$441,ROWS(Data!$P$2:T423),COLUMNS(Data!$P$3:S424)),IF($Q$1=$P$5,INDEX(prem_analysis!$BH$1:$BS$23,ROWS(Data!$Q$3:T424),COLUMNS(Data!$Q$3:T424)),IF($Q$1=$P$6,INDEX(prem_analysis!$BU$1:$CF$67,ROWS(prem_analysis!$N$2:Q423),COLUMNS(prem_analysis!$N$2:Q423)),IF($Q$1=$P$4,INDEX(Table24[[#All],[Year]:[Details]],ROWS(prem_analysis!$M$420:P841),COLUMNS(Data!$Q$3:T424)))))),"")</f>
        <v/>
      </c>
      <c r="V423" s="1" t="str">
        <f>IFERROR(IF($Q$1=$P$3,INDEX(prem_analysis!$P$2:$Q$441,ROWS(Data!$P$2:U423),COLUMNS(Data!$P$3:T424)),IF($Q$1=$P$5,INDEX(prem_analysis!$BH$1:$BS$23,ROWS(Data!$Q$3:U424),COLUMNS(Data!$Q$3:U424)),IF($Q$1=$P$6,INDEX(prem_analysis!$BU$1:$CF$67,ROWS(prem_analysis!$N$2:R423),COLUMNS(prem_analysis!$N$2:R423)),IF($Q$1=$P$4,INDEX(Table24[[#All],[Year]:[Details]],ROWS(prem_analysis!$M$420:Q841),COLUMNS(Data!$Q$3:U424)))))),"")</f>
        <v/>
      </c>
      <c r="W423" s="1" t="str">
        <f>IFERROR(IF($Q$1=$P$3,INDEX(prem_analysis!$P$2:$Q$441,ROWS(Data!$P$2:V423),COLUMNS(Data!$P$3:U424)),IF($Q$1=$P$5,INDEX(prem_analysis!$BH$1:$BS$23,ROWS(Data!$Q$3:V424),COLUMNS(Data!$Q$3:V424)),IF($Q$1=$P$6,INDEX(prem_analysis!$BU$1:$CF$67,ROWS(prem_analysis!$N$2:S423),COLUMNS(prem_analysis!$N$2:S423)),IF($Q$1=$P$4,INDEX(Table24[[#All],[Year]:[Details]],ROWS(prem_analysis!$M$420:R841),COLUMNS(Data!$Q$3:V424)))))),"")</f>
        <v/>
      </c>
      <c r="X423" s="1" t="str">
        <f>IFERROR(IF($Q$1=$P$3,INDEX(prem_analysis!$P$2:$Q$441,ROWS(Data!$P$2:W423),COLUMNS(Data!$P$3:V424)),IF($Q$1=$P$5,INDEX(prem_analysis!$BH$1:$BS$23,ROWS(Data!$Q$3:W424),COLUMNS(Data!$Q$3:W424)),IF($Q$1=$P$6,INDEX(prem_analysis!$BU$1:$CF$67,ROWS(prem_analysis!$N$2:T423),COLUMNS(prem_analysis!$N$2:T423)),IF($Q$1=$P$4,INDEX(Table24[[#All],[Year]:[Details]],ROWS(prem_analysis!$M$420:S841),COLUMNS(Data!$Q$3:W424)))))),"")</f>
        <v/>
      </c>
      <c r="Y423" s="1" t="str">
        <f>IFERROR(IF($Q$1=$P$3,INDEX(prem_analysis!$P$2:$Q$441,ROWS(Data!$P$2:X423),COLUMNS(Data!$P$3:W424)),IF($Q$1=$P$5,INDEX(prem_analysis!$BH$1:$BS$23,ROWS(Data!$Q$3:X424),COLUMNS(Data!$Q$3:X424)),IF($Q$1=$P$6,INDEX(prem_analysis!$BU$1:$CF$67,ROWS(prem_analysis!$N$2:U423),COLUMNS(prem_analysis!$N$2:U423)),IF($Q$1=$P$4,INDEX(Table24[[#All],[Year]:[Details]],ROWS(prem_analysis!$M$420:T841),COLUMNS(Data!$Q$3:X424)))))),"")</f>
        <v/>
      </c>
      <c r="Z423" s="1" t="str">
        <f>IFERROR(IF($Q$1=$P$3,INDEX(prem_analysis!$P$2:$Q$441,ROWS(Data!$P$2:Y423),COLUMNS(Data!$P$3:X424)),IF($Q$1=$P$5,INDEX(prem_analysis!$BH$1:$BS$23,ROWS(Data!$Q$3:Y424),COLUMNS(Data!$Q$3:Y424)),IF($Q$1=$P$6,INDEX(prem_analysis!$BU$1:$CF$67,ROWS(prem_analysis!$N$2:V423),COLUMNS(prem_analysis!$N$2:V423)),IF($Q$1=$P$4,INDEX(Table24[[#All],[Year]:[Details]],ROWS(prem_analysis!$M$420:U841),COLUMNS(Data!$Q$3:Y424)))))),"")</f>
        <v/>
      </c>
      <c r="AA423" s="1" t="str">
        <f>IFERROR(IF($Q$1=$P$3,INDEX(prem_analysis!$P$2:$Q$441,ROWS(Data!$P$2:Z423),COLUMNS(Data!$P$3:Y424)),IF($Q$1=$P$5,INDEX(prem_analysis!$BH$1:$BS$23,ROWS(Data!$Q$3:Z424),COLUMNS(Data!$Q$3:Z424)),IF($Q$1=$P$6,INDEX(prem_analysis!$BU$1:$CF$67,ROWS(prem_analysis!$N$2:W423),COLUMNS(prem_analysis!$N$2:W423)),IF($Q$1=$P$4,INDEX(Table24[[#All],[Year]:[Details]],ROWS(prem_analysis!$M$420:V841),COLUMNS(Data!$Q$3:Z424)))))),"")</f>
        <v/>
      </c>
      <c r="AB423" s="1" t="str">
        <f>IFERROR(IF($Q$1=$P$3,INDEX(prem_analysis!$P$2:$Q$441,ROWS(Data!$P$2:AA423),COLUMNS(Data!$P$3:Z424)),IF($Q$1=$P$5,INDEX(prem_analysis!$BH$1:$BS$23,ROWS(Data!$Q$3:AA424),COLUMNS(Data!$Q$3:AA424)),IF($Q$1=$P$6,INDEX(prem_analysis!$BU$1:$CF$67,ROWS(prem_analysis!$N$2:X423),COLUMNS(prem_analysis!$N$2:X423)),IF($Q$1=$P$4,INDEX(Table24[[#All],[Year]:[Details]],ROWS(prem_analysis!$M$420:W841),COLUMNS(Data!$Q$3:AA424)))))),"")</f>
        <v/>
      </c>
      <c r="AC423" s="1" t="str">
        <f>IFERROR(IF($Q$1=$P$3,INDEX(prem_analysis!$P$2:$Q$441,ROWS(Data!$P$2:AB423),COLUMNS(Data!$P$3:AA424)),IF($Q$1=$P$5,INDEX(prem_analysis!$BH$1:$BS$23,ROWS(Data!$Q$3:AB424),COLUMNS(Data!$Q$3:AB424)),IF($Q$1=$P$6,INDEX(prem_analysis!$BU$1:$CF$67,ROWS(prem_analysis!$N$2:Y423),COLUMNS(prem_analysis!$N$2:Y423)),IF($Q$1=$P$4,INDEX(Table24[[#All],[Year]:[Details]],ROWS(prem_analysis!$M$420:X841),COLUMNS(Data!$Q$3:AB424)))))),"")</f>
        <v/>
      </c>
    </row>
    <row r="424" spans="1:29" x14ac:dyDescent="0.2">
      <c r="A424" s="3">
        <v>2021</v>
      </c>
      <c r="B424" s="3">
        <v>3</v>
      </c>
      <c r="C424" s="4" t="s">
        <v>16</v>
      </c>
      <c r="D424" s="3">
        <v>38</v>
      </c>
      <c r="E424" s="3">
        <v>21</v>
      </c>
      <c r="F424" s="3">
        <v>11</v>
      </c>
      <c r="G424" s="3">
        <v>6</v>
      </c>
      <c r="H424" s="3">
        <v>76</v>
      </c>
      <c r="I424" s="3">
        <v>33</v>
      </c>
      <c r="J424" s="3">
        <v>43</v>
      </c>
      <c r="K424" s="3">
        <v>74</v>
      </c>
      <c r="L424" s="5">
        <f>IF(Table24[[#This Row],['#]]=1,"Champion", IF(Table24[[#This Row],['#]]&gt;=18,"Relegated",Table24[[#This Row],['#]]))</f>
        <v>3</v>
      </c>
      <c r="M424" s="5" t="str">
        <f>IF(Table24[[#This Row],[Details]]=2,K423-Table24[[#This Row],[Pts]],IF(Table24[[#This Row],[Details]]=17,Table24[[#This Row],[Pts]]-K425,""))</f>
        <v/>
      </c>
      <c r="R424" s="1" t="str">
        <f>IFERROR(IF($Q$1=$P$3,INDEX(prem_analysis!$P$2:$Q$441,ROWS(Data!$P$2:Q424),COLUMNS(Data!$P$3:P425)),IF($Q$1=$P$5,INDEX(prem_analysis!$BH$1:$BS$23,ROWS(Data!$Q$3:Q425),COLUMNS(Data!$Q$3:Q425)),IF($Q$1=$P$6,INDEX(prem_analysis!$BU$1:$CF$67,ROWS(prem_analysis!$N$2:N424),COLUMNS(prem_analysis!$N$2:N424)),IF($Q$1=$P$4,INDEX(Table24[[#All],[Year]:[Details]],ROWS(prem_analysis!$M$420:M842),COLUMNS(Data!$Q$3:Q425)))))),"")</f>
        <v/>
      </c>
      <c r="S424" s="1" t="str">
        <f>IFERROR(IF($Q$1=$P$3,INDEX(prem_analysis!$P$2:$Q$441,ROWS(Data!$P$2:R424),COLUMNS(Data!$P$3:Q425)),IF($Q$1=$P$5,INDEX(prem_analysis!$BH$1:$BS$23,ROWS(Data!$Q$3:R425),COLUMNS(Data!$Q$3:R425)),IF($Q$1=$P$6,INDEX(prem_analysis!$BU$1:$CF$67,ROWS(prem_analysis!$N$2:O424),COLUMNS(prem_analysis!$N$2:O424)),IF($Q$1=$P$4,INDEX(Table24[[#All],[Year]:[Details]],ROWS(prem_analysis!$M$420:N842),COLUMNS(Data!$Q$3:R425)))))),"")</f>
        <v/>
      </c>
      <c r="T424" s="1" t="str">
        <f>IFERROR(IF($Q$1=$P$3,INDEX(prem_analysis!$P$2:$Q$441,ROWS(Data!$P$2:S424),COLUMNS(Data!$P$3:R425)),IF($Q$1=$P$5,INDEX(prem_analysis!$BH$1:$BS$23,ROWS(Data!$Q$3:S425),COLUMNS(Data!$Q$3:S425)),IF($Q$1=$P$6,INDEX(prem_analysis!$BU$1:$CF$67,ROWS(prem_analysis!$N$2:P424),COLUMNS(prem_analysis!$N$2:P424)),IF($Q$1=$P$4,INDEX(Table24[[#All],[Year]:[Details]],ROWS(prem_analysis!$M$420:O842),COLUMNS(Data!$Q$3:S425)))))),"")</f>
        <v/>
      </c>
      <c r="U424" s="1" t="str">
        <f>IFERROR(IF($Q$1=$P$3,INDEX(prem_analysis!$P$2:$Q$441,ROWS(Data!$P$2:T424),COLUMNS(Data!$P$3:S425)),IF($Q$1=$P$5,INDEX(prem_analysis!$BH$1:$BS$23,ROWS(Data!$Q$3:T425),COLUMNS(Data!$Q$3:T425)),IF($Q$1=$P$6,INDEX(prem_analysis!$BU$1:$CF$67,ROWS(prem_analysis!$N$2:Q424),COLUMNS(prem_analysis!$N$2:Q424)),IF($Q$1=$P$4,INDEX(Table24[[#All],[Year]:[Details]],ROWS(prem_analysis!$M$420:P842),COLUMNS(Data!$Q$3:T425)))))),"")</f>
        <v/>
      </c>
      <c r="V424" s="1" t="str">
        <f>IFERROR(IF($Q$1=$P$3,INDEX(prem_analysis!$P$2:$Q$441,ROWS(Data!$P$2:U424),COLUMNS(Data!$P$3:T425)),IF($Q$1=$P$5,INDEX(prem_analysis!$BH$1:$BS$23,ROWS(Data!$Q$3:U425),COLUMNS(Data!$Q$3:U425)),IF($Q$1=$P$6,INDEX(prem_analysis!$BU$1:$CF$67,ROWS(prem_analysis!$N$2:R424),COLUMNS(prem_analysis!$N$2:R424)),IF($Q$1=$P$4,INDEX(Table24[[#All],[Year]:[Details]],ROWS(prem_analysis!$M$420:Q842),COLUMNS(Data!$Q$3:U425)))))),"")</f>
        <v/>
      </c>
      <c r="W424" s="1" t="str">
        <f>IFERROR(IF($Q$1=$P$3,INDEX(prem_analysis!$P$2:$Q$441,ROWS(Data!$P$2:V424),COLUMNS(Data!$P$3:U425)),IF($Q$1=$P$5,INDEX(prem_analysis!$BH$1:$BS$23,ROWS(Data!$Q$3:V425),COLUMNS(Data!$Q$3:V425)),IF($Q$1=$P$6,INDEX(prem_analysis!$BU$1:$CF$67,ROWS(prem_analysis!$N$2:S424),COLUMNS(prem_analysis!$N$2:S424)),IF($Q$1=$P$4,INDEX(Table24[[#All],[Year]:[Details]],ROWS(prem_analysis!$M$420:R842),COLUMNS(Data!$Q$3:V425)))))),"")</f>
        <v/>
      </c>
      <c r="X424" s="1" t="str">
        <f>IFERROR(IF($Q$1=$P$3,INDEX(prem_analysis!$P$2:$Q$441,ROWS(Data!$P$2:W424),COLUMNS(Data!$P$3:V425)),IF($Q$1=$P$5,INDEX(prem_analysis!$BH$1:$BS$23,ROWS(Data!$Q$3:W425),COLUMNS(Data!$Q$3:W425)),IF($Q$1=$P$6,INDEX(prem_analysis!$BU$1:$CF$67,ROWS(prem_analysis!$N$2:T424),COLUMNS(prem_analysis!$N$2:T424)),IF($Q$1=$P$4,INDEX(Table24[[#All],[Year]:[Details]],ROWS(prem_analysis!$M$420:S842),COLUMNS(Data!$Q$3:W425)))))),"")</f>
        <v/>
      </c>
      <c r="Y424" s="1" t="str">
        <f>IFERROR(IF($Q$1=$P$3,INDEX(prem_analysis!$P$2:$Q$441,ROWS(Data!$P$2:X424),COLUMNS(Data!$P$3:W425)),IF($Q$1=$P$5,INDEX(prem_analysis!$BH$1:$BS$23,ROWS(Data!$Q$3:X425),COLUMNS(Data!$Q$3:X425)),IF($Q$1=$P$6,INDEX(prem_analysis!$BU$1:$CF$67,ROWS(prem_analysis!$N$2:U424),COLUMNS(prem_analysis!$N$2:U424)),IF($Q$1=$P$4,INDEX(Table24[[#All],[Year]:[Details]],ROWS(prem_analysis!$M$420:T842),COLUMNS(Data!$Q$3:X425)))))),"")</f>
        <v/>
      </c>
      <c r="Z424" s="1" t="str">
        <f>IFERROR(IF($Q$1=$P$3,INDEX(prem_analysis!$P$2:$Q$441,ROWS(Data!$P$2:Y424),COLUMNS(Data!$P$3:X425)),IF($Q$1=$P$5,INDEX(prem_analysis!$BH$1:$BS$23,ROWS(Data!$Q$3:Y425),COLUMNS(Data!$Q$3:Y425)),IF($Q$1=$P$6,INDEX(prem_analysis!$BU$1:$CF$67,ROWS(prem_analysis!$N$2:V424),COLUMNS(prem_analysis!$N$2:V424)),IF($Q$1=$P$4,INDEX(Table24[[#All],[Year]:[Details]],ROWS(prem_analysis!$M$420:U842),COLUMNS(Data!$Q$3:Y425)))))),"")</f>
        <v/>
      </c>
      <c r="AA424" s="1" t="str">
        <f>IFERROR(IF($Q$1=$P$3,INDEX(prem_analysis!$P$2:$Q$441,ROWS(Data!$P$2:Z424),COLUMNS(Data!$P$3:Y425)),IF($Q$1=$P$5,INDEX(prem_analysis!$BH$1:$BS$23,ROWS(Data!$Q$3:Z425),COLUMNS(Data!$Q$3:Z425)),IF($Q$1=$P$6,INDEX(prem_analysis!$BU$1:$CF$67,ROWS(prem_analysis!$N$2:W424),COLUMNS(prem_analysis!$N$2:W424)),IF($Q$1=$P$4,INDEX(Table24[[#All],[Year]:[Details]],ROWS(prem_analysis!$M$420:V842),COLUMNS(Data!$Q$3:Z425)))))),"")</f>
        <v/>
      </c>
      <c r="AB424" s="1" t="str">
        <f>IFERROR(IF($Q$1=$P$3,INDEX(prem_analysis!$P$2:$Q$441,ROWS(Data!$P$2:AA424),COLUMNS(Data!$P$3:Z425)),IF($Q$1=$P$5,INDEX(prem_analysis!$BH$1:$BS$23,ROWS(Data!$Q$3:AA425),COLUMNS(Data!$Q$3:AA425)),IF($Q$1=$P$6,INDEX(prem_analysis!$BU$1:$CF$67,ROWS(prem_analysis!$N$2:X424),COLUMNS(prem_analysis!$N$2:X424)),IF($Q$1=$P$4,INDEX(Table24[[#All],[Year]:[Details]],ROWS(prem_analysis!$M$420:W842),COLUMNS(Data!$Q$3:AA425)))))),"")</f>
        <v/>
      </c>
      <c r="AC424" s="1" t="str">
        <f>IFERROR(IF($Q$1=$P$3,INDEX(prem_analysis!$P$2:$Q$441,ROWS(Data!$P$2:AB424),COLUMNS(Data!$P$3:AA425)),IF($Q$1=$P$5,INDEX(prem_analysis!$BH$1:$BS$23,ROWS(Data!$Q$3:AB425),COLUMNS(Data!$Q$3:AB425)),IF($Q$1=$P$6,INDEX(prem_analysis!$BU$1:$CF$67,ROWS(prem_analysis!$N$2:Y424),COLUMNS(prem_analysis!$N$2:Y424)),IF($Q$1=$P$4,INDEX(Table24[[#All],[Year]:[Details]],ROWS(prem_analysis!$M$420:X842),COLUMNS(Data!$Q$3:AB425)))))),"")</f>
        <v/>
      </c>
    </row>
    <row r="425" spans="1:29" x14ac:dyDescent="0.2">
      <c r="A425" s="5">
        <v>2021</v>
      </c>
      <c r="B425" s="5">
        <v>4</v>
      </c>
      <c r="C425" s="6" t="s">
        <v>22</v>
      </c>
      <c r="D425" s="5">
        <v>38</v>
      </c>
      <c r="E425" s="5">
        <v>22</v>
      </c>
      <c r="F425" s="5">
        <v>5</v>
      </c>
      <c r="G425" s="5">
        <v>11</v>
      </c>
      <c r="H425" s="5">
        <v>69</v>
      </c>
      <c r="I425" s="5">
        <v>40</v>
      </c>
      <c r="J425" s="5">
        <v>29</v>
      </c>
      <c r="K425" s="5">
        <v>71</v>
      </c>
      <c r="L425" s="5">
        <f>IF(Table24[[#This Row],['#]]=1,"Champion", IF(Table24[[#This Row],['#]]&gt;=18,"Relegated",Table24[[#This Row],['#]]))</f>
        <v>4</v>
      </c>
      <c r="M425" s="5" t="str">
        <f>IF(Table24[[#This Row],[Details]]=2,K424-Table24[[#This Row],[Pts]],IF(Table24[[#This Row],[Details]]=17,Table24[[#This Row],[Pts]]-K426,""))</f>
        <v/>
      </c>
      <c r="R425" s="1" t="str">
        <f>IFERROR(IF($Q$1=$P$3,INDEX(prem_analysis!$P$2:$Q$441,ROWS(Data!$P$2:Q425),COLUMNS(Data!$P$3:P426)),IF($Q$1=$P$5,INDEX(prem_analysis!$BH$1:$BS$23,ROWS(Data!$Q$3:Q426),COLUMNS(Data!$Q$3:Q426)),IF($Q$1=$P$6,INDEX(prem_analysis!$BU$1:$CF$67,ROWS(prem_analysis!$N$2:N425),COLUMNS(prem_analysis!$N$2:N425)),IF($Q$1=$P$4,INDEX(Table24[[#All],[Year]:[Details]],ROWS(prem_analysis!$M$420:M843),COLUMNS(Data!$Q$3:Q426)))))),"")</f>
        <v/>
      </c>
      <c r="S425" s="1" t="str">
        <f>IFERROR(IF($Q$1=$P$3,INDEX(prem_analysis!$P$2:$Q$441,ROWS(Data!$P$2:R425),COLUMNS(Data!$P$3:Q426)),IF($Q$1=$P$5,INDEX(prem_analysis!$BH$1:$BS$23,ROWS(Data!$Q$3:R426),COLUMNS(Data!$Q$3:R426)),IF($Q$1=$P$6,INDEX(prem_analysis!$BU$1:$CF$67,ROWS(prem_analysis!$N$2:O425),COLUMNS(prem_analysis!$N$2:O425)),IF($Q$1=$P$4,INDEX(Table24[[#All],[Year]:[Details]],ROWS(prem_analysis!$M$420:N843),COLUMNS(Data!$Q$3:R426)))))),"")</f>
        <v/>
      </c>
      <c r="T425" s="1" t="str">
        <f>IFERROR(IF($Q$1=$P$3,INDEX(prem_analysis!$P$2:$Q$441,ROWS(Data!$P$2:S425),COLUMNS(Data!$P$3:R426)),IF($Q$1=$P$5,INDEX(prem_analysis!$BH$1:$BS$23,ROWS(Data!$Q$3:S426),COLUMNS(Data!$Q$3:S426)),IF($Q$1=$P$6,INDEX(prem_analysis!$BU$1:$CF$67,ROWS(prem_analysis!$N$2:P425),COLUMNS(prem_analysis!$N$2:P425)),IF($Q$1=$P$4,INDEX(Table24[[#All],[Year]:[Details]],ROWS(prem_analysis!$M$420:O843),COLUMNS(Data!$Q$3:S426)))))),"")</f>
        <v/>
      </c>
      <c r="U425" s="1" t="str">
        <f>IFERROR(IF($Q$1=$P$3,INDEX(prem_analysis!$P$2:$Q$441,ROWS(Data!$P$2:T425),COLUMNS(Data!$P$3:S426)),IF($Q$1=$P$5,INDEX(prem_analysis!$BH$1:$BS$23,ROWS(Data!$Q$3:T426),COLUMNS(Data!$Q$3:T426)),IF($Q$1=$P$6,INDEX(prem_analysis!$BU$1:$CF$67,ROWS(prem_analysis!$N$2:Q425),COLUMNS(prem_analysis!$N$2:Q425)),IF($Q$1=$P$4,INDEX(Table24[[#All],[Year]:[Details]],ROWS(prem_analysis!$M$420:P843),COLUMNS(Data!$Q$3:T426)))))),"")</f>
        <v/>
      </c>
      <c r="V425" s="1" t="str">
        <f>IFERROR(IF($Q$1=$P$3,INDEX(prem_analysis!$P$2:$Q$441,ROWS(Data!$P$2:U425),COLUMNS(Data!$P$3:T426)),IF($Q$1=$P$5,INDEX(prem_analysis!$BH$1:$BS$23,ROWS(Data!$Q$3:U426),COLUMNS(Data!$Q$3:U426)),IF($Q$1=$P$6,INDEX(prem_analysis!$BU$1:$CF$67,ROWS(prem_analysis!$N$2:R425),COLUMNS(prem_analysis!$N$2:R425)),IF($Q$1=$P$4,INDEX(Table24[[#All],[Year]:[Details]],ROWS(prem_analysis!$M$420:Q843),COLUMNS(Data!$Q$3:U426)))))),"")</f>
        <v/>
      </c>
      <c r="W425" s="1" t="str">
        <f>IFERROR(IF($Q$1=$P$3,INDEX(prem_analysis!$P$2:$Q$441,ROWS(Data!$P$2:V425),COLUMNS(Data!$P$3:U426)),IF($Q$1=$P$5,INDEX(prem_analysis!$BH$1:$BS$23,ROWS(Data!$Q$3:V426),COLUMNS(Data!$Q$3:V426)),IF($Q$1=$P$6,INDEX(prem_analysis!$BU$1:$CF$67,ROWS(prem_analysis!$N$2:S425),COLUMNS(prem_analysis!$N$2:S425)),IF($Q$1=$P$4,INDEX(Table24[[#All],[Year]:[Details]],ROWS(prem_analysis!$M$420:R843),COLUMNS(Data!$Q$3:V426)))))),"")</f>
        <v/>
      </c>
      <c r="X425" s="1" t="str">
        <f>IFERROR(IF($Q$1=$P$3,INDEX(prem_analysis!$P$2:$Q$441,ROWS(Data!$P$2:W425),COLUMNS(Data!$P$3:V426)),IF($Q$1=$P$5,INDEX(prem_analysis!$BH$1:$BS$23,ROWS(Data!$Q$3:W426),COLUMNS(Data!$Q$3:W426)),IF($Q$1=$P$6,INDEX(prem_analysis!$BU$1:$CF$67,ROWS(prem_analysis!$N$2:T425),COLUMNS(prem_analysis!$N$2:T425)),IF($Q$1=$P$4,INDEX(Table24[[#All],[Year]:[Details]],ROWS(prem_analysis!$M$420:S843),COLUMNS(Data!$Q$3:W426)))))),"")</f>
        <v/>
      </c>
      <c r="Y425" s="1" t="str">
        <f>IFERROR(IF($Q$1=$P$3,INDEX(prem_analysis!$P$2:$Q$441,ROWS(Data!$P$2:X425),COLUMNS(Data!$P$3:W426)),IF($Q$1=$P$5,INDEX(prem_analysis!$BH$1:$BS$23,ROWS(Data!$Q$3:X426),COLUMNS(Data!$Q$3:X426)),IF($Q$1=$P$6,INDEX(prem_analysis!$BU$1:$CF$67,ROWS(prem_analysis!$N$2:U425),COLUMNS(prem_analysis!$N$2:U425)),IF($Q$1=$P$4,INDEX(Table24[[#All],[Year]:[Details]],ROWS(prem_analysis!$M$420:T843),COLUMNS(Data!$Q$3:X426)))))),"")</f>
        <v/>
      </c>
      <c r="Z425" s="1" t="str">
        <f>IFERROR(IF($Q$1=$P$3,INDEX(prem_analysis!$P$2:$Q$441,ROWS(Data!$P$2:Y425),COLUMNS(Data!$P$3:X426)),IF($Q$1=$P$5,INDEX(prem_analysis!$BH$1:$BS$23,ROWS(Data!$Q$3:Y426),COLUMNS(Data!$Q$3:Y426)),IF($Q$1=$P$6,INDEX(prem_analysis!$BU$1:$CF$67,ROWS(prem_analysis!$N$2:V425),COLUMNS(prem_analysis!$N$2:V425)),IF($Q$1=$P$4,INDEX(Table24[[#All],[Year]:[Details]],ROWS(prem_analysis!$M$420:U843),COLUMNS(Data!$Q$3:Y426)))))),"")</f>
        <v/>
      </c>
      <c r="AA425" s="1" t="str">
        <f>IFERROR(IF($Q$1=$P$3,INDEX(prem_analysis!$P$2:$Q$441,ROWS(Data!$P$2:Z425),COLUMNS(Data!$P$3:Y426)),IF($Q$1=$P$5,INDEX(prem_analysis!$BH$1:$BS$23,ROWS(Data!$Q$3:Z426),COLUMNS(Data!$Q$3:Z426)),IF($Q$1=$P$6,INDEX(prem_analysis!$BU$1:$CF$67,ROWS(prem_analysis!$N$2:W425),COLUMNS(prem_analysis!$N$2:W425)),IF($Q$1=$P$4,INDEX(Table24[[#All],[Year]:[Details]],ROWS(prem_analysis!$M$420:V843),COLUMNS(Data!$Q$3:Z426)))))),"")</f>
        <v/>
      </c>
      <c r="AB425" s="1" t="str">
        <f>IFERROR(IF($Q$1=$P$3,INDEX(prem_analysis!$P$2:$Q$441,ROWS(Data!$P$2:AA425),COLUMNS(Data!$P$3:Z426)),IF($Q$1=$P$5,INDEX(prem_analysis!$BH$1:$BS$23,ROWS(Data!$Q$3:AA426),COLUMNS(Data!$Q$3:AA426)),IF($Q$1=$P$6,INDEX(prem_analysis!$BU$1:$CF$67,ROWS(prem_analysis!$N$2:X425),COLUMNS(prem_analysis!$N$2:X425)),IF($Q$1=$P$4,INDEX(Table24[[#All],[Year]:[Details]],ROWS(prem_analysis!$M$420:W843),COLUMNS(Data!$Q$3:AA426)))))),"")</f>
        <v/>
      </c>
      <c r="AC425" s="1" t="str">
        <f>IFERROR(IF($Q$1=$P$3,INDEX(prem_analysis!$P$2:$Q$441,ROWS(Data!$P$2:AB425),COLUMNS(Data!$P$3:AA426)),IF($Q$1=$P$5,INDEX(prem_analysis!$BH$1:$BS$23,ROWS(Data!$Q$3:AB426),COLUMNS(Data!$Q$3:AB426)),IF($Q$1=$P$6,INDEX(prem_analysis!$BU$1:$CF$67,ROWS(prem_analysis!$N$2:Y425),COLUMNS(prem_analysis!$N$2:Y425)),IF($Q$1=$P$4,INDEX(Table24[[#All],[Year]:[Details]],ROWS(prem_analysis!$M$420:X843),COLUMNS(Data!$Q$3:AB426)))))),"")</f>
        <v/>
      </c>
    </row>
    <row r="426" spans="1:29" x14ac:dyDescent="0.2">
      <c r="A426" s="3">
        <v>2021</v>
      </c>
      <c r="B426" s="3">
        <v>5</v>
      </c>
      <c r="C426" s="6" t="s">
        <v>12</v>
      </c>
      <c r="D426" s="3">
        <v>38</v>
      </c>
      <c r="E426" s="3">
        <v>22</v>
      </c>
      <c r="F426" s="3">
        <v>3</v>
      </c>
      <c r="G426" s="3">
        <v>13</v>
      </c>
      <c r="H426" s="3">
        <v>61</v>
      </c>
      <c r="I426" s="3">
        <v>48</v>
      </c>
      <c r="J426" s="3">
        <v>13</v>
      </c>
      <c r="K426" s="3">
        <v>69</v>
      </c>
      <c r="L426" s="5">
        <f>IF(Table24[[#This Row],['#]]=1,"Champion", IF(Table24[[#This Row],['#]]&gt;=18,"Relegated",Table24[[#This Row],['#]]))</f>
        <v>5</v>
      </c>
      <c r="M426" s="5" t="str">
        <f>IF(Table24[[#This Row],[Details]]=2,K425-Table24[[#This Row],[Pts]],IF(Table24[[#This Row],[Details]]=17,Table24[[#This Row],[Pts]]-K427,""))</f>
        <v/>
      </c>
      <c r="R426" s="1" t="str">
        <f>IFERROR(IF($Q$1=$P$3,INDEX(prem_analysis!$P$2:$Q$441,ROWS(Data!$P$2:Q426),COLUMNS(Data!$P$3:P427)),IF($Q$1=$P$5,INDEX(prem_analysis!$BH$1:$BS$23,ROWS(Data!$Q$3:Q427),COLUMNS(Data!$Q$3:Q427)),IF($Q$1=$P$6,INDEX(prem_analysis!$BU$1:$CF$67,ROWS(prem_analysis!$N$2:N426),COLUMNS(prem_analysis!$N$2:N426)),IF($Q$1=$P$4,INDEX(Table24[[#All],[Year]:[Details]],ROWS(prem_analysis!$M$420:M844),COLUMNS(Data!$Q$3:Q427)))))),"")</f>
        <v/>
      </c>
      <c r="S426" s="1" t="str">
        <f>IFERROR(IF($Q$1=$P$3,INDEX(prem_analysis!$P$2:$Q$441,ROWS(Data!$P$2:R426),COLUMNS(Data!$P$3:Q427)),IF($Q$1=$P$5,INDEX(prem_analysis!$BH$1:$BS$23,ROWS(Data!$Q$3:R427),COLUMNS(Data!$Q$3:R427)),IF($Q$1=$P$6,INDEX(prem_analysis!$BU$1:$CF$67,ROWS(prem_analysis!$N$2:O426),COLUMNS(prem_analysis!$N$2:O426)),IF($Q$1=$P$4,INDEX(Table24[[#All],[Year]:[Details]],ROWS(prem_analysis!$M$420:N844),COLUMNS(Data!$Q$3:R427)))))),"")</f>
        <v/>
      </c>
      <c r="T426" s="1" t="str">
        <f>IFERROR(IF($Q$1=$P$3,INDEX(prem_analysis!$P$2:$Q$441,ROWS(Data!$P$2:S426),COLUMNS(Data!$P$3:R427)),IF($Q$1=$P$5,INDEX(prem_analysis!$BH$1:$BS$23,ROWS(Data!$Q$3:S427),COLUMNS(Data!$Q$3:S427)),IF($Q$1=$P$6,INDEX(prem_analysis!$BU$1:$CF$67,ROWS(prem_analysis!$N$2:P426),COLUMNS(prem_analysis!$N$2:P426)),IF($Q$1=$P$4,INDEX(Table24[[#All],[Year]:[Details]],ROWS(prem_analysis!$M$420:O844),COLUMNS(Data!$Q$3:S427)))))),"")</f>
        <v/>
      </c>
      <c r="U426" s="1" t="str">
        <f>IFERROR(IF($Q$1=$P$3,INDEX(prem_analysis!$P$2:$Q$441,ROWS(Data!$P$2:T426),COLUMNS(Data!$P$3:S427)),IF($Q$1=$P$5,INDEX(prem_analysis!$BH$1:$BS$23,ROWS(Data!$Q$3:T427),COLUMNS(Data!$Q$3:T427)),IF($Q$1=$P$6,INDEX(prem_analysis!$BU$1:$CF$67,ROWS(prem_analysis!$N$2:Q426),COLUMNS(prem_analysis!$N$2:Q426)),IF($Q$1=$P$4,INDEX(Table24[[#All],[Year]:[Details]],ROWS(prem_analysis!$M$420:P844),COLUMNS(Data!$Q$3:T427)))))),"")</f>
        <v/>
      </c>
      <c r="V426" s="1" t="str">
        <f>IFERROR(IF($Q$1=$P$3,INDEX(prem_analysis!$P$2:$Q$441,ROWS(Data!$P$2:U426),COLUMNS(Data!$P$3:T427)),IF($Q$1=$P$5,INDEX(prem_analysis!$BH$1:$BS$23,ROWS(Data!$Q$3:U427),COLUMNS(Data!$Q$3:U427)),IF($Q$1=$P$6,INDEX(prem_analysis!$BU$1:$CF$67,ROWS(prem_analysis!$N$2:R426),COLUMNS(prem_analysis!$N$2:R426)),IF($Q$1=$P$4,INDEX(Table24[[#All],[Year]:[Details]],ROWS(prem_analysis!$M$420:Q844),COLUMNS(Data!$Q$3:U427)))))),"")</f>
        <v/>
      </c>
      <c r="W426" s="1" t="str">
        <f>IFERROR(IF($Q$1=$P$3,INDEX(prem_analysis!$P$2:$Q$441,ROWS(Data!$P$2:V426),COLUMNS(Data!$P$3:U427)),IF($Q$1=$P$5,INDEX(prem_analysis!$BH$1:$BS$23,ROWS(Data!$Q$3:V427),COLUMNS(Data!$Q$3:V427)),IF($Q$1=$P$6,INDEX(prem_analysis!$BU$1:$CF$67,ROWS(prem_analysis!$N$2:S426),COLUMNS(prem_analysis!$N$2:S426)),IF($Q$1=$P$4,INDEX(Table24[[#All],[Year]:[Details]],ROWS(prem_analysis!$M$420:R844),COLUMNS(Data!$Q$3:V427)))))),"")</f>
        <v/>
      </c>
      <c r="X426" s="1" t="str">
        <f>IFERROR(IF($Q$1=$P$3,INDEX(prem_analysis!$P$2:$Q$441,ROWS(Data!$P$2:W426),COLUMNS(Data!$P$3:V427)),IF($Q$1=$P$5,INDEX(prem_analysis!$BH$1:$BS$23,ROWS(Data!$Q$3:W427),COLUMNS(Data!$Q$3:W427)),IF($Q$1=$P$6,INDEX(prem_analysis!$BU$1:$CF$67,ROWS(prem_analysis!$N$2:T426),COLUMNS(prem_analysis!$N$2:T426)),IF($Q$1=$P$4,INDEX(Table24[[#All],[Year]:[Details]],ROWS(prem_analysis!$M$420:S844),COLUMNS(Data!$Q$3:W427)))))),"")</f>
        <v/>
      </c>
      <c r="Y426" s="1" t="str">
        <f>IFERROR(IF($Q$1=$P$3,INDEX(prem_analysis!$P$2:$Q$441,ROWS(Data!$P$2:X426),COLUMNS(Data!$P$3:W427)),IF($Q$1=$P$5,INDEX(prem_analysis!$BH$1:$BS$23,ROWS(Data!$Q$3:X427),COLUMNS(Data!$Q$3:X427)),IF($Q$1=$P$6,INDEX(prem_analysis!$BU$1:$CF$67,ROWS(prem_analysis!$N$2:U426),COLUMNS(prem_analysis!$N$2:U426)),IF($Q$1=$P$4,INDEX(Table24[[#All],[Year]:[Details]],ROWS(prem_analysis!$M$420:T844),COLUMNS(Data!$Q$3:X427)))))),"")</f>
        <v/>
      </c>
      <c r="Z426" s="1" t="str">
        <f>IFERROR(IF($Q$1=$P$3,INDEX(prem_analysis!$P$2:$Q$441,ROWS(Data!$P$2:Y426),COLUMNS(Data!$P$3:X427)),IF($Q$1=$P$5,INDEX(prem_analysis!$BH$1:$BS$23,ROWS(Data!$Q$3:Y427),COLUMNS(Data!$Q$3:Y427)),IF($Q$1=$P$6,INDEX(prem_analysis!$BU$1:$CF$67,ROWS(prem_analysis!$N$2:V426),COLUMNS(prem_analysis!$N$2:V426)),IF($Q$1=$P$4,INDEX(Table24[[#All],[Year]:[Details]],ROWS(prem_analysis!$M$420:U844),COLUMNS(Data!$Q$3:Y427)))))),"")</f>
        <v/>
      </c>
      <c r="AA426" s="1" t="str">
        <f>IFERROR(IF($Q$1=$P$3,INDEX(prem_analysis!$P$2:$Q$441,ROWS(Data!$P$2:Z426),COLUMNS(Data!$P$3:Y427)),IF($Q$1=$P$5,INDEX(prem_analysis!$BH$1:$BS$23,ROWS(Data!$Q$3:Z427),COLUMNS(Data!$Q$3:Z427)),IF($Q$1=$P$6,INDEX(prem_analysis!$BU$1:$CF$67,ROWS(prem_analysis!$N$2:W426),COLUMNS(prem_analysis!$N$2:W426)),IF($Q$1=$P$4,INDEX(Table24[[#All],[Year]:[Details]],ROWS(prem_analysis!$M$420:V844),COLUMNS(Data!$Q$3:Z427)))))),"")</f>
        <v/>
      </c>
      <c r="AB426" s="1" t="str">
        <f>IFERROR(IF($Q$1=$P$3,INDEX(prem_analysis!$P$2:$Q$441,ROWS(Data!$P$2:AA426),COLUMNS(Data!$P$3:Z427)),IF($Q$1=$P$5,INDEX(prem_analysis!$BH$1:$BS$23,ROWS(Data!$Q$3:AA427),COLUMNS(Data!$Q$3:AA427)),IF($Q$1=$P$6,INDEX(prem_analysis!$BU$1:$CF$67,ROWS(prem_analysis!$N$2:X426),COLUMNS(prem_analysis!$N$2:X426)),IF($Q$1=$P$4,INDEX(Table24[[#All],[Year]:[Details]],ROWS(prem_analysis!$M$420:W844),COLUMNS(Data!$Q$3:AA427)))))),"")</f>
        <v/>
      </c>
      <c r="AC426" s="1" t="str">
        <f>IFERROR(IF($Q$1=$P$3,INDEX(prem_analysis!$P$2:$Q$441,ROWS(Data!$P$2:AB426),COLUMNS(Data!$P$3:AA427)),IF($Q$1=$P$5,INDEX(prem_analysis!$BH$1:$BS$23,ROWS(Data!$Q$3:AB427),COLUMNS(Data!$Q$3:AB427)),IF($Q$1=$P$6,INDEX(prem_analysis!$BU$1:$CF$67,ROWS(prem_analysis!$N$2:Y426),COLUMNS(prem_analysis!$N$2:Y426)),IF($Q$1=$P$4,INDEX(Table24[[#All],[Year]:[Details]],ROWS(prem_analysis!$M$420:X844),COLUMNS(Data!$Q$3:AB427)))))),"")</f>
        <v/>
      </c>
    </row>
    <row r="427" spans="1:29" x14ac:dyDescent="0.2">
      <c r="A427" s="5">
        <v>2021</v>
      </c>
      <c r="B427" s="5">
        <v>6</v>
      </c>
      <c r="C427" s="6" t="s">
        <v>11</v>
      </c>
      <c r="D427" s="5">
        <v>38</v>
      </c>
      <c r="E427" s="5">
        <v>16</v>
      </c>
      <c r="F427" s="5">
        <v>10</v>
      </c>
      <c r="G427" s="5">
        <v>12</v>
      </c>
      <c r="H427" s="5">
        <v>57</v>
      </c>
      <c r="I427" s="5">
        <v>57</v>
      </c>
      <c r="J427" s="5">
        <v>0</v>
      </c>
      <c r="K427" s="5">
        <v>58</v>
      </c>
      <c r="L427" s="5">
        <f>IF(Table24[[#This Row],['#]]=1,"Champion", IF(Table24[[#This Row],['#]]&gt;=18,"Relegated",Table24[[#This Row],['#]]))</f>
        <v>6</v>
      </c>
      <c r="M427" s="5" t="str">
        <f>IF(Table24[[#This Row],[Details]]=2,K426-Table24[[#This Row],[Pts]],IF(Table24[[#This Row],[Details]]=17,Table24[[#This Row],[Pts]]-K428,""))</f>
        <v/>
      </c>
      <c r="R427" s="1" t="str">
        <f>IFERROR(IF($Q$1=$P$3,INDEX(prem_analysis!$P$2:$Q$441,ROWS(Data!$P$2:Q427),COLUMNS(Data!$P$3:P428)),IF($Q$1=$P$5,INDEX(prem_analysis!$BH$1:$BS$23,ROWS(Data!$Q$3:Q428),COLUMNS(Data!$Q$3:Q428)),IF($Q$1=$P$6,INDEX(prem_analysis!$BU$1:$CF$67,ROWS(prem_analysis!$N$2:N427),COLUMNS(prem_analysis!$N$2:N427)),IF($Q$1=$P$4,INDEX(Table24[[#All],[Year]:[Details]],ROWS(prem_analysis!$M$420:M845),COLUMNS(Data!$Q$3:Q428)))))),"")</f>
        <v/>
      </c>
      <c r="S427" s="1" t="str">
        <f>IFERROR(IF($Q$1=$P$3,INDEX(prem_analysis!$P$2:$Q$441,ROWS(Data!$P$2:R427),COLUMNS(Data!$P$3:Q428)),IF($Q$1=$P$5,INDEX(prem_analysis!$BH$1:$BS$23,ROWS(Data!$Q$3:R428),COLUMNS(Data!$Q$3:R428)),IF($Q$1=$P$6,INDEX(prem_analysis!$BU$1:$CF$67,ROWS(prem_analysis!$N$2:O427),COLUMNS(prem_analysis!$N$2:O427)),IF($Q$1=$P$4,INDEX(Table24[[#All],[Year]:[Details]],ROWS(prem_analysis!$M$420:N845),COLUMNS(Data!$Q$3:R428)))))),"")</f>
        <v/>
      </c>
      <c r="T427" s="1" t="str">
        <f>IFERROR(IF($Q$1=$P$3,INDEX(prem_analysis!$P$2:$Q$441,ROWS(Data!$P$2:S427),COLUMNS(Data!$P$3:R428)),IF($Q$1=$P$5,INDEX(prem_analysis!$BH$1:$BS$23,ROWS(Data!$Q$3:S428),COLUMNS(Data!$Q$3:S428)),IF($Q$1=$P$6,INDEX(prem_analysis!$BU$1:$CF$67,ROWS(prem_analysis!$N$2:P427),COLUMNS(prem_analysis!$N$2:P427)),IF($Q$1=$P$4,INDEX(Table24[[#All],[Year]:[Details]],ROWS(prem_analysis!$M$420:O845),COLUMNS(Data!$Q$3:S428)))))),"")</f>
        <v/>
      </c>
      <c r="U427" s="1" t="str">
        <f>IFERROR(IF($Q$1=$P$3,INDEX(prem_analysis!$P$2:$Q$441,ROWS(Data!$P$2:T427),COLUMNS(Data!$P$3:S428)),IF($Q$1=$P$5,INDEX(prem_analysis!$BH$1:$BS$23,ROWS(Data!$Q$3:T428),COLUMNS(Data!$Q$3:T428)),IF($Q$1=$P$6,INDEX(prem_analysis!$BU$1:$CF$67,ROWS(prem_analysis!$N$2:Q427),COLUMNS(prem_analysis!$N$2:Q427)),IF($Q$1=$P$4,INDEX(Table24[[#All],[Year]:[Details]],ROWS(prem_analysis!$M$420:P845),COLUMNS(Data!$Q$3:T428)))))),"")</f>
        <v/>
      </c>
      <c r="V427" s="1" t="str">
        <f>IFERROR(IF($Q$1=$P$3,INDEX(prem_analysis!$P$2:$Q$441,ROWS(Data!$P$2:U427),COLUMNS(Data!$P$3:T428)),IF($Q$1=$P$5,INDEX(prem_analysis!$BH$1:$BS$23,ROWS(Data!$Q$3:U428),COLUMNS(Data!$Q$3:U428)),IF($Q$1=$P$6,INDEX(prem_analysis!$BU$1:$CF$67,ROWS(prem_analysis!$N$2:R427),COLUMNS(prem_analysis!$N$2:R427)),IF($Q$1=$P$4,INDEX(Table24[[#All],[Year]:[Details]],ROWS(prem_analysis!$M$420:Q845),COLUMNS(Data!$Q$3:U428)))))),"")</f>
        <v/>
      </c>
      <c r="W427" s="1" t="str">
        <f>IFERROR(IF($Q$1=$P$3,INDEX(prem_analysis!$P$2:$Q$441,ROWS(Data!$P$2:V427),COLUMNS(Data!$P$3:U428)),IF($Q$1=$P$5,INDEX(prem_analysis!$BH$1:$BS$23,ROWS(Data!$Q$3:V428),COLUMNS(Data!$Q$3:V428)),IF($Q$1=$P$6,INDEX(prem_analysis!$BU$1:$CF$67,ROWS(prem_analysis!$N$2:S427),COLUMNS(prem_analysis!$N$2:S427)),IF($Q$1=$P$4,INDEX(Table24[[#All],[Year]:[Details]],ROWS(prem_analysis!$M$420:R845),COLUMNS(Data!$Q$3:V428)))))),"")</f>
        <v/>
      </c>
      <c r="X427" s="1" t="str">
        <f>IFERROR(IF($Q$1=$P$3,INDEX(prem_analysis!$P$2:$Q$441,ROWS(Data!$P$2:W427),COLUMNS(Data!$P$3:V428)),IF($Q$1=$P$5,INDEX(prem_analysis!$BH$1:$BS$23,ROWS(Data!$Q$3:W428),COLUMNS(Data!$Q$3:W428)),IF($Q$1=$P$6,INDEX(prem_analysis!$BU$1:$CF$67,ROWS(prem_analysis!$N$2:T427),COLUMNS(prem_analysis!$N$2:T427)),IF($Q$1=$P$4,INDEX(Table24[[#All],[Year]:[Details]],ROWS(prem_analysis!$M$420:S845),COLUMNS(Data!$Q$3:W428)))))),"")</f>
        <v/>
      </c>
      <c r="Y427" s="1" t="str">
        <f>IFERROR(IF($Q$1=$P$3,INDEX(prem_analysis!$P$2:$Q$441,ROWS(Data!$P$2:X427),COLUMNS(Data!$P$3:W428)),IF($Q$1=$P$5,INDEX(prem_analysis!$BH$1:$BS$23,ROWS(Data!$Q$3:X428),COLUMNS(Data!$Q$3:X428)),IF($Q$1=$P$6,INDEX(prem_analysis!$BU$1:$CF$67,ROWS(prem_analysis!$N$2:U427),COLUMNS(prem_analysis!$N$2:U427)),IF($Q$1=$P$4,INDEX(Table24[[#All],[Year]:[Details]],ROWS(prem_analysis!$M$420:T845),COLUMNS(Data!$Q$3:X428)))))),"")</f>
        <v/>
      </c>
      <c r="Z427" s="1" t="str">
        <f>IFERROR(IF($Q$1=$P$3,INDEX(prem_analysis!$P$2:$Q$441,ROWS(Data!$P$2:Y427),COLUMNS(Data!$P$3:X428)),IF($Q$1=$P$5,INDEX(prem_analysis!$BH$1:$BS$23,ROWS(Data!$Q$3:Y428),COLUMNS(Data!$Q$3:Y428)),IF($Q$1=$P$6,INDEX(prem_analysis!$BU$1:$CF$67,ROWS(prem_analysis!$N$2:V427),COLUMNS(prem_analysis!$N$2:V427)),IF($Q$1=$P$4,INDEX(Table24[[#All],[Year]:[Details]],ROWS(prem_analysis!$M$420:U845),COLUMNS(Data!$Q$3:Y428)))))),"")</f>
        <v/>
      </c>
      <c r="AA427" s="1" t="str">
        <f>IFERROR(IF($Q$1=$P$3,INDEX(prem_analysis!$P$2:$Q$441,ROWS(Data!$P$2:Z427),COLUMNS(Data!$P$3:Y428)),IF($Q$1=$P$5,INDEX(prem_analysis!$BH$1:$BS$23,ROWS(Data!$Q$3:Z428),COLUMNS(Data!$Q$3:Z428)),IF($Q$1=$P$6,INDEX(prem_analysis!$BU$1:$CF$67,ROWS(prem_analysis!$N$2:W427),COLUMNS(prem_analysis!$N$2:W427)),IF($Q$1=$P$4,INDEX(Table24[[#All],[Year]:[Details]],ROWS(prem_analysis!$M$420:V845),COLUMNS(Data!$Q$3:Z428)))))),"")</f>
        <v/>
      </c>
      <c r="AB427" s="1" t="str">
        <f>IFERROR(IF($Q$1=$P$3,INDEX(prem_analysis!$P$2:$Q$441,ROWS(Data!$P$2:AA427),COLUMNS(Data!$P$3:Z428)),IF($Q$1=$P$5,INDEX(prem_analysis!$BH$1:$BS$23,ROWS(Data!$Q$3:AA428),COLUMNS(Data!$Q$3:AA428)),IF($Q$1=$P$6,INDEX(prem_analysis!$BU$1:$CF$67,ROWS(prem_analysis!$N$2:X427),COLUMNS(prem_analysis!$N$2:X427)),IF($Q$1=$P$4,INDEX(Table24[[#All],[Year]:[Details]],ROWS(prem_analysis!$M$420:W845),COLUMNS(Data!$Q$3:AA428)))))),"")</f>
        <v/>
      </c>
      <c r="AC427" s="1" t="str">
        <f>IFERROR(IF($Q$1=$P$3,INDEX(prem_analysis!$P$2:$Q$441,ROWS(Data!$P$2:AB427),COLUMNS(Data!$P$3:AA428)),IF($Q$1=$P$5,INDEX(prem_analysis!$BH$1:$BS$23,ROWS(Data!$Q$3:AB428),COLUMNS(Data!$Q$3:AB428)),IF($Q$1=$P$6,INDEX(prem_analysis!$BU$1:$CF$67,ROWS(prem_analysis!$N$2:Y427),COLUMNS(prem_analysis!$N$2:Y427)),IF($Q$1=$P$4,INDEX(Table24[[#All],[Year]:[Details]],ROWS(prem_analysis!$M$420:X845),COLUMNS(Data!$Q$3:AB428)))))),"")</f>
        <v/>
      </c>
    </row>
    <row r="428" spans="1:29" x14ac:dyDescent="0.2">
      <c r="A428" s="3">
        <v>2021</v>
      </c>
      <c r="B428" s="3">
        <v>7</v>
      </c>
      <c r="C428" s="4" t="s">
        <v>25</v>
      </c>
      <c r="D428" s="3">
        <v>38</v>
      </c>
      <c r="E428" s="3">
        <v>16</v>
      </c>
      <c r="F428" s="3">
        <v>8</v>
      </c>
      <c r="G428" s="3">
        <v>14</v>
      </c>
      <c r="H428" s="3">
        <v>60</v>
      </c>
      <c r="I428" s="3">
        <v>51</v>
      </c>
      <c r="J428" s="3">
        <v>9</v>
      </c>
      <c r="K428" s="3">
        <v>56</v>
      </c>
      <c r="L428" s="5">
        <f>IF(Table24[[#This Row],['#]]=1,"Champion", IF(Table24[[#This Row],['#]]&gt;=18,"Relegated",Table24[[#This Row],['#]]))</f>
        <v>7</v>
      </c>
      <c r="M428" s="5" t="str">
        <f>IF(Table24[[#This Row],[Details]]=2,K427-Table24[[#This Row],[Pts]],IF(Table24[[#This Row],[Details]]=17,Table24[[#This Row],[Pts]]-K429,""))</f>
        <v/>
      </c>
      <c r="R428" s="1" t="str">
        <f>IFERROR(IF($Q$1=$P$3,INDEX(prem_analysis!$P$2:$Q$441,ROWS(Data!$P$2:Q428),COLUMNS(Data!$P$3:P429)),IF($Q$1=$P$5,INDEX(prem_analysis!$BH$1:$BS$23,ROWS(Data!$Q$3:Q429),COLUMNS(Data!$Q$3:Q429)),IF($Q$1=$P$6,INDEX(prem_analysis!$BU$1:$CF$67,ROWS(prem_analysis!$N$2:N428),COLUMNS(prem_analysis!$N$2:N428)),IF($Q$1=$P$4,INDEX(Table24[[#All],[Year]:[Details]],ROWS(prem_analysis!$M$420:M846),COLUMNS(Data!$Q$3:Q429)))))),"")</f>
        <v/>
      </c>
      <c r="S428" s="1" t="str">
        <f>IFERROR(IF($Q$1=$P$3,INDEX(prem_analysis!$P$2:$Q$441,ROWS(Data!$P$2:R428),COLUMNS(Data!$P$3:Q429)),IF($Q$1=$P$5,INDEX(prem_analysis!$BH$1:$BS$23,ROWS(Data!$Q$3:R429),COLUMNS(Data!$Q$3:R429)),IF($Q$1=$P$6,INDEX(prem_analysis!$BU$1:$CF$67,ROWS(prem_analysis!$N$2:O428),COLUMNS(prem_analysis!$N$2:O428)),IF($Q$1=$P$4,INDEX(Table24[[#All],[Year]:[Details]],ROWS(prem_analysis!$M$420:N846),COLUMNS(Data!$Q$3:R429)))))),"")</f>
        <v/>
      </c>
      <c r="T428" s="1" t="str">
        <f>IFERROR(IF($Q$1=$P$3,INDEX(prem_analysis!$P$2:$Q$441,ROWS(Data!$P$2:S428),COLUMNS(Data!$P$3:R429)),IF($Q$1=$P$5,INDEX(prem_analysis!$BH$1:$BS$23,ROWS(Data!$Q$3:S429),COLUMNS(Data!$Q$3:S429)),IF($Q$1=$P$6,INDEX(prem_analysis!$BU$1:$CF$67,ROWS(prem_analysis!$N$2:P428),COLUMNS(prem_analysis!$N$2:P428)),IF($Q$1=$P$4,INDEX(Table24[[#All],[Year]:[Details]],ROWS(prem_analysis!$M$420:O846),COLUMNS(Data!$Q$3:S429)))))),"")</f>
        <v/>
      </c>
      <c r="U428" s="1" t="str">
        <f>IFERROR(IF($Q$1=$P$3,INDEX(prem_analysis!$P$2:$Q$441,ROWS(Data!$P$2:T428),COLUMNS(Data!$P$3:S429)),IF($Q$1=$P$5,INDEX(prem_analysis!$BH$1:$BS$23,ROWS(Data!$Q$3:T429),COLUMNS(Data!$Q$3:T429)),IF($Q$1=$P$6,INDEX(prem_analysis!$BU$1:$CF$67,ROWS(prem_analysis!$N$2:Q428),COLUMNS(prem_analysis!$N$2:Q428)),IF($Q$1=$P$4,INDEX(Table24[[#All],[Year]:[Details]],ROWS(prem_analysis!$M$420:P846),COLUMNS(Data!$Q$3:T429)))))),"")</f>
        <v/>
      </c>
      <c r="V428" s="1" t="str">
        <f>IFERROR(IF($Q$1=$P$3,INDEX(prem_analysis!$P$2:$Q$441,ROWS(Data!$P$2:U428),COLUMNS(Data!$P$3:T429)),IF($Q$1=$P$5,INDEX(prem_analysis!$BH$1:$BS$23,ROWS(Data!$Q$3:U429),COLUMNS(Data!$Q$3:U429)),IF($Q$1=$P$6,INDEX(prem_analysis!$BU$1:$CF$67,ROWS(prem_analysis!$N$2:R428),COLUMNS(prem_analysis!$N$2:R428)),IF($Q$1=$P$4,INDEX(Table24[[#All],[Year]:[Details]],ROWS(prem_analysis!$M$420:Q846),COLUMNS(Data!$Q$3:U429)))))),"")</f>
        <v/>
      </c>
      <c r="W428" s="1" t="str">
        <f>IFERROR(IF($Q$1=$P$3,INDEX(prem_analysis!$P$2:$Q$441,ROWS(Data!$P$2:V428),COLUMNS(Data!$P$3:U429)),IF($Q$1=$P$5,INDEX(prem_analysis!$BH$1:$BS$23,ROWS(Data!$Q$3:V429),COLUMNS(Data!$Q$3:V429)),IF($Q$1=$P$6,INDEX(prem_analysis!$BU$1:$CF$67,ROWS(prem_analysis!$N$2:S428),COLUMNS(prem_analysis!$N$2:S428)),IF($Q$1=$P$4,INDEX(Table24[[#All],[Year]:[Details]],ROWS(prem_analysis!$M$420:R846),COLUMNS(Data!$Q$3:V429)))))),"")</f>
        <v/>
      </c>
      <c r="X428" s="1" t="str">
        <f>IFERROR(IF($Q$1=$P$3,INDEX(prem_analysis!$P$2:$Q$441,ROWS(Data!$P$2:W428),COLUMNS(Data!$P$3:V429)),IF($Q$1=$P$5,INDEX(prem_analysis!$BH$1:$BS$23,ROWS(Data!$Q$3:W429),COLUMNS(Data!$Q$3:W429)),IF($Q$1=$P$6,INDEX(prem_analysis!$BU$1:$CF$67,ROWS(prem_analysis!$N$2:T428),COLUMNS(prem_analysis!$N$2:T428)),IF($Q$1=$P$4,INDEX(Table24[[#All],[Year]:[Details]],ROWS(prem_analysis!$M$420:S846),COLUMNS(Data!$Q$3:W429)))))),"")</f>
        <v/>
      </c>
      <c r="Y428" s="1" t="str">
        <f>IFERROR(IF($Q$1=$P$3,INDEX(prem_analysis!$P$2:$Q$441,ROWS(Data!$P$2:X428),COLUMNS(Data!$P$3:W429)),IF($Q$1=$P$5,INDEX(prem_analysis!$BH$1:$BS$23,ROWS(Data!$Q$3:X429),COLUMNS(Data!$Q$3:X429)),IF($Q$1=$P$6,INDEX(prem_analysis!$BU$1:$CF$67,ROWS(prem_analysis!$N$2:U428),COLUMNS(prem_analysis!$N$2:U428)),IF($Q$1=$P$4,INDEX(Table24[[#All],[Year]:[Details]],ROWS(prem_analysis!$M$420:T846),COLUMNS(Data!$Q$3:X429)))))),"")</f>
        <v/>
      </c>
      <c r="Z428" s="1" t="str">
        <f>IFERROR(IF($Q$1=$P$3,INDEX(prem_analysis!$P$2:$Q$441,ROWS(Data!$P$2:Y428),COLUMNS(Data!$P$3:X429)),IF($Q$1=$P$5,INDEX(prem_analysis!$BH$1:$BS$23,ROWS(Data!$Q$3:Y429),COLUMNS(Data!$Q$3:Y429)),IF($Q$1=$P$6,INDEX(prem_analysis!$BU$1:$CF$67,ROWS(prem_analysis!$N$2:V428),COLUMNS(prem_analysis!$N$2:V428)),IF($Q$1=$P$4,INDEX(Table24[[#All],[Year]:[Details]],ROWS(prem_analysis!$M$420:U846),COLUMNS(Data!$Q$3:Y429)))))),"")</f>
        <v/>
      </c>
      <c r="AA428" s="1" t="str">
        <f>IFERROR(IF($Q$1=$P$3,INDEX(prem_analysis!$P$2:$Q$441,ROWS(Data!$P$2:Z428),COLUMNS(Data!$P$3:Y429)),IF($Q$1=$P$5,INDEX(prem_analysis!$BH$1:$BS$23,ROWS(Data!$Q$3:Z429),COLUMNS(Data!$Q$3:Z429)),IF($Q$1=$P$6,INDEX(prem_analysis!$BU$1:$CF$67,ROWS(prem_analysis!$N$2:W428),COLUMNS(prem_analysis!$N$2:W428)),IF($Q$1=$P$4,INDEX(Table24[[#All],[Year]:[Details]],ROWS(prem_analysis!$M$420:V846),COLUMNS(Data!$Q$3:Z429)))))),"")</f>
        <v/>
      </c>
      <c r="AB428" s="1" t="str">
        <f>IFERROR(IF($Q$1=$P$3,INDEX(prem_analysis!$P$2:$Q$441,ROWS(Data!$P$2:AA428),COLUMNS(Data!$P$3:Z429)),IF($Q$1=$P$5,INDEX(prem_analysis!$BH$1:$BS$23,ROWS(Data!$Q$3:AA429),COLUMNS(Data!$Q$3:AA429)),IF($Q$1=$P$6,INDEX(prem_analysis!$BU$1:$CF$67,ROWS(prem_analysis!$N$2:X428),COLUMNS(prem_analysis!$N$2:X428)),IF($Q$1=$P$4,INDEX(Table24[[#All],[Year]:[Details]],ROWS(prem_analysis!$M$420:W846),COLUMNS(Data!$Q$3:AA429)))))),"")</f>
        <v/>
      </c>
      <c r="AC428" s="1" t="str">
        <f>IFERROR(IF($Q$1=$P$3,INDEX(prem_analysis!$P$2:$Q$441,ROWS(Data!$P$2:AB428),COLUMNS(Data!$P$3:AA429)),IF($Q$1=$P$5,INDEX(prem_analysis!$BH$1:$BS$23,ROWS(Data!$Q$3:AB429),COLUMNS(Data!$Q$3:AB429)),IF($Q$1=$P$6,INDEX(prem_analysis!$BU$1:$CF$67,ROWS(prem_analysis!$N$2:Y428),COLUMNS(prem_analysis!$N$2:Y428)),IF($Q$1=$P$4,INDEX(Table24[[#All],[Year]:[Details]],ROWS(prem_analysis!$M$420:X846),COLUMNS(Data!$Q$3:AB429)))))),"")</f>
        <v/>
      </c>
    </row>
    <row r="429" spans="1:29" x14ac:dyDescent="0.2">
      <c r="A429" s="5">
        <v>2021</v>
      </c>
      <c r="B429" s="5">
        <v>8</v>
      </c>
      <c r="C429" s="6" t="s">
        <v>23</v>
      </c>
      <c r="D429" s="5">
        <v>38</v>
      </c>
      <c r="E429" s="5">
        <v>14</v>
      </c>
      <c r="F429" s="5">
        <v>10</v>
      </c>
      <c r="G429" s="5">
        <v>14</v>
      </c>
      <c r="H429" s="5">
        <v>62</v>
      </c>
      <c r="I429" s="5">
        <v>59</v>
      </c>
      <c r="J429" s="5">
        <v>3</v>
      </c>
      <c r="K429" s="5">
        <v>52</v>
      </c>
      <c r="L429" s="5">
        <f>IF(Table24[[#This Row],['#]]=1,"Champion", IF(Table24[[#This Row],['#]]&gt;=18,"Relegated",Table24[[#This Row],['#]]))</f>
        <v>8</v>
      </c>
      <c r="M429" s="5" t="str">
        <f>IF(Table24[[#This Row],[Details]]=2,K428-Table24[[#This Row],[Pts]],IF(Table24[[#This Row],[Details]]=17,Table24[[#This Row],[Pts]]-K430,""))</f>
        <v/>
      </c>
      <c r="R429" s="1" t="str">
        <f>IFERROR(IF($Q$1=$P$3,INDEX(prem_analysis!$P$2:$Q$441,ROWS(Data!$P$2:Q429),COLUMNS(Data!$P$3:P430)),IF($Q$1=$P$5,INDEX(prem_analysis!$BH$1:$BS$23,ROWS(Data!$Q$3:Q430),COLUMNS(Data!$Q$3:Q430)),IF($Q$1=$P$6,INDEX(prem_analysis!$BU$1:$CF$67,ROWS(prem_analysis!$N$2:N429),COLUMNS(prem_analysis!$N$2:N429)),IF($Q$1=$P$4,INDEX(Table24[[#All],[Year]:[Details]],ROWS(prem_analysis!$M$420:M847),COLUMNS(Data!$Q$3:Q430)))))),"")</f>
        <v/>
      </c>
      <c r="S429" s="1" t="str">
        <f>IFERROR(IF($Q$1=$P$3,INDEX(prem_analysis!$P$2:$Q$441,ROWS(Data!$P$2:R429),COLUMNS(Data!$P$3:Q430)),IF($Q$1=$P$5,INDEX(prem_analysis!$BH$1:$BS$23,ROWS(Data!$Q$3:R430),COLUMNS(Data!$Q$3:R430)),IF($Q$1=$P$6,INDEX(prem_analysis!$BU$1:$CF$67,ROWS(prem_analysis!$N$2:O429),COLUMNS(prem_analysis!$N$2:O429)),IF($Q$1=$P$4,INDEX(Table24[[#All],[Year]:[Details]],ROWS(prem_analysis!$M$420:N847),COLUMNS(Data!$Q$3:R430)))))),"")</f>
        <v/>
      </c>
      <c r="T429" s="1" t="str">
        <f>IFERROR(IF($Q$1=$P$3,INDEX(prem_analysis!$P$2:$Q$441,ROWS(Data!$P$2:S429),COLUMNS(Data!$P$3:R430)),IF($Q$1=$P$5,INDEX(prem_analysis!$BH$1:$BS$23,ROWS(Data!$Q$3:S430),COLUMNS(Data!$Q$3:S430)),IF($Q$1=$P$6,INDEX(prem_analysis!$BU$1:$CF$67,ROWS(prem_analysis!$N$2:P429),COLUMNS(prem_analysis!$N$2:P429)),IF($Q$1=$P$4,INDEX(Table24[[#All],[Year]:[Details]],ROWS(prem_analysis!$M$420:O847),COLUMNS(Data!$Q$3:S430)))))),"")</f>
        <v/>
      </c>
      <c r="U429" s="1" t="str">
        <f>IFERROR(IF($Q$1=$P$3,INDEX(prem_analysis!$P$2:$Q$441,ROWS(Data!$P$2:T429),COLUMNS(Data!$P$3:S430)),IF($Q$1=$P$5,INDEX(prem_analysis!$BH$1:$BS$23,ROWS(Data!$Q$3:T430),COLUMNS(Data!$Q$3:T430)),IF($Q$1=$P$6,INDEX(prem_analysis!$BU$1:$CF$67,ROWS(prem_analysis!$N$2:Q429),COLUMNS(prem_analysis!$N$2:Q429)),IF($Q$1=$P$4,INDEX(Table24[[#All],[Year]:[Details]],ROWS(prem_analysis!$M$420:P847),COLUMNS(Data!$Q$3:T430)))))),"")</f>
        <v/>
      </c>
      <c r="V429" s="1" t="str">
        <f>IFERROR(IF($Q$1=$P$3,INDEX(prem_analysis!$P$2:$Q$441,ROWS(Data!$P$2:U429),COLUMNS(Data!$P$3:T430)),IF($Q$1=$P$5,INDEX(prem_analysis!$BH$1:$BS$23,ROWS(Data!$Q$3:U430),COLUMNS(Data!$Q$3:U430)),IF($Q$1=$P$6,INDEX(prem_analysis!$BU$1:$CF$67,ROWS(prem_analysis!$N$2:R429),COLUMNS(prem_analysis!$N$2:R429)),IF($Q$1=$P$4,INDEX(Table24[[#All],[Year]:[Details]],ROWS(prem_analysis!$M$420:Q847),COLUMNS(Data!$Q$3:U430)))))),"")</f>
        <v/>
      </c>
      <c r="W429" s="1" t="str">
        <f>IFERROR(IF($Q$1=$P$3,INDEX(prem_analysis!$P$2:$Q$441,ROWS(Data!$P$2:V429),COLUMNS(Data!$P$3:U430)),IF($Q$1=$P$5,INDEX(prem_analysis!$BH$1:$BS$23,ROWS(Data!$Q$3:V430),COLUMNS(Data!$Q$3:V430)),IF($Q$1=$P$6,INDEX(prem_analysis!$BU$1:$CF$67,ROWS(prem_analysis!$N$2:S429),COLUMNS(prem_analysis!$N$2:S429)),IF($Q$1=$P$4,INDEX(Table24[[#All],[Year]:[Details]],ROWS(prem_analysis!$M$420:R847),COLUMNS(Data!$Q$3:V430)))))),"")</f>
        <v/>
      </c>
      <c r="X429" s="1" t="str">
        <f>IFERROR(IF($Q$1=$P$3,INDEX(prem_analysis!$P$2:$Q$441,ROWS(Data!$P$2:W429),COLUMNS(Data!$P$3:V430)),IF($Q$1=$P$5,INDEX(prem_analysis!$BH$1:$BS$23,ROWS(Data!$Q$3:W430),COLUMNS(Data!$Q$3:W430)),IF($Q$1=$P$6,INDEX(prem_analysis!$BU$1:$CF$67,ROWS(prem_analysis!$N$2:T429),COLUMNS(prem_analysis!$N$2:T429)),IF($Q$1=$P$4,INDEX(Table24[[#All],[Year]:[Details]],ROWS(prem_analysis!$M$420:S847),COLUMNS(Data!$Q$3:W430)))))),"")</f>
        <v/>
      </c>
      <c r="Y429" s="1" t="str">
        <f>IFERROR(IF($Q$1=$P$3,INDEX(prem_analysis!$P$2:$Q$441,ROWS(Data!$P$2:X429),COLUMNS(Data!$P$3:W430)),IF($Q$1=$P$5,INDEX(prem_analysis!$BH$1:$BS$23,ROWS(Data!$Q$3:X430),COLUMNS(Data!$Q$3:X430)),IF($Q$1=$P$6,INDEX(prem_analysis!$BU$1:$CF$67,ROWS(prem_analysis!$N$2:U429),COLUMNS(prem_analysis!$N$2:U429)),IF($Q$1=$P$4,INDEX(Table24[[#All],[Year]:[Details]],ROWS(prem_analysis!$M$420:T847),COLUMNS(Data!$Q$3:X430)))))),"")</f>
        <v/>
      </c>
      <c r="Z429" s="1" t="str">
        <f>IFERROR(IF($Q$1=$P$3,INDEX(prem_analysis!$P$2:$Q$441,ROWS(Data!$P$2:Y429),COLUMNS(Data!$P$3:X430)),IF($Q$1=$P$5,INDEX(prem_analysis!$BH$1:$BS$23,ROWS(Data!$Q$3:Y430),COLUMNS(Data!$Q$3:Y430)),IF($Q$1=$P$6,INDEX(prem_analysis!$BU$1:$CF$67,ROWS(prem_analysis!$N$2:V429),COLUMNS(prem_analysis!$N$2:V429)),IF($Q$1=$P$4,INDEX(Table24[[#All],[Year]:[Details]],ROWS(prem_analysis!$M$420:U847),COLUMNS(Data!$Q$3:Y430)))))),"")</f>
        <v/>
      </c>
      <c r="AA429" s="1" t="str">
        <f>IFERROR(IF($Q$1=$P$3,INDEX(prem_analysis!$P$2:$Q$441,ROWS(Data!$P$2:Z429),COLUMNS(Data!$P$3:Y430)),IF($Q$1=$P$5,INDEX(prem_analysis!$BH$1:$BS$23,ROWS(Data!$Q$3:Z430),COLUMNS(Data!$Q$3:Z430)),IF($Q$1=$P$6,INDEX(prem_analysis!$BU$1:$CF$67,ROWS(prem_analysis!$N$2:W429),COLUMNS(prem_analysis!$N$2:W429)),IF($Q$1=$P$4,INDEX(Table24[[#All],[Year]:[Details]],ROWS(prem_analysis!$M$420:V847),COLUMNS(Data!$Q$3:Z430)))))),"")</f>
        <v/>
      </c>
      <c r="AB429" s="1" t="str">
        <f>IFERROR(IF($Q$1=$P$3,INDEX(prem_analysis!$P$2:$Q$441,ROWS(Data!$P$2:AA429),COLUMNS(Data!$P$3:Z430)),IF($Q$1=$P$5,INDEX(prem_analysis!$BH$1:$BS$23,ROWS(Data!$Q$3:AA430),COLUMNS(Data!$Q$3:AA430)),IF($Q$1=$P$6,INDEX(prem_analysis!$BU$1:$CF$67,ROWS(prem_analysis!$N$2:X429),COLUMNS(prem_analysis!$N$2:X429)),IF($Q$1=$P$4,INDEX(Table24[[#All],[Year]:[Details]],ROWS(prem_analysis!$M$420:W847),COLUMNS(Data!$Q$3:AA430)))))),"")</f>
        <v/>
      </c>
      <c r="AC429" s="1" t="str">
        <f>IFERROR(IF($Q$1=$P$3,INDEX(prem_analysis!$P$2:$Q$441,ROWS(Data!$P$2:AB429),COLUMNS(Data!$P$3:AA430)),IF($Q$1=$P$5,INDEX(prem_analysis!$BH$1:$BS$23,ROWS(Data!$Q$3:AB430),COLUMNS(Data!$Q$3:AB430)),IF($Q$1=$P$6,INDEX(prem_analysis!$BU$1:$CF$67,ROWS(prem_analysis!$N$2:Y429),COLUMNS(prem_analysis!$N$2:Y429)),IF($Q$1=$P$4,INDEX(Table24[[#All],[Year]:[Details]],ROWS(prem_analysis!$M$420:X847),COLUMNS(Data!$Q$3:AB430)))))),"")</f>
        <v/>
      </c>
    </row>
    <row r="430" spans="1:29" x14ac:dyDescent="0.2">
      <c r="A430" s="3">
        <v>2021</v>
      </c>
      <c r="B430" s="3">
        <v>9</v>
      </c>
      <c r="C430" s="4" t="s">
        <v>55</v>
      </c>
      <c r="D430" s="3">
        <v>38</v>
      </c>
      <c r="E430" s="3">
        <v>12</v>
      </c>
      <c r="F430" s="3">
        <v>15</v>
      </c>
      <c r="G430" s="3">
        <v>11</v>
      </c>
      <c r="H430" s="3">
        <v>42</v>
      </c>
      <c r="I430" s="3">
        <v>44</v>
      </c>
      <c r="J430" s="3">
        <v>-2</v>
      </c>
      <c r="K430" s="3">
        <v>51</v>
      </c>
      <c r="L430" s="5">
        <f>IF(Table24[[#This Row],['#]]=1,"Champion", IF(Table24[[#This Row],['#]]&gt;=18,"Relegated",Table24[[#This Row],['#]]))</f>
        <v>9</v>
      </c>
      <c r="M430" s="5" t="str">
        <f>IF(Table24[[#This Row],[Details]]=2,K429-Table24[[#This Row],[Pts]],IF(Table24[[#This Row],[Details]]=17,Table24[[#This Row],[Pts]]-K431,""))</f>
        <v/>
      </c>
      <c r="R430" s="1" t="str">
        <f>IFERROR(IF($Q$1=$P$3,INDEX(prem_analysis!$P$2:$Q$441,ROWS(Data!$P$2:Q430),COLUMNS(Data!$P$3:P431)),IF($Q$1=$P$5,INDEX(prem_analysis!$BH$1:$BS$23,ROWS(Data!$Q$3:Q431),COLUMNS(Data!$Q$3:Q431)),IF($Q$1=$P$6,INDEX(prem_analysis!$BU$1:$CF$67,ROWS(prem_analysis!$N$2:N430),COLUMNS(prem_analysis!$N$2:N430)),IF($Q$1=$P$4,INDEX(Table24[[#All],[Year]:[Details]],ROWS(prem_analysis!$M$420:M848),COLUMNS(Data!$Q$3:Q431)))))),"")</f>
        <v/>
      </c>
      <c r="S430" s="1" t="str">
        <f>IFERROR(IF($Q$1=$P$3,INDEX(prem_analysis!$P$2:$Q$441,ROWS(Data!$P$2:R430),COLUMNS(Data!$P$3:Q431)),IF($Q$1=$P$5,INDEX(prem_analysis!$BH$1:$BS$23,ROWS(Data!$Q$3:R431),COLUMNS(Data!$Q$3:R431)),IF($Q$1=$P$6,INDEX(prem_analysis!$BU$1:$CF$67,ROWS(prem_analysis!$N$2:O430),COLUMNS(prem_analysis!$N$2:O430)),IF($Q$1=$P$4,INDEX(Table24[[#All],[Year]:[Details]],ROWS(prem_analysis!$M$420:N848),COLUMNS(Data!$Q$3:R431)))))),"")</f>
        <v/>
      </c>
      <c r="T430" s="1" t="str">
        <f>IFERROR(IF($Q$1=$P$3,INDEX(prem_analysis!$P$2:$Q$441,ROWS(Data!$P$2:S430),COLUMNS(Data!$P$3:R431)),IF($Q$1=$P$5,INDEX(prem_analysis!$BH$1:$BS$23,ROWS(Data!$Q$3:S431),COLUMNS(Data!$Q$3:S431)),IF($Q$1=$P$6,INDEX(prem_analysis!$BU$1:$CF$67,ROWS(prem_analysis!$N$2:P430),COLUMNS(prem_analysis!$N$2:P430)),IF($Q$1=$P$4,INDEX(Table24[[#All],[Year]:[Details]],ROWS(prem_analysis!$M$420:O848),COLUMNS(Data!$Q$3:S431)))))),"")</f>
        <v/>
      </c>
      <c r="U430" s="1" t="str">
        <f>IFERROR(IF($Q$1=$P$3,INDEX(prem_analysis!$P$2:$Q$441,ROWS(Data!$P$2:T430),COLUMNS(Data!$P$3:S431)),IF($Q$1=$P$5,INDEX(prem_analysis!$BH$1:$BS$23,ROWS(Data!$Q$3:T431),COLUMNS(Data!$Q$3:T431)),IF($Q$1=$P$6,INDEX(prem_analysis!$BU$1:$CF$67,ROWS(prem_analysis!$N$2:Q430),COLUMNS(prem_analysis!$N$2:Q430)),IF($Q$1=$P$4,INDEX(Table24[[#All],[Year]:[Details]],ROWS(prem_analysis!$M$420:P848),COLUMNS(Data!$Q$3:T431)))))),"")</f>
        <v/>
      </c>
      <c r="V430" s="1" t="str">
        <f>IFERROR(IF($Q$1=$P$3,INDEX(prem_analysis!$P$2:$Q$441,ROWS(Data!$P$2:U430),COLUMNS(Data!$P$3:T431)),IF($Q$1=$P$5,INDEX(prem_analysis!$BH$1:$BS$23,ROWS(Data!$Q$3:U431),COLUMNS(Data!$Q$3:U431)),IF($Q$1=$P$6,INDEX(prem_analysis!$BU$1:$CF$67,ROWS(prem_analysis!$N$2:R430),COLUMNS(prem_analysis!$N$2:R430)),IF($Q$1=$P$4,INDEX(Table24[[#All],[Year]:[Details]],ROWS(prem_analysis!$M$420:Q848),COLUMNS(Data!$Q$3:U431)))))),"")</f>
        <v/>
      </c>
      <c r="W430" s="1" t="str">
        <f>IFERROR(IF($Q$1=$P$3,INDEX(prem_analysis!$P$2:$Q$441,ROWS(Data!$P$2:V430),COLUMNS(Data!$P$3:U431)),IF($Q$1=$P$5,INDEX(prem_analysis!$BH$1:$BS$23,ROWS(Data!$Q$3:V431),COLUMNS(Data!$Q$3:V431)),IF($Q$1=$P$6,INDEX(prem_analysis!$BU$1:$CF$67,ROWS(prem_analysis!$N$2:S430),COLUMNS(prem_analysis!$N$2:S430)),IF($Q$1=$P$4,INDEX(Table24[[#All],[Year]:[Details]],ROWS(prem_analysis!$M$420:R848),COLUMNS(Data!$Q$3:V431)))))),"")</f>
        <v/>
      </c>
      <c r="X430" s="1" t="str">
        <f>IFERROR(IF($Q$1=$P$3,INDEX(prem_analysis!$P$2:$Q$441,ROWS(Data!$P$2:W430),COLUMNS(Data!$P$3:V431)),IF($Q$1=$P$5,INDEX(prem_analysis!$BH$1:$BS$23,ROWS(Data!$Q$3:W431),COLUMNS(Data!$Q$3:W431)),IF($Q$1=$P$6,INDEX(prem_analysis!$BU$1:$CF$67,ROWS(prem_analysis!$N$2:T430),COLUMNS(prem_analysis!$N$2:T430)),IF($Q$1=$P$4,INDEX(Table24[[#All],[Year]:[Details]],ROWS(prem_analysis!$M$420:S848),COLUMNS(Data!$Q$3:W431)))))),"")</f>
        <v/>
      </c>
      <c r="Y430" s="1" t="str">
        <f>IFERROR(IF($Q$1=$P$3,INDEX(prem_analysis!$P$2:$Q$441,ROWS(Data!$P$2:X430),COLUMNS(Data!$P$3:W431)),IF($Q$1=$P$5,INDEX(prem_analysis!$BH$1:$BS$23,ROWS(Data!$Q$3:X431),COLUMNS(Data!$Q$3:X431)),IF($Q$1=$P$6,INDEX(prem_analysis!$BU$1:$CF$67,ROWS(prem_analysis!$N$2:U430),COLUMNS(prem_analysis!$N$2:U430)),IF($Q$1=$P$4,INDEX(Table24[[#All],[Year]:[Details]],ROWS(prem_analysis!$M$420:T848),COLUMNS(Data!$Q$3:X431)))))),"")</f>
        <v/>
      </c>
      <c r="Z430" s="1" t="str">
        <f>IFERROR(IF($Q$1=$P$3,INDEX(prem_analysis!$P$2:$Q$441,ROWS(Data!$P$2:Y430),COLUMNS(Data!$P$3:X431)),IF($Q$1=$P$5,INDEX(prem_analysis!$BH$1:$BS$23,ROWS(Data!$Q$3:Y431),COLUMNS(Data!$Q$3:Y431)),IF($Q$1=$P$6,INDEX(prem_analysis!$BU$1:$CF$67,ROWS(prem_analysis!$N$2:V430),COLUMNS(prem_analysis!$N$2:V430)),IF($Q$1=$P$4,INDEX(Table24[[#All],[Year]:[Details]],ROWS(prem_analysis!$M$420:U848),COLUMNS(Data!$Q$3:Y431)))))),"")</f>
        <v/>
      </c>
      <c r="AA430" s="1" t="str">
        <f>IFERROR(IF($Q$1=$P$3,INDEX(prem_analysis!$P$2:$Q$441,ROWS(Data!$P$2:Z430),COLUMNS(Data!$P$3:Y431)),IF($Q$1=$P$5,INDEX(prem_analysis!$BH$1:$BS$23,ROWS(Data!$Q$3:Z431),COLUMNS(Data!$Q$3:Z431)),IF($Q$1=$P$6,INDEX(prem_analysis!$BU$1:$CF$67,ROWS(prem_analysis!$N$2:W430),COLUMNS(prem_analysis!$N$2:W430)),IF($Q$1=$P$4,INDEX(Table24[[#All],[Year]:[Details]],ROWS(prem_analysis!$M$420:V848),COLUMNS(Data!$Q$3:Z431)))))),"")</f>
        <v/>
      </c>
      <c r="AB430" s="1" t="str">
        <f>IFERROR(IF($Q$1=$P$3,INDEX(prem_analysis!$P$2:$Q$441,ROWS(Data!$P$2:AA430),COLUMNS(Data!$P$3:Z431)),IF($Q$1=$P$5,INDEX(prem_analysis!$BH$1:$BS$23,ROWS(Data!$Q$3:AA431),COLUMNS(Data!$Q$3:AA431)),IF($Q$1=$P$6,INDEX(prem_analysis!$BU$1:$CF$67,ROWS(prem_analysis!$N$2:X430),COLUMNS(prem_analysis!$N$2:X430)),IF($Q$1=$P$4,INDEX(Table24[[#All],[Year]:[Details]],ROWS(prem_analysis!$M$420:W848),COLUMNS(Data!$Q$3:AA431)))))),"")</f>
        <v/>
      </c>
      <c r="AC430" s="1" t="str">
        <f>IFERROR(IF($Q$1=$P$3,INDEX(prem_analysis!$P$2:$Q$441,ROWS(Data!$P$2:AB430),COLUMNS(Data!$P$3:AA431)),IF($Q$1=$P$5,INDEX(prem_analysis!$BH$1:$BS$23,ROWS(Data!$Q$3:AB431),COLUMNS(Data!$Q$3:AB431)),IF($Q$1=$P$6,INDEX(prem_analysis!$BU$1:$CF$67,ROWS(prem_analysis!$N$2:Y430),COLUMNS(prem_analysis!$N$2:Y430)),IF($Q$1=$P$4,INDEX(Table24[[#All],[Year]:[Details]],ROWS(prem_analysis!$M$420:X848),COLUMNS(Data!$Q$3:AB431)))))),"")</f>
        <v/>
      </c>
    </row>
    <row r="431" spans="1:29" x14ac:dyDescent="0.2">
      <c r="A431" s="5">
        <v>2021</v>
      </c>
      <c r="B431" s="5">
        <v>10</v>
      </c>
      <c r="C431" s="6" t="s">
        <v>37</v>
      </c>
      <c r="D431" s="5">
        <v>38</v>
      </c>
      <c r="E431" s="5">
        <v>15</v>
      </c>
      <c r="F431" s="5">
        <v>6</v>
      </c>
      <c r="G431" s="5">
        <v>17</v>
      </c>
      <c r="H431" s="5">
        <v>38</v>
      </c>
      <c r="I431" s="5">
        <v>43</v>
      </c>
      <c r="J431" s="5">
        <v>-5</v>
      </c>
      <c r="K431" s="5">
        <v>51</v>
      </c>
      <c r="L431" s="5">
        <f>IF(Table24[[#This Row],['#]]=1,"Champion", IF(Table24[[#This Row],['#]]&gt;=18,"Relegated",Table24[[#This Row],['#]]))</f>
        <v>10</v>
      </c>
      <c r="M431" s="5" t="str">
        <f>IF(Table24[[#This Row],[Details]]=2,K430-Table24[[#This Row],[Pts]],IF(Table24[[#This Row],[Details]]=17,Table24[[#This Row],[Pts]]-K432,""))</f>
        <v/>
      </c>
      <c r="R431" s="1" t="str">
        <f>IFERROR(IF($Q$1=$P$3,INDEX(prem_analysis!$P$2:$Q$441,ROWS(Data!$P$2:Q431),COLUMNS(Data!$P$3:P432)),IF($Q$1=$P$5,INDEX(prem_analysis!$BH$1:$BS$23,ROWS(Data!$Q$3:Q432),COLUMNS(Data!$Q$3:Q432)),IF($Q$1=$P$6,INDEX(prem_analysis!$BU$1:$CF$67,ROWS(prem_analysis!$N$2:N431),COLUMNS(prem_analysis!$N$2:N431)),IF($Q$1=$P$4,INDEX(Table24[[#All],[Year]:[Details]],ROWS(prem_analysis!$M$420:M849),COLUMNS(Data!$Q$3:Q432)))))),"")</f>
        <v/>
      </c>
      <c r="S431" s="1" t="str">
        <f>IFERROR(IF($Q$1=$P$3,INDEX(prem_analysis!$P$2:$Q$441,ROWS(Data!$P$2:R431),COLUMNS(Data!$P$3:Q432)),IF($Q$1=$P$5,INDEX(prem_analysis!$BH$1:$BS$23,ROWS(Data!$Q$3:R432),COLUMNS(Data!$Q$3:R432)),IF($Q$1=$P$6,INDEX(prem_analysis!$BU$1:$CF$67,ROWS(prem_analysis!$N$2:O431),COLUMNS(prem_analysis!$N$2:O431)),IF($Q$1=$P$4,INDEX(Table24[[#All],[Year]:[Details]],ROWS(prem_analysis!$M$420:N849),COLUMNS(Data!$Q$3:R432)))))),"")</f>
        <v/>
      </c>
      <c r="T431" s="1" t="str">
        <f>IFERROR(IF($Q$1=$P$3,INDEX(prem_analysis!$P$2:$Q$441,ROWS(Data!$P$2:S431),COLUMNS(Data!$P$3:R432)),IF($Q$1=$P$5,INDEX(prem_analysis!$BH$1:$BS$23,ROWS(Data!$Q$3:S432),COLUMNS(Data!$Q$3:S432)),IF($Q$1=$P$6,INDEX(prem_analysis!$BU$1:$CF$67,ROWS(prem_analysis!$N$2:P431),COLUMNS(prem_analysis!$N$2:P431)),IF($Q$1=$P$4,INDEX(Table24[[#All],[Year]:[Details]],ROWS(prem_analysis!$M$420:O849),COLUMNS(Data!$Q$3:S432)))))),"")</f>
        <v/>
      </c>
      <c r="U431" s="1" t="str">
        <f>IFERROR(IF($Q$1=$P$3,INDEX(prem_analysis!$P$2:$Q$441,ROWS(Data!$P$2:T431),COLUMNS(Data!$P$3:S432)),IF($Q$1=$P$5,INDEX(prem_analysis!$BH$1:$BS$23,ROWS(Data!$Q$3:T432),COLUMNS(Data!$Q$3:T432)),IF($Q$1=$P$6,INDEX(prem_analysis!$BU$1:$CF$67,ROWS(prem_analysis!$N$2:Q431),COLUMNS(prem_analysis!$N$2:Q431)),IF($Q$1=$P$4,INDEX(Table24[[#All],[Year]:[Details]],ROWS(prem_analysis!$M$420:P849),COLUMNS(Data!$Q$3:T432)))))),"")</f>
        <v/>
      </c>
      <c r="V431" s="1" t="str">
        <f>IFERROR(IF($Q$1=$P$3,INDEX(prem_analysis!$P$2:$Q$441,ROWS(Data!$P$2:U431),COLUMNS(Data!$P$3:T432)),IF($Q$1=$P$5,INDEX(prem_analysis!$BH$1:$BS$23,ROWS(Data!$Q$3:U432),COLUMNS(Data!$Q$3:U432)),IF($Q$1=$P$6,INDEX(prem_analysis!$BU$1:$CF$67,ROWS(prem_analysis!$N$2:R431),COLUMNS(prem_analysis!$N$2:R431)),IF($Q$1=$P$4,INDEX(Table24[[#All],[Year]:[Details]],ROWS(prem_analysis!$M$420:Q849),COLUMNS(Data!$Q$3:U432)))))),"")</f>
        <v/>
      </c>
      <c r="W431" s="1" t="str">
        <f>IFERROR(IF($Q$1=$P$3,INDEX(prem_analysis!$P$2:$Q$441,ROWS(Data!$P$2:V431),COLUMNS(Data!$P$3:U432)),IF($Q$1=$P$5,INDEX(prem_analysis!$BH$1:$BS$23,ROWS(Data!$Q$3:V432),COLUMNS(Data!$Q$3:V432)),IF($Q$1=$P$6,INDEX(prem_analysis!$BU$1:$CF$67,ROWS(prem_analysis!$N$2:S431),COLUMNS(prem_analysis!$N$2:S431)),IF($Q$1=$P$4,INDEX(Table24[[#All],[Year]:[Details]],ROWS(prem_analysis!$M$420:R849),COLUMNS(Data!$Q$3:V432)))))),"")</f>
        <v/>
      </c>
      <c r="X431" s="1" t="str">
        <f>IFERROR(IF($Q$1=$P$3,INDEX(prem_analysis!$P$2:$Q$441,ROWS(Data!$P$2:W431),COLUMNS(Data!$P$3:V432)),IF($Q$1=$P$5,INDEX(prem_analysis!$BH$1:$BS$23,ROWS(Data!$Q$3:W432),COLUMNS(Data!$Q$3:W432)),IF($Q$1=$P$6,INDEX(prem_analysis!$BU$1:$CF$67,ROWS(prem_analysis!$N$2:T431),COLUMNS(prem_analysis!$N$2:T431)),IF($Q$1=$P$4,INDEX(Table24[[#All],[Year]:[Details]],ROWS(prem_analysis!$M$420:S849),COLUMNS(Data!$Q$3:W432)))))),"")</f>
        <v/>
      </c>
      <c r="Y431" s="1" t="str">
        <f>IFERROR(IF($Q$1=$P$3,INDEX(prem_analysis!$P$2:$Q$441,ROWS(Data!$P$2:X431),COLUMNS(Data!$P$3:W432)),IF($Q$1=$P$5,INDEX(prem_analysis!$BH$1:$BS$23,ROWS(Data!$Q$3:X432),COLUMNS(Data!$Q$3:X432)),IF($Q$1=$P$6,INDEX(prem_analysis!$BU$1:$CF$67,ROWS(prem_analysis!$N$2:U431),COLUMNS(prem_analysis!$N$2:U431)),IF($Q$1=$P$4,INDEX(Table24[[#All],[Year]:[Details]],ROWS(prem_analysis!$M$420:T849),COLUMNS(Data!$Q$3:X432)))))),"")</f>
        <v/>
      </c>
      <c r="Z431" s="1" t="str">
        <f>IFERROR(IF($Q$1=$P$3,INDEX(prem_analysis!$P$2:$Q$441,ROWS(Data!$P$2:Y431),COLUMNS(Data!$P$3:X432)),IF($Q$1=$P$5,INDEX(prem_analysis!$BH$1:$BS$23,ROWS(Data!$Q$3:Y432),COLUMNS(Data!$Q$3:Y432)),IF($Q$1=$P$6,INDEX(prem_analysis!$BU$1:$CF$67,ROWS(prem_analysis!$N$2:V431),COLUMNS(prem_analysis!$N$2:V431)),IF($Q$1=$P$4,INDEX(Table24[[#All],[Year]:[Details]],ROWS(prem_analysis!$M$420:U849),COLUMNS(Data!$Q$3:Y432)))))),"")</f>
        <v/>
      </c>
      <c r="AA431" s="1" t="str">
        <f>IFERROR(IF($Q$1=$P$3,INDEX(prem_analysis!$P$2:$Q$441,ROWS(Data!$P$2:Z431),COLUMNS(Data!$P$3:Y432)),IF($Q$1=$P$5,INDEX(prem_analysis!$BH$1:$BS$23,ROWS(Data!$Q$3:Z432),COLUMNS(Data!$Q$3:Z432)),IF($Q$1=$P$6,INDEX(prem_analysis!$BU$1:$CF$67,ROWS(prem_analysis!$N$2:W431),COLUMNS(prem_analysis!$N$2:W431)),IF($Q$1=$P$4,INDEX(Table24[[#All],[Year]:[Details]],ROWS(prem_analysis!$M$420:V849),COLUMNS(Data!$Q$3:Z432)))))),"")</f>
        <v/>
      </c>
      <c r="AB431" s="1" t="str">
        <f>IFERROR(IF($Q$1=$P$3,INDEX(prem_analysis!$P$2:$Q$441,ROWS(Data!$P$2:AA431),COLUMNS(Data!$P$3:Z432)),IF($Q$1=$P$5,INDEX(prem_analysis!$BH$1:$BS$23,ROWS(Data!$Q$3:AA432),COLUMNS(Data!$Q$3:AA432)),IF($Q$1=$P$6,INDEX(prem_analysis!$BU$1:$CF$67,ROWS(prem_analysis!$N$2:X431),COLUMNS(prem_analysis!$N$2:X431)),IF($Q$1=$P$4,INDEX(Table24[[#All],[Year]:[Details]],ROWS(prem_analysis!$M$420:W849),COLUMNS(Data!$Q$3:AA432)))))),"")</f>
        <v/>
      </c>
      <c r="AC431" s="1" t="str">
        <f>IFERROR(IF($Q$1=$P$3,INDEX(prem_analysis!$P$2:$Q$441,ROWS(Data!$P$2:AB431),COLUMNS(Data!$P$3:AA432)),IF($Q$1=$P$5,INDEX(prem_analysis!$BH$1:$BS$23,ROWS(Data!$Q$3:AB432),COLUMNS(Data!$Q$3:AB432)),IF($Q$1=$P$6,INDEX(prem_analysis!$BU$1:$CF$67,ROWS(prem_analysis!$N$2:Y431),COLUMNS(prem_analysis!$N$2:Y431)),IF($Q$1=$P$4,INDEX(Table24[[#All],[Year]:[Details]],ROWS(prem_analysis!$M$420:X849),COLUMNS(Data!$Q$3:AB432)))))),"")</f>
        <v/>
      </c>
    </row>
    <row r="432" spans="1:29" x14ac:dyDescent="0.2">
      <c r="A432" s="3">
        <v>2021</v>
      </c>
      <c r="B432" s="3">
        <v>11</v>
      </c>
      <c r="C432" s="4" t="s">
        <v>21</v>
      </c>
      <c r="D432" s="3">
        <v>38</v>
      </c>
      <c r="E432" s="3">
        <v>13</v>
      </c>
      <c r="F432" s="3">
        <v>10</v>
      </c>
      <c r="G432" s="3">
        <v>15</v>
      </c>
      <c r="H432" s="3">
        <v>44</v>
      </c>
      <c r="I432" s="3">
        <v>62</v>
      </c>
      <c r="J432" s="3">
        <v>-18</v>
      </c>
      <c r="K432" s="3">
        <v>49</v>
      </c>
      <c r="L432" s="5">
        <f>IF(Table24[[#This Row],['#]]=1,"Champion", IF(Table24[[#This Row],['#]]&gt;=18,"Relegated",Table24[[#This Row],['#]]))</f>
        <v>11</v>
      </c>
      <c r="M432" s="5" t="str">
        <f>IF(Table24[[#This Row],[Details]]=2,K431-Table24[[#This Row],[Pts]],IF(Table24[[#This Row],[Details]]=17,Table24[[#This Row],[Pts]]-K433,""))</f>
        <v/>
      </c>
      <c r="R432" s="1" t="str">
        <f>IFERROR(IF($Q$1=$P$3,INDEX(prem_analysis!$P$2:$Q$441,ROWS(Data!$P$2:Q432),COLUMNS(Data!$P$3:P433)),IF($Q$1=$P$5,INDEX(prem_analysis!$BH$1:$BS$23,ROWS(Data!$Q$3:Q433),COLUMNS(Data!$Q$3:Q433)),IF($Q$1=$P$6,INDEX(prem_analysis!$BU$1:$CF$67,ROWS(prem_analysis!$N$2:N432),COLUMNS(prem_analysis!$N$2:N432)),IF($Q$1=$P$4,INDEX(Table24[[#All],[Year]:[Details]],ROWS(prem_analysis!$M$420:M850),COLUMNS(Data!$Q$3:Q433)))))),"")</f>
        <v/>
      </c>
      <c r="S432" s="1" t="str">
        <f>IFERROR(IF($Q$1=$P$3,INDEX(prem_analysis!$P$2:$Q$441,ROWS(Data!$P$2:R432),COLUMNS(Data!$P$3:Q433)),IF($Q$1=$P$5,INDEX(prem_analysis!$BH$1:$BS$23,ROWS(Data!$Q$3:R433),COLUMNS(Data!$Q$3:R433)),IF($Q$1=$P$6,INDEX(prem_analysis!$BU$1:$CF$67,ROWS(prem_analysis!$N$2:O432),COLUMNS(prem_analysis!$N$2:O432)),IF($Q$1=$P$4,INDEX(Table24[[#All],[Year]:[Details]],ROWS(prem_analysis!$M$420:N850),COLUMNS(Data!$Q$3:R433)))))),"")</f>
        <v/>
      </c>
      <c r="T432" s="1" t="str">
        <f>IFERROR(IF($Q$1=$P$3,INDEX(prem_analysis!$P$2:$Q$441,ROWS(Data!$P$2:S432),COLUMNS(Data!$P$3:R433)),IF($Q$1=$P$5,INDEX(prem_analysis!$BH$1:$BS$23,ROWS(Data!$Q$3:S433),COLUMNS(Data!$Q$3:S433)),IF($Q$1=$P$6,INDEX(prem_analysis!$BU$1:$CF$67,ROWS(prem_analysis!$N$2:P432),COLUMNS(prem_analysis!$N$2:P432)),IF($Q$1=$P$4,INDEX(Table24[[#All],[Year]:[Details]],ROWS(prem_analysis!$M$420:O850),COLUMNS(Data!$Q$3:S433)))))),"")</f>
        <v/>
      </c>
      <c r="U432" s="1" t="str">
        <f>IFERROR(IF($Q$1=$P$3,INDEX(prem_analysis!$P$2:$Q$441,ROWS(Data!$P$2:T432),COLUMNS(Data!$P$3:S433)),IF($Q$1=$P$5,INDEX(prem_analysis!$BH$1:$BS$23,ROWS(Data!$Q$3:T433),COLUMNS(Data!$Q$3:T433)),IF($Q$1=$P$6,INDEX(prem_analysis!$BU$1:$CF$67,ROWS(prem_analysis!$N$2:Q432),COLUMNS(prem_analysis!$N$2:Q432)),IF($Q$1=$P$4,INDEX(Table24[[#All],[Year]:[Details]],ROWS(prem_analysis!$M$420:P850),COLUMNS(Data!$Q$3:T433)))))),"")</f>
        <v/>
      </c>
      <c r="V432" s="1" t="str">
        <f>IFERROR(IF($Q$1=$P$3,INDEX(prem_analysis!$P$2:$Q$441,ROWS(Data!$P$2:U432),COLUMNS(Data!$P$3:T433)),IF($Q$1=$P$5,INDEX(prem_analysis!$BH$1:$BS$23,ROWS(Data!$Q$3:U433),COLUMNS(Data!$Q$3:U433)),IF($Q$1=$P$6,INDEX(prem_analysis!$BU$1:$CF$67,ROWS(prem_analysis!$N$2:R432),COLUMNS(prem_analysis!$N$2:R432)),IF($Q$1=$P$4,INDEX(Table24[[#All],[Year]:[Details]],ROWS(prem_analysis!$M$420:Q850),COLUMNS(Data!$Q$3:U433)))))),"")</f>
        <v/>
      </c>
      <c r="W432" s="1" t="str">
        <f>IFERROR(IF($Q$1=$P$3,INDEX(prem_analysis!$P$2:$Q$441,ROWS(Data!$P$2:V432),COLUMNS(Data!$P$3:U433)),IF($Q$1=$P$5,INDEX(prem_analysis!$BH$1:$BS$23,ROWS(Data!$Q$3:V433),COLUMNS(Data!$Q$3:V433)),IF($Q$1=$P$6,INDEX(prem_analysis!$BU$1:$CF$67,ROWS(prem_analysis!$N$2:S432),COLUMNS(prem_analysis!$N$2:S432)),IF($Q$1=$P$4,INDEX(Table24[[#All],[Year]:[Details]],ROWS(prem_analysis!$M$420:R850),COLUMNS(Data!$Q$3:V433)))))),"")</f>
        <v/>
      </c>
      <c r="X432" s="1" t="str">
        <f>IFERROR(IF($Q$1=$P$3,INDEX(prem_analysis!$P$2:$Q$441,ROWS(Data!$P$2:W432),COLUMNS(Data!$P$3:V433)),IF($Q$1=$P$5,INDEX(prem_analysis!$BH$1:$BS$23,ROWS(Data!$Q$3:W433),COLUMNS(Data!$Q$3:W433)),IF($Q$1=$P$6,INDEX(prem_analysis!$BU$1:$CF$67,ROWS(prem_analysis!$N$2:T432),COLUMNS(prem_analysis!$N$2:T432)),IF($Q$1=$P$4,INDEX(Table24[[#All],[Year]:[Details]],ROWS(prem_analysis!$M$420:S850),COLUMNS(Data!$Q$3:W433)))))),"")</f>
        <v/>
      </c>
      <c r="Y432" s="1" t="str">
        <f>IFERROR(IF($Q$1=$P$3,INDEX(prem_analysis!$P$2:$Q$441,ROWS(Data!$P$2:X432),COLUMNS(Data!$P$3:W433)),IF($Q$1=$P$5,INDEX(prem_analysis!$BH$1:$BS$23,ROWS(Data!$Q$3:X433),COLUMNS(Data!$Q$3:X433)),IF($Q$1=$P$6,INDEX(prem_analysis!$BU$1:$CF$67,ROWS(prem_analysis!$N$2:U432),COLUMNS(prem_analysis!$N$2:U432)),IF($Q$1=$P$4,INDEX(Table24[[#All],[Year]:[Details]],ROWS(prem_analysis!$M$420:T850),COLUMNS(Data!$Q$3:X433)))))),"")</f>
        <v/>
      </c>
      <c r="Z432" s="1" t="str">
        <f>IFERROR(IF($Q$1=$P$3,INDEX(prem_analysis!$P$2:$Q$441,ROWS(Data!$P$2:Y432),COLUMNS(Data!$P$3:X433)),IF($Q$1=$P$5,INDEX(prem_analysis!$BH$1:$BS$23,ROWS(Data!$Q$3:Y433),COLUMNS(Data!$Q$3:Y433)),IF($Q$1=$P$6,INDEX(prem_analysis!$BU$1:$CF$67,ROWS(prem_analysis!$N$2:V432),COLUMNS(prem_analysis!$N$2:V432)),IF($Q$1=$P$4,INDEX(Table24[[#All],[Year]:[Details]],ROWS(prem_analysis!$M$420:U850),COLUMNS(Data!$Q$3:Y433)))))),"")</f>
        <v/>
      </c>
      <c r="AA432" s="1" t="str">
        <f>IFERROR(IF($Q$1=$P$3,INDEX(prem_analysis!$P$2:$Q$441,ROWS(Data!$P$2:Z432),COLUMNS(Data!$P$3:Y433)),IF($Q$1=$P$5,INDEX(prem_analysis!$BH$1:$BS$23,ROWS(Data!$Q$3:Z433),COLUMNS(Data!$Q$3:Z433)),IF($Q$1=$P$6,INDEX(prem_analysis!$BU$1:$CF$67,ROWS(prem_analysis!$N$2:W432),COLUMNS(prem_analysis!$N$2:W432)),IF($Q$1=$P$4,INDEX(Table24[[#All],[Year]:[Details]],ROWS(prem_analysis!$M$420:V850),COLUMNS(Data!$Q$3:Z433)))))),"")</f>
        <v/>
      </c>
      <c r="AB432" s="1" t="str">
        <f>IFERROR(IF($Q$1=$P$3,INDEX(prem_analysis!$P$2:$Q$441,ROWS(Data!$P$2:AA432),COLUMNS(Data!$P$3:Z433)),IF($Q$1=$P$5,INDEX(prem_analysis!$BH$1:$BS$23,ROWS(Data!$Q$3:AA433),COLUMNS(Data!$Q$3:AA433)),IF($Q$1=$P$6,INDEX(prem_analysis!$BU$1:$CF$67,ROWS(prem_analysis!$N$2:X432),COLUMNS(prem_analysis!$N$2:X432)),IF($Q$1=$P$4,INDEX(Table24[[#All],[Year]:[Details]],ROWS(prem_analysis!$M$420:W850),COLUMNS(Data!$Q$3:AA433)))))),"")</f>
        <v/>
      </c>
      <c r="AC432" s="1" t="str">
        <f>IFERROR(IF($Q$1=$P$3,INDEX(prem_analysis!$P$2:$Q$441,ROWS(Data!$P$2:AB432),COLUMNS(Data!$P$3:AA433)),IF($Q$1=$P$5,INDEX(prem_analysis!$BH$1:$BS$23,ROWS(Data!$Q$3:AB433),COLUMNS(Data!$Q$3:AB433)),IF($Q$1=$P$6,INDEX(prem_analysis!$BU$1:$CF$67,ROWS(prem_analysis!$N$2:Y432),COLUMNS(prem_analysis!$N$2:Y432)),IF($Q$1=$P$4,INDEX(Table24[[#All],[Year]:[Details]],ROWS(prem_analysis!$M$420:X850),COLUMNS(Data!$Q$3:AB433)))))),"")</f>
        <v/>
      </c>
    </row>
    <row r="433" spans="1:29" x14ac:dyDescent="0.2">
      <c r="A433" s="5">
        <v>2021</v>
      </c>
      <c r="B433" s="5">
        <v>12</v>
      </c>
      <c r="C433" s="6" t="s">
        <v>38</v>
      </c>
      <c r="D433" s="5">
        <v>38</v>
      </c>
      <c r="E433" s="5">
        <v>11</v>
      </c>
      <c r="F433" s="5">
        <v>15</v>
      </c>
      <c r="G433" s="5">
        <v>12</v>
      </c>
      <c r="H433" s="5">
        <v>50</v>
      </c>
      <c r="I433" s="5">
        <v>46</v>
      </c>
      <c r="J433" s="5">
        <v>4</v>
      </c>
      <c r="K433" s="5">
        <v>48</v>
      </c>
      <c r="L433" s="5">
        <f>IF(Table24[[#This Row],['#]]=1,"Champion", IF(Table24[[#This Row],['#]]&gt;=18,"Relegated",Table24[[#This Row],['#]]))</f>
        <v>12</v>
      </c>
      <c r="M433" s="5" t="str">
        <f>IF(Table24[[#This Row],[Details]]=2,K432-Table24[[#This Row],[Pts]],IF(Table24[[#This Row],[Details]]=17,Table24[[#This Row],[Pts]]-K434,""))</f>
        <v/>
      </c>
      <c r="R433" s="1" t="str">
        <f>IFERROR(IF($Q$1=$P$3,INDEX(prem_analysis!$P$2:$Q$441,ROWS(Data!$P$2:Q433),COLUMNS(Data!$P$3:P434)),IF($Q$1=$P$5,INDEX(prem_analysis!$BH$1:$BS$23,ROWS(Data!$Q$3:Q434),COLUMNS(Data!$Q$3:Q434)),IF($Q$1=$P$6,INDEX(prem_analysis!$BU$1:$CF$67,ROWS(prem_analysis!$N$2:N433),COLUMNS(prem_analysis!$N$2:N433)),IF($Q$1=$P$4,INDEX(Table24[[#All],[Year]:[Details]],ROWS(prem_analysis!$M$420:M851),COLUMNS(Data!$Q$3:Q434)))))),"")</f>
        <v/>
      </c>
      <c r="S433" s="1" t="str">
        <f>IFERROR(IF($Q$1=$P$3,INDEX(prem_analysis!$P$2:$Q$441,ROWS(Data!$P$2:R433),COLUMNS(Data!$P$3:Q434)),IF($Q$1=$P$5,INDEX(prem_analysis!$BH$1:$BS$23,ROWS(Data!$Q$3:R434),COLUMNS(Data!$Q$3:R434)),IF($Q$1=$P$6,INDEX(prem_analysis!$BU$1:$CF$67,ROWS(prem_analysis!$N$2:O433),COLUMNS(prem_analysis!$N$2:O433)),IF($Q$1=$P$4,INDEX(Table24[[#All],[Year]:[Details]],ROWS(prem_analysis!$M$420:N851),COLUMNS(Data!$Q$3:R434)))))),"")</f>
        <v/>
      </c>
      <c r="T433" s="1" t="str">
        <f>IFERROR(IF($Q$1=$P$3,INDEX(prem_analysis!$P$2:$Q$441,ROWS(Data!$P$2:S433),COLUMNS(Data!$P$3:R434)),IF($Q$1=$P$5,INDEX(prem_analysis!$BH$1:$BS$23,ROWS(Data!$Q$3:S434),COLUMNS(Data!$Q$3:S434)),IF($Q$1=$P$6,INDEX(prem_analysis!$BU$1:$CF$67,ROWS(prem_analysis!$N$2:P433),COLUMNS(prem_analysis!$N$2:P433)),IF($Q$1=$P$4,INDEX(Table24[[#All],[Year]:[Details]],ROWS(prem_analysis!$M$420:O851),COLUMNS(Data!$Q$3:S434)))))),"")</f>
        <v/>
      </c>
      <c r="U433" s="1" t="str">
        <f>IFERROR(IF($Q$1=$P$3,INDEX(prem_analysis!$P$2:$Q$441,ROWS(Data!$P$2:T433),COLUMNS(Data!$P$3:S434)),IF($Q$1=$P$5,INDEX(prem_analysis!$BH$1:$BS$23,ROWS(Data!$Q$3:T434),COLUMNS(Data!$Q$3:T434)),IF($Q$1=$P$6,INDEX(prem_analysis!$BU$1:$CF$67,ROWS(prem_analysis!$N$2:Q433),COLUMNS(prem_analysis!$N$2:Q433)),IF($Q$1=$P$4,INDEX(Table24[[#All],[Year]:[Details]],ROWS(prem_analysis!$M$420:P851),COLUMNS(Data!$Q$3:T434)))))),"")</f>
        <v/>
      </c>
      <c r="V433" s="1" t="str">
        <f>IFERROR(IF($Q$1=$P$3,INDEX(prem_analysis!$P$2:$Q$441,ROWS(Data!$P$2:U433),COLUMNS(Data!$P$3:T434)),IF($Q$1=$P$5,INDEX(prem_analysis!$BH$1:$BS$23,ROWS(Data!$Q$3:U434),COLUMNS(Data!$Q$3:U434)),IF($Q$1=$P$6,INDEX(prem_analysis!$BU$1:$CF$67,ROWS(prem_analysis!$N$2:R433),COLUMNS(prem_analysis!$N$2:R433)),IF($Q$1=$P$4,INDEX(Table24[[#All],[Year]:[Details]],ROWS(prem_analysis!$M$420:Q851),COLUMNS(Data!$Q$3:U434)))))),"")</f>
        <v/>
      </c>
      <c r="W433" s="1" t="str">
        <f>IFERROR(IF($Q$1=$P$3,INDEX(prem_analysis!$P$2:$Q$441,ROWS(Data!$P$2:V433),COLUMNS(Data!$P$3:U434)),IF($Q$1=$P$5,INDEX(prem_analysis!$BH$1:$BS$23,ROWS(Data!$Q$3:V434),COLUMNS(Data!$Q$3:V434)),IF($Q$1=$P$6,INDEX(prem_analysis!$BU$1:$CF$67,ROWS(prem_analysis!$N$2:S433),COLUMNS(prem_analysis!$N$2:S433)),IF($Q$1=$P$4,INDEX(Table24[[#All],[Year]:[Details]],ROWS(prem_analysis!$M$420:R851),COLUMNS(Data!$Q$3:V434)))))),"")</f>
        <v/>
      </c>
      <c r="X433" s="1" t="str">
        <f>IFERROR(IF($Q$1=$P$3,INDEX(prem_analysis!$P$2:$Q$441,ROWS(Data!$P$2:W433),COLUMNS(Data!$P$3:V434)),IF($Q$1=$P$5,INDEX(prem_analysis!$BH$1:$BS$23,ROWS(Data!$Q$3:W434),COLUMNS(Data!$Q$3:W434)),IF($Q$1=$P$6,INDEX(prem_analysis!$BU$1:$CF$67,ROWS(prem_analysis!$N$2:T433),COLUMNS(prem_analysis!$N$2:T433)),IF($Q$1=$P$4,INDEX(Table24[[#All],[Year]:[Details]],ROWS(prem_analysis!$M$420:S851),COLUMNS(Data!$Q$3:W434)))))),"")</f>
        <v/>
      </c>
      <c r="Y433" s="1" t="str">
        <f>IFERROR(IF($Q$1=$P$3,INDEX(prem_analysis!$P$2:$Q$441,ROWS(Data!$P$2:X433),COLUMNS(Data!$P$3:W434)),IF($Q$1=$P$5,INDEX(prem_analysis!$BH$1:$BS$23,ROWS(Data!$Q$3:X434),COLUMNS(Data!$Q$3:X434)),IF($Q$1=$P$6,INDEX(prem_analysis!$BU$1:$CF$67,ROWS(prem_analysis!$N$2:U433),COLUMNS(prem_analysis!$N$2:U433)),IF($Q$1=$P$4,INDEX(Table24[[#All],[Year]:[Details]],ROWS(prem_analysis!$M$420:T851),COLUMNS(Data!$Q$3:X434)))))),"")</f>
        <v/>
      </c>
      <c r="Z433" s="1" t="str">
        <f>IFERROR(IF($Q$1=$P$3,INDEX(prem_analysis!$P$2:$Q$441,ROWS(Data!$P$2:Y433),COLUMNS(Data!$P$3:X434)),IF($Q$1=$P$5,INDEX(prem_analysis!$BH$1:$BS$23,ROWS(Data!$Q$3:Y434),COLUMNS(Data!$Q$3:Y434)),IF($Q$1=$P$6,INDEX(prem_analysis!$BU$1:$CF$67,ROWS(prem_analysis!$N$2:V433),COLUMNS(prem_analysis!$N$2:V433)),IF($Q$1=$P$4,INDEX(Table24[[#All],[Year]:[Details]],ROWS(prem_analysis!$M$420:U851),COLUMNS(Data!$Q$3:Y434)))))),"")</f>
        <v/>
      </c>
      <c r="AA433" s="1" t="str">
        <f>IFERROR(IF($Q$1=$P$3,INDEX(prem_analysis!$P$2:$Q$441,ROWS(Data!$P$2:Z433),COLUMNS(Data!$P$3:Y434)),IF($Q$1=$P$5,INDEX(prem_analysis!$BH$1:$BS$23,ROWS(Data!$Q$3:Z434),COLUMNS(Data!$Q$3:Z434)),IF($Q$1=$P$6,INDEX(prem_analysis!$BU$1:$CF$67,ROWS(prem_analysis!$N$2:W433),COLUMNS(prem_analysis!$N$2:W433)),IF($Q$1=$P$4,INDEX(Table24[[#All],[Year]:[Details]],ROWS(prem_analysis!$M$420:V851),COLUMNS(Data!$Q$3:Z434)))))),"")</f>
        <v/>
      </c>
      <c r="AB433" s="1" t="str">
        <f>IFERROR(IF($Q$1=$P$3,INDEX(prem_analysis!$P$2:$Q$441,ROWS(Data!$P$2:AA433),COLUMNS(Data!$P$3:Z434)),IF($Q$1=$P$5,INDEX(prem_analysis!$BH$1:$BS$23,ROWS(Data!$Q$3:AA434),COLUMNS(Data!$Q$3:AA434)),IF($Q$1=$P$6,INDEX(prem_analysis!$BU$1:$CF$67,ROWS(prem_analysis!$N$2:X433),COLUMNS(prem_analysis!$N$2:X433)),IF($Q$1=$P$4,INDEX(Table24[[#All],[Year]:[Details]],ROWS(prem_analysis!$M$420:W851),COLUMNS(Data!$Q$3:AA434)))))),"")</f>
        <v/>
      </c>
      <c r="AC433" s="1" t="str">
        <f>IFERROR(IF($Q$1=$P$3,INDEX(prem_analysis!$P$2:$Q$441,ROWS(Data!$P$2:AB433),COLUMNS(Data!$P$3:AA434)),IF($Q$1=$P$5,INDEX(prem_analysis!$BH$1:$BS$23,ROWS(Data!$Q$3:AB434),COLUMNS(Data!$Q$3:AB434)),IF($Q$1=$P$6,INDEX(prem_analysis!$BU$1:$CF$67,ROWS(prem_analysis!$N$2:Y433),COLUMNS(prem_analysis!$N$2:Y433)),IF($Q$1=$P$4,INDEX(Table24[[#All],[Year]:[Details]],ROWS(prem_analysis!$M$420:X851),COLUMNS(Data!$Q$3:AB434)))))),"")</f>
        <v/>
      </c>
    </row>
    <row r="434" spans="1:29" x14ac:dyDescent="0.2">
      <c r="A434" s="3">
        <v>2021</v>
      </c>
      <c r="B434" s="3">
        <v>13</v>
      </c>
      <c r="C434" s="4" t="s">
        <v>53</v>
      </c>
      <c r="D434" s="3">
        <v>38</v>
      </c>
      <c r="E434" s="3">
        <v>13</v>
      </c>
      <c r="F434" s="3">
        <v>7</v>
      </c>
      <c r="G434" s="3">
        <v>18</v>
      </c>
      <c r="H434" s="3">
        <v>48</v>
      </c>
      <c r="I434" s="3">
        <v>56</v>
      </c>
      <c r="J434" s="3">
        <v>-8</v>
      </c>
      <c r="K434" s="3">
        <v>46</v>
      </c>
      <c r="L434" s="5">
        <f>IF(Table24[[#This Row],['#]]=1,"Champion", IF(Table24[[#This Row],['#]]&gt;=18,"Relegated",Table24[[#This Row],['#]]))</f>
        <v>13</v>
      </c>
      <c r="M434" s="5" t="str">
        <f>IF(Table24[[#This Row],[Details]]=2,K433-Table24[[#This Row],[Pts]],IF(Table24[[#This Row],[Details]]=17,Table24[[#This Row],[Pts]]-K435,""))</f>
        <v/>
      </c>
      <c r="R434" s="1" t="str">
        <f>IFERROR(IF($Q$1=$P$3,INDEX(prem_analysis!$P$2:$Q$441,ROWS(Data!$P$2:Q434),COLUMNS(Data!$P$3:P435)),IF($Q$1=$P$5,INDEX(prem_analysis!$BH$1:$BS$23,ROWS(Data!$Q$3:Q435),COLUMNS(Data!$Q$3:Q435)),IF($Q$1=$P$6,INDEX(prem_analysis!$BU$1:$CF$67,ROWS(prem_analysis!$N$2:N434),COLUMNS(prem_analysis!$N$2:N434)),IF($Q$1=$P$4,INDEX(Table24[[#All],[Year]:[Details]],ROWS(prem_analysis!$M$420:M852),COLUMNS(Data!$Q$3:Q435)))))),"")</f>
        <v/>
      </c>
      <c r="S434" s="1" t="str">
        <f>IFERROR(IF($Q$1=$P$3,INDEX(prem_analysis!$P$2:$Q$441,ROWS(Data!$P$2:R434),COLUMNS(Data!$P$3:Q435)),IF($Q$1=$P$5,INDEX(prem_analysis!$BH$1:$BS$23,ROWS(Data!$Q$3:R435),COLUMNS(Data!$Q$3:R435)),IF($Q$1=$P$6,INDEX(prem_analysis!$BU$1:$CF$67,ROWS(prem_analysis!$N$2:O434),COLUMNS(prem_analysis!$N$2:O434)),IF($Q$1=$P$4,INDEX(Table24[[#All],[Year]:[Details]],ROWS(prem_analysis!$M$420:N852),COLUMNS(Data!$Q$3:R435)))))),"")</f>
        <v/>
      </c>
      <c r="T434" s="1" t="str">
        <f>IFERROR(IF($Q$1=$P$3,INDEX(prem_analysis!$P$2:$Q$441,ROWS(Data!$P$2:S434),COLUMNS(Data!$P$3:R435)),IF($Q$1=$P$5,INDEX(prem_analysis!$BH$1:$BS$23,ROWS(Data!$Q$3:S435),COLUMNS(Data!$Q$3:S435)),IF($Q$1=$P$6,INDEX(prem_analysis!$BU$1:$CF$67,ROWS(prem_analysis!$N$2:P434),COLUMNS(prem_analysis!$N$2:P434)),IF($Q$1=$P$4,INDEX(Table24[[#All],[Year]:[Details]],ROWS(prem_analysis!$M$420:O852),COLUMNS(Data!$Q$3:S435)))))),"")</f>
        <v/>
      </c>
      <c r="U434" s="1" t="str">
        <f>IFERROR(IF($Q$1=$P$3,INDEX(prem_analysis!$P$2:$Q$441,ROWS(Data!$P$2:T434),COLUMNS(Data!$P$3:S435)),IF($Q$1=$P$5,INDEX(prem_analysis!$BH$1:$BS$23,ROWS(Data!$Q$3:T435),COLUMNS(Data!$Q$3:T435)),IF($Q$1=$P$6,INDEX(prem_analysis!$BU$1:$CF$67,ROWS(prem_analysis!$N$2:Q434),COLUMNS(prem_analysis!$N$2:Q434)),IF($Q$1=$P$4,INDEX(Table24[[#All],[Year]:[Details]],ROWS(prem_analysis!$M$420:P852),COLUMNS(Data!$Q$3:T435)))))),"")</f>
        <v/>
      </c>
      <c r="V434" s="1" t="str">
        <f>IFERROR(IF($Q$1=$P$3,INDEX(prem_analysis!$P$2:$Q$441,ROWS(Data!$P$2:U434),COLUMNS(Data!$P$3:T435)),IF($Q$1=$P$5,INDEX(prem_analysis!$BH$1:$BS$23,ROWS(Data!$Q$3:U435),COLUMNS(Data!$Q$3:U435)),IF($Q$1=$P$6,INDEX(prem_analysis!$BU$1:$CF$67,ROWS(prem_analysis!$N$2:R434),COLUMNS(prem_analysis!$N$2:R434)),IF($Q$1=$P$4,INDEX(Table24[[#All],[Year]:[Details]],ROWS(prem_analysis!$M$420:Q852),COLUMNS(Data!$Q$3:U435)))))),"")</f>
        <v/>
      </c>
      <c r="W434" s="1" t="str">
        <f>IFERROR(IF($Q$1=$P$3,INDEX(prem_analysis!$P$2:$Q$441,ROWS(Data!$P$2:V434),COLUMNS(Data!$P$3:U435)),IF($Q$1=$P$5,INDEX(prem_analysis!$BH$1:$BS$23,ROWS(Data!$Q$3:V435),COLUMNS(Data!$Q$3:V435)),IF($Q$1=$P$6,INDEX(prem_analysis!$BU$1:$CF$67,ROWS(prem_analysis!$N$2:S434),COLUMNS(prem_analysis!$N$2:S434)),IF($Q$1=$P$4,INDEX(Table24[[#All],[Year]:[Details]],ROWS(prem_analysis!$M$420:R852),COLUMNS(Data!$Q$3:V435)))))),"")</f>
        <v/>
      </c>
      <c r="X434" s="1" t="str">
        <f>IFERROR(IF($Q$1=$P$3,INDEX(prem_analysis!$P$2:$Q$441,ROWS(Data!$P$2:W434),COLUMNS(Data!$P$3:V435)),IF($Q$1=$P$5,INDEX(prem_analysis!$BH$1:$BS$23,ROWS(Data!$Q$3:W435),COLUMNS(Data!$Q$3:W435)),IF($Q$1=$P$6,INDEX(prem_analysis!$BU$1:$CF$67,ROWS(prem_analysis!$N$2:T434),COLUMNS(prem_analysis!$N$2:T434)),IF($Q$1=$P$4,INDEX(Table24[[#All],[Year]:[Details]],ROWS(prem_analysis!$M$420:S852),COLUMNS(Data!$Q$3:W435)))))),"")</f>
        <v/>
      </c>
      <c r="Y434" s="1" t="str">
        <f>IFERROR(IF($Q$1=$P$3,INDEX(prem_analysis!$P$2:$Q$441,ROWS(Data!$P$2:X434),COLUMNS(Data!$P$3:W435)),IF($Q$1=$P$5,INDEX(prem_analysis!$BH$1:$BS$23,ROWS(Data!$Q$3:X435),COLUMNS(Data!$Q$3:X435)),IF($Q$1=$P$6,INDEX(prem_analysis!$BU$1:$CF$67,ROWS(prem_analysis!$N$2:U434),COLUMNS(prem_analysis!$N$2:U434)),IF($Q$1=$P$4,INDEX(Table24[[#All],[Year]:[Details]],ROWS(prem_analysis!$M$420:T852),COLUMNS(Data!$Q$3:X435)))))),"")</f>
        <v/>
      </c>
      <c r="Z434" s="1" t="str">
        <f>IFERROR(IF($Q$1=$P$3,INDEX(prem_analysis!$P$2:$Q$441,ROWS(Data!$P$2:Y434),COLUMNS(Data!$P$3:X435)),IF($Q$1=$P$5,INDEX(prem_analysis!$BH$1:$BS$23,ROWS(Data!$Q$3:Y435),COLUMNS(Data!$Q$3:Y435)),IF($Q$1=$P$6,INDEX(prem_analysis!$BU$1:$CF$67,ROWS(prem_analysis!$N$2:V434),COLUMNS(prem_analysis!$N$2:V434)),IF($Q$1=$P$4,INDEX(Table24[[#All],[Year]:[Details]],ROWS(prem_analysis!$M$420:U852),COLUMNS(Data!$Q$3:Y435)))))),"")</f>
        <v/>
      </c>
      <c r="AA434" s="1" t="str">
        <f>IFERROR(IF($Q$1=$P$3,INDEX(prem_analysis!$P$2:$Q$441,ROWS(Data!$P$2:Z434),COLUMNS(Data!$P$3:Y435)),IF($Q$1=$P$5,INDEX(prem_analysis!$BH$1:$BS$23,ROWS(Data!$Q$3:Z435),COLUMNS(Data!$Q$3:Z435)),IF($Q$1=$P$6,INDEX(prem_analysis!$BU$1:$CF$67,ROWS(prem_analysis!$N$2:W434),COLUMNS(prem_analysis!$N$2:W434)),IF($Q$1=$P$4,INDEX(Table24[[#All],[Year]:[Details]],ROWS(prem_analysis!$M$420:V852),COLUMNS(Data!$Q$3:Z435)))))),"")</f>
        <v/>
      </c>
      <c r="AB434" s="1" t="str">
        <f>IFERROR(IF($Q$1=$P$3,INDEX(prem_analysis!$P$2:$Q$441,ROWS(Data!$P$2:AA434),COLUMNS(Data!$P$3:Z435)),IF($Q$1=$P$5,INDEX(prem_analysis!$BH$1:$BS$23,ROWS(Data!$Q$3:AA435),COLUMNS(Data!$Q$3:AA435)),IF($Q$1=$P$6,INDEX(prem_analysis!$BU$1:$CF$67,ROWS(prem_analysis!$N$2:X434),COLUMNS(prem_analysis!$N$2:X434)),IF($Q$1=$P$4,INDEX(Table24[[#All],[Year]:[Details]],ROWS(prem_analysis!$M$420:W852),COLUMNS(Data!$Q$3:AA435)))))),"")</f>
        <v/>
      </c>
      <c r="AC434" s="1" t="str">
        <f>IFERROR(IF($Q$1=$P$3,INDEX(prem_analysis!$P$2:$Q$441,ROWS(Data!$P$2:AB434),COLUMNS(Data!$P$3:AA435)),IF($Q$1=$P$5,INDEX(prem_analysis!$BH$1:$BS$23,ROWS(Data!$Q$3:AB435),COLUMNS(Data!$Q$3:AB435)),IF($Q$1=$P$6,INDEX(prem_analysis!$BU$1:$CF$67,ROWS(prem_analysis!$N$2:Y434),COLUMNS(prem_analysis!$N$2:Y434)),IF($Q$1=$P$4,INDEX(Table24[[#All],[Year]:[Details]],ROWS(prem_analysis!$M$420:X852),COLUMNS(Data!$Q$3:AB435)))))),"")</f>
        <v/>
      </c>
    </row>
    <row r="435" spans="1:29" x14ac:dyDescent="0.2">
      <c r="A435" s="5">
        <v>2021</v>
      </c>
      <c r="B435" s="5">
        <v>14</v>
      </c>
      <c r="C435" s="6" t="s">
        <v>18</v>
      </c>
      <c r="D435" s="5">
        <v>38</v>
      </c>
      <c r="E435" s="5">
        <v>13</v>
      </c>
      <c r="F435" s="5">
        <v>6</v>
      </c>
      <c r="G435" s="5">
        <v>19</v>
      </c>
      <c r="H435" s="5">
        <v>52</v>
      </c>
      <c r="I435" s="5">
        <v>54</v>
      </c>
      <c r="J435" s="5">
        <v>-2</v>
      </c>
      <c r="K435" s="5">
        <v>45</v>
      </c>
      <c r="L435" s="5">
        <f>IF(Table24[[#This Row],['#]]=1,"Champion", IF(Table24[[#This Row],['#]]&gt;=18,"Relegated",Table24[[#This Row],['#]]))</f>
        <v>14</v>
      </c>
      <c r="M435" s="5" t="str">
        <f>IF(Table24[[#This Row],[Details]]=2,K434-Table24[[#This Row],[Pts]],IF(Table24[[#This Row],[Details]]=17,Table24[[#This Row],[Pts]]-K436,""))</f>
        <v/>
      </c>
      <c r="R435" s="1" t="str">
        <f>IFERROR(IF($Q$1=$P$3,INDEX(prem_analysis!$P$2:$Q$441,ROWS(Data!$P$2:Q435),COLUMNS(Data!$P$3:P436)),IF($Q$1=$P$5,INDEX(prem_analysis!$BH$1:$BS$23,ROWS(Data!$Q$3:Q436),COLUMNS(Data!$Q$3:Q436)),IF($Q$1=$P$6,INDEX(prem_analysis!$BU$1:$CF$67,ROWS(prem_analysis!$N$2:N435),COLUMNS(prem_analysis!$N$2:N435)),IF($Q$1=$P$4,INDEX(Table24[[#All],[Year]:[Details]],ROWS(prem_analysis!$M$420:M853),COLUMNS(Data!$Q$3:Q436)))))),"")</f>
        <v/>
      </c>
      <c r="S435" s="1" t="str">
        <f>IFERROR(IF($Q$1=$P$3,INDEX(prem_analysis!$P$2:$Q$441,ROWS(Data!$P$2:R435),COLUMNS(Data!$P$3:Q436)),IF($Q$1=$P$5,INDEX(prem_analysis!$BH$1:$BS$23,ROWS(Data!$Q$3:R436),COLUMNS(Data!$Q$3:R436)),IF($Q$1=$P$6,INDEX(prem_analysis!$BU$1:$CF$67,ROWS(prem_analysis!$N$2:O435),COLUMNS(prem_analysis!$N$2:O435)),IF($Q$1=$P$4,INDEX(Table24[[#All],[Year]:[Details]],ROWS(prem_analysis!$M$420:N853),COLUMNS(Data!$Q$3:R436)))))),"")</f>
        <v/>
      </c>
      <c r="T435" s="1" t="str">
        <f>IFERROR(IF($Q$1=$P$3,INDEX(prem_analysis!$P$2:$Q$441,ROWS(Data!$P$2:S435),COLUMNS(Data!$P$3:R436)),IF($Q$1=$P$5,INDEX(prem_analysis!$BH$1:$BS$23,ROWS(Data!$Q$3:S436),COLUMNS(Data!$Q$3:S436)),IF($Q$1=$P$6,INDEX(prem_analysis!$BU$1:$CF$67,ROWS(prem_analysis!$N$2:P435),COLUMNS(prem_analysis!$N$2:P435)),IF($Q$1=$P$4,INDEX(Table24[[#All],[Year]:[Details]],ROWS(prem_analysis!$M$420:O853),COLUMNS(Data!$Q$3:S436)))))),"")</f>
        <v/>
      </c>
      <c r="U435" s="1" t="str">
        <f>IFERROR(IF($Q$1=$P$3,INDEX(prem_analysis!$P$2:$Q$441,ROWS(Data!$P$2:T435),COLUMNS(Data!$P$3:S436)),IF($Q$1=$P$5,INDEX(prem_analysis!$BH$1:$BS$23,ROWS(Data!$Q$3:T436),COLUMNS(Data!$Q$3:T436)),IF($Q$1=$P$6,INDEX(prem_analysis!$BU$1:$CF$67,ROWS(prem_analysis!$N$2:Q435),COLUMNS(prem_analysis!$N$2:Q435)),IF($Q$1=$P$4,INDEX(Table24[[#All],[Year]:[Details]],ROWS(prem_analysis!$M$420:P853),COLUMNS(Data!$Q$3:T436)))))),"")</f>
        <v/>
      </c>
      <c r="V435" s="1" t="str">
        <f>IFERROR(IF($Q$1=$P$3,INDEX(prem_analysis!$P$2:$Q$441,ROWS(Data!$P$2:U435),COLUMNS(Data!$P$3:T436)),IF($Q$1=$P$5,INDEX(prem_analysis!$BH$1:$BS$23,ROWS(Data!$Q$3:U436),COLUMNS(Data!$Q$3:U436)),IF($Q$1=$P$6,INDEX(prem_analysis!$BU$1:$CF$67,ROWS(prem_analysis!$N$2:R435),COLUMNS(prem_analysis!$N$2:R435)),IF($Q$1=$P$4,INDEX(Table24[[#All],[Year]:[Details]],ROWS(prem_analysis!$M$420:Q853),COLUMNS(Data!$Q$3:U436)))))),"")</f>
        <v/>
      </c>
      <c r="W435" s="1" t="str">
        <f>IFERROR(IF($Q$1=$P$3,INDEX(prem_analysis!$P$2:$Q$441,ROWS(Data!$P$2:V435),COLUMNS(Data!$P$3:U436)),IF($Q$1=$P$5,INDEX(prem_analysis!$BH$1:$BS$23,ROWS(Data!$Q$3:V436),COLUMNS(Data!$Q$3:V436)),IF($Q$1=$P$6,INDEX(prem_analysis!$BU$1:$CF$67,ROWS(prem_analysis!$N$2:S435),COLUMNS(prem_analysis!$N$2:S435)),IF($Q$1=$P$4,INDEX(Table24[[#All],[Year]:[Details]],ROWS(prem_analysis!$M$420:R853),COLUMNS(Data!$Q$3:V436)))))),"")</f>
        <v/>
      </c>
      <c r="X435" s="1" t="str">
        <f>IFERROR(IF($Q$1=$P$3,INDEX(prem_analysis!$P$2:$Q$441,ROWS(Data!$P$2:W435),COLUMNS(Data!$P$3:V436)),IF($Q$1=$P$5,INDEX(prem_analysis!$BH$1:$BS$23,ROWS(Data!$Q$3:W436),COLUMNS(Data!$Q$3:W436)),IF($Q$1=$P$6,INDEX(prem_analysis!$BU$1:$CF$67,ROWS(prem_analysis!$N$2:T435),COLUMNS(prem_analysis!$N$2:T435)),IF($Q$1=$P$4,INDEX(Table24[[#All],[Year]:[Details]],ROWS(prem_analysis!$M$420:S853),COLUMNS(Data!$Q$3:W436)))))),"")</f>
        <v/>
      </c>
      <c r="Y435" s="1" t="str">
        <f>IFERROR(IF($Q$1=$P$3,INDEX(prem_analysis!$P$2:$Q$441,ROWS(Data!$P$2:X435),COLUMNS(Data!$P$3:W436)),IF($Q$1=$P$5,INDEX(prem_analysis!$BH$1:$BS$23,ROWS(Data!$Q$3:X436),COLUMNS(Data!$Q$3:X436)),IF($Q$1=$P$6,INDEX(prem_analysis!$BU$1:$CF$67,ROWS(prem_analysis!$N$2:U435),COLUMNS(prem_analysis!$N$2:U435)),IF($Q$1=$P$4,INDEX(Table24[[#All],[Year]:[Details]],ROWS(prem_analysis!$M$420:T853),COLUMNS(Data!$Q$3:X436)))))),"")</f>
        <v/>
      </c>
      <c r="Z435" s="1" t="str">
        <f>IFERROR(IF($Q$1=$P$3,INDEX(prem_analysis!$P$2:$Q$441,ROWS(Data!$P$2:Y435),COLUMNS(Data!$P$3:X436)),IF($Q$1=$P$5,INDEX(prem_analysis!$BH$1:$BS$23,ROWS(Data!$Q$3:Y436),COLUMNS(Data!$Q$3:Y436)),IF($Q$1=$P$6,INDEX(prem_analysis!$BU$1:$CF$67,ROWS(prem_analysis!$N$2:V435),COLUMNS(prem_analysis!$N$2:V435)),IF($Q$1=$P$4,INDEX(Table24[[#All],[Year]:[Details]],ROWS(prem_analysis!$M$420:U853),COLUMNS(Data!$Q$3:Y436)))))),"")</f>
        <v/>
      </c>
      <c r="AA435" s="1" t="str">
        <f>IFERROR(IF($Q$1=$P$3,INDEX(prem_analysis!$P$2:$Q$441,ROWS(Data!$P$2:Z435),COLUMNS(Data!$P$3:Y436)),IF($Q$1=$P$5,INDEX(prem_analysis!$BH$1:$BS$23,ROWS(Data!$Q$3:Z436),COLUMNS(Data!$Q$3:Z436)),IF($Q$1=$P$6,INDEX(prem_analysis!$BU$1:$CF$67,ROWS(prem_analysis!$N$2:W435),COLUMNS(prem_analysis!$N$2:W435)),IF($Q$1=$P$4,INDEX(Table24[[#All],[Year]:[Details]],ROWS(prem_analysis!$M$420:V853),COLUMNS(Data!$Q$3:Z436)))))),"")</f>
        <v/>
      </c>
      <c r="AB435" s="1" t="str">
        <f>IFERROR(IF($Q$1=$P$3,INDEX(prem_analysis!$P$2:$Q$441,ROWS(Data!$P$2:AA435),COLUMNS(Data!$P$3:Z436)),IF($Q$1=$P$5,INDEX(prem_analysis!$BH$1:$BS$23,ROWS(Data!$Q$3:AA436),COLUMNS(Data!$Q$3:AA436)),IF($Q$1=$P$6,INDEX(prem_analysis!$BU$1:$CF$67,ROWS(prem_analysis!$N$2:X435),COLUMNS(prem_analysis!$N$2:X435)),IF($Q$1=$P$4,INDEX(Table24[[#All],[Year]:[Details]],ROWS(prem_analysis!$M$420:W853),COLUMNS(Data!$Q$3:AA436)))))),"")</f>
        <v/>
      </c>
      <c r="AC435" s="1" t="str">
        <f>IFERROR(IF($Q$1=$P$3,INDEX(prem_analysis!$P$2:$Q$441,ROWS(Data!$P$2:AB435),COLUMNS(Data!$P$3:AA436)),IF($Q$1=$P$5,INDEX(prem_analysis!$BH$1:$BS$23,ROWS(Data!$Q$3:AB436),COLUMNS(Data!$Q$3:AB436)),IF($Q$1=$P$6,INDEX(prem_analysis!$BU$1:$CF$67,ROWS(prem_analysis!$N$2:Y435),COLUMNS(prem_analysis!$N$2:Y435)),IF($Q$1=$P$4,INDEX(Table24[[#All],[Year]:[Details]],ROWS(prem_analysis!$M$420:X853),COLUMNS(Data!$Q$3:AB436)))))),"")</f>
        <v/>
      </c>
    </row>
    <row r="436" spans="1:29" x14ac:dyDescent="0.2">
      <c r="A436" s="3">
        <v>2021</v>
      </c>
      <c r="B436" s="3">
        <v>15</v>
      </c>
      <c r="C436" s="4" t="s">
        <v>20</v>
      </c>
      <c r="D436" s="3">
        <v>38</v>
      </c>
      <c r="E436" s="3">
        <v>9</v>
      </c>
      <c r="F436" s="3">
        <v>13</v>
      </c>
      <c r="G436" s="3">
        <v>16</v>
      </c>
      <c r="H436" s="3">
        <v>43</v>
      </c>
      <c r="I436" s="3">
        <v>67</v>
      </c>
      <c r="J436" s="3">
        <v>-24</v>
      </c>
      <c r="K436" s="3">
        <v>40</v>
      </c>
      <c r="L436" s="5">
        <f>IF(Table24[[#This Row],['#]]=1,"Champion", IF(Table24[[#This Row],['#]]&gt;=18,"Relegated",Table24[[#This Row],['#]]))</f>
        <v>15</v>
      </c>
      <c r="M436" s="5" t="str">
        <f>IF(Table24[[#This Row],[Details]]=2,K435-Table24[[#This Row],[Pts]],IF(Table24[[#This Row],[Details]]=17,Table24[[#This Row],[Pts]]-K437,""))</f>
        <v/>
      </c>
      <c r="R436" s="1" t="str">
        <f>IFERROR(IF($Q$1=$P$3,INDEX(prem_analysis!$P$2:$Q$441,ROWS(Data!$P$2:Q436),COLUMNS(Data!$P$3:P437)),IF($Q$1=$P$5,INDEX(prem_analysis!$BH$1:$BS$23,ROWS(Data!$Q$3:Q437),COLUMNS(Data!$Q$3:Q437)),IF($Q$1=$P$6,INDEX(prem_analysis!$BU$1:$CF$67,ROWS(prem_analysis!$N$2:N436),COLUMNS(prem_analysis!$N$2:N436)),IF($Q$1=$P$4,INDEX(Table24[[#All],[Year]:[Details]],ROWS(prem_analysis!$M$420:M854),COLUMNS(Data!$Q$3:Q437)))))),"")</f>
        <v/>
      </c>
      <c r="S436" s="1" t="str">
        <f>IFERROR(IF($Q$1=$P$3,INDEX(prem_analysis!$P$2:$Q$441,ROWS(Data!$P$2:R436),COLUMNS(Data!$P$3:Q437)),IF($Q$1=$P$5,INDEX(prem_analysis!$BH$1:$BS$23,ROWS(Data!$Q$3:R437),COLUMNS(Data!$Q$3:R437)),IF($Q$1=$P$6,INDEX(prem_analysis!$BU$1:$CF$67,ROWS(prem_analysis!$N$2:O436),COLUMNS(prem_analysis!$N$2:O436)),IF($Q$1=$P$4,INDEX(Table24[[#All],[Year]:[Details]],ROWS(prem_analysis!$M$420:N854),COLUMNS(Data!$Q$3:R437)))))),"")</f>
        <v/>
      </c>
      <c r="T436" s="1" t="str">
        <f>IFERROR(IF($Q$1=$P$3,INDEX(prem_analysis!$P$2:$Q$441,ROWS(Data!$P$2:S436),COLUMNS(Data!$P$3:R437)),IF($Q$1=$P$5,INDEX(prem_analysis!$BH$1:$BS$23,ROWS(Data!$Q$3:S437),COLUMNS(Data!$Q$3:S437)),IF($Q$1=$P$6,INDEX(prem_analysis!$BU$1:$CF$67,ROWS(prem_analysis!$N$2:P436),COLUMNS(prem_analysis!$N$2:P436)),IF($Q$1=$P$4,INDEX(Table24[[#All],[Year]:[Details]],ROWS(prem_analysis!$M$420:O854),COLUMNS(Data!$Q$3:S437)))))),"")</f>
        <v/>
      </c>
      <c r="U436" s="1" t="str">
        <f>IFERROR(IF($Q$1=$P$3,INDEX(prem_analysis!$P$2:$Q$441,ROWS(Data!$P$2:T436),COLUMNS(Data!$P$3:S437)),IF($Q$1=$P$5,INDEX(prem_analysis!$BH$1:$BS$23,ROWS(Data!$Q$3:T437),COLUMNS(Data!$Q$3:T437)),IF($Q$1=$P$6,INDEX(prem_analysis!$BU$1:$CF$67,ROWS(prem_analysis!$N$2:Q436),COLUMNS(prem_analysis!$N$2:Q436)),IF($Q$1=$P$4,INDEX(Table24[[#All],[Year]:[Details]],ROWS(prem_analysis!$M$420:P854),COLUMNS(Data!$Q$3:T437)))))),"")</f>
        <v/>
      </c>
      <c r="V436" s="1" t="str">
        <f>IFERROR(IF($Q$1=$P$3,INDEX(prem_analysis!$P$2:$Q$441,ROWS(Data!$P$2:U436),COLUMNS(Data!$P$3:T437)),IF($Q$1=$P$5,INDEX(prem_analysis!$BH$1:$BS$23,ROWS(Data!$Q$3:U437),COLUMNS(Data!$Q$3:U437)),IF($Q$1=$P$6,INDEX(prem_analysis!$BU$1:$CF$67,ROWS(prem_analysis!$N$2:R436),COLUMNS(prem_analysis!$N$2:R436)),IF($Q$1=$P$4,INDEX(Table24[[#All],[Year]:[Details]],ROWS(prem_analysis!$M$420:Q854),COLUMNS(Data!$Q$3:U437)))))),"")</f>
        <v/>
      </c>
      <c r="W436" s="1" t="str">
        <f>IFERROR(IF($Q$1=$P$3,INDEX(prem_analysis!$P$2:$Q$441,ROWS(Data!$P$2:V436),COLUMNS(Data!$P$3:U437)),IF($Q$1=$P$5,INDEX(prem_analysis!$BH$1:$BS$23,ROWS(Data!$Q$3:V437),COLUMNS(Data!$Q$3:V437)),IF($Q$1=$P$6,INDEX(prem_analysis!$BU$1:$CF$67,ROWS(prem_analysis!$N$2:S436),COLUMNS(prem_analysis!$N$2:S436)),IF($Q$1=$P$4,INDEX(Table24[[#All],[Year]:[Details]],ROWS(prem_analysis!$M$420:R854),COLUMNS(Data!$Q$3:V437)))))),"")</f>
        <v/>
      </c>
      <c r="X436" s="1" t="str">
        <f>IFERROR(IF($Q$1=$P$3,INDEX(prem_analysis!$P$2:$Q$441,ROWS(Data!$P$2:W436),COLUMNS(Data!$P$3:V437)),IF($Q$1=$P$5,INDEX(prem_analysis!$BH$1:$BS$23,ROWS(Data!$Q$3:W437),COLUMNS(Data!$Q$3:W437)),IF($Q$1=$P$6,INDEX(prem_analysis!$BU$1:$CF$67,ROWS(prem_analysis!$N$2:T436),COLUMNS(prem_analysis!$N$2:T436)),IF($Q$1=$P$4,INDEX(Table24[[#All],[Year]:[Details]],ROWS(prem_analysis!$M$420:S854),COLUMNS(Data!$Q$3:W437)))))),"")</f>
        <v/>
      </c>
      <c r="Y436" s="1" t="str">
        <f>IFERROR(IF($Q$1=$P$3,INDEX(prem_analysis!$P$2:$Q$441,ROWS(Data!$P$2:X436),COLUMNS(Data!$P$3:W437)),IF($Q$1=$P$5,INDEX(prem_analysis!$BH$1:$BS$23,ROWS(Data!$Q$3:X437),COLUMNS(Data!$Q$3:X437)),IF($Q$1=$P$6,INDEX(prem_analysis!$BU$1:$CF$67,ROWS(prem_analysis!$N$2:U436),COLUMNS(prem_analysis!$N$2:U436)),IF($Q$1=$P$4,INDEX(Table24[[#All],[Year]:[Details]],ROWS(prem_analysis!$M$420:T854),COLUMNS(Data!$Q$3:X437)))))),"")</f>
        <v/>
      </c>
      <c r="Z436" s="1" t="str">
        <f>IFERROR(IF($Q$1=$P$3,INDEX(prem_analysis!$P$2:$Q$441,ROWS(Data!$P$2:Y436),COLUMNS(Data!$P$3:X437)),IF($Q$1=$P$5,INDEX(prem_analysis!$BH$1:$BS$23,ROWS(Data!$Q$3:Y437),COLUMNS(Data!$Q$3:Y437)),IF($Q$1=$P$6,INDEX(prem_analysis!$BU$1:$CF$67,ROWS(prem_analysis!$N$2:V436),COLUMNS(prem_analysis!$N$2:V436)),IF($Q$1=$P$4,INDEX(Table24[[#All],[Year]:[Details]],ROWS(prem_analysis!$M$420:U854),COLUMNS(Data!$Q$3:Y437)))))),"")</f>
        <v/>
      </c>
      <c r="AA436" s="1" t="str">
        <f>IFERROR(IF($Q$1=$P$3,INDEX(prem_analysis!$P$2:$Q$441,ROWS(Data!$P$2:Z436),COLUMNS(Data!$P$3:Y437)),IF($Q$1=$P$5,INDEX(prem_analysis!$BH$1:$BS$23,ROWS(Data!$Q$3:Z437),COLUMNS(Data!$Q$3:Z437)),IF($Q$1=$P$6,INDEX(prem_analysis!$BU$1:$CF$67,ROWS(prem_analysis!$N$2:W436),COLUMNS(prem_analysis!$N$2:W436)),IF($Q$1=$P$4,INDEX(Table24[[#All],[Year]:[Details]],ROWS(prem_analysis!$M$420:V854),COLUMNS(Data!$Q$3:Z437)))))),"")</f>
        <v/>
      </c>
      <c r="AB436" s="1" t="str">
        <f>IFERROR(IF($Q$1=$P$3,INDEX(prem_analysis!$P$2:$Q$441,ROWS(Data!$P$2:AA436),COLUMNS(Data!$P$3:Z437)),IF($Q$1=$P$5,INDEX(prem_analysis!$BH$1:$BS$23,ROWS(Data!$Q$3:AA437),COLUMNS(Data!$Q$3:AA437)),IF($Q$1=$P$6,INDEX(prem_analysis!$BU$1:$CF$67,ROWS(prem_analysis!$N$2:X436),COLUMNS(prem_analysis!$N$2:X436)),IF($Q$1=$P$4,INDEX(Table24[[#All],[Year]:[Details]],ROWS(prem_analysis!$M$420:W854),COLUMNS(Data!$Q$3:AA437)))))),"")</f>
        <v/>
      </c>
      <c r="AC436" s="1" t="str">
        <f>IFERROR(IF($Q$1=$P$3,INDEX(prem_analysis!$P$2:$Q$441,ROWS(Data!$P$2:AB436),COLUMNS(Data!$P$3:AA437)),IF($Q$1=$P$5,INDEX(prem_analysis!$BH$1:$BS$23,ROWS(Data!$Q$3:AB437),COLUMNS(Data!$Q$3:AB437)),IF($Q$1=$P$6,INDEX(prem_analysis!$BU$1:$CF$67,ROWS(prem_analysis!$N$2:Y436),COLUMNS(prem_analysis!$N$2:Y436)),IF($Q$1=$P$4,INDEX(Table24[[#All],[Year]:[Details]],ROWS(prem_analysis!$M$420:X854),COLUMNS(Data!$Q$3:AB437)))))),"")</f>
        <v/>
      </c>
    </row>
    <row r="437" spans="1:29" x14ac:dyDescent="0.2">
      <c r="A437" s="5">
        <v>2021</v>
      </c>
      <c r="B437" s="5">
        <v>16</v>
      </c>
      <c r="C437" s="6" t="s">
        <v>26</v>
      </c>
      <c r="D437" s="5">
        <v>38</v>
      </c>
      <c r="E437" s="5">
        <v>11</v>
      </c>
      <c r="F437" s="5">
        <v>6</v>
      </c>
      <c r="G437" s="5">
        <v>21</v>
      </c>
      <c r="H437" s="5">
        <v>43</v>
      </c>
      <c r="I437" s="5">
        <v>66</v>
      </c>
      <c r="J437" s="5">
        <v>-23</v>
      </c>
      <c r="K437" s="5">
        <v>39</v>
      </c>
      <c r="L437" s="5">
        <f>IF(Table24[[#This Row],['#]]=1,"Champion", IF(Table24[[#This Row],['#]]&gt;=18,"Relegated",Table24[[#This Row],['#]]))</f>
        <v>16</v>
      </c>
      <c r="M437" s="5" t="str">
        <f>IF(Table24[[#This Row],[Details]]=2,K436-Table24[[#This Row],[Pts]],IF(Table24[[#This Row],[Details]]=17,Table24[[#This Row],[Pts]]-K438,""))</f>
        <v/>
      </c>
      <c r="R437" s="1" t="str">
        <f>IFERROR(IF($Q$1=$P$3,INDEX(prem_analysis!$P$2:$Q$441,ROWS(Data!$P$2:Q437),COLUMNS(Data!$P$3:P438)),IF($Q$1=$P$5,INDEX(prem_analysis!$BH$1:$BS$23,ROWS(Data!$Q$3:Q438),COLUMNS(Data!$Q$3:Q438)),IF($Q$1=$P$6,INDEX(prem_analysis!$BU$1:$CF$67,ROWS(prem_analysis!$N$2:N437),COLUMNS(prem_analysis!$N$2:N437)),IF($Q$1=$P$4,INDEX(Table24[[#All],[Year]:[Details]],ROWS(prem_analysis!$M$420:M855),COLUMNS(Data!$Q$3:Q438)))))),"")</f>
        <v/>
      </c>
      <c r="S437" s="1" t="str">
        <f>IFERROR(IF($Q$1=$P$3,INDEX(prem_analysis!$P$2:$Q$441,ROWS(Data!$P$2:R437),COLUMNS(Data!$P$3:Q438)),IF($Q$1=$P$5,INDEX(prem_analysis!$BH$1:$BS$23,ROWS(Data!$Q$3:R438),COLUMNS(Data!$Q$3:R438)),IF($Q$1=$P$6,INDEX(prem_analysis!$BU$1:$CF$67,ROWS(prem_analysis!$N$2:O437),COLUMNS(prem_analysis!$N$2:O437)),IF($Q$1=$P$4,INDEX(Table24[[#All],[Year]:[Details]],ROWS(prem_analysis!$M$420:N855),COLUMNS(Data!$Q$3:R438)))))),"")</f>
        <v/>
      </c>
      <c r="T437" s="1" t="str">
        <f>IFERROR(IF($Q$1=$P$3,INDEX(prem_analysis!$P$2:$Q$441,ROWS(Data!$P$2:S437),COLUMNS(Data!$P$3:R438)),IF($Q$1=$P$5,INDEX(prem_analysis!$BH$1:$BS$23,ROWS(Data!$Q$3:S438),COLUMNS(Data!$Q$3:S438)),IF($Q$1=$P$6,INDEX(prem_analysis!$BU$1:$CF$67,ROWS(prem_analysis!$N$2:P437),COLUMNS(prem_analysis!$N$2:P437)),IF($Q$1=$P$4,INDEX(Table24[[#All],[Year]:[Details]],ROWS(prem_analysis!$M$420:O855),COLUMNS(Data!$Q$3:S438)))))),"")</f>
        <v/>
      </c>
      <c r="U437" s="1" t="str">
        <f>IFERROR(IF($Q$1=$P$3,INDEX(prem_analysis!$P$2:$Q$441,ROWS(Data!$P$2:T437),COLUMNS(Data!$P$3:S438)),IF($Q$1=$P$5,INDEX(prem_analysis!$BH$1:$BS$23,ROWS(Data!$Q$3:T438),COLUMNS(Data!$Q$3:T438)),IF($Q$1=$P$6,INDEX(prem_analysis!$BU$1:$CF$67,ROWS(prem_analysis!$N$2:Q437),COLUMNS(prem_analysis!$N$2:Q437)),IF($Q$1=$P$4,INDEX(Table24[[#All],[Year]:[Details]],ROWS(prem_analysis!$M$420:P855),COLUMNS(Data!$Q$3:T438)))))),"")</f>
        <v/>
      </c>
      <c r="V437" s="1" t="str">
        <f>IFERROR(IF($Q$1=$P$3,INDEX(prem_analysis!$P$2:$Q$441,ROWS(Data!$P$2:U437),COLUMNS(Data!$P$3:T438)),IF($Q$1=$P$5,INDEX(prem_analysis!$BH$1:$BS$23,ROWS(Data!$Q$3:U438),COLUMNS(Data!$Q$3:U438)),IF($Q$1=$P$6,INDEX(prem_analysis!$BU$1:$CF$67,ROWS(prem_analysis!$N$2:R437),COLUMNS(prem_analysis!$N$2:R437)),IF($Q$1=$P$4,INDEX(Table24[[#All],[Year]:[Details]],ROWS(prem_analysis!$M$420:Q855),COLUMNS(Data!$Q$3:U438)))))),"")</f>
        <v/>
      </c>
      <c r="W437" s="1" t="str">
        <f>IFERROR(IF($Q$1=$P$3,INDEX(prem_analysis!$P$2:$Q$441,ROWS(Data!$P$2:V437),COLUMNS(Data!$P$3:U438)),IF($Q$1=$P$5,INDEX(prem_analysis!$BH$1:$BS$23,ROWS(Data!$Q$3:V438),COLUMNS(Data!$Q$3:V438)),IF($Q$1=$P$6,INDEX(prem_analysis!$BU$1:$CF$67,ROWS(prem_analysis!$N$2:S437),COLUMNS(prem_analysis!$N$2:S437)),IF($Q$1=$P$4,INDEX(Table24[[#All],[Year]:[Details]],ROWS(prem_analysis!$M$420:R855),COLUMNS(Data!$Q$3:V438)))))),"")</f>
        <v/>
      </c>
      <c r="X437" s="1" t="str">
        <f>IFERROR(IF($Q$1=$P$3,INDEX(prem_analysis!$P$2:$Q$441,ROWS(Data!$P$2:W437),COLUMNS(Data!$P$3:V438)),IF($Q$1=$P$5,INDEX(prem_analysis!$BH$1:$BS$23,ROWS(Data!$Q$3:W438),COLUMNS(Data!$Q$3:W438)),IF($Q$1=$P$6,INDEX(prem_analysis!$BU$1:$CF$67,ROWS(prem_analysis!$N$2:T437),COLUMNS(prem_analysis!$N$2:T437)),IF($Q$1=$P$4,INDEX(Table24[[#All],[Year]:[Details]],ROWS(prem_analysis!$M$420:S855),COLUMNS(Data!$Q$3:W438)))))),"")</f>
        <v/>
      </c>
      <c r="Y437" s="1" t="str">
        <f>IFERROR(IF($Q$1=$P$3,INDEX(prem_analysis!$P$2:$Q$441,ROWS(Data!$P$2:X437),COLUMNS(Data!$P$3:W438)),IF($Q$1=$P$5,INDEX(prem_analysis!$BH$1:$BS$23,ROWS(Data!$Q$3:X438),COLUMNS(Data!$Q$3:X438)),IF($Q$1=$P$6,INDEX(prem_analysis!$BU$1:$CF$67,ROWS(prem_analysis!$N$2:U437),COLUMNS(prem_analysis!$N$2:U437)),IF($Q$1=$P$4,INDEX(Table24[[#All],[Year]:[Details]],ROWS(prem_analysis!$M$420:T855),COLUMNS(Data!$Q$3:X438)))))),"")</f>
        <v/>
      </c>
      <c r="Z437" s="1" t="str">
        <f>IFERROR(IF($Q$1=$P$3,INDEX(prem_analysis!$P$2:$Q$441,ROWS(Data!$P$2:Y437),COLUMNS(Data!$P$3:X438)),IF($Q$1=$P$5,INDEX(prem_analysis!$BH$1:$BS$23,ROWS(Data!$Q$3:Y438),COLUMNS(Data!$Q$3:Y438)),IF($Q$1=$P$6,INDEX(prem_analysis!$BU$1:$CF$67,ROWS(prem_analysis!$N$2:V437),COLUMNS(prem_analysis!$N$2:V437)),IF($Q$1=$P$4,INDEX(Table24[[#All],[Year]:[Details]],ROWS(prem_analysis!$M$420:U855),COLUMNS(Data!$Q$3:Y438)))))),"")</f>
        <v/>
      </c>
      <c r="AA437" s="1" t="str">
        <f>IFERROR(IF($Q$1=$P$3,INDEX(prem_analysis!$P$2:$Q$441,ROWS(Data!$P$2:Z437),COLUMNS(Data!$P$3:Y438)),IF($Q$1=$P$5,INDEX(prem_analysis!$BH$1:$BS$23,ROWS(Data!$Q$3:Z438),COLUMNS(Data!$Q$3:Z438)),IF($Q$1=$P$6,INDEX(prem_analysis!$BU$1:$CF$67,ROWS(prem_analysis!$N$2:W437),COLUMNS(prem_analysis!$N$2:W437)),IF($Q$1=$P$4,INDEX(Table24[[#All],[Year]:[Details]],ROWS(prem_analysis!$M$420:V855),COLUMNS(Data!$Q$3:Z438)))))),"")</f>
        <v/>
      </c>
      <c r="AB437" s="1" t="str">
        <f>IFERROR(IF($Q$1=$P$3,INDEX(prem_analysis!$P$2:$Q$441,ROWS(Data!$P$2:AA437),COLUMNS(Data!$P$3:Z438)),IF($Q$1=$P$5,INDEX(prem_analysis!$BH$1:$BS$23,ROWS(Data!$Q$3:AA438),COLUMNS(Data!$Q$3:AA438)),IF($Q$1=$P$6,INDEX(prem_analysis!$BU$1:$CF$67,ROWS(prem_analysis!$N$2:X437),COLUMNS(prem_analysis!$N$2:X437)),IF($Q$1=$P$4,INDEX(Table24[[#All],[Year]:[Details]],ROWS(prem_analysis!$M$420:W855),COLUMNS(Data!$Q$3:AA438)))))),"")</f>
        <v/>
      </c>
      <c r="AC437" s="1" t="str">
        <f>IFERROR(IF($Q$1=$P$3,INDEX(prem_analysis!$P$2:$Q$441,ROWS(Data!$P$2:AB437),COLUMNS(Data!$P$3:AA438)),IF($Q$1=$P$5,INDEX(prem_analysis!$BH$1:$BS$23,ROWS(Data!$Q$3:AB438),COLUMNS(Data!$Q$3:AB438)),IF($Q$1=$P$6,INDEX(prem_analysis!$BU$1:$CF$67,ROWS(prem_analysis!$N$2:Y437),COLUMNS(prem_analysis!$N$2:Y437)),IF($Q$1=$P$4,INDEX(Table24[[#All],[Year]:[Details]],ROWS(prem_analysis!$M$420:X855),COLUMNS(Data!$Q$3:AB438)))))),"")</f>
        <v/>
      </c>
    </row>
    <row r="438" spans="1:29" x14ac:dyDescent="0.2">
      <c r="A438" s="3">
        <v>2021</v>
      </c>
      <c r="B438" s="3">
        <v>17</v>
      </c>
      <c r="C438" s="4" t="s">
        <v>14</v>
      </c>
      <c r="D438" s="3">
        <v>38</v>
      </c>
      <c r="E438" s="3">
        <v>9</v>
      </c>
      <c r="F438" s="3">
        <v>11</v>
      </c>
      <c r="G438" s="3">
        <v>18</v>
      </c>
      <c r="H438" s="3">
        <v>42</v>
      </c>
      <c r="I438" s="3">
        <v>79</v>
      </c>
      <c r="J438" s="3">
        <v>-37</v>
      </c>
      <c r="K438" s="3">
        <v>38</v>
      </c>
      <c r="L438" s="5">
        <f>IF(Table24[[#This Row],['#]]=1,"Champion", IF(Table24[[#This Row],['#]]&gt;=18,"Relegated",Table24[[#This Row],['#]]))</f>
        <v>17</v>
      </c>
      <c r="M438" s="5">
        <f>IF(Table24[[#This Row],[Details]]=2,K437-Table24[[#This Row],[Pts]],IF(Table24[[#This Row],[Details]]=17,Table24[[#This Row],[Pts]]-K439,""))</f>
        <v>3</v>
      </c>
      <c r="R438" s="1" t="str">
        <f>IFERROR(IF($Q$1=$P$3,INDEX(prem_analysis!$P$2:$Q$441,ROWS(Data!$P$2:Q438),COLUMNS(Data!$P$3:P439)),IF($Q$1=$P$5,INDEX(prem_analysis!$BH$1:$BS$23,ROWS(Data!$Q$3:Q439),COLUMNS(Data!$Q$3:Q439)),IF($Q$1=$P$6,INDEX(prem_analysis!$BU$1:$CF$67,ROWS(prem_analysis!$N$2:N438),COLUMNS(prem_analysis!$N$2:N438)),IF($Q$1=$P$4,INDEX(Table24[[#All],[Year]:[Details]],ROWS(prem_analysis!$M$420:M856),COLUMNS(Data!$Q$3:Q439)))))),"")</f>
        <v/>
      </c>
      <c r="S438" s="1" t="str">
        <f>IFERROR(IF($Q$1=$P$3,INDEX(prem_analysis!$P$2:$Q$441,ROWS(Data!$P$2:R438),COLUMNS(Data!$P$3:Q439)),IF($Q$1=$P$5,INDEX(prem_analysis!$BH$1:$BS$23,ROWS(Data!$Q$3:R439),COLUMNS(Data!$Q$3:R439)),IF($Q$1=$P$6,INDEX(prem_analysis!$BU$1:$CF$67,ROWS(prem_analysis!$N$2:O438),COLUMNS(prem_analysis!$N$2:O438)),IF($Q$1=$P$4,INDEX(Table24[[#All],[Year]:[Details]],ROWS(prem_analysis!$M$420:N856),COLUMNS(Data!$Q$3:R439)))))),"")</f>
        <v/>
      </c>
      <c r="T438" s="1" t="str">
        <f>IFERROR(IF($Q$1=$P$3,INDEX(prem_analysis!$P$2:$Q$441,ROWS(Data!$P$2:S438),COLUMNS(Data!$P$3:R439)),IF($Q$1=$P$5,INDEX(prem_analysis!$BH$1:$BS$23,ROWS(Data!$Q$3:S439),COLUMNS(Data!$Q$3:S439)),IF($Q$1=$P$6,INDEX(prem_analysis!$BU$1:$CF$67,ROWS(prem_analysis!$N$2:P438),COLUMNS(prem_analysis!$N$2:P438)),IF($Q$1=$P$4,INDEX(Table24[[#All],[Year]:[Details]],ROWS(prem_analysis!$M$420:O856),COLUMNS(Data!$Q$3:S439)))))),"")</f>
        <v/>
      </c>
      <c r="U438" s="1" t="str">
        <f>IFERROR(IF($Q$1=$P$3,INDEX(prem_analysis!$P$2:$Q$441,ROWS(Data!$P$2:T438),COLUMNS(Data!$P$3:S439)),IF($Q$1=$P$5,INDEX(prem_analysis!$BH$1:$BS$23,ROWS(Data!$Q$3:T439),COLUMNS(Data!$Q$3:T439)),IF($Q$1=$P$6,INDEX(prem_analysis!$BU$1:$CF$67,ROWS(prem_analysis!$N$2:Q438),COLUMNS(prem_analysis!$N$2:Q438)),IF($Q$1=$P$4,INDEX(Table24[[#All],[Year]:[Details]],ROWS(prem_analysis!$M$420:P856),COLUMNS(Data!$Q$3:T439)))))),"")</f>
        <v/>
      </c>
      <c r="V438" s="1" t="str">
        <f>IFERROR(IF($Q$1=$P$3,INDEX(prem_analysis!$P$2:$Q$441,ROWS(Data!$P$2:U438),COLUMNS(Data!$P$3:T439)),IF($Q$1=$P$5,INDEX(prem_analysis!$BH$1:$BS$23,ROWS(Data!$Q$3:U439),COLUMNS(Data!$Q$3:U439)),IF($Q$1=$P$6,INDEX(prem_analysis!$BU$1:$CF$67,ROWS(prem_analysis!$N$2:R438),COLUMNS(prem_analysis!$N$2:R438)),IF($Q$1=$P$4,INDEX(Table24[[#All],[Year]:[Details]],ROWS(prem_analysis!$M$420:Q856),COLUMNS(Data!$Q$3:U439)))))),"")</f>
        <v/>
      </c>
      <c r="W438" s="1" t="str">
        <f>IFERROR(IF($Q$1=$P$3,INDEX(prem_analysis!$P$2:$Q$441,ROWS(Data!$P$2:V438),COLUMNS(Data!$P$3:U439)),IF($Q$1=$P$5,INDEX(prem_analysis!$BH$1:$BS$23,ROWS(Data!$Q$3:V439),COLUMNS(Data!$Q$3:V439)),IF($Q$1=$P$6,INDEX(prem_analysis!$BU$1:$CF$67,ROWS(prem_analysis!$N$2:S438),COLUMNS(prem_analysis!$N$2:S438)),IF($Q$1=$P$4,INDEX(Table24[[#All],[Year]:[Details]],ROWS(prem_analysis!$M$420:R856),COLUMNS(Data!$Q$3:V439)))))),"")</f>
        <v/>
      </c>
      <c r="X438" s="1" t="str">
        <f>IFERROR(IF($Q$1=$P$3,INDEX(prem_analysis!$P$2:$Q$441,ROWS(Data!$P$2:W438),COLUMNS(Data!$P$3:V439)),IF($Q$1=$P$5,INDEX(prem_analysis!$BH$1:$BS$23,ROWS(Data!$Q$3:W439),COLUMNS(Data!$Q$3:W439)),IF($Q$1=$P$6,INDEX(prem_analysis!$BU$1:$CF$67,ROWS(prem_analysis!$N$2:T438),COLUMNS(prem_analysis!$N$2:T438)),IF($Q$1=$P$4,INDEX(Table24[[#All],[Year]:[Details]],ROWS(prem_analysis!$M$420:S856),COLUMNS(Data!$Q$3:W439)))))),"")</f>
        <v/>
      </c>
      <c r="Y438" s="1" t="str">
        <f>IFERROR(IF($Q$1=$P$3,INDEX(prem_analysis!$P$2:$Q$441,ROWS(Data!$P$2:X438),COLUMNS(Data!$P$3:W439)),IF($Q$1=$P$5,INDEX(prem_analysis!$BH$1:$BS$23,ROWS(Data!$Q$3:X439),COLUMNS(Data!$Q$3:X439)),IF($Q$1=$P$6,INDEX(prem_analysis!$BU$1:$CF$67,ROWS(prem_analysis!$N$2:U438),COLUMNS(prem_analysis!$N$2:U438)),IF($Q$1=$P$4,INDEX(Table24[[#All],[Year]:[Details]],ROWS(prem_analysis!$M$420:T856),COLUMNS(Data!$Q$3:X439)))))),"")</f>
        <v/>
      </c>
      <c r="Z438" s="1" t="str">
        <f>IFERROR(IF($Q$1=$P$3,INDEX(prem_analysis!$P$2:$Q$441,ROWS(Data!$P$2:Y438),COLUMNS(Data!$P$3:X439)),IF($Q$1=$P$5,INDEX(prem_analysis!$BH$1:$BS$23,ROWS(Data!$Q$3:Y439),COLUMNS(Data!$Q$3:Y439)),IF($Q$1=$P$6,INDEX(prem_analysis!$BU$1:$CF$67,ROWS(prem_analysis!$N$2:V438),COLUMNS(prem_analysis!$N$2:V438)),IF($Q$1=$P$4,INDEX(Table24[[#All],[Year]:[Details]],ROWS(prem_analysis!$M$420:U856),COLUMNS(Data!$Q$3:Y439)))))),"")</f>
        <v/>
      </c>
      <c r="AA438" s="1" t="str">
        <f>IFERROR(IF($Q$1=$P$3,INDEX(prem_analysis!$P$2:$Q$441,ROWS(Data!$P$2:Z438),COLUMNS(Data!$P$3:Y439)),IF($Q$1=$P$5,INDEX(prem_analysis!$BH$1:$BS$23,ROWS(Data!$Q$3:Z439),COLUMNS(Data!$Q$3:Z439)),IF($Q$1=$P$6,INDEX(prem_analysis!$BU$1:$CF$67,ROWS(prem_analysis!$N$2:W438),COLUMNS(prem_analysis!$N$2:W438)),IF($Q$1=$P$4,INDEX(Table24[[#All],[Year]:[Details]],ROWS(prem_analysis!$M$420:V856),COLUMNS(Data!$Q$3:Z439)))))),"")</f>
        <v/>
      </c>
      <c r="AB438" s="1" t="str">
        <f>IFERROR(IF($Q$1=$P$3,INDEX(prem_analysis!$P$2:$Q$441,ROWS(Data!$P$2:AA438),COLUMNS(Data!$P$3:Z439)),IF($Q$1=$P$5,INDEX(prem_analysis!$BH$1:$BS$23,ROWS(Data!$Q$3:AA439),COLUMNS(Data!$Q$3:AA439)),IF($Q$1=$P$6,INDEX(prem_analysis!$BU$1:$CF$67,ROWS(prem_analysis!$N$2:X438),COLUMNS(prem_analysis!$N$2:X438)),IF($Q$1=$P$4,INDEX(Table24[[#All],[Year]:[Details]],ROWS(prem_analysis!$M$420:W856),COLUMNS(Data!$Q$3:AA439)))))),"")</f>
        <v/>
      </c>
      <c r="AC438" s="1" t="str">
        <f>IFERROR(IF($Q$1=$P$3,INDEX(prem_analysis!$P$2:$Q$441,ROWS(Data!$P$2:AB438),COLUMNS(Data!$P$3:AA439)),IF($Q$1=$P$5,INDEX(prem_analysis!$BH$1:$BS$23,ROWS(Data!$Q$3:AB439),COLUMNS(Data!$Q$3:AB439)),IF($Q$1=$P$6,INDEX(prem_analysis!$BU$1:$CF$67,ROWS(prem_analysis!$N$2:Y438),COLUMNS(prem_analysis!$N$2:Y438)),IF($Q$1=$P$4,INDEX(Table24[[#All],[Year]:[Details]],ROWS(prem_analysis!$M$420:X856),COLUMNS(Data!$Q$3:AB439)))))),"")</f>
        <v/>
      </c>
    </row>
    <row r="439" spans="1:29" x14ac:dyDescent="0.2">
      <c r="A439" s="5">
        <v>2021</v>
      </c>
      <c r="B439" s="5">
        <v>18</v>
      </c>
      <c r="C439" s="6" t="s">
        <v>46</v>
      </c>
      <c r="D439" s="5">
        <v>38</v>
      </c>
      <c r="E439" s="5">
        <v>7</v>
      </c>
      <c r="F439" s="5">
        <v>14</v>
      </c>
      <c r="G439" s="5">
        <v>17</v>
      </c>
      <c r="H439" s="5">
        <v>34</v>
      </c>
      <c r="I439" s="5">
        <v>53</v>
      </c>
      <c r="J439" s="5">
        <v>-19</v>
      </c>
      <c r="K439" s="5">
        <v>35</v>
      </c>
      <c r="L439" s="5" t="str">
        <f>IF(Table24[[#This Row],['#]]=1,"Champion", IF(Table24[[#This Row],['#]]&gt;=18,"Relegated",Table24[[#This Row],['#]]))</f>
        <v>Relegated</v>
      </c>
      <c r="M439" s="5" t="str">
        <f>IF(Table24[[#This Row],[Details]]=2,K438-Table24[[#This Row],[Pts]],IF(Table24[[#This Row],[Details]]=17,Table24[[#This Row],[Pts]]-K440,""))</f>
        <v/>
      </c>
      <c r="R439" s="1" t="str">
        <f>IFERROR(IF($Q$1=$P$3,INDEX(prem_analysis!$P$2:$Q$441,ROWS(Data!$P$2:Q439),COLUMNS(Data!$P$3:P440)),IF($Q$1=$P$5,INDEX(prem_analysis!$BH$1:$BS$23,ROWS(Data!$Q$3:Q440),COLUMNS(Data!$Q$3:Q440)),IF($Q$1=$P$6,INDEX(prem_analysis!$BU$1:$CF$67,ROWS(prem_analysis!$N$2:N439),COLUMNS(prem_analysis!$N$2:N439)),IF($Q$1=$P$4,INDEX(Table24[[#All],[Year]:[Details]],ROWS(prem_analysis!$M$420:M857),COLUMNS(Data!$Q$3:Q440)))))),"")</f>
        <v/>
      </c>
      <c r="S439" s="1" t="str">
        <f>IFERROR(IF($Q$1=$P$3,INDEX(prem_analysis!$P$2:$Q$441,ROWS(Data!$P$2:R439),COLUMNS(Data!$P$3:Q440)),IF($Q$1=$P$5,INDEX(prem_analysis!$BH$1:$BS$23,ROWS(Data!$Q$3:R440),COLUMNS(Data!$Q$3:R440)),IF($Q$1=$P$6,INDEX(prem_analysis!$BU$1:$CF$67,ROWS(prem_analysis!$N$2:O439),COLUMNS(prem_analysis!$N$2:O439)),IF($Q$1=$P$4,INDEX(Table24[[#All],[Year]:[Details]],ROWS(prem_analysis!$M$420:N857),COLUMNS(Data!$Q$3:R440)))))),"")</f>
        <v/>
      </c>
      <c r="T439" s="1" t="str">
        <f>IFERROR(IF($Q$1=$P$3,INDEX(prem_analysis!$P$2:$Q$441,ROWS(Data!$P$2:S439),COLUMNS(Data!$P$3:R440)),IF($Q$1=$P$5,INDEX(prem_analysis!$BH$1:$BS$23,ROWS(Data!$Q$3:S440),COLUMNS(Data!$Q$3:S440)),IF($Q$1=$P$6,INDEX(prem_analysis!$BU$1:$CF$67,ROWS(prem_analysis!$N$2:P439),COLUMNS(prem_analysis!$N$2:P439)),IF($Q$1=$P$4,INDEX(Table24[[#All],[Year]:[Details]],ROWS(prem_analysis!$M$420:O857),COLUMNS(Data!$Q$3:S440)))))),"")</f>
        <v/>
      </c>
      <c r="U439" s="1" t="str">
        <f>IFERROR(IF($Q$1=$P$3,INDEX(prem_analysis!$P$2:$Q$441,ROWS(Data!$P$2:T439),COLUMNS(Data!$P$3:S440)),IF($Q$1=$P$5,INDEX(prem_analysis!$BH$1:$BS$23,ROWS(Data!$Q$3:T440),COLUMNS(Data!$Q$3:T440)),IF($Q$1=$P$6,INDEX(prem_analysis!$BU$1:$CF$67,ROWS(prem_analysis!$N$2:Q439),COLUMNS(prem_analysis!$N$2:Q439)),IF($Q$1=$P$4,INDEX(Table24[[#All],[Year]:[Details]],ROWS(prem_analysis!$M$420:P857),COLUMNS(Data!$Q$3:T440)))))),"")</f>
        <v/>
      </c>
      <c r="V439" s="1" t="str">
        <f>IFERROR(IF($Q$1=$P$3,INDEX(prem_analysis!$P$2:$Q$441,ROWS(Data!$P$2:U439),COLUMNS(Data!$P$3:T440)),IF($Q$1=$P$5,INDEX(prem_analysis!$BH$1:$BS$23,ROWS(Data!$Q$3:U440),COLUMNS(Data!$Q$3:U440)),IF($Q$1=$P$6,INDEX(prem_analysis!$BU$1:$CF$67,ROWS(prem_analysis!$N$2:R439),COLUMNS(prem_analysis!$N$2:R439)),IF($Q$1=$P$4,INDEX(Table24[[#All],[Year]:[Details]],ROWS(prem_analysis!$M$420:Q857),COLUMNS(Data!$Q$3:U440)))))),"")</f>
        <v/>
      </c>
      <c r="W439" s="1" t="str">
        <f>IFERROR(IF($Q$1=$P$3,INDEX(prem_analysis!$P$2:$Q$441,ROWS(Data!$P$2:V439),COLUMNS(Data!$P$3:U440)),IF($Q$1=$P$5,INDEX(prem_analysis!$BH$1:$BS$23,ROWS(Data!$Q$3:V440),COLUMNS(Data!$Q$3:V440)),IF($Q$1=$P$6,INDEX(prem_analysis!$BU$1:$CF$67,ROWS(prem_analysis!$N$2:S439),COLUMNS(prem_analysis!$N$2:S439)),IF($Q$1=$P$4,INDEX(Table24[[#All],[Year]:[Details]],ROWS(prem_analysis!$M$420:R857),COLUMNS(Data!$Q$3:V440)))))),"")</f>
        <v/>
      </c>
      <c r="X439" s="1" t="str">
        <f>IFERROR(IF($Q$1=$P$3,INDEX(prem_analysis!$P$2:$Q$441,ROWS(Data!$P$2:W439),COLUMNS(Data!$P$3:V440)),IF($Q$1=$P$5,INDEX(prem_analysis!$BH$1:$BS$23,ROWS(Data!$Q$3:W440),COLUMNS(Data!$Q$3:W440)),IF($Q$1=$P$6,INDEX(prem_analysis!$BU$1:$CF$67,ROWS(prem_analysis!$N$2:T439),COLUMNS(prem_analysis!$N$2:T439)),IF($Q$1=$P$4,INDEX(Table24[[#All],[Year]:[Details]],ROWS(prem_analysis!$M$420:S857),COLUMNS(Data!$Q$3:W440)))))),"")</f>
        <v/>
      </c>
      <c r="Y439" s="1" t="str">
        <f>IFERROR(IF($Q$1=$P$3,INDEX(prem_analysis!$P$2:$Q$441,ROWS(Data!$P$2:X439),COLUMNS(Data!$P$3:W440)),IF($Q$1=$P$5,INDEX(prem_analysis!$BH$1:$BS$23,ROWS(Data!$Q$3:X440),COLUMNS(Data!$Q$3:X440)),IF($Q$1=$P$6,INDEX(prem_analysis!$BU$1:$CF$67,ROWS(prem_analysis!$N$2:U439),COLUMNS(prem_analysis!$N$2:U439)),IF($Q$1=$P$4,INDEX(Table24[[#All],[Year]:[Details]],ROWS(prem_analysis!$M$420:T857),COLUMNS(Data!$Q$3:X440)))))),"")</f>
        <v/>
      </c>
      <c r="Z439" s="1" t="str">
        <f>IFERROR(IF($Q$1=$P$3,INDEX(prem_analysis!$P$2:$Q$441,ROWS(Data!$P$2:Y439),COLUMNS(Data!$P$3:X440)),IF($Q$1=$P$5,INDEX(prem_analysis!$BH$1:$BS$23,ROWS(Data!$Q$3:Y440),COLUMNS(Data!$Q$3:Y440)),IF($Q$1=$P$6,INDEX(prem_analysis!$BU$1:$CF$67,ROWS(prem_analysis!$N$2:V439),COLUMNS(prem_analysis!$N$2:V439)),IF($Q$1=$P$4,INDEX(Table24[[#All],[Year]:[Details]],ROWS(prem_analysis!$M$420:U857),COLUMNS(Data!$Q$3:Y440)))))),"")</f>
        <v/>
      </c>
      <c r="AA439" s="1" t="str">
        <f>IFERROR(IF($Q$1=$P$3,INDEX(prem_analysis!$P$2:$Q$441,ROWS(Data!$P$2:Z439),COLUMNS(Data!$P$3:Y440)),IF($Q$1=$P$5,INDEX(prem_analysis!$BH$1:$BS$23,ROWS(Data!$Q$3:Z440),COLUMNS(Data!$Q$3:Z440)),IF($Q$1=$P$6,INDEX(prem_analysis!$BU$1:$CF$67,ROWS(prem_analysis!$N$2:W439),COLUMNS(prem_analysis!$N$2:W439)),IF($Q$1=$P$4,INDEX(Table24[[#All],[Year]:[Details]],ROWS(prem_analysis!$M$420:V857),COLUMNS(Data!$Q$3:Z440)))))),"")</f>
        <v/>
      </c>
      <c r="AB439" s="1" t="str">
        <f>IFERROR(IF($Q$1=$P$3,INDEX(prem_analysis!$P$2:$Q$441,ROWS(Data!$P$2:AA439),COLUMNS(Data!$P$3:Z440)),IF($Q$1=$P$5,INDEX(prem_analysis!$BH$1:$BS$23,ROWS(Data!$Q$3:AA440),COLUMNS(Data!$Q$3:AA440)),IF($Q$1=$P$6,INDEX(prem_analysis!$BU$1:$CF$67,ROWS(prem_analysis!$N$2:X439),COLUMNS(prem_analysis!$N$2:X439)),IF($Q$1=$P$4,INDEX(Table24[[#All],[Year]:[Details]],ROWS(prem_analysis!$M$420:W857),COLUMNS(Data!$Q$3:AA440)))))),"")</f>
        <v/>
      </c>
      <c r="AC439" s="1" t="str">
        <f>IFERROR(IF($Q$1=$P$3,INDEX(prem_analysis!$P$2:$Q$441,ROWS(Data!$P$2:AB439),COLUMNS(Data!$P$3:AA440)),IF($Q$1=$P$5,INDEX(prem_analysis!$BH$1:$BS$23,ROWS(Data!$Q$3:AB440),COLUMNS(Data!$Q$3:AB440)),IF($Q$1=$P$6,INDEX(prem_analysis!$BU$1:$CF$67,ROWS(prem_analysis!$N$2:Y439),COLUMNS(prem_analysis!$N$2:Y439)),IF($Q$1=$P$4,INDEX(Table24[[#All],[Year]:[Details]],ROWS(prem_analysis!$M$420:X857),COLUMNS(Data!$Q$3:AB440)))))),"")</f>
        <v/>
      </c>
    </row>
    <row r="440" spans="1:29" x14ac:dyDescent="0.2">
      <c r="A440" s="3">
        <v>2021</v>
      </c>
      <c r="B440" s="3">
        <v>19</v>
      </c>
      <c r="C440" s="4" t="s">
        <v>43</v>
      </c>
      <c r="D440" s="3">
        <v>38</v>
      </c>
      <c r="E440" s="3">
        <v>6</v>
      </c>
      <c r="F440" s="3">
        <v>5</v>
      </c>
      <c r="G440" s="3">
        <v>27</v>
      </c>
      <c r="H440" s="3">
        <v>34</v>
      </c>
      <c r="I440" s="3">
        <v>77</v>
      </c>
      <c r="J440" s="3">
        <v>-43</v>
      </c>
      <c r="K440" s="3">
        <v>23</v>
      </c>
      <c r="L440" s="5" t="str">
        <f>IF(Table24[[#This Row],['#]]=1,"Champion", IF(Table24[[#This Row],['#]]&gt;=18,"Relegated",Table24[[#This Row],['#]]))</f>
        <v>Relegated</v>
      </c>
      <c r="M440" s="5" t="str">
        <f>IF(Table24[[#This Row],[Details]]=2,K439-Table24[[#This Row],[Pts]],IF(Table24[[#This Row],[Details]]=17,Table24[[#This Row],[Pts]]-K441,""))</f>
        <v/>
      </c>
      <c r="R440" s="1" t="str">
        <f>IFERROR(IF($Q$1=$P$3,INDEX(prem_analysis!$P$2:$Q$441,ROWS(Data!$P$2:Q440),COLUMNS(Data!$P$3:P441)),IF($Q$1=$P$5,INDEX(prem_analysis!$BH$1:$BS$23,ROWS(Data!$Q$3:Q441),COLUMNS(Data!$Q$3:Q441)),IF($Q$1=$P$6,INDEX(prem_analysis!$BU$1:$CF$67,ROWS(prem_analysis!$N$2:N440),COLUMNS(prem_analysis!$N$2:N440)),IF($Q$1=$P$4,INDEX(Table24[[#All],[Year]:[Details]],ROWS(prem_analysis!$M$420:M858),COLUMNS(Data!$Q$3:Q441)))))),"")</f>
        <v/>
      </c>
      <c r="S440" s="1" t="str">
        <f>IFERROR(IF($Q$1=$P$3,INDEX(prem_analysis!$P$2:$Q$441,ROWS(Data!$P$2:R440),COLUMNS(Data!$P$3:Q441)),IF($Q$1=$P$5,INDEX(prem_analysis!$BH$1:$BS$23,ROWS(Data!$Q$3:R441),COLUMNS(Data!$Q$3:R441)),IF($Q$1=$P$6,INDEX(prem_analysis!$BU$1:$CF$67,ROWS(prem_analysis!$N$2:O440),COLUMNS(prem_analysis!$N$2:O440)),IF($Q$1=$P$4,INDEX(Table24[[#All],[Year]:[Details]],ROWS(prem_analysis!$M$420:N858),COLUMNS(Data!$Q$3:R441)))))),"")</f>
        <v/>
      </c>
      <c r="T440" s="1" t="str">
        <f>IFERROR(IF($Q$1=$P$3,INDEX(prem_analysis!$P$2:$Q$441,ROWS(Data!$P$2:S440),COLUMNS(Data!$P$3:R441)),IF($Q$1=$P$5,INDEX(prem_analysis!$BH$1:$BS$23,ROWS(Data!$Q$3:S441),COLUMNS(Data!$Q$3:S441)),IF($Q$1=$P$6,INDEX(prem_analysis!$BU$1:$CF$67,ROWS(prem_analysis!$N$2:P440),COLUMNS(prem_analysis!$N$2:P440)),IF($Q$1=$P$4,INDEX(Table24[[#All],[Year]:[Details]],ROWS(prem_analysis!$M$420:O858),COLUMNS(Data!$Q$3:S441)))))),"")</f>
        <v/>
      </c>
      <c r="U440" s="1" t="str">
        <f>IFERROR(IF($Q$1=$P$3,INDEX(prem_analysis!$P$2:$Q$441,ROWS(Data!$P$2:T440),COLUMNS(Data!$P$3:S441)),IF($Q$1=$P$5,INDEX(prem_analysis!$BH$1:$BS$23,ROWS(Data!$Q$3:T441),COLUMNS(Data!$Q$3:T441)),IF($Q$1=$P$6,INDEX(prem_analysis!$BU$1:$CF$67,ROWS(prem_analysis!$N$2:Q440),COLUMNS(prem_analysis!$N$2:Q440)),IF($Q$1=$P$4,INDEX(Table24[[#All],[Year]:[Details]],ROWS(prem_analysis!$M$420:P858),COLUMNS(Data!$Q$3:T441)))))),"")</f>
        <v/>
      </c>
      <c r="V440" s="1" t="str">
        <f>IFERROR(IF($Q$1=$P$3,INDEX(prem_analysis!$P$2:$Q$441,ROWS(Data!$P$2:U440),COLUMNS(Data!$P$3:T441)),IF($Q$1=$P$5,INDEX(prem_analysis!$BH$1:$BS$23,ROWS(Data!$Q$3:U441),COLUMNS(Data!$Q$3:U441)),IF($Q$1=$P$6,INDEX(prem_analysis!$BU$1:$CF$67,ROWS(prem_analysis!$N$2:R440),COLUMNS(prem_analysis!$N$2:R440)),IF($Q$1=$P$4,INDEX(Table24[[#All],[Year]:[Details]],ROWS(prem_analysis!$M$420:Q858),COLUMNS(Data!$Q$3:U441)))))),"")</f>
        <v/>
      </c>
      <c r="W440" s="1" t="str">
        <f>IFERROR(IF($Q$1=$P$3,INDEX(prem_analysis!$P$2:$Q$441,ROWS(Data!$P$2:V440),COLUMNS(Data!$P$3:U441)),IF($Q$1=$P$5,INDEX(prem_analysis!$BH$1:$BS$23,ROWS(Data!$Q$3:V441),COLUMNS(Data!$Q$3:V441)),IF($Q$1=$P$6,INDEX(prem_analysis!$BU$1:$CF$67,ROWS(prem_analysis!$N$2:S440),COLUMNS(prem_analysis!$N$2:S440)),IF($Q$1=$P$4,INDEX(Table24[[#All],[Year]:[Details]],ROWS(prem_analysis!$M$420:R858),COLUMNS(Data!$Q$3:V441)))))),"")</f>
        <v/>
      </c>
      <c r="X440" s="1" t="str">
        <f>IFERROR(IF($Q$1=$P$3,INDEX(prem_analysis!$P$2:$Q$441,ROWS(Data!$P$2:W440),COLUMNS(Data!$P$3:V441)),IF($Q$1=$P$5,INDEX(prem_analysis!$BH$1:$BS$23,ROWS(Data!$Q$3:W441),COLUMNS(Data!$Q$3:W441)),IF($Q$1=$P$6,INDEX(prem_analysis!$BU$1:$CF$67,ROWS(prem_analysis!$N$2:T440),COLUMNS(prem_analysis!$N$2:T440)),IF($Q$1=$P$4,INDEX(Table24[[#All],[Year]:[Details]],ROWS(prem_analysis!$M$420:S858),COLUMNS(Data!$Q$3:W441)))))),"")</f>
        <v/>
      </c>
      <c r="Y440" s="1" t="str">
        <f>IFERROR(IF($Q$1=$P$3,INDEX(prem_analysis!$P$2:$Q$441,ROWS(Data!$P$2:X440),COLUMNS(Data!$P$3:W441)),IF($Q$1=$P$5,INDEX(prem_analysis!$BH$1:$BS$23,ROWS(Data!$Q$3:X441),COLUMNS(Data!$Q$3:X441)),IF($Q$1=$P$6,INDEX(prem_analysis!$BU$1:$CF$67,ROWS(prem_analysis!$N$2:U440),COLUMNS(prem_analysis!$N$2:U440)),IF($Q$1=$P$4,INDEX(Table24[[#All],[Year]:[Details]],ROWS(prem_analysis!$M$420:T858),COLUMNS(Data!$Q$3:X441)))))),"")</f>
        <v/>
      </c>
      <c r="Z440" s="1" t="str">
        <f>IFERROR(IF($Q$1=$P$3,INDEX(prem_analysis!$P$2:$Q$441,ROWS(Data!$P$2:Y440),COLUMNS(Data!$P$3:X441)),IF($Q$1=$P$5,INDEX(prem_analysis!$BH$1:$BS$23,ROWS(Data!$Q$3:Y441),COLUMNS(Data!$Q$3:Y441)),IF($Q$1=$P$6,INDEX(prem_analysis!$BU$1:$CF$67,ROWS(prem_analysis!$N$2:V440),COLUMNS(prem_analysis!$N$2:V440)),IF($Q$1=$P$4,INDEX(Table24[[#All],[Year]:[Details]],ROWS(prem_analysis!$M$420:U858),COLUMNS(Data!$Q$3:Y441)))))),"")</f>
        <v/>
      </c>
      <c r="AA440" s="1" t="str">
        <f>IFERROR(IF($Q$1=$P$3,INDEX(prem_analysis!$P$2:$Q$441,ROWS(Data!$P$2:Z440),COLUMNS(Data!$P$3:Y441)),IF($Q$1=$P$5,INDEX(prem_analysis!$BH$1:$BS$23,ROWS(Data!$Q$3:Z441),COLUMNS(Data!$Q$3:Z441)),IF($Q$1=$P$6,INDEX(prem_analysis!$BU$1:$CF$67,ROWS(prem_analysis!$N$2:W440),COLUMNS(prem_analysis!$N$2:W440)),IF($Q$1=$P$4,INDEX(Table24[[#All],[Year]:[Details]],ROWS(prem_analysis!$M$420:V858),COLUMNS(Data!$Q$3:Z441)))))),"")</f>
        <v/>
      </c>
      <c r="AB440" s="1" t="str">
        <f>IFERROR(IF($Q$1=$P$3,INDEX(prem_analysis!$P$2:$Q$441,ROWS(Data!$P$2:AA440),COLUMNS(Data!$P$3:Z441)),IF($Q$1=$P$5,INDEX(prem_analysis!$BH$1:$BS$23,ROWS(Data!$Q$3:AA441),COLUMNS(Data!$Q$3:AA441)),IF($Q$1=$P$6,INDEX(prem_analysis!$BU$1:$CF$67,ROWS(prem_analysis!$N$2:X440),COLUMNS(prem_analysis!$N$2:X440)),IF($Q$1=$P$4,INDEX(Table24[[#All],[Year]:[Details]],ROWS(prem_analysis!$M$420:W858),COLUMNS(Data!$Q$3:AA441)))))),"")</f>
        <v/>
      </c>
      <c r="AC440" s="1" t="str">
        <f>IFERROR(IF($Q$1=$P$3,INDEX(prem_analysis!$P$2:$Q$441,ROWS(Data!$P$2:AB440),COLUMNS(Data!$P$3:AA441)),IF($Q$1=$P$5,INDEX(prem_analysis!$BH$1:$BS$23,ROWS(Data!$Q$3:AB441),COLUMNS(Data!$Q$3:AB441)),IF($Q$1=$P$6,INDEX(prem_analysis!$BU$1:$CF$67,ROWS(prem_analysis!$N$2:Y440),COLUMNS(prem_analysis!$N$2:Y440)),IF($Q$1=$P$4,INDEX(Table24[[#All],[Year]:[Details]],ROWS(prem_analysis!$M$420:X858),COLUMNS(Data!$Q$3:AB441)))))),"")</f>
        <v/>
      </c>
    </row>
    <row r="441" spans="1:29" x14ac:dyDescent="0.2">
      <c r="A441" s="8">
        <v>2021</v>
      </c>
      <c r="B441" s="8">
        <v>20</v>
      </c>
      <c r="C441" s="9" t="s">
        <v>39</v>
      </c>
      <c r="D441" s="8">
        <v>38</v>
      </c>
      <c r="E441" s="8">
        <v>5</v>
      </c>
      <c r="F441" s="8">
        <v>7</v>
      </c>
      <c r="G441" s="8">
        <v>26</v>
      </c>
      <c r="H441" s="8">
        <v>23</v>
      </c>
      <c r="I441" s="8">
        <v>84</v>
      </c>
      <c r="J441" s="8">
        <v>-61</v>
      </c>
      <c r="K441" s="8">
        <v>22</v>
      </c>
      <c r="L441" s="8" t="str">
        <f>IF(Table24[[#This Row],['#]]=1,"Champion", IF(Table24[[#This Row],['#]]&gt;=18,"Relegated",Table24[[#This Row],['#]]))</f>
        <v>Relegated</v>
      </c>
      <c r="M441" s="8" t="str">
        <f>IF(Table24[[#This Row],[Details]]=2,K440-Table24[[#This Row],[Pts]],IF(Table24[[#This Row],[Details]]=17,Table24[[#This Row],[Pts]]-K442,""))</f>
        <v/>
      </c>
    </row>
  </sheetData>
  <phoneticPr fontId="6"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A1D2A-9C32-422F-ACBE-B42141FD0B38}">
  <sheetPr codeName="Sheet3"/>
  <dimension ref="A2:A24"/>
  <sheetViews>
    <sheetView topLeftCell="A2" workbookViewId="0">
      <selection activeCell="G21" sqref="G21"/>
    </sheetView>
  </sheetViews>
  <sheetFormatPr defaultRowHeight="15" x14ac:dyDescent="0.25"/>
  <sheetData>
    <row r="2" spans="1:1" x14ac:dyDescent="0.25">
      <c r="A2" t="s">
        <v>0</v>
      </c>
    </row>
    <row r="3" spans="1:1" x14ac:dyDescent="0.25">
      <c r="A3">
        <v>2000</v>
      </c>
    </row>
    <row r="4" spans="1:1" x14ac:dyDescent="0.25">
      <c r="A4">
        <v>2001</v>
      </c>
    </row>
    <row r="5" spans="1:1" x14ac:dyDescent="0.25">
      <c r="A5">
        <v>2002</v>
      </c>
    </row>
    <row r="6" spans="1:1" x14ac:dyDescent="0.25">
      <c r="A6">
        <v>2003</v>
      </c>
    </row>
    <row r="7" spans="1:1" x14ac:dyDescent="0.25">
      <c r="A7">
        <v>2004</v>
      </c>
    </row>
    <row r="8" spans="1:1" x14ac:dyDescent="0.25">
      <c r="A8">
        <v>2005</v>
      </c>
    </row>
    <row r="9" spans="1:1" x14ac:dyDescent="0.25">
      <c r="A9">
        <v>2006</v>
      </c>
    </row>
    <row r="10" spans="1:1" x14ac:dyDescent="0.25">
      <c r="A10">
        <v>2007</v>
      </c>
    </row>
    <row r="11" spans="1:1" x14ac:dyDescent="0.25">
      <c r="A11">
        <v>2008</v>
      </c>
    </row>
    <row r="12" spans="1:1" x14ac:dyDescent="0.25">
      <c r="A12">
        <v>2009</v>
      </c>
    </row>
    <row r="13" spans="1:1" x14ac:dyDescent="0.25">
      <c r="A13">
        <v>2010</v>
      </c>
    </row>
    <row r="14" spans="1:1" x14ac:dyDescent="0.25">
      <c r="A14">
        <v>2011</v>
      </c>
    </row>
    <row r="15" spans="1:1" x14ac:dyDescent="0.25">
      <c r="A15">
        <v>2012</v>
      </c>
    </row>
    <row r="16" spans="1:1" x14ac:dyDescent="0.25">
      <c r="A16">
        <v>2013</v>
      </c>
    </row>
    <row r="17" spans="1:1" x14ac:dyDescent="0.25">
      <c r="A17">
        <v>2014</v>
      </c>
    </row>
    <row r="18" spans="1:1" x14ac:dyDescent="0.25">
      <c r="A18">
        <v>2015</v>
      </c>
    </row>
    <row r="19" spans="1:1" x14ac:dyDescent="0.25">
      <c r="A19">
        <v>2016</v>
      </c>
    </row>
    <row r="20" spans="1:1" x14ac:dyDescent="0.25">
      <c r="A20">
        <v>2017</v>
      </c>
    </row>
    <row r="21" spans="1:1" x14ac:dyDescent="0.25">
      <c r="A21">
        <v>2018</v>
      </c>
    </row>
    <row r="22" spans="1:1" x14ac:dyDescent="0.25">
      <c r="A22">
        <v>2019</v>
      </c>
    </row>
    <row r="23" spans="1:1" x14ac:dyDescent="0.25">
      <c r="A23">
        <v>2020</v>
      </c>
    </row>
    <row r="24" spans="1:1" x14ac:dyDescent="0.25">
      <c r="A24">
        <v>2021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27850F-4A83-468D-8697-D241F47BF1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Premier_league_summary</vt:lpstr>
      <vt:lpstr>premier_league_details</vt:lpstr>
      <vt:lpstr>prem_analysis</vt:lpstr>
      <vt:lpstr>Sheet5</vt:lpstr>
      <vt:lpstr>Data</vt:lpstr>
      <vt:lpstr>Years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KEVIN</cp:lastModifiedBy>
  <dcterms:created xsi:type="dcterms:W3CDTF">2022-05-20T17:29:42Z</dcterms:created>
  <dcterms:modified xsi:type="dcterms:W3CDTF">2022-09-17T05:55:01Z</dcterms:modified>
</cp:coreProperties>
</file>